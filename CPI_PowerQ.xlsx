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d.docs.live.net/9853ffbb35266630/Documents/Excel/Power query files/Exercises/CPI/"/>
    </mc:Choice>
  </mc:AlternateContent>
  <xr:revisionPtr revIDLastSave="935" documentId="8_{7D170B6C-C209-4389-9091-3F2B5BA0C179}" xr6:coauthVersionLast="47" xr6:coauthVersionMax="47" xr10:uidLastSave="{DD00A4E9-AAC0-4B2F-B3C1-8852C250E99C}"/>
  <bookViews>
    <workbookView xWindow="-108" yWindow="-108" windowWidth="23256" windowHeight="12456" activeTab="1" xr2:uid="{66312527-72CD-4E6C-946D-AF6C70D8F595}"/>
  </bookViews>
  <sheets>
    <sheet name="All_India_Index_Upto_April23 (1" sheetId="2" r:id="rId1"/>
    <sheet name="EDA" sheetId="6" r:id="rId2"/>
    <sheet name="Pivots - workings" sheetId="10" r:id="rId3"/>
    <sheet name="Final Analysis" sheetId="7" r:id="rId4"/>
    <sheet name="Dashboard" sheetId="8" r:id="rId5"/>
  </sheets>
  <definedNames>
    <definedName name="_xlnm._FilterDatabase" localSheetId="0" hidden="1">'All_India_Index_Upto_April23 (1'!$AF$1:$BI$259</definedName>
    <definedName name="_xlnm._FilterDatabase" localSheetId="1" hidden="1">EDA!$A$2:$AI$375</definedName>
    <definedName name="ExternalData_1" localSheetId="0" hidden="1">'All_India_Index_Upto_April23 (1'!$A$1:$AD$373</definedName>
  </definedNames>
  <calcPr calcId="191029"/>
  <pivotCaches>
    <pivotCache cacheId="0" r:id="rId6"/>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291" i="6" l="1"/>
  <c r="AJ289" i="6"/>
  <c r="AJ290" i="6"/>
  <c r="AJ291" i="6"/>
  <c r="AJ292" i="6"/>
  <c r="AJ293" i="6"/>
  <c r="AJ294" i="6"/>
  <c r="AJ295" i="6"/>
  <c r="AJ296" i="6"/>
  <c r="AJ297" i="6"/>
  <c r="AJ298" i="6"/>
  <c r="AJ299" i="6"/>
  <c r="AJ300" i="6"/>
  <c r="AJ301" i="6"/>
  <c r="AJ302" i="6"/>
  <c r="AJ303" i="6"/>
  <c r="AJ304" i="6"/>
  <c r="AJ305" i="6"/>
  <c r="AJ306" i="6"/>
  <c r="AJ307" i="6"/>
  <c r="AJ308" i="6"/>
  <c r="AJ309" i="6"/>
  <c r="AJ310" i="6"/>
  <c r="AJ311" i="6"/>
  <c r="AJ312" i="6"/>
  <c r="AJ313" i="6"/>
  <c r="AJ314" i="6"/>
  <c r="AJ315" i="6"/>
  <c r="AJ316" i="6"/>
  <c r="AJ317" i="6"/>
  <c r="AJ318" i="6"/>
  <c r="AJ319" i="6"/>
  <c r="AJ320" i="6"/>
  <c r="AJ321" i="6"/>
  <c r="AJ322" i="6"/>
  <c r="AJ323" i="6"/>
  <c r="AJ324" i="6"/>
  <c r="AJ325" i="6"/>
  <c r="AJ326" i="6"/>
  <c r="AJ327" i="6"/>
  <c r="AJ328" i="6"/>
  <c r="AJ329" i="6"/>
  <c r="AJ330" i="6"/>
  <c r="AJ331" i="6"/>
  <c r="AJ332" i="6"/>
  <c r="AJ333" i="6"/>
  <c r="AJ334" i="6"/>
  <c r="AJ335" i="6"/>
  <c r="AJ336" i="6"/>
  <c r="AJ337" i="6"/>
  <c r="AJ338" i="6"/>
  <c r="AJ339" i="6"/>
  <c r="AJ340" i="6"/>
  <c r="AJ341" i="6"/>
  <c r="AJ342" i="6"/>
  <c r="AJ343" i="6"/>
  <c r="AJ344" i="6"/>
  <c r="AJ345" i="6"/>
  <c r="AJ346" i="6"/>
  <c r="AJ347" i="6"/>
  <c r="AJ348" i="6"/>
  <c r="AJ349" i="6"/>
  <c r="AJ350" i="6"/>
  <c r="AJ351" i="6"/>
  <c r="AJ352" i="6"/>
  <c r="AJ353" i="6"/>
  <c r="AJ354" i="6"/>
  <c r="AJ355" i="6"/>
  <c r="AJ356" i="6"/>
  <c r="AJ357" i="6"/>
  <c r="AJ358" i="6"/>
  <c r="AJ359" i="6"/>
  <c r="AJ360" i="6"/>
  <c r="AJ361" i="6"/>
  <c r="AJ362" i="6"/>
  <c r="AJ363" i="6"/>
  <c r="AJ364" i="6"/>
  <c r="AJ365" i="6"/>
  <c r="AJ366" i="6"/>
  <c r="AJ367" i="6"/>
  <c r="AJ368" i="6"/>
  <c r="AJ369" i="6"/>
  <c r="AJ370" i="6"/>
  <c r="AJ371" i="6"/>
  <c r="AJ372" i="6"/>
  <c r="AJ373" i="6"/>
  <c r="AJ374" i="6"/>
  <c r="AJ288" i="6"/>
  <c r="AO291" i="6"/>
  <c r="AP291" i="6"/>
  <c r="AM291" i="6"/>
  <c r="AL291" i="6"/>
  <c r="D121" i="7"/>
  <c r="D120" i="7"/>
  <c r="D119" i="7"/>
  <c r="D118" i="7"/>
  <c r="D117" i="7"/>
  <c r="D105" i="7"/>
  <c r="D116" i="7"/>
  <c r="D115" i="7"/>
  <c r="D114" i="7"/>
  <c r="D113" i="7"/>
  <c r="D112" i="7"/>
  <c r="D111" i="7"/>
  <c r="D110" i="7"/>
  <c r="D109" i="7"/>
  <c r="D108" i="7"/>
  <c r="D107" i="7"/>
  <c r="D106" i="7"/>
  <c r="D95" i="7"/>
  <c r="D96" i="7"/>
  <c r="D97" i="7"/>
  <c r="D98" i="7"/>
  <c r="D99" i="7"/>
  <c r="D100" i="7"/>
  <c r="D101" i="7"/>
  <c r="D102" i="7"/>
  <c r="D103" i="7"/>
  <c r="D104" i="7"/>
  <c r="D94" i="7"/>
  <c r="C64" i="7"/>
  <c r="C65" i="7" s="1"/>
  <c r="D64" i="7"/>
  <c r="D65" i="7" s="1"/>
  <c r="E64" i="7"/>
  <c r="E65" i="7" s="1"/>
  <c r="F64" i="7"/>
  <c r="F65" i="7" s="1"/>
  <c r="G64" i="7"/>
  <c r="G65" i="7" s="1"/>
  <c r="H64" i="7"/>
  <c r="H65" i="7" s="1"/>
  <c r="I64" i="7"/>
  <c r="I65" i="7" s="1"/>
  <c r="J64" i="7"/>
  <c r="J65" i="7" s="1"/>
  <c r="K64" i="7"/>
  <c r="K65" i="7" s="1"/>
  <c r="L64" i="7"/>
  <c r="L65" i="7" s="1"/>
  <c r="M64" i="7"/>
  <c r="M65" i="7" s="1"/>
  <c r="N64" i="7"/>
  <c r="N65" i="7" s="1"/>
  <c r="O64" i="7"/>
  <c r="O65" i="7" s="1"/>
  <c r="B64" i="7"/>
  <c r="B65" i="7" s="1"/>
  <c r="E41" i="7"/>
  <c r="E40" i="7"/>
  <c r="E39" i="7"/>
  <c r="E38" i="7"/>
  <c r="E37" i="7"/>
  <c r="E36" i="7"/>
  <c r="E35" i="7"/>
  <c r="E34" i="7"/>
  <c r="E33" i="7"/>
  <c r="E32" i="7"/>
  <c r="E31" i="7"/>
  <c r="E30" i="7"/>
  <c r="D37" i="7"/>
  <c r="D41" i="7"/>
  <c r="D40" i="7"/>
  <c r="D39" i="7"/>
  <c r="D38" i="7"/>
  <c r="D36" i="7"/>
  <c r="D35" i="7"/>
  <c r="D34" i="7"/>
  <c r="D33" i="7"/>
  <c r="D32" i="7"/>
  <c r="D31" i="7"/>
  <c r="D30" i="7"/>
  <c r="I11" i="10"/>
  <c r="I12" i="10"/>
  <c r="I13" i="10"/>
  <c r="I14" i="10"/>
  <c r="I15" i="10"/>
  <c r="I16" i="10"/>
  <c r="I10" i="10"/>
  <c r="E12" i="7"/>
  <c r="F12" i="7"/>
  <c r="G12" i="7"/>
  <c r="H12" i="7"/>
  <c r="I12" i="7"/>
  <c r="E11" i="7"/>
  <c r="E10" i="7"/>
  <c r="F10" i="7"/>
  <c r="F11" i="7"/>
  <c r="G11" i="7"/>
  <c r="H11" i="7"/>
  <c r="I11" i="7"/>
  <c r="I10" i="7"/>
  <c r="H10" i="7"/>
  <c r="G10" i="7"/>
  <c r="AH4" i="6"/>
  <c r="AH5" i="6"/>
  <c r="AH6" i="6"/>
  <c r="AH7" i="6"/>
  <c r="AH8" i="6"/>
  <c r="AH9" i="6"/>
  <c r="AH10" i="6"/>
  <c r="AH11" i="6"/>
  <c r="AH12" i="6"/>
  <c r="AH13" i="6"/>
  <c r="AH14" i="6"/>
  <c r="AH15" i="6"/>
  <c r="AH16" i="6"/>
  <c r="AH17" i="6"/>
  <c r="AH18" i="6"/>
  <c r="AH19" i="6"/>
  <c r="AH20" i="6"/>
  <c r="AH21" i="6"/>
  <c r="AH22" i="6"/>
  <c r="AH23" i="6"/>
  <c r="AH24" i="6"/>
  <c r="AH25" i="6"/>
  <c r="AH26" i="6"/>
  <c r="AH27" i="6"/>
  <c r="AH28" i="6"/>
  <c r="AH29" i="6"/>
  <c r="AH30" i="6"/>
  <c r="AH31" i="6"/>
  <c r="AH32" i="6"/>
  <c r="AH33" i="6"/>
  <c r="AH34" i="6"/>
  <c r="AH35" i="6"/>
  <c r="AH36" i="6"/>
  <c r="AH37" i="6"/>
  <c r="AH38" i="6"/>
  <c r="AH39" i="6"/>
  <c r="AH40" i="6"/>
  <c r="AH41" i="6"/>
  <c r="AH42" i="6"/>
  <c r="AH43" i="6"/>
  <c r="AH44" i="6"/>
  <c r="AH45" i="6"/>
  <c r="AH46" i="6"/>
  <c r="AH47" i="6"/>
  <c r="AH48" i="6"/>
  <c r="AH49" i="6"/>
  <c r="AH50" i="6"/>
  <c r="AH51" i="6"/>
  <c r="AH52" i="6"/>
  <c r="AH53" i="6"/>
  <c r="AH54" i="6"/>
  <c r="AH55" i="6"/>
  <c r="AH56" i="6"/>
  <c r="AH57" i="6"/>
  <c r="AH58" i="6"/>
  <c r="AH59" i="6"/>
  <c r="AH60" i="6"/>
  <c r="AH61" i="6"/>
  <c r="AH62" i="6"/>
  <c r="AH63" i="6"/>
  <c r="AH64" i="6"/>
  <c r="AH65" i="6"/>
  <c r="AH66" i="6"/>
  <c r="AH67" i="6"/>
  <c r="AH68" i="6"/>
  <c r="AH69" i="6"/>
  <c r="AH70" i="6"/>
  <c r="AH71" i="6"/>
  <c r="AH72" i="6"/>
  <c r="AH73" i="6"/>
  <c r="AH74" i="6"/>
  <c r="AH75" i="6"/>
  <c r="AH76" i="6"/>
  <c r="AH77" i="6"/>
  <c r="AH78" i="6"/>
  <c r="AH79" i="6"/>
  <c r="AH80" i="6"/>
  <c r="AH81" i="6"/>
  <c r="AH82" i="6"/>
  <c r="AH83" i="6"/>
  <c r="AH84" i="6"/>
  <c r="AH85" i="6"/>
  <c r="AH86" i="6"/>
  <c r="AH87" i="6"/>
  <c r="AH88" i="6"/>
  <c r="AH89" i="6"/>
  <c r="AH90" i="6"/>
  <c r="AH91" i="6"/>
  <c r="AH92" i="6"/>
  <c r="AH93" i="6"/>
  <c r="AH94" i="6"/>
  <c r="AH95" i="6"/>
  <c r="AH96" i="6"/>
  <c r="AH97" i="6"/>
  <c r="AH98" i="6"/>
  <c r="AH99" i="6"/>
  <c r="AH100" i="6"/>
  <c r="AH101" i="6"/>
  <c r="AH102" i="6"/>
  <c r="AH103" i="6"/>
  <c r="AH104" i="6"/>
  <c r="AH105" i="6"/>
  <c r="AH106" i="6"/>
  <c r="AH107" i="6"/>
  <c r="AH108" i="6"/>
  <c r="AH109" i="6"/>
  <c r="AH110" i="6"/>
  <c r="AH111" i="6"/>
  <c r="AH112" i="6"/>
  <c r="AH113" i="6"/>
  <c r="AH114" i="6"/>
  <c r="AH115" i="6"/>
  <c r="AH116" i="6"/>
  <c r="AH117" i="6"/>
  <c r="AH118" i="6"/>
  <c r="AH119" i="6"/>
  <c r="AH120" i="6"/>
  <c r="AH121" i="6"/>
  <c r="AH122" i="6"/>
  <c r="AH123" i="6"/>
  <c r="AH124" i="6"/>
  <c r="AH125" i="6"/>
  <c r="AH126" i="6"/>
  <c r="AH127" i="6"/>
  <c r="AH128" i="6"/>
  <c r="AH129" i="6"/>
  <c r="AH130" i="6"/>
  <c r="AH131" i="6"/>
  <c r="AH132" i="6"/>
  <c r="AH133" i="6"/>
  <c r="AH134" i="6"/>
  <c r="AH135" i="6"/>
  <c r="AH136" i="6"/>
  <c r="AH137" i="6"/>
  <c r="AH138" i="6"/>
  <c r="AH139" i="6"/>
  <c r="AH140" i="6"/>
  <c r="AH141" i="6"/>
  <c r="AH142" i="6"/>
  <c r="AH143" i="6"/>
  <c r="AH144" i="6"/>
  <c r="AH145" i="6"/>
  <c r="AH146" i="6"/>
  <c r="AH147" i="6"/>
  <c r="AH148" i="6"/>
  <c r="AH149" i="6"/>
  <c r="AH150" i="6"/>
  <c r="AH151" i="6"/>
  <c r="AH152" i="6"/>
  <c r="AH153" i="6"/>
  <c r="AH154" i="6"/>
  <c r="AH155" i="6"/>
  <c r="AH156" i="6"/>
  <c r="AH157" i="6"/>
  <c r="AH158" i="6"/>
  <c r="AH159" i="6"/>
  <c r="AH160" i="6"/>
  <c r="AH161" i="6"/>
  <c r="AH162" i="6"/>
  <c r="AH163" i="6"/>
  <c r="AH164" i="6"/>
  <c r="AH165" i="6"/>
  <c r="AH166" i="6"/>
  <c r="AH167" i="6"/>
  <c r="AH168" i="6"/>
  <c r="AH169" i="6"/>
  <c r="AH170" i="6"/>
  <c r="AH171" i="6"/>
  <c r="AH172" i="6"/>
  <c r="AH173" i="6"/>
  <c r="AH174" i="6"/>
  <c r="AH175" i="6"/>
  <c r="AH176" i="6"/>
  <c r="AH177" i="6"/>
  <c r="AH178" i="6"/>
  <c r="AH179" i="6"/>
  <c r="AH180" i="6"/>
  <c r="AH181" i="6"/>
  <c r="AH182" i="6"/>
  <c r="AH183" i="6"/>
  <c r="AH184" i="6"/>
  <c r="AH185" i="6"/>
  <c r="AH186" i="6"/>
  <c r="AH187" i="6"/>
  <c r="AH188" i="6"/>
  <c r="AH189" i="6"/>
  <c r="AH190" i="6"/>
  <c r="AH191" i="6"/>
  <c r="AH192" i="6"/>
  <c r="AH193" i="6"/>
  <c r="AH194" i="6"/>
  <c r="AH195" i="6"/>
  <c r="AH196" i="6"/>
  <c r="AH197" i="6"/>
  <c r="AH198" i="6"/>
  <c r="AH199" i="6"/>
  <c r="AH200" i="6"/>
  <c r="AH201" i="6"/>
  <c r="AH202" i="6"/>
  <c r="AH203" i="6"/>
  <c r="AH204" i="6"/>
  <c r="AH205" i="6"/>
  <c r="AH206" i="6"/>
  <c r="AH207" i="6"/>
  <c r="AH208" i="6"/>
  <c r="AH209" i="6"/>
  <c r="AH210" i="6"/>
  <c r="AH211" i="6"/>
  <c r="AH212" i="6"/>
  <c r="AH213" i="6"/>
  <c r="AH214" i="6"/>
  <c r="AH215" i="6"/>
  <c r="AH216" i="6"/>
  <c r="AH217" i="6"/>
  <c r="AH218" i="6"/>
  <c r="AH219" i="6"/>
  <c r="AH220" i="6"/>
  <c r="AH221" i="6"/>
  <c r="AH222" i="6"/>
  <c r="AH223" i="6"/>
  <c r="AH224" i="6"/>
  <c r="AH225" i="6"/>
  <c r="AH226" i="6"/>
  <c r="AH227" i="6"/>
  <c r="AH228" i="6"/>
  <c r="AH229" i="6"/>
  <c r="AH230" i="6"/>
  <c r="AH231" i="6"/>
  <c r="AH232" i="6"/>
  <c r="AH233" i="6"/>
  <c r="AH234" i="6"/>
  <c r="AH235" i="6"/>
  <c r="AH236" i="6"/>
  <c r="AH237" i="6"/>
  <c r="AH238" i="6"/>
  <c r="AH239" i="6"/>
  <c r="AH240" i="6"/>
  <c r="AH241" i="6"/>
  <c r="AH242" i="6"/>
  <c r="AH243" i="6"/>
  <c r="AH244" i="6"/>
  <c r="AH245" i="6"/>
  <c r="AH246" i="6"/>
  <c r="AH247" i="6"/>
  <c r="AH248" i="6"/>
  <c r="AH249" i="6"/>
  <c r="AH250" i="6"/>
  <c r="AH251" i="6"/>
  <c r="AH252" i="6"/>
  <c r="AH253" i="6"/>
  <c r="AH254" i="6"/>
  <c r="AH255" i="6"/>
  <c r="AH256" i="6"/>
  <c r="AH257" i="6"/>
  <c r="AH258" i="6"/>
  <c r="AH259" i="6"/>
  <c r="AH260" i="6"/>
  <c r="AH261" i="6"/>
  <c r="AH262" i="6"/>
  <c r="AH263" i="6"/>
  <c r="AH264" i="6"/>
  <c r="AH265" i="6"/>
  <c r="AH266" i="6"/>
  <c r="AH267" i="6"/>
  <c r="AH268" i="6"/>
  <c r="AH269" i="6"/>
  <c r="AH270" i="6"/>
  <c r="AH271" i="6"/>
  <c r="AH272" i="6"/>
  <c r="AH273" i="6"/>
  <c r="AH274" i="6"/>
  <c r="AH275" i="6"/>
  <c r="AH276" i="6"/>
  <c r="AH277" i="6"/>
  <c r="AH278" i="6"/>
  <c r="AH279" i="6"/>
  <c r="AH280" i="6"/>
  <c r="AH281" i="6"/>
  <c r="AH282" i="6"/>
  <c r="AH283" i="6"/>
  <c r="AH284" i="6"/>
  <c r="AH285" i="6"/>
  <c r="AH286" i="6"/>
  <c r="AH287" i="6"/>
  <c r="AH288" i="6"/>
  <c r="AH289" i="6"/>
  <c r="AH290" i="6"/>
  <c r="AH291" i="6"/>
  <c r="AH292" i="6"/>
  <c r="AH293" i="6"/>
  <c r="AH294" i="6"/>
  <c r="AH295" i="6"/>
  <c r="AH296" i="6"/>
  <c r="AH297" i="6"/>
  <c r="AH298" i="6"/>
  <c r="AH299" i="6"/>
  <c r="AH300" i="6"/>
  <c r="AH301" i="6"/>
  <c r="AH302" i="6"/>
  <c r="AH303" i="6"/>
  <c r="AH304" i="6"/>
  <c r="AH305" i="6"/>
  <c r="AH306" i="6"/>
  <c r="AH307" i="6"/>
  <c r="AH308" i="6"/>
  <c r="AH309" i="6"/>
  <c r="AH310" i="6"/>
  <c r="AH311" i="6"/>
  <c r="AH312" i="6"/>
  <c r="AH313" i="6"/>
  <c r="AH314" i="6"/>
  <c r="AH315" i="6"/>
  <c r="AH316" i="6"/>
  <c r="AH317" i="6"/>
  <c r="AH318" i="6"/>
  <c r="AH319" i="6"/>
  <c r="AH320" i="6"/>
  <c r="AH321" i="6"/>
  <c r="AH322" i="6"/>
  <c r="AH323" i="6"/>
  <c r="AH324" i="6"/>
  <c r="AH325" i="6"/>
  <c r="AH326" i="6"/>
  <c r="AH327" i="6"/>
  <c r="AH328" i="6"/>
  <c r="AH329" i="6"/>
  <c r="AH330" i="6"/>
  <c r="AH331" i="6"/>
  <c r="AH332" i="6"/>
  <c r="AH333" i="6"/>
  <c r="AH334" i="6"/>
  <c r="AH335" i="6"/>
  <c r="AH336" i="6"/>
  <c r="AH337" i="6"/>
  <c r="AH338" i="6"/>
  <c r="AH339" i="6"/>
  <c r="AH340" i="6"/>
  <c r="AH341" i="6"/>
  <c r="AH342" i="6"/>
  <c r="AH343" i="6"/>
  <c r="AH344" i="6"/>
  <c r="AH345" i="6"/>
  <c r="AH346" i="6"/>
  <c r="AH347" i="6"/>
  <c r="AH348" i="6"/>
  <c r="AH349" i="6"/>
  <c r="AH350" i="6"/>
  <c r="AH351" i="6"/>
  <c r="AH352" i="6"/>
  <c r="AH353" i="6"/>
  <c r="AH354" i="6"/>
  <c r="AH355" i="6"/>
  <c r="AH356" i="6"/>
  <c r="AH357" i="6"/>
  <c r="AH358" i="6"/>
  <c r="AH359" i="6"/>
  <c r="AH360" i="6"/>
  <c r="AH361" i="6"/>
  <c r="AH362" i="6"/>
  <c r="AH363" i="6"/>
  <c r="AH364" i="6"/>
  <c r="AH365" i="6"/>
  <c r="AH366" i="6"/>
  <c r="AH367" i="6"/>
  <c r="AH368" i="6"/>
  <c r="AH369" i="6"/>
  <c r="AH370" i="6"/>
  <c r="AH371" i="6"/>
  <c r="AH372" i="6"/>
  <c r="AH373" i="6"/>
  <c r="AH374" i="6"/>
  <c r="AF4" i="6"/>
  <c r="AG4" i="6"/>
  <c r="AF5" i="6"/>
  <c r="AG5" i="6"/>
  <c r="AF6" i="6"/>
  <c r="AG6" i="6"/>
  <c r="AF7" i="6"/>
  <c r="AG7" i="6"/>
  <c r="AF8" i="6"/>
  <c r="AG8" i="6"/>
  <c r="AF9" i="6"/>
  <c r="AG9" i="6"/>
  <c r="AF10" i="6"/>
  <c r="AG10" i="6"/>
  <c r="AF11" i="6"/>
  <c r="AG11" i="6"/>
  <c r="AF12" i="6"/>
  <c r="AG12" i="6"/>
  <c r="AF13" i="6"/>
  <c r="AG13" i="6"/>
  <c r="AF14" i="6"/>
  <c r="AG14" i="6"/>
  <c r="AF15" i="6"/>
  <c r="AG15" i="6"/>
  <c r="AF16" i="6"/>
  <c r="AG16" i="6"/>
  <c r="AF17" i="6"/>
  <c r="AG17" i="6"/>
  <c r="AF18" i="6"/>
  <c r="AG18" i="6"/>
  <c r="AF19" i="6"/>
  <c r="AG19" i="6"/>
  <c r="AF20" i="6"/>
  <c r="AG20" i="6"/>
  <c r="AF21" i="6"/>
  <c r="AG21" i="6"/>
  <c r="AF22" i="6"/>
  <c r="AG22" i="6"/>
  <c r="AF23" i="6"/>
  <c r="AG23" i="6"/>
  <c r="AF24" i="6"/>
  <c r="AG24" i="6"/>
  <c r="AF25" i="6"/>
  <c r="AG25" i="6"/>
  <c r="AF26" i="6"/>
  <c r="AG26" i="6"/>
  <c r="AF27" i="6"/>
  <c r="AG27" i="6"/>
  <c r="AF28" i="6"/>
  <c r="AG28" i="6"/>
  <c r="AF29" i="6"/>
  <c r="AG29" i="6"/>
  <c r="AF30" i="6"/>
  <c r="AG30" i="6"/>
  <c r="AF31" i="6"/>
  <c r="AG31" i="6"/>
  <c r="AF32" i="6"/>
  <c r="AG32" i="6"/>
  <c r="AF33" i="6"/>
  <c r="AG33" i="6"/>
  <c r="AF34" i="6"/>
  <c r="AG34" i="6"/>
  <c r="AF35" i="6"/>
  <c r="AG35" i="6"/>
  <c r="AF36" i="6"/>
  <c r="AG36" i="6"/>
  <c r="AF37" i="6"/>
  <c r="AG37" i="6"/>
  <c r="AF38" i="6"/>
  <c r="AG38" i="6"/>
  <c r="AF39" i="6"/>
  <c r="AG39" i="6"/>
  <c r="AF40" i="6"/>
  <c r="AG40" i="6"/>
  <c r="AF41" i="6"/>
  <c r="AG41" i="6"/>
  <c r="AF42" i="6"/>
  <c r="AG42" i="6"/>
  <c r="AF43" i="6"/>
  <c r="AG43" i="6"/>
  <c r="AF44" i="6"/>
  <c r="AG44" i="6"/>
  <c r="AF45" i="6"/>
  <c r="AG45" i="6"/>
  <c r="AF46" i="6"/>
  <c r="AG46" i="6"/>
  <c r="AF47" i="6"/>
  <c r="AG47" i="6"/>
  <c r="AF48" i="6"/>
  <c r="AG48" i="6"/>
  <c r="AF49" i="6"/>
  <c r="AG49" i="6"/>
  <c r="AF50" i="6"/>
  <c r="AG50" i="6"/>
  <c r="AF51" i="6"/>
  <c r="AG51" i="6"/>
  <c r="AF52" i="6"/>
  <c r="AG52" i="6"/>
  <c r="AF53" i="6"/>
  <c r="AG53" i="6"/>
  <c r="AF54" i="6"/>
  <c r="AG54" i="6"/>
  <c r="AF55" i="6"/>
  <c r="AG55" i="6"/>
  <c r="AF56" i="6"/>
  <c r="AG56" i="6"/>
  <c r="AF57" i="6"/>
  <c r="AG57" i="6"/>
  <c r="AF58" i="6"/>
  <c r="AG58" i="6"/>
  <c r="AF59" i="6"/>
  <c r="AG59" i="6"/>
  <c r="AF60" i="6"/>
  <c r="AG60" i="6"/>
  <c r="AF61" i="6"/>
  <c r="AG61" i="6"/>
  <c r="AF62" i="6"/>
  <c r="AG62" i="6"/>
  <c r="AF63" i="6"/>
  <c r="AG63" i="6"/>
  <c r="AF64" i="6"/>
  <c r="AG64" i="6"/>
  <c r="AF65" i="6"/>
  <c r="AG65" i="6"/>
  <c r="AF66" i="6"/>
  <c r="AG66" i="6"/>
  <c r="AF67" i="6"/>
  <c r="AG67" i="6"/>
  <c r="AF68" i="6"/>
  <c r="AG68" i="6"/>
  <c r="AF69" i="6"/>
  <c r="AG69" i="6"/>
  <c r="AF70" i="6"/>
  <c r="AG70" i="6"/>
  <c r="AF71" i="6"/>
  <c r="AG71" i="6"/>
  <c r="AF72" i="6"/>
  <c r="AG72" i="6"/>
  <c r="AF73" i="6"/>
  <c r="AG73" i="6"/>
  <c r="AF74" i="6"/>
  <c r="AG74" i="6"/>
  <c r="AF75" i="6"/>
  <c r="AG75" i="6"/>
  <c r="AF76" i="6"/>
  <c r="AG76" i="6"/>
  <c r="AF77" i="6"/>
  <c r="AG77" i="6"/>
  <c r="AF78" i="6"/>
  <c r="AG78" i="6"/>
  <c r="AF79" i="6"/>
  <c r="AG79" i="6"/>
  <c r="AF80" i="6"/>
  <c r="AG80" i="6"/>
  <c r="AF81" i="6"/>
  <c r="AG81" i="6"/>
  <c r="AF82" i="6"/>
  <c r="AG82" i="6"/>
  <c r="AF83" i="6"/>
  <c r="AG83" i="6"/>
  <c r="AF84" i="6"/>
  <c r="AG84" i="6"/>
  <c r="AF85" i="6"/>
  <c r="AG85" i="6"/>
  <c r="AF86" i="6"/>
  <c r="AG86" i="6"/>
  <c r="AF87" i="6"/>
  <c r="AG87" i="6"/>
  <c r="AF88" i="6"/>
  <c r="AG88" i="6"/>
  <c r="AF89" i="6"/>
  <c r="AG89" i="6"/>
  <c r="AF90" i="6"/>
  <c r="AG90" i="6"/>
  <c r="AF91" i="6"/>
  <c r="AG91" i="6"/>
  <c r="AF92" i="6"/>
  <c r="AG92" i="6"/>
  <c r="AF93" i="6"/>
  <c r="AG93" i="6"/>
  <c r="AF94" i="6"/>
  <c r="AG94" i="6"/>
  <c r="AF95" i="6"/>
  <c r="AG95" i="6"/>
  <c r="AF96" i="6"/>
  <c r="AG96" i="6"/>
  <c r="AF97" i="6"/>
  <c r="AG97" i="6"/>
  <c r="AF98" i="6"/>
  <c r="AG98" i="6"/>
  <c r="AF99" i="6"/>
  <c r="AG99" i="6"/>
  <c r="AF100" i="6"/>
  <c r="AG100" i="6"/>
  <c r="AF101" i="6"/>
  <c r="AG101" i="6"/>
  <c r="AF102" i="6"/>
  <c r="AG102" i="6"/>
  <c r="AF103" i="6"/>
  <c r="AG103" i="6"/>
  <c r="AF104" i="6"/>
  <c r="AG104" i="6"/>
  <c r="AF105" i="6"/>
  <c r="AG105" i="6"/>
  <c r="AF106" i="6"/>
  <c r="AG106" i="6"/>
  <c r="AF107" i="6"/>
  <c r="AG107" i="6"/>
  <c r="AF108" i="6"/>
  <c r="AG108" i="6"/>
  <c r="AF109" i="6"/>
  <c r="AG109" i="6"/>
  <c r="AF110" i="6"/>
  <c r="AG110" i="6"/>
  <c r="AF111" i="6"/>
  <c r="AG111" i="6"/>
  <c r="AF112" i="6"/>
  <c r="AG112" i="6"/>
  <c r="AF113" i="6"/>
  <c r="AG113" i="6"/>
  <c r="AF114" i="6"/>
  <c r="AG114" i="6"/>
  <c r="AF115" i="6"/>
  <c r="AG115" i="6"/>
  <c r="AF116" i="6"/>
  <c r="AG116" i="6"/>
  <c r="AF117" i="6"/>
  <c r="AG117" i="6"/>
  <c r="AF118" i="6"/>
  <c r="AG118" i="6"/>
  <c r="AF119" i="6"/>
  <c r="AG119" i="6"/>
  <c r="AF120" i="6"/>
  <c r="AG120" i="6"/>
  <c r="AF121" i="6"/>
  <c r="AG121" i="6"/>
  <c r="AF122" i="6"/>
  <c r="AG122" i="6"/>
  <c r="AF123" i="6"/>
  <c r="AG123" i="6"/>
  <c r="AF124" i="6"/>
  <c r="AG124" i="6"/>
  <c r="AF125" i="6"/>
  <c r="AG125" i="6"/>
  <c r="AF126" i="6"/>
  <c r="AG126" i="6"/>
  <c r="AF127" i="6"/>
  <c r="AG127" i="6"/>
  <c r="AF128" i="6"/>
  <c r="AG128" i="6"/>
  <c r="AF129" i="6"/>
  <c r="AG129" i="6"/>
  <c r="AF130" i="6"/>
  <c r="AG130" i="6"/>
  <c r="AF131" i="6"/>
  <c r="AG131" i="6"/>
  <c r="AF132" i="6"/>
  <c r="AG132" i="6"/>
  <c r="AF133" i="6"/>
  <c r="AG133" i="6"/>
  <c r="AF134" i="6"/>
  <c r="AG134" i="6"/>
  <c r="AF135" i="6"/>
  <c r="AG135" i="6"/>
  <c r="AF136" i="6"/>
  <c r="AG136" i="6"/>
  <c r="AF137" i="6"/>
  <c r="AG137" i="6"/>
  <c r="AF138" i="6"/>
  <c r="AG138" i="6"/>
  <c r="AF139" i="6"/>
  <c r="AG139" i="6"/>
  <c r="AF140" i="6"/>
  <c r="AG140" i="6"/>
  <c r="AF141" i="6"/>
  <c r="AG141" i="6"/>
  <c r="AF142" i="6"/>
  <c r="AG142" i="6"/>
  <c r="AF143" i="6"/>
  <c r="AG143" i="6"/>
  <c r="AF144" i="6"/>
  <c r="AG144" i="6"/>
  <c r="AF145" i="6"/>
  <c r="AG145" i="6"/>
  <c r="AF146" i="6"/>
  <c r="AG146" i="6"/>
  <c r="AF147" i="6"/>
  <c r="AG147" i="6"/>
  <c r="AF148" i="6"/>
  <c r="AG148" i="6"/>
  <c r="AF149" i="6"/>
  <c r="AG149" i="6"/>
  <c r="AF150" i="6"/>
  <c r="AG150" i="6"/>
  <c r="AF151" i="6"/>
  <c r="AG151" i="6"/>
  <c r="AF152" i="6"/>
  <c r="AG152" i="6"/>
  <c r="AF153" i="6"/>
  <c r="AG153" i="6"/>
  <c r="AF154" i="6"/>
  <c r="AG154" i="6"/>
  <c r="AF155" i="6"/>
  <c r="AG155" i="6"/>
  <c r="AF156" i="6"/>
  <c r="AG156" i="6"/>
  <c r="AF157" i="6"/>
  <c r="AG157" i="6"/>
  <c r="AF158" i="6"/>
  <c r="AG158" i="6"/>
  <c r="AF159" i="6"/>
  <c r="AG159" i="6"/>
  <c r="AF160" i="6"/>
  <c r="AG160" i="6"/>
  <c r="AF161" i="6"/>
  <c r="AG161" i="6"/>
  <c r="AF162" i="6"/>
  <c r="AG162" i="6"/>
  <c r="AF163" i="6"/>
  <c r="AG163" i="6"/>
  <c r="AF164" i="6"/>
  <c r="AG164" i="6"/>
  <c r="AF165" i="6"/>
  <c r="AG165" i="6"/>
  <c r="AF166" i="6"/>
  <c r="AG166" i="6"/>
  <c r="AF167" i="6"/>
  <c r="AG167" i="6"/>
  <c r="AF168" i="6"/>
  <c r="AG168" i="6"/>
  <c r="AF169" i="6"/>
  <c r="AG169" i="6"/>
  <c r="AF170" i="6"/>
  <c r="AG170" i="6"/>
  <c r="AF171" i="6"/>
  <c r="AG171" i="6"/>
  <c r="AF172" i="6"/>
  <c r="AG172" i="6"/>
  <c r="AF173" i="6"/>
  <c r="AG173" i="6"/>
  <c r="AF174" i="6"/>
  <c r="AG174" i="6"/>
  <c r="AF175" i="6"/>
  <c r="AG175" i="6"/>
  <c r="AF176" i="6"/>
  <c r="AG176" i="6"/>
  <c r="AF177" i="6"/>
  <c r="AG177" i="6"/>
  <c r="AF178" i="6"/>
  <c r="AG178" i="6"/>
  <c r="AF179" i="6"/>
  <c r="AG179" i="6"/>
  <c r="AF180" i="6"/>
  <c r="AG180" i="6"/>
  <c r="AF181" i="6"/>
  <c r="AG181" i="6"/>
  <c r="AF182" i="6"/>
  <c r="AG182" i="6"/>
  <c r="AF183" i="6"/>
  <c r="AG183" i="6"/>
  <c r="AF184" i="6"/>
  <c r="AG184" i="6"/>
  <c r="AF185" i="6"/>
  <c r="AG185" i="6"/>
  <c r="AF186" i="6"/>
  <c r="AG186" i="6"/>
  <c r="AF187" i="6"/>
  <c r="AG187" i="6"/>
  <c r="AF188" i="6"/>
  <c r="AG188" i="6"/>
  <c r="AF189" i="6"/>
  <c r="AG189" i="6"/>
  <c r="AF190" i="6"/>
  <c r="AG190" i="6"/>
  <c r="AF191" i="6"/>
  <c r="AG191" i="6"/>
  <c r="AF192" i="6"/>
  <c r="AG192" i="6"/>
  <c r="AF193" i="6"/>
  <c r="AG193" i="6"/>
  <c r="AF194" i="6"/>
  <c r="AG194" i="6"/>
  <c r="AF195" i="6"/>
  <c r="AG195" i="6"/>
  <c r="AF196" i="6"/>
  <c r="AG196" i="6"/>
  <c r="AF197" i="6"/>
  <c r="AG197" i="6"/>
  <c r="AF198" i="6"/>
  <c r="AG198" i="6"/>
  <c r="AF199" i="6"/>
  <c r="AG199" i="6"/>
  <c r="AF200" i="6"/>
  <c r="AG200" i="6"/>
  <c r="AF201" i="6"/>
  <c r="AG201" i="6"/>
  <c r="AF202" i="6"/>
  <c r="AG202" i="6"/>
  <c r="AF203" i="6"/>
  <c r="AG203" i="6"/>
  <c r="AF204" i="6"/>
  <c r="AG204" i="6"/>
  <c r="AF205" i="6"/>
  <c r="AG205" i="6"/>
  <c r="AF206" i="6"/>
  <c r="AG206" i="6"/>
  <c r="AF207" i="6"/>
  <c r="AG207" i="6"/>
  <c r="AF208" i="6"/>
  <c r="AG208" i="6"/>
  <c r="AF209" i="6"/>
  <c r="AG209" i="6"/>
  <c r="AF210" i="6"/>
  <c r="AG210" i="6"/>
  <c r="AF211" i="6"/>
  <c r="AG211" i="6"/>
  <c r="AF212" i="6"/>
  <c r="AG212" i="6"/>
  <c r="AF213" i="6"/>
  <c r="AG213" i="6"/>
  <c r="AF214" i="6"/>
  <c r="AG214" i="6"/>
  <c r="AF215" i="6"/>
  <c r="AG215" i="6"/>
  <c r="AF216" i="6"/>
  <c r="AG216" i="6"/>
  <c r="AF217" i="6"/>
  <c r="AG217" i="6"/>
  <c r="AF218" i="6"/>
  <c r="AG218" i="6"/>
  <c r="AF219" i="6"/>
  <c r="AG219" i="6"/>
  <c r="AF220" i="6"/>
  <c r="AG220" i="6"/>
  <c r="AF221" i="6"/>
  <c r="AG221" i="6"/>
  <c r="AF222" i="6"/>
  <c r="AG222" i="6"/>
  <c r="AF223" i="6"/>
  <c r="AG223" i="6"/>
  <c r="AF224" i="6"/>
  <c r="AG224" i="6"/>
  <c r="AF225" i="6"/>
  <c r="AG225" i="6"/>
  <c r="AF226" i="6"/>
  <c r="AG226" i="6"/>
  <c r="AF227" i="6"/>
  <c r="AG227" i="6"/>
  <c r="AF228" i="6"/>
  <c r="AG228" i="6"/>
  <c r="AF229" i="6"/>
  <c r="AG229" i="6"/>
  <c r="AF230" i="6"/>
  <c r="AG230" i="6"/>
  <c r="AF231" i="6"/>
  <c r="AG231" i="6"/>
  <c r="AF232" i="6"/>
  <c r="AG232" i="6"/>
  <c r="AF233" i="6"/>
  <c r="AG233" i="6"/>
  <c r="AF234" i="6"/>
  <c r="AG234" i="6"/>
  <c r="AF235" i="6"/>
  <c r="AG235" i="6"/>
  <c r="AF236" i="6"/>
  <c r="AG236" i="6"/>
  <c r="AF237" i="6"/>
  <c r="AG237" i="6"/>
  <c r="AF238" i="6"/>
  <c r="AG238" i="6"/>
  <c r="AF239" i="6"/>
  <c r="AG239" i="6"/>
  <c r="AF240" i="6"/>
  <c r="AG240" i="6"/>
  <c r="AF241" i="6"/>
  <c r="AG241" i="6"/>
  <c r="AF242" i="6"/>
  <c r="AG242" i="6"/>
  <c r="AF243" i="6"/>
  <c r="AG243" i="6"/>
  <c r="AF244" i="6"/>
  <c r="AG244" i="6"/>
  <c r="AF245" i="6"/>
  <c r="AG245" i="6"/>
  <c r="AF246" i="6"/>
  <c r="AG246" i="6"/>
  <c r="AF247" i="6"/>
  <c r="AG247" i="6"/>
  <c r="AF248" i="6"/>
  <c r="AG248" i="6"/>
  <c r="AF249" i="6"/>
  <c r="AG249" i="6"/>
  <c r="AF250" i="6"/>
  <c r="AG250" i="6"/>
  <c r="AF251" i="6"/>
  <c r="AG251" i="6"/>
  <c r="AF252" i="6"/>
  <c r="AG252" i="6"/>
  <c r="AF253" i="6"/>
  <c r="AG253" i="6"/>
  <c r="AF254" i="6"/>
  <c r="AG254" i="6"/>
  <c r="AF255" i="6"/>
  <c r="AG255" i="6"/>
  <c r="AF256" i="6"/>
  <c r="AG256" i="6"/>
  <c r="AF257" i="6"/>
  <c r="AG257" i="6"/>
  <c r="AF258" i="6"/>
  <c r="AG258" i="6"/>
  <c r="AF259" i="6"/>
  <c r="AG259" i="6"/>
  <c r="AF260" i="6"/>
  <c r="AG260" i="6"/>
  <c r="AF261" i="6"/>
  <c r="AG261" i="6"/>
  <c r="AF262" i="6"/>
  <c r="AG262" i="6"/>
  <c r="AF263" i="6"/>
  <c r="AG263" i="6"/>
  <c r="AF264" i="6"/>
  <c r="AG264" i="6"/>
  <c r="AF265" i="6"/>
  <c r="AG265" i="6"/>
  <c r="AF266" i="6"/>
  <c r="AG266" i="6"/>
  <c r="AF267" i="6"/>
  <c r="AG267" i="6"/>
  <c r="AF268" i="6"/>
  <c r="AG268" i="6"/>
  <c r="AF269" i="6"/>
  <c r="AG269" i="6"/>
  <c r="AF270" i="6"/>
  <c r="AG270" i="6"/>
  <c r="AF271" i="6"/>
  <c r="AG271" i="6"/>
  <c r="AF272" i="6"/>
  <c r="AG272" i="6"/>
  <c r="AF273" i="6"/>
  <c r="AG273" i="6"/>
  <c r="AF274" i="6"/>
  <c r="AG274" i="6"/>
  <c r="AF275" i="6"/>
  <c r="AG275" i="6"/>
  <c r="AF276" i="6"/>
  <c r="AG276" i="6"/>
  <c r="AF277" i="6"/>
  <c r="AG277" i="6"/>
  <c r="AF278" i="6"/>
  <c r="AG278" i="6"/>
  <c r="AF279" i="6"/>
  <c r="AG279" i="6"/>
  <c r="AF280" i="6"/>
  <c r="AG280" i="6"/>
  <c r="AF281" i="6"/>
  <c r="AG281" i="6"/>
  <c r="AF282" i="6"/>
  <c r="AG282" i="6"/>
  <c r="AF283" i="6"/>
  <c r="AG283" i="6"/>
  <c r="AF284" i="6"/>
  <c r="AG284" i="6"/>
  <c r="AF285" i="6"/>
  <c r="AG285" i="6"/>
  <c r="AF286" i="6"/>
  <c r="AG286" i="6"/>
  <c r="AF287" i="6"/>
  <c r="AG287" i="6"/>
  <c r="AF288" i="6"/>
  <c r="AG288" i="6"/>
  <c r="AF289" i="6"/>
  <c r="AG289" i="6"/>
  <c r="AF290" i="6"/>
  <c r="AG290" i="6"/>
  <c r="AF291" i="6"/>
  <c r="AG291" i="6"/>
  <c r="AF292" i="6"/>
  <c r="AG292" i="6"/>
  <c r="AF293" i="6"/>
  <c r="AG293" i="6"/>
  <c r="AF294" i="6"/>
  <c r="AG294" i="6"/>
  <c r="AF295" i="6"/>
  <c r="AG295" i="6"/>
  <c r="AF296" i="6"/>
  <c r="AG296" i="6"/>
  <c r="AF297" i="6"/>
  <c r="AG297" i="6"/>
  <c r="AF298" i="6"/>
  <c r="AG298" i="6"/>
  <c r="AF299" i="6"/>
  <c r="AG299" i="6"/>
  <c r="AF300" i="6"/>
  <c r="AG300" i="6"/>
  <c r="AF301" i="6"/>
  <c r="AG301" i="6"/>
  <c r="AF302" i="6"/>
  <c r="AG302" i="6"/>
  <c r="AF303" i="6"/>
  <c r="AG303" i="6"/>
  <c r="AF304" i="6"/>
  <c r="AG304" i="6"/>
  <c r="AF305" i="6"/>
  <c r="AG305" i="6"/>
  <c r="AF306" i="6"/>
  <c r="AG306" i="6"/>
  <c r="AF307" i="6"/>
  <c r="AG307" i="6"/>
  <c r="AF308" i="6"/>
  <c r="AG308" i="6"/>
  <c r="AF309" i="6"/>
  <c r="AG309" i="6"/>
  <c r="AF310" i="6"/>
  <c r="AG310" i="6"/>
  <c r="AF311" i="6"/>
  <c r="AG311" i="6"/>
  <c r="AF312" i="6"/>
  <c r="AG312" i="6"/>
  <c r="AF313" i="6"/>
  <c r="AG313" i="6"/>
  <c r="AF314" i="6"/>
  <c r="AG314" i="6"/>
  <c r="AF315" i="6"/>
  <c r="AG315" i="6"/>
  <c r="AF316" i="6"/>
  <c r="AG316" i="6"/>
  <c r="AF317" i="6"/>
  <c r="AG317" i="6"/>
  <c r="AF318" i="6"/>
  <c r="AG318" i="6"/>
  <c r="AF319" i="6"/>
  <c r="AG319" i="6"/>
  <c r="AF320" i="6"/>
  <c r="AG320" i="6"/>
  <c r="AF321" i="6"/>
  <c r="AG321" i="6"/>
  <c r="AF322" i="6"/>
  <c r="AG322" i="6"/>
  <c r="AF323" i="6"/>
  <c r="AG323" i="6"/>
  <c r="AF324" i="6"/>
  <c r="AG324" i="6"/>
  <c r="AF325" i="6"/>
  <c r="AG325" i="6"/>
  <c r="AF326" i="6"/>
  <c r="AG326" i="6"/>
  <c r="AF327" i="6"/>
  <c r="AG327" i="6"/>
  <c r="AF328" i="6"/>
  <c r="AG328" i="6"/>
  <c r="AF329" i="6"/>
  <c r="AG329" i="6"/>
  <c r="AF330" i="6"/>
  <c r="AG330" i="6"/>
  <c r="AF331" i="6"/>
  <c r="AG331" i="6"/>
  <c r="AF332" i="6"/>
  <c r="AG332" i="6"/>
  <c r="AF333" i="6"/>
  <c r="AG333" i="6"/>
  <c r="AF334" i="6"/>
  <c r="AG334" i="6"/>
  <c r="AF335" i="6"/>
  <c r="AG335" i="6"/>
  <c r="AF336" i="6"/>
  <c r="AG336" i="6"/>
  <c r="AF337" i="6"/>
  <c r="AG337" i="6"/>
  <c r="AF338" i="6"/>
  <c r="AG338" i="6"/>
  <c r="AF339" i="6"/>
  <c r="AG339" i="6"/>
  <c r="AF340" i="6"/>
  <c r="AG340" i="6"/>
  <c r="AF341" i="6"/>
  <c r="AG341" i="6"/>
  <c r="AF342" i="6"/>
  <c r="AG342" i="6"/>
  <c r="AF343" i="6"/>
  <c r="AG343" i="6"/>
  <c r="AF344" i="6"/>
  <c r="AG344" i="6"/>
  <c r="AF345" i="6"/>
  <c r="AG345" i="6"/>
  <c r="AF346" i="6"/>
  <c r="AG346" i="6"/>
  <c r="AF347" i="6"/>
  <c r="AG347" i="6"/>
  <c r="AF348" i="6"/>
  <c r="AG348" i="6"/>
  <c r="AF349" i="6"/>
  <c r="AG349" i="6"/>
  <c r="AF350" i="6"/>
  <c r="AG350" i="6"/>
  <c r="AF351" i="6"/>
  <c r="AG351" i="6"/>
  <c r="AF352" i="6"/>
  <c r="AG352" i="6"/>
  <c r="AF353" i="6"/>
  <c r="AG353" i="6"/>
  <c r="AF354" i="6"/>
  <c r="AG354" i="6"/>
  <c r="AF355" i="6"/>
  <c r="AG355" i="6"/>
  <c r="AF356" i="6"/>
  <c r="AG356" i="6"/>
  <c r="AF357" i="6"/>
  <c r="AG357" i="6"/>
  <c r="AF358" i="6"/>
  <c r="AG358" i="6"/>
  <c r="AF359" i="6"/>
  <c r="AG359" i="6"/>
  <c r="AF360" i="6"/>
  <c r="AG360" i="6"/>
  <c r="AF361" i="6"/>
  <c r="AG361" i="6"/>
  <c r="AF362" i="6"/>
  <c r="AG362" i="6"/>
  <c r="AF363" i="6"/>
  <c r="AG363" i="6"/>
  <c r="AF364" i="6"/>
  <c r="AG364" i="6"/>
  <c r="AF365" i="6"/>
  <c r="AG365" i="6"/>
  <c r="AF366" i="6"/>
  <c r="AG366" i="6"/>
  <c r="AF367" i="6"/>
  <c r="AG367" i="6"/>
  <c r="AF368" i="6"/>
  <c r="AG368" i="6"/>
  <c r="AF369" i="6"/>
  <c r="AG369" i="6"/>
  <c r="AF370" i="6"/>
  <c r="AG370" i="6"/>
  <c r="AF371" i="6"/>
  <c r="AG371" i="6"/>
  <c r="AF372" i="6"/>
  <c r="AG372" i="6"/>
  <c r="AF373" i="6"/>
  <c r="AG373" i="6"/>
  <c r="AF374" i="6"/>
  <c r="AG374" i="6"/>
  <c r="AH3" i="6"/>
  <c r="AG3" i="6"/>
  <c r="AF3" i="6"/>
  <c r="AE4" i="6"/>
  <c r="AE5" i="6"/>
  <c r="AE6" i="6"/>
  <c r="AE7" i="6"/>
  <c r="AE8" i="6"/>
  <c r="AE9" i="6"/>
  <c r="AE10" i="6"/>
  <c r="AE11" i="6"/>
  <c r="AE12" i="6"/>
  <c r="AE13" i="6"/>
  <c r="AE14" i="6"/>
  <c r="AE15" i="6"/>
  <c r="AE16" i="6"/>
  <c r="AE17" i="6"/>
  <c r="AE18" i="6"/>
  <c r="AE19" i="6"/>
  <c r="AE20" i="6"/>
  <c r="AE21" i="6"/>
  <c r="AE22" i="6"/>
  <c r="AE23" i="6"/>
  <c r="AE24" i="6"/>
  <c r="AE25" i="6"/>
  <c r="AE26" i="6"/>
  <c r="AE27" i="6"/>
  <c r="AE28" i="6"/>
  <c r="AE29" i="6"/>
  <c r="AE30" i="6"/>
  <c r="AE31" i="6"/>
  <c r="AE32" i="6"/>
  <c r="AE33" i="6"/>
  <c r="AE34" i="6"/>
  <c r="AE35" i="6"/>
  <c r="AE36" i="6"/>
  <c r="AE37" i="6"/>
  <c r="AE38" i="6"/>
  <c r="AE39" i="6"/>
  <c r="AE40" i="6"/>
  <c r="AE41" i="6"/>
  <c r="AE42" i="6"/>
  <c r="AE43" i="6"/>
  <c r="AE44" i="6"/>
  <c r="AE45" i="6"/>
  <c r="AE46" i="6"/>
  <c r="AE47" i="6"/>
  <c r="AE48" i="6"/>
  <c r="AE49" i="6"/>
  <c r="AE50" i="6"/>
  <c r="AE51" i="6"/>
  <c r="AE52" i="6"/>
  <c r="AE53" i="6"/>
  <c r="AE54" i="6"/>
  <c r="AE55" i="6"/>
  <c r="AE56" i="6"/>
  <c r="AE57" i="6"/>
  <c r="AE58" i="6"/>
  <c r="AE59" i="6"/>
  <c r="AE60" i="6"/>
  <c r="AE61" i="6"/>
  <c r="AE62" i="6"/>
  <c r="AE63" i="6"/>
  <c r="AE64" i="6"/>
  <c r="AE65" i="6"/>
  <c r="AE66" i="6"/>
  <c r="AE67" i="6"/>
  <c r="AE68" i="6"/>
  <c r="AE69" i="6"/>
  <c r="AE70" i="6"/>
  <c r="AE71" i="6"/>
  <c r="AE72" i="6"/>
  <c r="AE73" i="6"/>
  <c r="AE74" i="6"/>
  <c r="AE75" i="6"/>
  <c r="AE76" i="6"/>
  <c r="AE77" i="6"/>
  <c r="AE78" i="6"/>
  <c r="AE79" i="6"/>
  <c r="AE80" i="6"/>
  <c r="AE81" i="6"/>
  <c r="AE82" i="6"/>
  <c r="AE83" i="6"/>
  <c r="AE84" i="6"/>
  <c r="AE85" i="6"/>
  <c r="AE86" i="6"/>
  <c r="AE87" i="6"/>
  <c r="AE88" i="6"/>
  <c r="AE89" i="6"/>
  <c r="AE90" i="6"/>
  <c r="AE91" i="6"/>
  <c r="AE92" i="6"/>
  <c r="AE93" i="6"/>
  <c r="AE94" i="6"/>
  <c r="AE95" i="6"/>
  <c r="AE96" i="6"/>
  <c r="AE97" i="6"/>
  <c r="AE98" i="6"/>
  <c r="AE99" i="6"/>
  <c r="AE100" i="6"/>
  <c r="AE101" i="6"/>
  <c r="AE102" i="6"/>
  <c r="AE103" i="6"/>
  <c r="AE104" i="6"/>
  <c r="AE105" i="6"/>
  <c r="AE106" i="6"/>
  <c r="AE107" i="6"/>
  <c r="AE108" i="6"/>
  <c r="AE109" i="6"/>
  <c r="AE110" i="6"/>
  <c r="AE111" i="6"/>
  <c r="AE112" i="6"/>
  <c r="AE113" i="6"/>
  <c r="AE114" i="6"/>
  <c r="AE115" i="6"/>
  <c r="AE116" i="6"/>
  <c r="AE117" i="6"/>
  <c r="AE118" i="6"/>
  <c r="AE119" i="6"/>
  <c r="AE120" i="6"/>
  <c r="AE121" i="6"/>
  <c r="AE122" i="6"/>
  <c r="AE123" i="6"/>
  <c r="AE124" i="6"/>
  <c r="AE125" i="6"/>
  <c r="AE126" i="6"/>
  <c r="AE127" i="6"/>
  <c r="AE128" i="6"/>
  <c r="AE129" i="6"/>
  <c r="AE130" i="6"/>
  <c r="AE131" i="6"/>
  <c r="AE132" i="6"/>
  <c r="AE133" i="6"/>
  <c r="AE134" i="6"/>
  <c r="AE135" i="6"/>
  <c r="AE136" i="6"/>
  <c r="AE137" i="6"/>
  <c r="AE138" i="6"/>
  <c r="AE139" i="6"/>
  <c r="AE140" i="6"/>
  <c r="AE141" i="6"/>
  <c r="AE142" i="6"/>
  <c r="AE143" i="6"/>
  <c r="AE144" i="6"/>
  <c r="AE145" i="6"/>
  <c r="AE146" i="6"/>
  <c r="AE147" i="6"/>
  <c r="AE148" i="6"/>
  <c r="AE149" i="6"/>
  <c r="AE150" i="6"/>
  <c r="AE151" i="6"/>
  <c r="AE152" i="6"/>
  <c r="AE153" i="6"/>
  <c r="AE154" i="6"/>
  <c r="AE155" i="6"/>
  <c r="AE156" i="6"/>
  <c r="AE157" i="6"/>
  <c r="AE158" i="6"/>
  <c r="AE159" i="6"/>
  <c r="AE160" i="6"/>
  <c r="AE161" i="6"/>
  <c r="AE162" i="6"/>
  <c r="AE163" i="6"/>
  <c r="AE164" i="6"/>
  <c r="AE165" i="6"/>
  <c r="AE166" i="6"/>
  <c r="AE167" i="6"/>
  <c r="AE168" i="6"/>
  <c r="AE169" i="6"/>
  <c r="AE170" i="6"/>
  <c r="AE171" i="6"/>
  <c r="AE172" i="6"/>
  <c r="AE173" i="6"/>
  <c r="AE174" i="6"/>
  <c r="AE175" i="6"/>
  <c r="AE176" i="6"/>
  <c r="AE177" i="6"/>
  <c r="AE178" i="6"/>
  <c r="AE179" i="6"/>
  <c r="AE180" i="6"/>
  <c r="AE181" i="6"/>
  <c r="AE182" i="6"/>
  <c r="AE183" i="6"/>
  <c r="AE184" i="6"/>
  <c r="AE185" i="6"/>
  <c r="AE186" i="6"/>
  <c r="AE187" i="6"/>
  <c r="AE188" i="6"/>
  <c r="AE189" i="6"/>
  <c r="AE190" i="6"/>
  <c r="AE191" i="6"/>
  <c r="AE192" i="6"/>
  <c r="AE193" i="6"/>
  <c r="AE194" i="6"/>
  <c r="AE195" i="6"/>
  <c r="AE196" i="6"/>
  <c r="AE197" i="6"/>
  <c r="AE198" i="6"/>
  <c r="AE199" i="6"/>
  <c r="AE200" i="6"/>
  <c r="AE201" i="6"/>
  <c r="AE202" i="6"/>
  <c r="AE203" i="6"/>
  <c r="AE204" i="6"/>
  <c r="AE205" i="6"/>
  <c r="AE206" i="6"/>
  <c r="AE207" i="6"/>
  <c r="AE208" i="6"/>
  <c r="AE209" i="6"/>
  <c r="AE210" i="6"/>
  <c r="AE211" i="6"/>
  <c r="AE212" i="6"/>
  <c r="AE213" i="6"/>
  <c r="AE214" i="6"/>
  <c r="AE215" i="6"/>
  <c r="AE216" i="6"/>
  <c r="AE217" i="6"/>
  <c r="AE218" i="6"/>
  <c r="AE219" i="6"/>
  <c r="AE220" i="6"/>
  <c r="AE221" i="6"/>
  <c r="AE222" i="6"/>
  <c r="AE223" i="6"/>
  <c r="AE224" i="6"/>
  <c r="AE225" i="6"/>
  <c r="AE226" i="6"/>
  <c r="AE227" i="6"/>
  <c r="AE228" i="6"/>
  <c r="AE229" i="6"/>
  <c r="AE230" i="6"/>
  <c r="AE231" i="6"/>
  <c r="AE232" i="6"/>
  <c r="AE233" i="6"/>
  <c r="AE234" i="6"/>
  <c r="AE235" i="6"/>
  <c r="AE236" i="6"/>
  <c r="AE237" i="6"/>
  <c r="AE238" i="6"/>
  <c r="AE239" i="6"/>
  <c r="AE240" i="6"/>
  <c r="AE241" i="6"/>
  <c r="AE242" i="6"/>
  <c r="AE243" i="6"/>
  <c r="AE244" i="6"/>
  <c r="AE245" i="6"/>
  <c r="AE246" i="6"/>
  <c r="AE247" i="6"/>
  <c r="AE248" i="6"/>
  <c r="AE249" i="6"/>
  <c r="AE250" i="6"/>
  <c r="AE251" i="6"/>
  <c r="AE252" i="6"/>
  <c r="AE253" i="6"/>
  <c r="AE254" i="6"/>
  <c r="AE255" i="6"/>
  <c r="AE256" i="6"/>
  <c r="AE257" i="6"/>
  <c r="AE258" i="6"/>
  <c r="AE259" i="6"/>
  <c r="AE260" i="6"/>
  <c r="AE261" i="6"/>
  <c r="AE262" i="6"/>
  <c r="AE263" i="6"/>
  <c r="AE264" i="6"/>
  <c r="AE265" i="6"/>
  <c r="AE266" i="6"/>
  <c r="AE267" i="6"/>
  <c r="AE268" i="6"/>
  <c r="AE269" i="6"/>
  <c r="AE270" i="6"/>
  <c r="AE271" i="6"/>
  <c r="AE272" i="6"/>
  <c r="AE273" i="6"/>
  <c r="AE274" i="6"/>
  <c r="AE275" i="6"/>
  <c r="AE276" i="6"/>
  <c r="AE277" i="6"/>
  <c r="AE278" i="6"/>
  <c r="AE279" i="6"/>
  <c r="AE280" i="6"/>
  <c r="AE281" i="6"/>
  <c r="AE282" i="6"/>
  <c r="AE283" i="6"/>
  <c r="AE284" i="6"/>
  <c r="AE285" i="6"/>
  <c r="AE286" i="6"/>
  <c r="AE287" i="6"/>
  <c r="AE288" i="6"/>
  <c r="AE289" i="6"/>
  <c r="AE290" i="6"/>
  <c r="AE291" i="6"/>
  <c r="AE292" i="6"/>
  <c r="AE293" i="6"/>
  <c r="AE294" i="6"/>
  <c r="AE295" i="6"/>
  <c r="AE296" i="6"/>
  <c r="AE297" i="6"/>
  <c r="AE298" i="6"/>
  <c r="AE299" i="6"/>
  <c r="AE300" i="6"/>
  <c r="AE301" i="6"/>
  <c r="AE302" i="6"/>
  <c r="AE303" i="6"/>
  <c r="AE304" i="6"/>
  <c r="AE305" i="6"/>
  <c r="AE306" i="6"/>
  <c r="AE307" i="6"/>
  <c r="AE308" i="6"/>
  <c r="AE309" i="6"/>
  <c r="AE310" i="6"/>
  <c r="AE311" i="6"/>
  <c r="AE312" i="6"/>
  <c r="AE313" i="6"/>
  <c r="AE314" i="6"/>
  <c r="AE315" i="6"/>
  <c r="AE316" i="6"/>
  <c r="AE317" i="6"/>
  <c r="AE318" i="6"/>
  <c r="AE319" i="6"/>
  <c r="AE320" i="6"/>
  <c r="AE321" i="6"/>
  <c r="AE322" i="6"/>
  <c r="AE323" i="6"/>
  <c r="AE324" i="6"/>
  <c r="AE325" i="6"/>
  <c r="AE326" i="6"/>
  <c r="AE327" i="6"/>
  <c r="AE328" i="6"/>
  <c r="AE329" i="6"/>
  <c r="AE330" i="6"/>
  <c r="AE331" i="6"/>
  <c r="AE332" i="6"/>
  <c r="AE333" i="6"/>
  <c r="AE334" i="6"/>
  <c r="AE335" i="6"/>
  <c r="AE336" i="6"/>
  <c r="AE337" i="6"/>
  <c r="AE338" i="6"/>
  <c r="AE339" i="6"/>
  <c r="AE340" i="6"/>
  <c r="AE341" i="6"/>
  <c r="AE342" i="6"/>
  <c r="AE343" i="6"/>
  <c r="AE344" i="6"/>
  <c r="AE345" i="6"/>
  <c r="AE346" i="6"/>
  <c r="AE347" i="6"/>
  <c r="AE348" i="6"/>
  <c r="AE349" i="6"/>
  <c r="AE350" i="6"/>
  <c r="AE351" i="6"/>
  <c r="AE352" i="6"/>
  <c r="AE353" i="6"/>
  <c r="AE354" i="6"/>
  <c r="AE355" i="6"/>
  <c r="AE356" i="6"/>
  <c r="AE357" i="6"/>
  <c r="AE358" i="6"/>
  <c r="AE359" i="6"/>
  <c r="AE360" i="6"/>
  <c r="AE361" i="6"/>
  <c r="AE362" i="6"/>
  <c r="AE363" i="6"/>
  <c r="AE364" i="6"/>
  <c r="AE365" i="6"/>
  <c r="AE366" i="6"/>
  <c r="AE367" i="6"/>
  <c r="AE368" i="6"/>
  <c r="AE369" i="6"/>
  <c r="AE370" i="6"/>
  <c r="AE371" i="6"/>
  <c r="AE372" i="6"/>
  <c r="AE373" i="6"/>
  <c r="AE374" i="6"/>
  <c r="AE3" i="6"/>
  <c r="BI259" i="2"/>
  <c r="BH259" i="2"/>
  <c r="BG259" i="2"/>
  <c r="BF259" i="2"/>
  <c r="BE259" i="2"/>
  <c r="BD259" i="2"/>
  <c r="BC259" i="2"/>
  <c r="BB259" i="2"/>
  <c r="BA259" i="2"/>
  <c r="AZ259" i="2"/>
  <c r="AY259" i="2"/>
  <c r="AX259" i="2"/>
  <c r="AW259" i="2"/>
  <c r="AV259" i="2"/>
  <c r="AU259" i="2"/>
  <c r="AT259" i="2"/>
  <c r="AS259" i="2"/>
  <c r="AR259" i="2"/>
  <c r="AQ259" i="2"/>
  <c r="AP259" i="2"/>
  <c r="AO259" i="2"/>
  <c r="AN259" i="2"/>
  <c r="AM259" i="2"/>
  <c r="AL259" i="2"/>
  <c r="AK259" i="2"/>
  <c r="AJ259" i="2"/>
  <c r="AI259" i="2"/>
  <c r="AH259" i="2"/>
  <c r="AG259" i="2"/>
  <c r="AF259" i="2"/>
  <c r="BI258" i="2"/>
  <c r="BH258" i="2"/>
  <c r="BG258" i="2"/>
  <c r="BF258" i="2"/>
  <c r="BE258" i="2"/>
  <c r="BD258" i="2"/>
  <c r="BC258" i="2"/>
  <c r="BB258" i="2"/>
  <c r="BA258" i="2"/>
  <c r="AZ258" i="2"/>
  <c r="AY258" i="2"/>
  <c r="AX258" i="2"/>
  <c r="AW258" i="2"/>
  <c r="AV258" i="2"/>
  <c r="AU258" i="2"/>
  <c r="AT258" i="2"/>
  <c r="AS258" i="2"/>
  <c r="AR258" i="2"/>
  <c r="AQ258" i="2"/>
  <c r="AP258" i="2"/>
  <c r="AO258" i="2"/>
  <c r="AN258" i="2"/>
  <c r="AM258" i="2"/>
  <c r="AL258" i="2"/>
  <c r="AK258" i="2"/>
  <c r="AJ258" i="2"/>
  <c r="AI258" i="2"/>
  <c r="AH258" i="2"/>
  <c r="AG258" i="2"/>
  <c r="AF258" i="2"/>
  <c r="BI257" i="2"/>
  <c r="BH257" i="2"/>
  <c r="BG257" i="2"/>
  <c r="BF257" i="2"/>
  <c r="BE257" i="2"/>
  <c r="BD257" i="2"/>
  <c r="BC257" i="2"/>
  <c r="BB257" i="2"/>
  <c r="BA257" i="2"/>
  <c r="AZ257" i="2"/>
  <c r="AY257" i="2"/>
  <c r="AX257" i="2"/>
  <c r="AW257" i="2"/>
  <c r="AV257" i="2"/>
  <c r="AU257" i="2"/>
  <c r="AT257" i="2"/>
  <c r="AS257" i="2"/>
  <c r="AR257" i="2"/>
  <c r="AQ257" i="2"/>
  <c r="AP257" i="2"/>
  <c r="AO257" i="2"/>
  <c r="AN257" i="2"/>
  <c r="AM257" i="2"/>
  <c r="AL257" i="2"/>
  <c r="AK257" i="2"/>
  <c r="AJ257" i="2"/>
  <c r="AI257" i="2"/>
  <c r="AH257" i="2"/>
  <c r="AG257" i="2"/>
  <c r="AF257" i="2"/>
  <c r="BI256" i="2"/>
  <c r="BH256" i="2"/>
  <c r="BG256" i="2"/>
  <c r="BF256" i="2"/>
  <c r="BE256" i="2"/>
  <c r="BD256" i="2"/>
  <c r="BC256" i="2"/>
  <c r="BB256" i="2"/>
  <c r="BA256" i="2"/>
  <c r="AZ256" i="2"/>
  <c r="AY256" i="2"/>
  <c r="AX256" i="2"/>
  <c r="AW256" i="2"/>
  <c r="AV256" i="2"/>
  <c r="AU256" i="2"/>
  <c r="AT256" i="2"/>
  <c r="AS256" i="2"/>
  <c r="AR256" i="2"/>
  <c r="AQ256" i="2"/>
  <c r="AP256" i="2"/>
  <c r="AO256" i="2"/>
  <c r="AN256" i="2"/>
  <c r="AM256" i="2"/>
  <c r="AL256" i="2"/>
  <c r="AK256" i="2"/>
  <c r="AJ256" i="2"/>
  <c r="AI256" i="2"/>
  <c r="AH256" i="2"/>
  <c r="AG256" i="2"/>
  <c r="AF256" i="2"/>
  <c r="BI255" i="2"/>
  <c r="BH255" i="2"/>
  <c r="BG255" i="2"/>
  <c r="BF255" i="2"/>
  <c r="BE255" i="2"/>
  <c r="BD255" i="2"/>
  <c r="BC255" i="2"/>
  <c r="BB255" i="2"/>
  <c r="BA255" i="2"/>
  <c r="AZ255" i="2"/>
  <c r="AY255" i="2"/>
  <c r="AX255" i="2"/>
  <c r="AW255" i="2"/>
  <c r="AV255" i="2"/>
  <c r="AU255" i="2"/>
  <c r="AT255" i="2"/>
  <c r="AS255" i="2"/>
  <c r="AR255" i="2"/>
  <c r="AQ255" i="2"/>
  <c r="AP255" i="2"/>
  <c r="AO255" i="2"/>
  <c r="AN255" i="2"/>
  <c r="AM255" i="2"/>
  <c r="AL255" i="2"/>
  <c r="AK255" i="2"/>
  <c r="AJ255" i="2"/>
  <c r="AI255" i="2"/>
  <c r="AH255" i="2"/>
  <c r="AG255" i="2"/>
  <c r="AF255" i="2"/>
  <c r="BI254" i="2"/>
  <c r="BH254" i="2"/>
  <c r="BG254" i="2"/>
  <c r="BF254" i="2"/>
  <c r="BE254" i="2"/>
  <c r="BD254" i="2"/>
  <c r="BC254" i="2"/>
  <c r="BB254" i="2"/>
  <c r="BA254" i="2"/>
  <c r="AZ254" i="2"/>
  <c r="AY254" i="2"/>
  <c r="AX254" i="2"/>
  <c r="AW254" i="2"/>
  <c r="AV254" i="2"/>
  <c r="AU254" i="2"/>
  <c r="AT254" i="2"/>
  <c r="AS254" i="2"/>
  <c r="AR254" i="2"/>
  <c r="AQ254" i="2"/>
  <c r="AP254" i="2"/>
  <c r="AO254" i="2"/>
  <c r="AN254" i="2"/>
  <c r="AM254" i="2"/>
  <c r="AL254" i="2"/>
  <c r="AK254" i="2"/>
  <c r="AJ254" i="2"/>
  <c r="AI254" i="2"/>
  <c r="AH254" i="2"/>
  <c r="AG254" i="2"/>
  <c r="AF254" i="2"/>
  <c r="BI253" i="2"/>
  <c r="BH253" i="2"/>
  <c r="BG253" i="2"/>
  <c r="BF253" i="2"/>
  <c r="BE253" i="2"/>
  <c r="BD253" i="2"/>
  <c r="BC253" i="2"/>
  <c r="BB253" i="2"/>
  <c r="BA253" i="2"/>
  <c r="AZ253" i="2"/>
  <c r="AY253" i="2"/>
  <c r="AX253" i="2"/>
  <c r="AW253" i="2"/>
  <c r="AV253" i="2"/>
  <c r="AU253" i="2"/>
  <c r="AT253" i="2"/>
  <c r="AS253" i="2"/>
  <c r="AR253" i="2"/>
  <c r="AQ253" i="2"/>
  <c r="AP253" i="2"/>
  <c r="AO253" i="2"/>
  <c r="AN253" i="2"/>
  <c r="AM253" i="2"/>
  <c r="AL253" i="2"/>
  <c r="AK253" i="2"/>
  <c r="AJ253" i="2"/>
  <c r="AI253" i="2"/>
  <c r="AH253" i="2"/>
  <c r="AG253" i="2"/>
  <c r="AF253" i="2"/>
  <c r="BI252" i="2"/>
  <c r="BH252" i="2"/>
  <c r="BG252" i="2"/>
  <c r="BF252" i="2"/>
  <c r="BE252" i="2"/>
  <c r="BD252" i="2"/>
  <c r="BC252" i="2"/>
  <c r="BB252" i="2"/>
  <c r="BA252" i="2"/>
  <c r="AZ252" i="2"/>
  <c r="AY252" i="2"/>
  <c r="AX252" i="2"/>
  <c r="AW252" i="2"/>
  <c r="AV252" i="2"/>
  <c r="AU252" i="2"/>
  <c r="AT252" i="2"/>
  <c r="AS252" i="2"/>
  <c r="AR252" i="2"/>
  <c r="AQ252" i="2"/>
  <c r="AP252" i="2"/>
  <c r="AO252" i="2"/>
  <c r="AN252" i="2"/>
  <c r="AM252" i="2"/>
  <c r="AL252" i="2"/>
  <c r="AK252" i="2"/>
  <c r="AJ252" i="2"/>
  <c r="AI252" i="2"/>
  <c r="AH252" i="2"/>
  <c r="AG252" i="2"/>
  <c r="AF252" i="2"/>
  <c r="BI251" i="2"/>
  <c r="BH251" i="2"/>
  <c r="BG251" i="2"/>
  <c r="BF251" i="2"/>
  <c r="BE251" i="2"/>
  <c r="BD251" i="2"/>
  <c r="BC251" i="2"/>
  <c r="BB251" i="2"/>
  <c r="BA251" i="2"/>
  <c r="AZ251" i="2"/>
  <c r="AY251" i="2"/>
  <c r="AX251" i="2"/>
  <c r="AW251" i="2"/>
  <c r="AV251" i="2"/>
  <c r="AU251" i="2"/>
  <c r="AT251" i="2"/>
  <c r="AS251" i="2"/>
  <c r="AR251" i="2"/>
  <c r="AQ251" i="2"/>
  <c r="AP251" i="2"/>
  <c r="AO251" i="2"/>
  <c r="AN251" i="2"/>
  <c r="AM251" i="2"/>
  <c r="AL251" i="2"/>
  <c r="AK251" i="2"/>
  <c r="AJ251" i="2"/>
  <c r="AI251" i="2"/>
  <c r="AH251" i="2"/>
  <c r="AG251" i="2"/>
  <c r="AF251" i="2"/>
  <c r="BI250" i="2"/>
  <c r="BH250" i="2"/>
  <c r="BG250" i="2"/>
  <c r="BF250" i="2"/>
  <c r="BE250" i="2"/>
  <c r="BD250" i="2"/>
  <c r="BC250" i="2"/>
  <c r="BB250" i="2"/>
  <c r="BA250" i="2"/>
  <c r="AZ250" i="2"/>
  <c r="AY250" i="2"/>
  <c r="AX250" i="2"/>
  <c r="AW250" i="2"/>
  <c r="AV250" i="2"/>
  <c r="AU250" i="2"/>
  <c r="AT250" i="2"/>
  <c r="AS250" i="2"/>
  <c r="AR250" i="2"/>
  <c r="AQ250" i="2"/>
  <c r="AP250" i="2"/>
  <c r="AO250" i="2"/>
  <c r="AN250" i="2"/>
  <c r="AM250" i="2"/>
  <c r="AL250" i="2"/>
  <c r="AK250" i="2"/>
  <c r="AJ250" i="2"/>
  <c r="AI250" i="2"/>
  <c r="AH250" i="2"/>
  <c r="AG250" i="2"/>
  <c r="AF250" i="2"/>
  <c r="BI249" i="2"/>
  <c r="BH249" i="2"/>
  <c r="BG249" i="2"/>
  <c r="BF249" i="2"/>
  <c r="BE249" i="2"/>
  <c r="BD249" i="2"/>
  <c r="BC249" i="2"/>
  <c r="BB249" i="2"/>
  <c r="BA249" i="2"/>
  <c r="AZ249" i="2"/>
  <c r="AY249" i="2"/>
  <c r="AX249" i="2"/>
  <c r="AW249" i="2"/>
  <c r="AV249" i="2"/>
  <c r="AU249" i="2"/>
  <c r="AT249" i="2"/>
  <c r="AS249" i="2"/>
  <c r="AR249" i="2"/>
  <c r="AQ249" i="2"/>
  <c r="AP249" i="2"/>
  <c r="AO249" i="2"/>
  <c r="AN249" i="2"/>
  <c r="AM249" i="2"/>
  <c r="AL249" i="2"/>
  <c r="AK249" i="2"/>
  <c r="AJ249" i="2"/>
  <c r="AI249" i="2"/>
  <c r="AH249" i="2"/>
  <c r="AG249" i="2"/>
  <c r="AF249" i="2"/>
  <c r="BI248" i="2"/>
  <c r="BH248" i="2"/>
  <c r="BG248" i="2"/>
  <c r="BF248" i="2"/>
  <c r="BE248" i="2"/>
  <c r="BD248" i="2"/>
  <c r="BC248" i="2"/>
  <c r="BB248" i="2"/>
  <c r="BA248" i="2"/>
  <c r="AZ248" i="2"/>
  <c r="AY248" i="2"/>
  <c r="AX248" i="2"/>
  <c r="AW248" i="2"/>
  <c r="AV248" i="2"/>
  <c r="AU248" i="2"/>
  <c r="AT248" i="2"/>
  <c r="AS248" i="2"/>
  <c r="AR248" i="2"/>
  <c r="AQ248" i="2"/>
  <c r="AP248" i="2"/>
  <c r="AO248" i="2"/>
  <c r="AN248" i="2"/>
  <c r="AM248" i="2"/>
  <c r="AL248" i="2"/>
  <c r="AK248" i="2"/>
  <c r="AJ248" i="2"/>
  <c r="AI248" i="2"/>
  <c r="AH248" i="2"/>
  <c r="AG248" i="2"/>
  <c r="AF248" i="2"/>
  <c r="BI247" i="2"/>
  <c r="BH247" i="2"/>
  <c r="BG247" i="2"/>
  <c r="BF247" i="2"/>
  <c r="BE247" i="2"/>
  <c r="BD247" i="2"/>
  <c r="BC247" i="2"/>
  <c r="BB247" i="2"/>
  <c r="BA247" i="2"/>
  <c r="AZ247" i="2"/>
  <c r="AY247" i="2"/>
  <c r="AX247" i="2"/>
  <c r="AW247" i="2"/>
  <c r="AV247" i="2"/>
  <c r="AU247" i="2"/>
  <c r="AT247" i="2"/>
  <c r="AS247" i="2"/>
  <c r="AR247" i="2"/>
  <c r="AQ247" i="2"/>
  <c r="AP247" i="2"/>
  <c r="AO247" i="2"/>
  <c r="AN247" i="2"/>
  <c r="AM247" i="2"/>
  <c r="AL247" i="2"/>
  <c r="AK247" i="2"/>
  <c r="AJ247" i="2"/>
  <c r="AI247" i="2"/>
  <c r="AH247" i="2"/>
  <c r="AG247" i="2"/>
  <c r="AF247" i="2"/>
  <c r="BI246" i="2"/>
  <c r="BH246" i="2"/>
  <c r="BG246" i="2"/>
  <c r="BF246" i="2"/>
  <c r="BE246" i="2"/>
  <c r="BD246" i="2"/>
  <c r="BC246" i="2"/>
  <c r="BB246" i="2"/>
  <c r="BA246" i="2"/>
  <c r="AZ246" i="2"/>
  <c r="AY246" i="2"/>
  <c r="AX246" i="2"/>
  <c r="AW246" i="2"/>
  <c r="AV246" i="2"/>
  <c r="AU246" i="2"/>
  <c r="AT246" i="2"/>
  <c r="AS246" i="2"/>
  <c r="AR246" i="2"/>
  <c r="AQ246" i="2"/>
  <c r="AP246" i="2"/>
  <c r="AO246" i="2"/>
  <c r="AN246" i="2"/>
  <c r="AM246" i="2"/>
  <c r="AL246" i="2"/>
  <c r="AK246" i="2"/>
  <c r="AJ246" i="2"/>
  <c r="AI246" i="2"/>
  <c r="AH246" i="2"/>
  <c r="AG246" i="2"/>
  <c r="AF246" i="2"/>
  <c r="BI245" i="2"/>
  <c r="BH245" i="2"/>
  <c r="BG245" i="2"/>
  <c r="BF245" i="2"/>
  <c r="BE245" i="2"/>
  <c r="BD245" i="2"/>
  <c r="BC245" i="2"/>
  <c r="BB245" i="2"/>
  <c r="BA245" i="2"/>
  <c r="AZ245" i="2"/>
  <c r="AY245" i="2"/>
  <c r="AX245" i="2"/>
  <c r="AW245" i="2"/>
  <c r="AV245" i="2"/>
  <c r="AU245" i="2"/>
  <c r="AT245" i="2"/>
  <c r="AS245" i="2"/>
  <c r="AR245" i="2"/>
  <c r="AQ245" i="2"/>
  <c r="AP245" i="2"/>
  <c r="AO245" i="2"/>
  <c r="AN245" i="2"/>
  <c r="AM245" i="2"/>
  <c r="AL245" i="2"/>
  <c r="AK245" i="2"/>
  <c r="AJ245" i="2"/>
  <c r="AI245" i="2"/>
  <c r="AH245" i="2"/>
  <c r="AG245" i="2"/>
  <c r="AF245" i="2"/>
  <c r="BI244" i="2"/>
  <c r="BH244" i="2"/>
  <c r="BG244" i="2"/>
  <c r="BF244" i="2"/>
  <c r="BE244" i="2"/>
  <c r="BD244" i="2"/>
  <c r="BC244" i="2"/>
  <c r="BB244" i="2"/>
  <c r="BA244" i="2"/>
  <c r="AZ244" i="2"/>
  <c r="AY244" i="2"/>
  <c r="AX244" i="2"/>
  <c r="AW244" i="2"/>
  <c r="AV244" i="2"/>
  <c r="AU244" i="2"/>
  <c r="AT244" i="2"/>
  <c r="AS244" i="2"/>
  <c r="AR244" i="2"/>
  <c r="AQ244" i="2"/>
  <c r="AP244" i="2"/>
  <c r="AO244" i="2"/>
  <c r="AN244" i="2"/>
  <c r="AM244" i="2"/>
  <c r="AL244" i="2"/>
  <c r="AK244" i="2"/>
  <c r="AJ244" i="2"/>
  <c r="AI244" i="2"/>
  <c r="AH244" i="2"/>
  <c r="AG244" i="2"/>
  <c r="AF244" i="2"/>
  <c r="BI243" i="2"/>
  <c r="BH243" i="2"/>
  <c r="BG243" i="2"/>
  <c r="BF243" i="2"/>
  <c r="BE243" i="2"/>
  <c r="BD243" i="2"/>
  <c r="BC243" i="2"/>
  <c r="BB243" i="2"/>
  <c r="BA243" i="2"/>
  <c r="AZ243" i="2"/>
  <c r="AY243" i="2"/>
  <c r="AX243" i="2"/>
  <c r="AW243" i="2"/>
  <c r="AV243" i="2"/>
  <c r="AU243" i="2"/>
  <c r="AT243" i="2"/>
  <c r="AS243" i="2"/>
  <c r="AR243" i="2"/>
  <c r="AQ243" i="2"/>
  <c r="AP243" i="2"/>
  <c r="AO243" i="2"/>
  <c r="AN243" i="2"/>
  <c r="AM243" i="2"/>
  <c r="AL243" i="2"/>
  <c r="AK243" i="2"/>
  <c r="AJ243" i="2"/>
  <c r="AI243" i="2"/>
  <c r="AH243" i="2"/>
  <c r="AG243" i="2"/>
  <c r="AF243" i="2"/>
  <c r="BI242" i="2"/>
  <c r="BH242" i="2"/>
  <c r="BG242" i="2"/>
  <c r="BF242" i="2"/>
  <c r="BE242" i="2"/>
  <c r="BD242" i="2"/>
  <c r="BC242" i="2"/>
  <c r="BB242" i="2"/>
  <c r="BA242" i="2"/>
  <c r="AZ242" i="2"/>
  <c r="AY242" i="2"/>
  <c r="AX242" i="2"/>
  <c r="AW242" i="2"/>
  <c r="AV242" i="2"/>
  <c r="AU242" i="2"/>
  <c r="AT242" i="2"/>
  <c r="AS242" i="2"/>
  <c r="AR242" i="2"/>
  <c r="AQ242" i="2"/>
  <c r="AP242" i="2"/>
  <c r="AO242" i="2"/>
  <c r="AN242" i="2"/>
  <c r="AM242" i="2"/>
  <c r="AL242" i="2"/>
  <c r="AK242" i="2"/>
  <c r="AJ242" i="2"/>
  <c r="AI242" i="2"/>
  <c r="AH242" i="2"/>
  <c r="AG242" i="2"/>
  <c r="AF242" i="2"/>
  <c r="BI241" i="2"/>
  <c r="BH241" i="2"/>
  <c r="BG241" i="2"/>
  <c r="BF241" i="2"/>
  <c r="BE241" i="2"/>
  <c r="BD241" i="2"/>
  <c r="BC241" i="2"/>
  <c r="BB241" i="2"/>
  <c r="BA241" i="2"/>
  <c r="AZ241" i="2"/>
  <c r="AY241" i="2"/>
  <c r="AX241" i="2"/>
  <c r="AW241" i="2"/>
  <c r="AV241" i="2"/>
  <c r="AU241" i="2"/>
  <c r="AT241" i="2"/>
  <c r="AS241" i="2"/>
  <c r="AR241" i="2"/>
  <c r="AQ241" i="2"/>
  <c r="AP241" i="2"/>
  <c r="AO241" i="2"/>
  <c r="AN241" i="2"/>
  <c r="AM241" i="2"/>
  <c r="AL241" i="2"/>
  <c r="AK241" i="2"/>
  <c r="AJ241" i="2"/>
  <c r="AI241" i="2"/>
  <c r="AH241" i="2"/>
  <c r="AG241" i="2"/>
  <c r="AF241" i="2"/>
  <c r="BI240" i="2"/>
  <c r="BH240" i="2"/>
  <c r="BG240" i="2"/>
  <c r="BF240" i="2"/>
  <c r="BE240" i="2"/>
  <c r="BD240" i="2"/>
  <c r="BC240" i="2"/>
  <c r="BB240" i="2"/>
  <c r="BA240" i="2"/>
  <c r="AZ240" i="2"/>
  <c r="AY240" i="2"/>
  <c r="AX240" i="2"/>
  <c r="AW240" i="2"/>
  <c r="AV240" i="2"/>
  <c r="AU240" i="2"/>
  <c r="AT240" i="2"/>
  <c r="AS240" i="2"/>
  <c r="AR240" i="2"/>
  <c r="AQ240" i="2"/>
  <c r="AP240" i="2"/>
  <c r="AO240" i="2"/>
  <c r="AN240" i="2"/>
  <c r="AM240" i="2"/>
  <c r="AL240" i="2"/>
  <c r="AK240" i="2"/>
  <c r="AJ240" i="2"/>
  <c r="AI240" i="2"/>
  <c r="AH240" i="2"/>
  <c r="AG240" i="2"/>
  <c r="AF240" i="2"/>
  <c r="BI239" i="2"/>
  <c r="BH239" i="2"/>
  <c r="BG239" i="2"/>
  <c r="BF239" i="2"/>
  <c r="BE239" i="2"/>
  <c r="BD239" i="2"/>
  <c r="BC239" i="2"/>
  <c r="BB239" i="2"/>
  <c r="BA239" i="2"/>
  <c r="AZ239" i="2"/>
  <c r="AY239" i="2"/>
  <c r="AX239" i="2"/>
  <c r="AW239" i="2"/>
  <c r="AV239" i="2"/>
  <c r="AU239" i="2"/>
  <c r="AT239" i="2"/>
  <c r="AS239" i="2"/>
  <c r="AR239" i="2"/>
  <c r="AQ239" i="2"/>
  <c r="AP239" i="2"/>
  <c r="AO239" i="2"/>
  <c r="AN239" i="2"/>
  <c r="AM239" i="2"/>
  <c r="AL239" i="2"/>
  <c r="AK239" i="2"/>
  <c r="AJ239" i="2"/>
  <c r="AI239" i="2"/>
  <c r="AH239" i="2"/>
  <c r="AG239" i="2"/>
  <c r="AF239" i="2"/>
  <c r="BI238" i="2"/>
  <c r="BH238" i="2"/>
  <c r="BG238" i="2"/>
  <c r="BF238" i="2"/>
  <c r="BE238" i="2"/>
  <c r="BD238" i="2"/>
  <c r="BC238" i="2"/>
  <c r="BB238" i="2"/>
  <c r="BA238" i="2"/>
  <c r="AZ238" i="2"/>
  <c r="AY238" i="2"/>
  <c r="AX238" i="2"/>
  <c r="AW238" i="2"/>
  <c r="AV238" i="2"/>
  <c r="AU238" i="2"/>
  <c r="AT238" i="2"/>
  <c r="AS238" i="2"/>
  <c r="AR238" i="2"/>
  <c r="AQ238" i="2"/>
  <c r="AP238" i="2"/>
  <c r="AO238" i="2"/>
  <c r="AN238" i="2"/>
  <c r="AM238" i="2"/>
  <c r="AL238" i="2"/>
  <c r="AK238" i="2"/>
  <c r="AJ238" i="2"/>
  <c r="AI238" i="2"/>
  <c r="AH238" i="2"/>
  <c r="AG238" i="2"/>
  <c r="AF238" i="2"/>
  <c r="BI237" i="2"/>
  <c r="BH237" i="2"/>
  <c r="BG237" i="2"/>
  <c r="BF237" i="2"/>
  <c r="BE237" i="2"/>
  <c r="BD237" i="2"/>
  <c r="BC237" i="2"/>
  <c r="BB237" i="2"/>
  <c r="BA237" i="2"/>
  <c r="AZ237" i="2"/>
  <c r="AY237" i="2"/>
  <c r="AX237" i="2"/>
  <c r="AW237" i="2"/>
  <c r="AV237" i="2"/>
  <c r="AU237" i="2"/>
  <c r="AT237" i="2"/>
  <c r="AS237" i="2"/>
  <c r="AR237" i="2"/>
  <c r="AQ237" i="2"/>
  <c r="AP237" i="2"/>
  <c r="AO237" i="2"/>
  <c r="AN237" i="2"/>
  <c r="AM237" i="2"/>
  <c r="AL237" i="2"/>
  <c r="AK237" i="2"/>
  <c r="AJ237" i="2"/>
  <c r="AI237" i="2"/>
  <c r="AH237" i="2"/>
  <c r="AG237" i="2"/>
  <c r="AF237" i="2"/>
  <c r="BI236" i="2"/>
  <c r="BH236" i="2"/>
  <c r="BG236" i="2"/>
  <c r="BF236" i="2"/>
  <c r="BE236" i="2"/>
  <c r="BD236" i="2"/>
  <c r="BC236" i="2"/>
  <c r="BB236" i="2"/>
  <c r="BA236" i="2"/>
  <c r="AZ236" i="2"/>
  <c r="AY236" i="2"/>
  <c r="AX236" i="2"/>
  <c r="AW236" i="2"/>
  <c r="AV236" i="2"/>
  <c r="AU236" i="2"/>
  <c r="AT236" i="2"/>
  <c r="AS236" i="2"/>
  <c r="AR236" i="2"/>
  <c r="AQ236" i="2"/>
  <c r="AP236" i="2"/>
  <c r="AO236" i="2"/>
  <c r="AN236" i="2"/>
  <c r="AM236" i="2"/>
  <c r="AL236" i="2"/>
  <c r="AK236" i="2"/>
  <c r="AJ236" i="2"/>
  <c r="AI236" i="2"/>
  <c r="AH236" i="2"/>
  <c r="AG236" i="2"/>
  <c r="AF236" i="2"/>
  <c r="BI235" i="2"/>
  <c r="BH235" i="2"/>
  <c r="BG235" i="2"/>
  <c r="BF235" i="2"/>
  <c r="BE235" i="2"/>
  <c r="BD235" i="2"/>
  <c r="BC235" i="2"/>
  <c r="BB235" i="2"/>
  <c r="BA235" i="2"/>
  <c r="AZ235" i="2"/>
  <c r="AY235" i="2"/>
  <c r="AX235" i="2"/>
  <c r="AW235" i="2"/>
  <c r="AV235" i="2"/>
  <c r="AU235" i="2"/>
  <c r="AT235" i="2"/>
  <c r="AS235" i="2"/>
  <c r="AR235" i="2"/>
  <c r="AQ235" i="2"/>
  <c r="AP235" i="2"/>
  <c r="AO235" i="2"/>
  <c r="AN235" i="2"/>
  <c r="AM235" i="2"/>
  <c r="AL235" i="2"/>
  <c r="AK235" i="2"/>
  <c r="AJ235" i="2"/>
  <c r="AI235" i="2"/>
  <c r="AH235" i="2"/>
  <c r="AG235" i="2"/>
  <c r="AF235" i="2"/>
  <c r="BI234" i="2"/>
  <c r="BH234" i="2"/>
  <c r="BG234" i="2"/>
  <c r="BF234" i="2"/>
  <c r="BE234" i="2"/>
  <c r="BD234" i="2"/>
  <c r="BC234" i="2"/>
  <c r="BB234" i="2"/>
  <c r="BA234" i="2"/>
  <c r="AZ234" i="2"/>
  <c r="AY234" i="2"/>
  <c r="AX234" i="2"/>
  <c r="AW234" i="2"/>
  <c r="AV234" i="2"/>
  <c r="AU234" i="2"/>
  <c r="AT234" i="2"/>
  <c r="AS234" i="2"/>
  <c r="AR234" i="2"/>
  <c r="AQ234" i="2"/>
  <c r="AP234" i="2"/>
  <c r="AO234" i="2"/>
  <c r="AN234" i="2"/>
  <c r="AM234" i="2"/>
  <c r="AL234" i="2"/>
  <c r="AK234" i="2"/>
  <c r="AJ234" i="2"/>
  <c r="AI234" i="2"/>
  <c r="AH234" i="2"/>
  <c r="AG234" i="2"/>
  <c r="AF234" i="2"/>
  <c r="BI233" i="2"/>
  <c r="BH233" i="2"/>
  <c r="BG233" i="2"/>
  <c r="BF233" i="2"/>
  <c r="BE233" i="2"/>
  <c r="BD233" i="2"/>
  <c r="BC233" i="2"/>
  <c r="BB233" i="2"/>
  <c r="BA233" i="2"/>
  <c r="AZ233" i="2"/>
  <c r="AY233" i="2"/>
  <c r="AX233" i="2"/>
  <c r="AW233" i="2"/>
  <c r="AV233" i="2"/>
  <c r="AU233" i="2"/>
  <c r="AT233" i="2"/>
  <c r="AS233" i="2"/>
  <c r="AR233" i="2"/>
  <c r="AQ233" i="2"/>
  <c r="AP233" i="2"/>
  <c r="AO233" i="2"/>
  <c r="AN233" i="2"/>
  <c r="AM233" i="2"/>
  <c r="AL233" i="2"/>
  <c r="AK233" i="2"/>
  <c r="AJ233" i="2"/>
  <c r="AI233" i="2"/>
  <c r="AH233" i="2"/>
  <c r="AG233" i="2"/>
  <c r="AF233" i="2"/>
  <c r="BI232" i="2"/>
  <c r="BH232" i="2"/>
  <c r="BG232" i="2"/>
  <c r="BF232" i="2"/>
  <c r="BE232" i="2"/>
  <c r="BD232" i="2"/>
  <c r="BC232" i="2"/>
  <c r="BB232" i="2"/>
  <c r="BA232" i="2"/>
  <c r="AZ232" i="2"/>
  <c r="AY232" i="2"/>
  <c r="AX232" i="2"/>
  <c r="AW232" i="2"/>
  <c r="AV232" i="2"/>
  <c r="AU232" i="2"/>
  <c r="AT232" i="2"/>
  <c r="AS232" i="2"/>
  <c r="AR232" i="2"/>
  <c r="AQ232" i="2"/>
  <c r="AP232" i="2"/>
  <c r="AO232" i="2"/>
  <c r="AN232" i="2"/>
  <c r="AM232" i="2"/>
  <c r="AL232" i="2"/>
  <c r="AK232" i="2"/>
  <c r="AJ232" i="2"/>
  <c r="AI232" i="2"/>
  <c r="AH232" i="2"/>
  <c r="AG232" i="2"/>
  <c r="AF232" i="2"/>
  <c r="BI231" i="2"/>
  <c r="BH231" i="2"/>
  <c r="BG231" i="2"/>
  <c r="BF231" i="2"/>
  <c r="BE231" i="2"/>
  <c r="BD231" i="2"/>
  <c r="BC231" i="2"/>
  <c r="BB231" i="2"/>
  <c r="BA231" i="2"/>
  <c r="AZ231" i="2"/>
  <c r="AY231" i="2"/>
  <c r="AX231" i="2"/>
  <c r="AW231" i="2"/>
  <c r="AV231" i="2"/>
  <c r="AU231" i="2"/>
  <c r="AT231" i="2"/>
  <c r="AS231" i="2"/>
  <c r="AR231" i="2"/>
  <c r="AQ231" i="2"/>
  <c r="AP231" i="2"/>
  <c r="AO231" i="2"/>
  <c r="AN231" i="2"/>
  <c r="AM231" i="2"/>
  <c r="AL231" i="2"/>
  <c r="AK231" i="2"/>
  <c r="AJ231" i="2"/>
  <c r="AI231" i="2"/>
  <c r="AH231" i="2"/>
  <c r="AG231" i="2"/>
  <c r="AF231" i="2"/>
  <c r="BI230" i="2"/>
  <c r="BH230" i="2"/>
  <c r="BG230" i="2"/>
  <c r="BF230" i="2"/>
  <c r="BE230" i="2"/>
  <c r="BD230" i="2"/>
  <c r="BC230" i="2"/>
  <c r="BB230" i="2"/>
  <c r="BA230" i="2"/>
  <c r="AZ230" i="2"/>
  <c r="AY230" i="2"/>
  <c r="AX230" i="2"/>
  <c r="AW230" i="2"/>
  <c r="AV230" i="2"/>
  <c r="AU230" i="2"/>
  <c r="AT230" i="2"/>
  <c r="AS230" i="2"/>
  <c r="AR230" i="2"/>
  <c r="AQ230" i="2"/>
  <c r="AP230" i="2"/>
  <c r="AO230" i="2"/>
  <c r="AN230" i="2"/>
  <c r="AM230" i="2"/>
  <c r="AL230" i="2"/>
  <c r="AK230" i="2"/>
  <c r="AJ230" i="2"/>
  <c r="AI230" i="2"/>
  <c r="AH230" i="2"/>
  <c r="AG230" i="2"/>
  <c r="AF230" i="2"/>
  <c r="BI229" i="2"/>
  <c r="BH229" i="2"/>
  <c r="BG229" i="2"/>
  <c r="BF229" i="2"/>
  <c r="BE229" i="2"/>
  <c r="BD229" i="2"/>
  <c r="BC229" i="2"/>
  <c r="BB229" i="2"/>
  <c r="BA229" i="2"/>
  <c r="AZ229" i="2"/>
  <c r="AY229" i="2"/>
  <c r="AX229" i="2"/>
  <c r="AW229" i="2"/>
  <c r="AV229" i="2"/>
  <c r="AU229" i="2"/>
  <c r="AT229" i="2"/>
  <c r="AS229" i="2"/>
  <c r="AR229" i="2"/>
  <c r="AQ229" i="2"/>
  <c r="AP229" i="2"/>
  <c r="AO229" i="2"/>
  <c r="AN229" i="2"/>
  <c r="AM229" i="2"/>
  <c r="AL229" i="2"/>
  <c r="AK229" i="2"/>
  <c r="AJ229" i="2"/>
  <c r="AI229" i="2"/>
  <c r="AH229" i="2"/>
  <c r="AG229" i="2"/>
  <c r="AF229" i="2"/>
  <c r="BI228" i="2"/>
  <c r="BH228" i="2"/>
  <c r="BG228" i="2"/>
  <c r="BF228" i="2"/>
  <c r="BE228" i="2"/>
  <c r="BD228" i="2"/>
  <c r="BC228" i="2"/>
  <c r="BB228" i="2"/>
  <c r="BA228" i="2"/>
  <c r="AZ228" i="2"/>
  <c r="AY228" i="2"/>
  <c r="AX228" i="2"/>
  <c r="AW228" i="2"/>
  <c r="AV228" i="2"/>
  <c r="AU228" i="2"/>
  <c r="AT228" i="2"/>
  <c r="AS228" i="2"/>
  <c r="AR228" i="2"/>
  <c r="AQ228" i="2"/>
  <c r="AP228" i="2"/>
  <c r="AO228" i="2"/>
  <c r="AN228" i="2"/>
  <c r="AM228" i="2"/>
  <c r="AL228" i="2"/>
  <c r="AK228" i="2"/>
  <c r="AJ228" i="2"/>
  <c r="AI228" i="2"/>
  <c r="AH228" i="2"/>
  <c r="AG228" i="2"/>
  <c r="AF228" i="2"/>
  <c r="BI227" i="2"/>
  <c r="BH227" i="2"/>
  <c r="BG227" i="2"/>
  <c r="BF227" i="2"/>
  <c r="BE227" i="2"/>
  <c r="BD227" i="2"/>
  <c r="BC227" i="2"/>
  <c r="BB227" i="2"/>
  <c r="BA227" i="2"/>
  <c r="AZ227" i="2"/>
  <c r="AY227" i="2"/>
  <c r="AX227" i="2"/>
  <c r="AW227" i="2"/>
  <c r="AV227" i="2"/>
  <c r="AU227" i="2"/>
  <c r="AT227" i="2"/>
  <c r="AS227" i="2"/>
  <c r="AR227" i="2"/>
  <c r="AQ227" i="2"/>
  <c r="AP227" i="2"/>
  <c r="AO227" i="2"/>
  <c r="AN227" i="2"/>
  <c r="AM227" i="2"/>
  <c r="AL227" i="2"/>
  <c r="AK227" i="2"/>
  <c r="AJ227" i="2"/>
  <c r="AI227" i="2"/>
  <c r="AH227" i="2"/>
  <c r="AG227" i="2"/>
  <c r="AF227" i="2"/>
  <c r="BI226" i="2"/>
  <c r="BH226" i="2"/>
  <c r="BG226" i="2"/>
  <c r="BF226" i="2"/>
  <c r="BE226" i="2"/>
  <c r="BD226" i="2"/>
  <c r="BC226" i="2"/>
  <c r="BB226" i="2"/>
  <c r="BA226" i="2"/>
  <c r="AZ226" i="2"/>
  <c r="AY226" i="2"/>
  <c r="AX226" i="2"/>
  <c r="AW226" i="2"/>
  <c r="AV226" i="2"/>
  <c r="AU226" i="2"/>
  <c r="AT226" i="2"/>
  <c r="AS226" i="2"/>
  <c r="AR226" i="2"/>
  <c r="AQ226" i="2"/>
  <c r="AP226" i="2"/>
  <c r="AO226" i="2"/>
  <c r="AN226" i="2"/>
  <c r="AM226" i="2"/>
  <c r="AL226" i="2"/>
  <c r="AK226" i="2"/>
  <c r="AJ226" i="2"/>
  <c r="AI226" i="2"/>
  <c r="AH226" i="2"/>
  <c r="AG226" i="2"/>
  <c r="AF226" i="2"/>
  <c r="BI225" i="2"/>
  <c r="BH225" i="2"/>
  <c r="BG225" i="2"/>
  <c r="BF225" i="2"/>
  <c r="BE225" i="2"/>
  <c r="BD225" i="2"/>
  <c r="BC225" i="2"/>
  <c r="BB225" i="2"/>
  <c r="BA225" i="2"/>
  <c r="AZ225" i="2"/>
  <c r="AY225" i="2"/>
  <c r="AX225" i="2"/>
  <c r="AW225" i="2"/>
  <c r="AV225" i="2"/>
  <c r="AU225" i="2"/>
  <c r="AT225" i="2"/>
  <c r="AS225" i="2"/>
  <c r="AR225" i="2"/>
  <c r="AQ225" i="2"/>
  <c r="AP225" i="2"/>
  <c r="AO225" i="2"/>
  <c r="AN225" i="2"/>
  <c r="AM225" i="2"/>
  <c r="AL225" i="2"/>
  <c r="AK225" i="2"/>
  <c r="AJ225" i="2"/>
  <c r="AI225" i="2"/>
  <c r="AH225" i="2"/>
  <c r="AG225" i="2"/>
  <c r="AF225" i="2"/>
  <c r="BI224" i="2"/>
  <c r="BH224" i="2"/>
  <c r="BG224" i="2"/>
  <c r="BF224" i="2"/>
  <c r="BE224" i="2"/>
  <c r="BD224" i="2"/>
  <c r="BC224" i="2"/>
  <c r="BB224" i="2"/>
  <c r="BA224" i="2"/>
  <c r="AZ224" i="2"/>
  <c r="AY224" i="2"/>
  <c r="AX224" i="2"/>
  <c r="AW224" i="2"/>
  <c r="AV224" i="2"/>
  <c r="AU224" i="2"/>
  <c r="AT224" i="2"/>
  <c r="AS224" i="2"/>
  <c r="AR224" i="2"/>
  <c r="AQ224" i="2"/>
  <c r="AP224" i="2"/>
  <c r="AO224" i="2"/>
  <c r="AN224" i="2"/>
  <c r="AM224" i="2"/>
  <c r="AL224" i="2"/>
  <c r="AK224" i="2"/>
  <c r="AJ224" i="2"/>
  <c r="AI224" i="2"/>
  <c r="AH224" i="2"/>
  <c r="AG224" i="2"/>
  <c r="AF224" i="2"/>
  <c r="BI223" i="2"/>
  <c r="BH223" i="2"/>
  <c r="BG223" i="2"/>
  <c r="BF223" i="2"/>
  <c r="BE223" i="2"/>
  <c r="BD223" i="2"/>
  <c r="BC223" i="2"/>
  <c r="BB223" i="2"/>
  <c r="BA223" i="2"/>
  <c r="AZ223" i="2"/>
  <c r="AY223" i="2"/>
  <c r="AX223" i="2"/>
  <c r="AW223" i="2"/>
  <c r="AV223" i="2"/>
  <c r="AU223" i="2"/>
  <c r="AT223" i="2"/>
  <c r="AS223" i="2"/>
  <c r="AR223" i="2"/>
  <c r="AQ223" i="2"/>
  <c r="AP223" i="2"/>
  <c r="AO223" i="2"/>
  <c r="AN223" i="2"/>
  <c r="AM223" i="2"/>
  <c r="AL223" i="2"/>
  <c r="AK223" i="2"/>
  <c r="AJ223" i="2"/>
  <c r="AI223" i="2"/>
  <c r="AH223" i="2"/>
  <c r="AG223" i="2"/>
  <c r="AF223" i="2"/>
  <c r="BI222" i="2"/>
  <c r="BH222" i="2"/>
  <c r="BG222" i="2"/>
  <c r="BF222" i="2"/>
  <c r="BE222" i="2"/>
  <c r="BD222" i="2"/>
  <c r="BC222" i="2"/>
  <c r="BB222" i="2"/>
  <c r="BA222" i="2"/>
  <c r="AZ222" i="2"/>
  <c r="AY222" i="2"/>
  <c r="AX222" i="2"/>
  <c r="AW222" i="2"/>
  <c r="AV222" i="2"/>
  <c r="AU222" i="2"/>
  <c r="AT222" i="2"/>
  <c r="AS222" i="2"/>
  <c r="AR222" i="2"/>
  <c r="AQ222" i="2"/>
  <c r="AP222" i="2"/>
  <c r="AO222" i="2"/>
  <c r="AN222" i="2"/>
  <c r="AM222" i="2"/>
  <c r="AL222" i="2"/>
  <c r="AK222" i="2"/>
  <c r="AJ222" i="2"/>
  <c r="AI222" i="2"/>
  <c r="AH222" i="2"/>
  <c r="AG222" i="2"/>
  <c r="AF222" i="2"/>
  <c r="BI221" i="2"/>
  <c r="BH221" i="2"/>
  <c r="BG221" i="2"/>
  <c r="BF221" i="2"/>
  <c r="BE221" i="2"/>
  <c r="BD221" i="2"/>
  <c r="BC221" i="2"/>
  <c r="BB221" i="2"/>
  <c r="BA221" i="2"/>
  <c r="AZ221" i="2"/>
  <c r="AY221" i="2"/>
  <c r="AX221" i="2"/>
  <c r="AW221" i="2"/>
  <c r="AV221" i="2"/>
  <c r="AU221" i="2"/>
  <c r="AT221" i="2"/>
  <c r="AS221" i="2"/>
  <c r="AR221" i="2"/>
  <c r="AQ221" i="2"/>
  <c r="AP221" i="2"/>
  <c r="AO221" i="2"/>
  <c r="AN221" i="2"/>
  <c r="AM221" i="2"/>
  <c r="AL221" i="2"/>
  <c r="AK221" i="2"/>
  <c r="AJ221" i="2"/>
  <c r="AI221" i="2"/>
  <c r="AH221" i="2"/>
  <c r="AG221" i="2"/>
  <c r="AF221" i="2"/>
  <c r="BI220" i="2"/>
  <c r="BH220" i="2"/>
  <c r="BG220" i="2"/>
  <c r="BF220" i="2"/>
  <c r="BE220" i="2"/>
  <c r="BD220" i="2"/>
  <c r="BC220" i="2"/>
  <c r="BB220" i="2"/>
  <c r="BA220" i="2"/>
  <c r="AZ220" i="2"/>
  <c r="AY220" i="2"/>
  <c r="AX220" i="2"/>
  <c r="AW220" i="2"/>
  <c r="AV220" i="2"/>
  <c r="AU220" i="2"/>
  <c r="AT220" i="2"/>
  <c r="AS220" i="2"/>
  <c r="AR220" i="2"/>
  <c r="AQ220" i="2"/>
  <c r="AP220" i="2"/>
  <c r="AO220" i="2"/>
  <c r="AN220" i="2"/>
  <c r="AM220" i="2"/>
  <c r="AL220" i="2"/>
  <c r="AK220" i="2"/>
  <c r="AJ220" i="2"/>
  <c r="AI220" i="2"/>
  <c r="AH220" i="2"/>
  <c r="AG220" i="2"/>
  <c r="AF220" i="2"/>
  <c r="BI219" i="2"/>
  <c r="BH219" i="2"/>
  <c r="BG219" i="2"/>
  <c r="BF219" i="2"/>
  <c r="BE219" i="2"/>
  <c r="BD219" i="2"/>
  <c r="BC219" i="2"/>
  <c r="BB219" i="2"/>
  <c r="BA219" i="2"/>
  <c r="AZ219" i="2"/>
  <c r="AY219" i="2"/>
  <c r="AX219" i="2"/>
  <c r="AW219" i="2"/>
  <c r="AV219" i="2"/>
  <c r="AU219" i="2"/>
  <c r="AT219" i="2"/>
  <c r="AS219" i="2"/>
  <c r="AR219" i="2"/>
  <c r="AQ219" i="2"/>
  <c r="AP219" i="2"/>
  <c r="AO219" i="2"/>
  <c r="AN219" i="2"/>
  <c r="AM219" i="2"/>
  <c r="AL219" i="2"/>
  <c r="AK219" i="2"/>
  <c r="AJ219" i="2"/>
  <c r="AI219" i="2"/>
  <c r="AH219" i="2"/>
  <c r="AG219" i="2"/>
  <c r="AF219" i="2"/>
  <c r="BI218" i="2"/>
  <c r="BH218" i="2"/>
  <c r="BG218" i="2"/>
  <c r="BF218" i="2"/>
  <c r="BE218" i="2"/>
  <c r="BD218" i="2"/>
  <c r="BC218" i="2"/>
  <c r="BB218" i="2"/>
  <c r="BA218" i="2"/>
  <c r="AZ218" i="2"/>
  <c r="AY218" i="2"/>
  <c r="AX218" i="2"/>
  <c r="AW218" i="2"/>
  <c r="AV218" i="2"/>
  <c r="AU218" i="2"/>
  <c r="AT218" i="2"/>
  <c r="AS218" i="2"/>
  <c r="AR218" i="2"/>
  <c r="AQ218" i="2"/>
  <c r="AP218" i="2"/>
  <c r="AO218" i="2"/>
  <c r="AN218" i="2"/>
  <c r="AM218" i="2"/>
  <c r="AL218" i="2"/>
  <c r="AK218" i="2"/>
  <c r="AJ218" i="2"/>
  <c r="AI218" i="2"/>
  <c r="AH218" i="2"/>
  <c r="AG218" i="2"/>
  <c r="AF218" i="2"/>
  <c r="BI217" i="2"/>
  <c r="BH217" i="2"/>
  <c r="BG217" i="2"/>
  <c r="BF217" i="2"/>
  <c r="BE217" i="2"/>
  <c r="BD217" i="2"/>
  <c r="BC217" i="2"/>
  <c r="BB217" i="2"/>
  <c r="BA217" i="2"/>
  <c r="AZ217" i="2"/>
  <c r="AY217" i="2"/>
  <c r="AX217" i="2"/>
  <c r="AW217" i="2"/>
  <c r="AV217" i="2"/>
  <c r="AU217" i="2"/>
  <c r="AT217" i="2"/>
  <c r="AS217" i="2"/>
  <c r="AR217" i="2"/>
  <c r="AQ217" i="2"/>
  <c r="AP217" i="2"/>
  <c r="AO217" i="2"/>
  <c r="AN217" i="2"/>
  <c r="AM217" i="2"/>
  <c r="AL217" i="2"/>
  <c r="AK217" i="2"/>
  <c r="AJ217" i="2"/>
  <c r="AI217" i="2"/>
  <c r="AH217" i="2"/>
  <c r="AG217" i="2"/>
  <c r="AF217" i="2"/>
  <c r="BI216" i="2"/>
  <c r="BH216" i="2"/>
  <c r="BG216" i="2"/>
  <c r="BF216" i="2"/>
  <c r="BE216" i="2"/>
  <c r="BD216" i="2"/>
  <c r="BC216" i="2"/>
  <c r="BB216" i="2"/>
  <c r="BA216" i="2"/>
  <c r="AZ216" i="2"/>
  <c r="AY216" i="2"/>
  <c r="AX216" i="2"/>
  <c r="AW216" i="2"/>
  <c r="AV216" i="2"/>
  <c r="AU216" i="2"/>
  <c r="AT216" i="2"/>
  <c r="AS216" i="2"/>
  <c r="AR216" i="2"/>
  <c r="AQ216" i="2"/>
  <c r="AP216" i="2"/>
  <c r="AO216" i="2"/>
  <c r="AN216" i="2"/>
  <c r="AM216" i="2"/>
  <c r="AL216" i="2"/>
  <c r="AK216" i="2"/>
  <c r="AJ216" i="2"/>
  <c r="AI216" i="2"/>
  <c r="AH216" i="2"/>
  <c r="AG216" i="2"/>
  <c r="AF216" i="2"/>
  <c r="BI215" i="2"/>
  <c r="BH215" i="2"/>
  <c r="BG215" i="2"/>
  <c r="BF215" i="2"/>
  <c r="BE215" i="2"/>
  <c r="BD215" i="2"/>
  <c r="BC215" i="2"/>
  <c r="BB215" i="2"/>
  <c r="BA215" i="2"/>
  <c r="AZ215" i="2"/>
  <c r="AY215" i="2"/>
  <c r="AX215" i="2"/>
  <c r="AW215" i="2"/>
  <c r="AV215" i="2"/>
  <c r="AU215" i="2"/>
  <c r="AT215" i="2"/>
  <c r="AS215" i="2"/>
  <c r="AR215" i="2"/>
  <c r="AQ215" i="2"/>
  <c r="AP215" i="2"/>
  <c r="AO215" i="2"/>
  <c r="AN215" i="2"/>
  <c r="AM215" i="2"/>
  <c r="AL215" i="2"/>
  <c r="AK215" i="2"/>
  <c r="AJ215" i="2"/>
  <c r="AI215" i="2"/>
  <c r="AH215" i="2"/>
  <c r="AG215" i="2"/>
  <c r="AF215" i="2"/>
  <c r="BI214" i="2"/>
  <c r="BH214" i="2"/>
  <c r="BG214" i="2"/>
  <c r="BF214" i="2"/>
  <c r="BE214" i="2"/>
  <c r="BD214" i="2"/>
  <c r="BC214" i="2"/>
  <c r="BB214" i="2"/>
  <c r="BA214" i="2"/>
  <c r="AZ214" i="2"/>
  <c r="AY214" i="2"/>
  <c r="AX214" i="2"/>
  <c r="AW214" i="2"/>
  <c r="AV214" i="2"/>
  <c r="AU214" i="2"/>
  <c r="AT214" i="2"/>
  <c r="AS214" i="2"/>
  <c r="AR214" i="2"/>
  <c r="AQ214" i="2"/>
  <c r="AP214" i="2"/>
  <c r="AO214" i="2"/>
  <c r="AN214" i="2"/>
  <c r="AM214" i="2"/>
  <c r="AL214" i="2"/>
  <c r="AK214" i="2"/>
  <c r="AJ214" i="2"/>
  <c r="AI214" i="2"/>
  <c r="AH214" i="2"/>
  <c r="AG214" i="2"/>
  <c r="AF214" i="2"/>
  <c r="BI213" i="2"/>
  <c r="BH213" i="2"/>
  <c r="BG213" i="2"/>
  <c r="BF213" i="2"/>
  <c r="BE213" i="2"/>
  <c r="BD213" i="2"/>
  <c r="BC213" i="2"/>
  <c r="BB213" i="2"/>
  <c r="BA213" i="2"/>
  <c r="AZ213" i="2"/>
  <c r="AY213" i="2"/>
  <c r="AX213" i="2"/>
  <c r="AW213" i="2"/>
  <c r="AV213" i="2"/>
  <c r="AU213" i="2"/>
  <c r="AT213" i="2"/>
  <c r="AS213" i="2"/>
  <c r="AR213" i="2"/>
  <c r="AQ213" i="2"/>
  <c r="AP213" i="2"/>
  <c r="AO213" i="2"/>
  <c r="AN213" i="2"/>
  <c r="AM213" i="2"/>
  <c r="AL213" i="2"/>
  <c r="AK213" i="2"/>
  <c r="AJ213" i="2"/>
  <c r="AI213" i="2"/>
  <c r="AH213" i="2"/>
  <c r="AG213" i="2"/>
  <c r="AF213" i="2"/>
  <c r="BI212" i="2"/>
  <c r="BH212" i="2"/>
  <c r="BG212" i="2"/>
  <c r="BF212" i="2"/>
  <c r="BE212" i="2"/>
  <c r="BD212" i="2"/>
  <c r="BC212" i="2"/>
  <c r="BB212" i="2"/>
  <c r="BA212" i="2"/>
  <c r="AZ212" i="2"/>
  <c r="AY212" i="2"/>
  <c r="AX212" i="2"/>
  <c r="AW212" i="2"/>
  <c r="AV212" i="2"/>
  <c r="AU212" i="2"/>
  <c r="AT212" i="2"/>
  <c r="AS212" i="2"/>
  <c r="AR212" i="2"/>
  <c r="AQ212" i="2"/>
  <c r="AP212" i="2"/>
  <c r="AO212" i="2"/>
  <c r="AN212" i="2"/>
  <c r="AM212" i="2"/>
  <c r="AL212" i="2"/>
  <c r="AK212" i="2"/>
  <c r="AJ212" i="2"/>
  <c r="AI212" i="2"/>
  <c r="AH212" i="2"/>
  <c r="AG212" i="2"/>
  <c r="AF212" i="2"/>
  <c r="BI211" i="2"/>
  <c r="BH211" i="2"/>
  <c r="BG211" i="2"/>
  <c r="BF211" i="2"/>
  <c r="BE211" i="2"/>
  <c r="BD211" i="2"/>
  <c r="BC211" i="2"/>
  <c r="BB211" i="2"/>
  <c r="BA211" i="2"/>
  <c r="AZ211" i="2"/>
  <c r="AY211" i="2"/>
  <c r="AX211" i="2"/>
  <c r="AW211" i="2"/>
  <c r="AV211" i="2"/>
  <c r="AU211" i="2"/>
  <c r="AT211" i="2"/>
  <c r="AS211" i="2"/>
  <c r="AR211" i="2"/>
  <c r="AQ211" i="2"/>
  <c r="AP211" i="2"/>
  <c r="AO211" i="2"/>
  <c r="AN211" i="2"/>
  <c r="AM211" i="2"/>
  <c r="AL211" i="2"/>
  <c r="AK211" i="2"/>
  <c r="AJ211" i="2"/>
  <c r="AI211" i="2"/>
  <c r="AH211" i="2"/>
  <c r="AG211" i="2"/>
  <c r="AF211" i="2"/>
  <c r="BI210" i="2"/>
  <c r="BH210" i="2"/>
  <c r="BG210" i="2"/>
  <c r="BF210" i="2"/>
  <c r="BE210" i="2"/>
  <c r="BD210" i="2"/>
  <c r="BC210" i="2"/>
  <c r="BB210" i="2"/>
  <c r="BA210" i="2"/>
  <c r="AZ210" i="2"/>
  <c r="AY210" i="2"/>
  <c r="AX210" i="2"/>
  <c r="AW210" i="2"/>
  <c r="AV210" i="2"/>
  <c r="AU210" i="2"/>
  <c r="AT210" i="2"/>
  <c r="AS210" i="2"/>
  <c r="AR210" i="2"/>
  <c r="AQ210" i="2"/>
  <c r="AP210" i="2"/>
  <c r="AO210" i="2"/>
  <c r="AN210" i="2"/>
  <c r="AM210" i="2"/>
  <c r="AL210" i="2"/>
  <c r="AK210" i="2"/>
  <c r="AJ210" i="2"/>
  <c r="AI210" i="2"/>
  <c r="AH210" i="2"/>
  <c r="AG210" i="2"/>
  <c r="AF210" i="2"/>
  <c r="BI209" i="2"/>
  <c r="BH209" i="2"/>
  <c r="BG209" i="2"/>
  <c r="BF209" i="2"/>
  <c r="BE209" i="2"/>
  <c r="BD209" i="2"/>
  <c r="BC209" i="2"/>
  <c r="BB209" i="2"/>
  <c r="BA209" i="2"/>
  <c r="AZ209" i="2"/>
  <c r="AY209" i="2"/>
  <c r="AX209" i="2"/>
  <c r="AW209" i="2"/>
  <c r="AV209" i="2"/>
  <c r="AU209" i="2"/>
  <c r="AT209" i="2"/>
  <c r="AS209" i="2"/>
  <c r="AR209" i="2"/>
  <c r="AQ209" i="2"/>
  <c r="AP209" i="2"/>
  <c r="AO209" i="2"/>
  <c r="AN209" i="2"/>
  <c r="AM209" i="2"/>
  <c r="AL209" i="2"/>
  <c r="AK209" i="2"/>
  <c r="AJ209" i="2"/>
  <c r="AI209" i="2"/>
  <c r="AH209" i="2"/>
  <c r="AG209" i="2"/>
  <c r="AF209" i="2"/>
  <c r="BI208" i="2"/>
  <c r="BH208" i="2"/>
  <c r="BG208" i="2"/>
  <c r="BF208" i="2"/>
  <c r="BE208" i="2"/>
  <c r="BD208" i="2"/>
  <c r="BC208" i="2"/>
  <c r="BB208" i="2"/>
  <c r="BA208" i="2"/>
  <c r="AZ208" i="2"/>
  <c r="AY208" i="2"/>
  <c r="AX208" i="2"/>
  <c r="AW208" i="2"/>
  <c r="AV208" i="2"/>
  <c r="AU208" i="2"/>
  <c r="AT208" i="2"/>
  <c r="AS208" i="2"/>
  <c r="AR208" i="2"/>
  <c r="AQ208" i="2"/>
  <c r="AP208" i="2"/>
  <c r="AO208" i="2"/>
  <c r="AN208" i="2"/>
  <c r="AM208" i="2"/>
  <c r="AL208" i="2"/>
  <c r="AK208" i="2"/>
  <c r="AJ208" i="2"/>
  <c r="AI208" i="2"/>
  <c r="AH208" i="2"/>
  <c r="AG208" i="2"/>
  <c r="AF208" i="2"/>
  <c r="BI207" i="2"/>
  <c r="BH207" i="2"/>
  <c r="BG207" i="2"/>
  <c r="BF207" i="2"/>
  <c r="BE207" i="2"/>
  <c r="BD207" i="2"/>
  <c r="BC207" i="2"/>
  <c r="BB207" i="2"/>
  <c r="BA207" i="2"/>
  <c r="AZ207" i="2"/>
  <c r="AY207" i="2"/>
  <c r="AX207" i="2"/>
  <c r="AW207" i="2"/>
  <c r="AV207" i="2"/>
  <c r="AU207" i="2"/>
  <c r="AT207" i="2"/>
  <c r="AS207" i="2"/>
  <c r="AR207" i="2"/>
  <c r="AQ207" i="2"/>
  <c r="AP207" i="2"/>
  <c r="AO207" i="2"/>
  <c r="AN207" i="2"/>
  <c r="AM207" i="2"/>
  <c r="AL207" i="2"/>
  <c r="AK207" i="2"/>
  <c r="AJ207" i="2"/>
  <c r="AI207" i="2"/>
  <c r="AH207" i="2"/>
  <c r="AG207" i="2"/>
  <c r="AF207" i="2"/>
  <c r="BI206" i="2"/>
  <c r="BH206" i="2"/>
  <c r="BG206" i="2"/>
  <c r="BF206" i="2"/>
  <c r="BE206" i="2"/>
  <c r="BD206" i="2"/>
  <c r="BC206" i="2"/>
  <c r="BB206" i="2"/>
  <c r="BA206" i="2"/>
  <c r="AZ206" i="2"/>
  <c r="AY206" i="2"/>
  <c r="AX206" i="2"/>
  <c r="AW206" i="2"/>
  <c r="AV206" i="2"/>
  <c r="AU206" i="2"/>
  <c r="AT206" i="2"/>
  <c r="AS206" i="2"/>
  <c r="AR206" i="2"/>
  <c r="AQ206" i="2"/>
  <c r="AP206" i="2"/>
  <c r="AO206" i="2"/>
  <c r="AN206" i="2"/>
  <c r="AM206" i="2"/>
  <c r="AL206" i="2"/>
  <c r="AK206" i="2"/>
  <c r="AJ206" i="2"/>
  <c r="AI206" i="2"/>
  <c r="AH206" i="2"/>
  <c r="AG206" i="2"/>
  <c r="AF206" i="2"/>
  <c r="BI205" i="2"/>
  <c r="BH205" i="2"/>
  <c r="BG205" i="2"/>
  <c r="BF205" i="2"/>
  <c r="BE205" i="2"/>
  <c r="BD205" i="2"/>
  <c r="BC205" i="2"/>
  <c r="BB205" i="2"/>
  <c r="BA205" i="2"/>
  <c r="AZ205" i="2"/>
  <c r="AY205" i="2"/>
  <c r="AX205" i="2"/>
  <c r="AW205" i="2"/>
  <c r="AV205" i="2"/>
  <c r="AU205" i="2"/>
  <c r="AT205" i="2"/>
  <c r="AS205" i="2"/>
  <c r="AR205" i="2"/>
  <c r="AQ205" i="2"/>
  <c r="AP205" i="2"/>
  <c r="AO205" i="2"/>
  <c r="AN205" i="2"/>
  <c r="AM205" i="2"/>
  <c r="AL205" i="2"/>
  <c r="AK205" i="2"/>
  <c r="AJ205" i="2"/>
  <c r="AI205" i="2"/>
  <c r="AH205" i="2"/>
  <c r="AG205" i="2"/>
  <c r="AF205" i="2"/>
  <c r="BI204" i="2"/>
  <c r="BH204" i="2"/>
  <c r="BG204" i="2"/>
  <c r="BF204" i="2"/>
  <c r="BE204" i="2"/>
  <c r="BD204" i="2"/>
  <c r="BC204" i="2"/>
  <c r="BB204" i="2"/>
  <c r="BA204" i="2"/>
  <c r="AZ204" i="2"/>
  <c r="AY204" i="2"/>
  <c r="AX204" i="2"/>
  <c r="AW204" i="2"/>
  <c r="AV204" i="2"/>
  <c r="AU204" i="2"/>
  <c r="AT204" i="2"/>
  <c r="AS204" i="2"/>
  <c r="AR204" i="2"/>
  <c r="AQ204" i="2"/>
  <c r="AP204" i="2"/>
  <c r="AO204" i="2"/>
  <c r="AN204" i="2"/>
  <c r="AM204" i="2"/>
  <c r="AL204" i="2"/>
  <c r="AK204" i="2"/>
  <c r="AJ204" i="2"/>
  <c r="AI204" i="2"/>
  <c r="AH204" i="2"/>
  <c r="AG204" i="2"/>
  <c r="AF204" i="2"/>
  <c r="BI203" i="2"/>
  <c r="BH203" i="2"/>
  <c r="BG203" i="2"/>
  <c r="BF203" i="2"/>
  <c r="BE203" i="2"/>
  <c r="BD203" i="2"/>
  <c r="BC203" i="2"/>
  <c r="BB203" i="2"/>
  <c r="BA203" i="2"/>
  <c r="AZ203" i="2"/>
  <c r="AY203" i="2"/>
  <c r="AX203" i="2"/>
  <c r="AW203" i="2"/>
  <c r="AV203" i="2"/>
  <c r="AU203" i="2"/>
  <c r="AT203" i="2"/>
  <c r="AS203" i="2"/>
  <c r="AR203" i="2"/>
  <c r="AQ203" i="2"/>
  <c r="AP203" i="2"/>
  <c r="AO203" i="2"/>
  <c r="AN203" i="2"/>
  <c r="AM203" i="2"/>
  <c r="AL203" i="2"/>
  <c r="AK203" i="2"/>
  <c r="AJ203" i="2"/>
  <c r="AI203" i="2"/>
  <c r="AH203" i="2"/>
  <c r="AG203" i="2"/>
  <c r="AF203" i="2"/>
  <c r="BI202" i="2"/>
  <c r="BH202" i="2"/>
  <c r="BG202" i="2"/>
  <c r="BF202" i="2"/>
  <c r="BE202" i="2"/>
  <c r="BD202" i="2"/>
  <c r="BC202" i="2"/>
  <c r="BB202" i="2"/>
  <c r="BA202" i="2"/>
  <c r="AZ202" i="2"/>
  <c r="AY202" i="2"/>
  <c r="AX202" i="2"/>
  <c r="AW202" i="2"/>
  <c r="AV202" i="2"/>
  <c r="AU202" i="2"/>
  <c r="AT202" i="2"/>
  <c r="AS202" i="2"/>
  <c r="AR202" i="2"/>
  <c r="AQ202" i="2"/>
  <c r="AP202" i="2"/>
  <c r="AO202" i="2"/>
  <c r="AN202" i="2"/>
  <c r="AM202" i="2"/>
  <c r="AL202" i="2"/>
  <c r="AK202" i="2"/>
  <c r="AJ202" i="2"/>
  <c r="AI202" i="2"/>
  <c r="AH202" i="2"/>
  <c r="AG202" i="2"/>
  <c r="AF202" i="2"/>
  <c r="BI201" i="2"/>
  <c r="BH201" i="2"/>
  <c r="BG201" i="2"/>
  <c r="BF201" i="2"/>
  <c r="BE201" i="2"/>
  <c r="BD201" i="2"/>
  <c r="BC201" i="2"/>
  <c r="BB201" i="2"/>
  <c r="BA201" i="2"/>
  <c r="AZ201" i="2"/>
  <c r="AY201" i="2"/>
  <c r="AX201" i="2"/>
  <c r="AW201" i="2"/>
  <c r="AV201" i="2"/>
  <c r="AU201" i="2"/>
  <c r="AT201" i="2"/>
  <c r="AS201" i="2"/>
  <c r="AR201" i="2"/>
  <c r="AQ201" i="2"/>
  <c r="AP201" i="2"/>
  <c r="AO201" i="2"/>
  <c r="AN201" i="2"/>
  <c r="AM201" i="2"/>
  <c r="AL201" i="2"/>
  <c r="AK201" i="2"/>
  <c r="AJ201" i="2"/>
  <c r="AI201" i="2"/>
  <c r="AH201" i="2"/>
  <c r="AG201" i="2"/>
  <c r="AF201" i="2"/>
  <c r="BI200" i="2"/>
  <c r="BH200" i="2"/>
  <c r="BG200" i="2"/>
  <c r="BF200" i="2"/>
  <c r="BE200" i="2"/>
  <c r="BD200" i="2"/>
  <c r="BC200" i="2"/>
  <c r="BB200" i="2"/>
  <c r="BA200" i="2"/>
  <c r="AZ200" i="2"/>
  <c r="AY200" i="2"/>
  <c r="AX200" i="2"/>
  <c r="AW200" i="2"/>
  <c r="AV200" i="2"/>
  <c r="AU200" i="2"/>
  <c r="AT200" i="2"/>
  <c r="AS200" i="2"/>
  <c r="AR200" i="2"/>
  <c r="AQ200" i="2"/>
  <c r="AP200" i="2"/>
  <c r="AO200" i="2"/>
  <c r="AN200" i="2"/>
  <c r="AM200" i="2"/>
  <c r="AL200" i="2"/>
  <c r="AK200" i="2"/>
  <c r="AJ200" i="2"/>
  <c r="AI200" i="2"/>
  <c r="AH200" i="2"/>
  <c r="AG200" i="2"/>
  <c r="AF200" i="2"/>
  <c r="BI199" i="2"/>
  <c r="BH199" i="2"/>
  <c r="BG199" i="2"/>
  <c r="BF199" i="2"/>
  <c r="BE199" i="2"/>
  <c r="BD199" i="2"/>
  <c r="BC199" i="2"/>
  <c r="BB199" i="2"/>
  <c r="BA199" i="2"/>
  <c r="AZ199" i="2"/>
  <c r="AY199" i="2"/>
  <c r="AX199" i="2"/>
  <c r="AW199" i="2"/>
  <c r="AV199" i="2"/>
  <c r="AU199" i="2"/>
  <c r="AT199" i="2"/>
  <c r="AS199" i="2"/>
  <c r="AR199" i="2"/>
  <c r="AQ199" i="2"/>
  <c r="AP199" i="2"/>
  <c r="AO199" i="2"/>
  <c r="AN199" i="2"/>
  <c r="AM199" i="2"/>
  <c r="AL199" i="2"/>
  <c r="AK199" i="2"/>
  <c r="AJ199" i="2"/>
  <c r="AI199" i="2"/>
  <c r="AH199" i="2"/>
  <c r="AG199" i="2"/>
  <c r="AF199" i="2"/>
  <c r="BI198" i="2"/>
  <c r="BH198" i="2"/>
  <c r="BG198" i="2"/>
  <c r="BF198" i="2"/>
  <c r="BE198" i="2"/>
  <c r="BD198" i="2"/>
  <c r="BC198" i="2"/>
  <c r="BB198" i="2"/>
  <c r="BA198" i="2"/>
  <c r="AZ198" i="2"/>
  <c r="AY198" i="2"/>
  <c r="AX198" i="2"/>
  <c r="AW198" i="2"/>
  <c r="AV198" i="2"/>
  <c r="AU198" i="2"/>
  <c r="AT198" i="2"/>
  <c r="AS198" i="2"/>
  <c r="AR198" i="2"/>
  <c r="AQ198" i="2"/>
  <c r="AP198" i="2"/>
  <c r="AO198" i="2"/>
  <c r="AN198" i="2"/>
  <c r="AM198" i="2"/>
  <c r="AL198" i="2"/>
  <c r="AK198" i="2"/>
  <c r="AJ198" i="2"/>
  <c r="AI198" i="2"/>
  <c r="AH198" i="2"/>
  <c r="AG198" i="2"/>
  <c r="AF198" i="2"/>
  <c r="BI197" i="2"/>
  <c r="BH197" i="2"/>
  <c r="BG197" i="2"/>
  <c r="BF197" i="2"/>
  <c r="BE197" i="2"/>
  <c r="BD197" i="2"/>
  <c r="BC197" i="2"/>
  <c r="BB197" i="2"/>
  <c r="BA197" i="2"/>
  <c r="AZ197" i="2"/>
  <c r="AY197" i="2"/>
  <c r="AX197" i="2"/>
  <c r="AW197" i="2"/>
  <c r="AV197" i="2"/>
  <c r="AU197" i="2"/>
  <c r="AT197" i="2"/>
  <c r="AS197" i="2"/>
  <c r="AR197" i="2"/>
  <c r="AQ197" i="2"/>
  <c r="AP197" i="2"/>
  <c r="AO197" i="2"/>
  <c r="AN197" i="2"/>
  <c r="AM197" i="2"/>
  <c r="AL197" i="2"/>
  <c r="AK197" i="2"/>
  <c r="AJ197" i="2"/>
  <c r="AI197" i="2"/>
  <c r="AH197" i="2"/>
  <c r="AG197" i="2"/>
  <c r="AF197" i="2"/>
  <c r="BI196" i="2"/>
  <c r="BH196" i="2"/>
  <c r="BG196" i="2"/>
  <c r="BF196" i="2"/>
  <c r="BE196" i="2"/>
  <c r="BD196" i="2"/>
  <c r="BC196" i="2"/>
  <c r="BB196" i="2"/>
  <c r="BA196" i="2"/>
  <c r="AZ196" i="2"/>
  <c r="AY196" i="2"/>
  <c r="AX196" i="2"/>
  <c r="AW196" i="2"/>
  <c r="AV196" i="2"/>
  <c r="AU196" i="2"/>
  <c r="AT196" i="2"/>
  <c r="AS196" i="2"/>
  <c r="AR196" i="2"/>
  <c r="AQ196" i="2"/>
  <c r="AP196" i="2"/>
  <c r="AO196" i="2"/>
  <c r="AN196" i="2"/>
  <c r="AM196" i="2"/>
  <c r="AL196" i="2"/>
  <c r="AK196" i="2"/>
  <c r="AJ196" i="2"/>
  <c r="AI196" i="2"/>
  <c r="AH196" i="2"/>
  <c r="AG196" i="2"/>
  <c r="AF196" i="2"/>
  <c r="BI195" i="2"/>
  <c r="BH195" i="2"/>
  <c r="BG195" i="2"/>
  <c r="BF195" i="2"/>
  <c r="BE195" i="2"/>
  <c r="BD195" i="2"/>
  <c r="BC195" i="2"/>
  <c r="BB195" i="2"/>
  <c r="BA195" i="2"/>
  <c r="AZ195" i="2"/>
  <c r="AY195" i="2"/>
  <c r="AX195" i="2"/>
  <c r="AW195" i="2"/>
  <c r="AV195" i="2"/>
  <c r="AU195" i="2"/>
  <c r="AT195" i="2"/>
  <c r="AS195" i="2"/>
  <c r="AR195" i="2"/>
  <c r="AQ195" i="2"/>
  <c r="AP195" i="2"/>
  <c r="AO195" i="2"/>
  <c r="AN195" i="2"/>
  <c r="AM195" i="2"/>
  <c r="AL195" i="2"/>
  <c r="AK195" i="2"/>
  <c r="AJ195" i="2"/>
  <c r="AI195" i="2"/>
  <c r="AH195" i="2"/>
  <c r="AG195" i="2"/>
  <c r="AF195" i="2"/>
  <c r="BI194" i="2"/>
  <c r="BH194" i="2"/>
  <c r="BG194" i="2"/>
  <c r="BF194" i="2"/>
  <c r="BE194" i="2"/>
  <c r="BD194" i="2"/>
  <c r="BC194" i="2"/>
  <c r="BB194" i="2"/>
  <c r="BA194" i="2"/>
  <c r="AZ194" i="2"/>
  <c r="AY194" i="2"/>
  <c r="AX194" i="2"/>
  <c r="AW194" i="2"/>
  <c r="AV194" i="2"/>
  <c r="AU194" i="2"/>
  <c r="AT194" i="2"/>
  <c r="AS194" i="2"/>
  <c r="AR194" i="2"/>
  <c r="AQ194" i="2"/>
  <c r="AP194" i="2"/>
  <c r="AO194" i="2"/>
  <c r="AN194" i="2"/>
  <c r="AM194" i="2"/>
  <c r="AL194" i="2"/>
  <c r="AK194" i="2"/>
  <c r="AJ194" i="2"/>
  <c r="AI194" i="2"/>
  <c r="AH194" i="2"/>
  <c r="AG194" i="2"/>
  <c r="AF194" i="2"/>
  <c r="BI193" i="2"/>
  <c r="BH193" i="2"/>
  <c r="BG193" i="2"/>
  <c r="BF193" i="2"/>
  <c r="BE193" i="2"/>
  <c r="BD193" i="2"/>
  <c r="BC193" i="2"/>
  <c r="BB193" i="2"/>
  <c r="BA193" i="2"/>
  <c r="AZ193" i="2"/>
  <c r="AY193" i="2"/>
  <c r="AX193" i="2"/>
  <c r="AW193" i="2"/>
  <c r="AV193" i="2"/>
  <c r="AU193" i="2"/>
  <c r="AT193" i="2"/>
  <c r="AS193" i="2"/>
  <c r="AR193" i="2"/>
  <c r="AQ193" i="2"/>
  <c r="AP193" i="2"/>
  <c r="AO193" i="2"/>
  <c r="AN193" i="2"/>
  <c r="AM193" i="2"/>
  <c r="AL193" i="2"/>
  <c r="AK193" i="2"/>
  <c r="AJ193" i="2"/>
  <c r="AI193" i="2"/>
  <c r="AH193" i="2"/>
  <c r="AG193" i="2"/>
  <c r="AF193" i="2"/>
  <c r="BI192" i="2"/>
  <c r="BH192" i="2"/>
  <c r="BG192" i="2"/>
  <c r="BF192" i="2"/>
  <c r="BE192" i="2"/>
  <c r="BD192" i="2"/>
  <c r="BC192" i="2"/>
  <c r="BB192" i="2"/>
  <c r="BA192" i="2"/>
  <c r="AZ192" i="2"/>
  <c r="AY192" i="2"/>
  <c r="AX192" i="2"/>
  <c r="AW192" i="2"/>
  <c r="AV192" i="2"/>
  <c r="AU192" i="2"/>
  <c r="AT192" i="2"/>
  <c r="AS192" i="2"/>
  <c r="AR192" i="2"/>
  <c r="AQ192" i="2"/>
  <c r="AP192" i="2"/>
  <c r="AO192" i="2"/>
  <c r="AN192" i="2"/>
  <c r="AM192" i="2"/>
  <c r="AL192" i="2"/>
  <c r="AK192" i="2"/>
  <c r="AJ192" i="2"/>
  <c r="AI192" i="2"/>
  <c r="AH192" i="2"/>
  <c r="AG192" i="2"/>
  <c r="AF192" i="2"/>
  <c r="BI191" i="2"/>
  <c r="BH191" i="2"/>
  <c r="BG191" i="2"/>
  <c r="BF191" i="2"/>
  <c r="BE191" i="2"/>
  <c r="BD191" i="2"/>
  <c r="BC191" i="2"/>
  <c r="BB191" i="2"/>
  <c r="BA191" i="2"/>
  <c r="AZ191" i="2"/>
  <c r="AY191" i="2"/>
  <c r="AX191" i="2"/>
  <c r="AW191" i="2"/>
  <c r="AV191" i="2"/>
  <c r="AU191" i="2"/>
  <c r="AT191" i="2"/>
  <c r="AS191" i="2"/>
  <c r="AR191" i="2"/>
  <c r="AQ191" i="2"/>
  <c r="AP191" i="2"/>
  <c r="AO191" i="2"/>
  <c r="AN191" i="2"/>
  <c r="AM191" i="2"/>
  <c r="AL191" i="2"/>
  <c r="AK191" i="2"/>
  <c r="AJ191" i="2"/>
  <c r="AI191" i="2"/>
  <c r="AH191" i="2"/>
  <c r="AG191" i="2"/>
  <c r="AF191" i="2"/>
  <c r="BI190" i="2"/>
  <c r="BH190" i="2"/>
  <c r="BG190" i="2"/>
  <c r="BF190" i="2"/>
  <c r="BE190" i="2"/>
  <c r="BD190" i="2"/>
  <c r="BC190" i="2"/>
  <c r="BB190" i="2"/>
  <c r="BA190" i="2"/>
  <c r="AZ190" i="2"/>
  <c r="AY190" i="2"/>
  <c r="AX190" i="2"/>
  <c r="AW190" i="2"/>
  <c r="AV190" i="2"/>
  <c r="AU190" i="2"/>
  <c r="AT190" i="2"/>
  <c r="AS190" i="2"/>
  <c r="AR190" i="2"/>
  <c r="AQ190" i="2"/>
  <c r="AP190" i="2"/>
  <c r="AO190" i="2"/>
  <c r="AN190" i="2"/>
  <c r="AM190" i="2"/>
  <c r="AL190" i="2"/>
  <c r="AK190" i="2"/>
  <c r="AJ190" i="2"/>
  <c r="AI190" i="2"/>
  <c r="AH190" i="2"/>
  <c r="AG190" i="2"/>
  <c r="AF190" i="2"/>
  <c r="BI189" i="2"/>
  <c r="BH189" i="2"/>
  <c r="BG189" i="2"/>
  <c r="BF189" i="2"/>
  <c r="BE189" i="2"/>
  <c r="BD189" i="2"/>
  <c r="BC189" i="2"/>
  <c r="BB189" i="2"/>
  <c r="BA189" i="2"/>
  <c r="AZ189" i="2"/>
  <c r="AY189" i="2"/>
  <c r="AX189" i="2"/>
  <c r="AW189" i="2"/>
  <c r="AV189" i="2"/>
  <c r="AU189" i="2"/>
  <c r="AT189" i="2"/>
  <c r="AS189" i="2"/>
  <c r="AR189" i="2"/>
  <c r="AQ189" i="2"/>
  <c r="AP189" i="2"/>
  <c r="AO189" i="2"/>
  <c r="AN189" i="2"/>
  <c r="AM189" i="2"/>
  <c r="AL189" i="2"/>
  <c r="AK189" i="2"/>
  <c r="AJ189" i="2"/>
  <c r="AI189" i="2"/>
  <c r="AH189" i="2"/>
  <c r="AG189" i="2"/>
  <c r="AF189" i="2"/>
  <c r="BI188" i="2"/>
  <c r="BH188" i="2"/>
  <c r="BG188" i="2"/>
  <c r="BF188" i="2"/>
  <c r="BE188" i="2"/>
  <c r="BD188" i="2"/>
  <c r="BC188" i="2"/>
  <c r="BB188" i="2"/>
  <c r="BA188" i="2"/>
  <c r="AZ188" i="2"/>
  <c r="AY188" i="2"/>
  <c r="AX188" i="2"/>
  <c r="AW188" i="2"/>
  <c r="AV188" i="2"/>
  <c r="AU188" i="2"/>
  <c r="AT188" i="2"/>
  <c r="AS188" i="2"/>
  <c r="AR188" i="2"/>
  <c r="AQ188" i="2"/>
  <c r="AP188" i="2"/>
  <c r="AO188" i="2"/>
  <c r="AN188" i="2"/>
  <c r="AM188" i="2"/>
  <c r="AL188" i="2"/>
  <c r="AK188" i="2"/>
  <c r="AJ188" i="2"/>
  <c r="AI188" i="2"/>
  <c r="AH188" i="2"/>
  <c r="AG188" i="2"/>
  <c r="AF188" i="2"/>
  <c r="BI187" i="2"/>
  <c r="BH187" i="2"/>
  <c r="BG187" i="2"/>
  <c r="BF187" i="2"/>
  <c r="BE187" i="2"/>
  <c r="BD187" i="2"/>
  <c r="BC187" i="2"/>
  <c r="BB187" i="2"/>
  <c r="BA187" i="2"/>
  <c r="AZ187" i="2"/>
  <c r="AY187" i="2"/>
  <c r="AX187" i="2"/>
  <c r="AW187" i="2"/>
  <c r="AV187" i="2"/>
  <c r="AU187" i="2"/>
  <c r="AT187" i="2"/>
  <c r="AS187" i="2"/>
  <c r="AR187" i="2"/>
  <c r="AQ187" i="2"/>
  <c r="AP187" i="2"/>
  <c r="AO187" i="2"/>
  <c r="AN187" i="2"/>
  <c r="AM187" i="2"/>
  <c r="AL187" i="2"/>
  <c r="AK187" i="2"/>
  <c r="AJ187" i="2"/>
  <c r="AI187" i="2"/>
  <c r="AH187" i="2"/>
  <c r="AG187" i="2"/>
  <c r="AF187" i="2"/>
  <c r="BI186" i="2"/>
  <c r="BH186" i="2"/>
  <c r="BG186" i="2"/>
  <c r="BF186" i="2"/>
  <c r="BE186" i="2"/>
  <c r="BD186" i="2"/>
  <c r="BC186" i="2"/>
  <c r="BB186" i="2"/>
  <c r="BA186" i="2"/>
  <c r="AZ186" i="2"/>
  <c r="AY186" i="2"/>
  <c r="AX186" i="2"/>
  <c r="AW186" i="2"/>
  <c r="AV186" i="2"/>
  <c r="AU186" i="2"/>
  <c r="AT186" i="2"/>
  <c r="AS186" i="2"/>
  <c r="AR186" i="2"/>
  <c r="AQ186" i="2"/>
  <c r="AP186" i="2"/>
  <c r="AO186" i="2"/>
  <c r="AN186" i="2"/>
  <c r="AM186" i="2"/>
  <c r="AL186" i="2"/>
  <c r="AK186" i="2"/>
  <c r="AJ186" i="2"/>
  <c r="AI186" i="2"/>
  <c r="AH186" i="2"/>
  <c r="AG186" i="2"/>
  <c r="AF186" i="2"/>
  <c r="BI185" i="2"/>
  <c r="BH185" i="2"/>
  <c r="BG185" i="2"/>
  <c r="BF185" i="2"/>
  <c r="BE185" i="2"/>
  <c r="BD185" i="2"/>
  <c r="BC185" i="2"/>
  <c r="BB185" i="2"/>
  <c r="BA185" i="2"/>
  <c r="AZ185" i="2"/>
  <c r="AY185" i="2"/>
  <c r="AX185" i="2"/>
  <c r="AW185" i="2"/>
  <c r="AV185" i="2"/>
  <c r="AU185" i="2"/>
  <c r="AT185" i="2"/>
  <c r="AS185" i="2"/>
  <c r="AR185" i="2"/>
  <c r="AQ185" i="2"/>
  <c r="AP185" i="2"/>
  <c r="AO185" i="2"/>
  <c r="AN185" i="2"/>
  <c r="AM185" i="2"/>
  <c r="AL185" i="2"/>
  <c r="AK185" i="2"/>
  <c r="AJ185" i="2"/>
  <c r="AI185" i="2"/>
  <c r="AH185" i="2"/>
  <c r="AG185" i="2"/>
  <c r="AF185" i="2"/>
  <c r="BI184" i="2"/>
  <c r="BH184" i="2"/>
  <c r="BG184" i="2"/>
  <c r="BF184" i="2"/>
  <c r="BE184" i="2"/>
  <c r="BD184" i="2"/>
  <c r="BC184" i="2"/>
  <c r="BB184" i="2"/>
  <c r="BA184" i="2"/>
  <c r="AZ184" i="2"/>
  <c r="AY184" i="2"/>
  <c r="AX184" i="2"/>
  <c r="AW184" i="2"/>
  <c r="AV184" i="2"/>
  <c r="AU184" i="2"/>
  <c r="AT184" i="2"/>
  <c r="AS184" i="2"/>
  <c r="AR184" i="2"/>
  <c r="AQ184" i="2"/>
  <c r="AP184" i="2"/>
  <c r="AO184" i="2"/>
  <c r="AN184" i="2"/>
  <c r="AM184" i="2"/>
  <c r="AL184" i="2"/>
  <c r="AK184" i="2"/>
  <c r="AJ184" i="2"/>
  <c r="AI184" i="2"/>
  <c r="AH184" i="2"/>
  <c r="AG184" i="2"/>
  <c r="AF184" i="2"/>
  <c r="BI183" i="2"/>
  <c r="BH183" i="2"/>
  <c r="BG183" i="2"/>
  <c r="BF183" i="2"/>
  <c r="BE183" i="2"/>
  <c r="BD183" i="2"/>
  <c r="BC183" i="2"/>
  <c r="BB183" i="2"/>
  <c r="BA183" i="2"/>
  <c r="AZ183" i="2"/>
  <c r="AY183" i="2"/>
  <c r="AX183" i="2"/>
  <c r="AW183" i="2"/>
  <c r="AV183" i="2"/>
  <c r="AU183" i="2"/>
  <c r="AT183" i="2"/>
  <c r="AS183" i="2"/>
  <c r="AR183" i="2"/>
  <c r="AQ183" i="2"/>
  <c r="AP183" i="2"/>
  <c r="AO183" i="2"/>
  <c r="AN183" i="2"/>
  <c r="AM183" i="2"/>
  <c r="AL183" i="2"/>
  <c r="AK183" i="2"/>
  <c r="AJ183" i="2"/>
  <c r="AI183" i="2"/>
  <c r="AH183" i="2"/>
  <c r="AG183" i="2"/>
  <c r="AF183" i="2"/>
  <c r="BI182" i="2"/>
  <c r="BH182" i="2"/>
  <c r="BG182" i="2"/>
  <c r="BF182" i="2"/>
  <c r="BE182" i="2"/>
  <c r="BD182" i="2"/>
  <c r="BC182" i="2"/>
  <c r="BB182" i="2"/>
  <c r="BA182" i="2"/>
  <c r="AZ182" i="2"/>
  <c r="AY182" i="2"/>
  <c r="AX182" i="2"/>
  <c r="AW182" i="2"/>
  <c r="AV182" i="2"/>
  <c r="AU182" i="2"/>
  <c r="AT182" i="2"/>
  <c r="AS182" i="2"/>
  <c r="AR182" i="2"/>
  <c r="AQ182" i="2"/>
  <c r="AP182" i="2"/>
  <c r="AO182" i="2"/>
  <c r="AN182" i="2"/>
  <c r="AM182" i="2"/>
  <c r="AL182" i="2"/>
  <c r="AK182" i="2"/>
  <c r="AJ182" i="2"/>
  <c r="AI182" i="2"/>
  <c r="AH182" i="2"/>
  <c r="AG182" i="2"/>
  <c r="AF182" i="2"/>
  <c r="BI181" i="2"/>
  <c r="BH181" i="2"/>
  <c r="BG181" i="2"/>
  <c r="BF181" i="2"/>
  <c r="BE181" i="2"/>
  <c r="BD181" i="2"/>
  <c r="BC181" i="2"/>
  <c r="BB181" i="2"/>
  <c r="BA181" i="2"/>
  <c r="AZ181" i="2"/>
  <c r="AY181" i="2"/>
  <c r="AX181" i="2"/>
  <c r="AW181" i="2"/>
  <c r="AV181" i="2"/>
  <c r="AU181" i="2"/>
  <c r="AT181" i="2"/>
  <c r="AS181" i="2"/>
  <c r="AR181" i="2"/>
  <c r="AQ181" i="2"/>
  <c r="AP181" i="2"/>
  <c r="AO181" i="2"/>
  <c r="AN181" i="2"/>
  <c r="AM181" i="2"/>
  <c r="AL181" i="2"/>
  <c r="AK181" i="2"/>
  <c r="AJ181" i="2"/>
  <c r="AI181" i="2"/>
  <c r="AH181" i="2"/>
  <c r="AG181" i="2"/>
  <c r="AF181" i="2"/>
  <c r="BI180" i="2"/>
  <c r="BH180" i="2"/>
  <c r="BG180" i="2"/>
  <c r="BF180" i="2"/>
  <c r="BE180" i="2"/>
  <c r="BD180" i="2"/>
  <c r="BC180" i="2"/>
  <c r="BB180" i="2"/>
  <c r="BA180" i="2"/>
  <c r="AZ180" i="2"/>
  <c r="AY180" i="2"/>
  <c r="AX180" i="2"/>
  <c r="AW180" i="2"/>
  <c r="AV180" i="2"/>
  <c r="AU180" i="2"/>
  <c r="AT180" i="2"/>
  <c r="AS180" i="2"/>
  <c r="AR180" i="2"/>
  <c r="AQ180" i="2"/>
  <c r="AP180" i="2"/>
  <c r="AO180" i="2"/>
  <c r="AN180" i="2"/>
  <c r="AM180" i="2"/>
  <c r="AL180" i="2"/>
  <c r="AK180" i="2"/>
  <c r="AJ180" i="2"/>
  <c r="AI180" i="2"/>
  <c r="AH180" i="2"/>
  <c r="AG180" i="2"/>
  <c r="AF180" i="2"/>
  <c r="BI179" i="2"/>
  <c r="BH179" i="2"/>
  <c r="BG179" i="2"/>
  <c r="BF179" i="2"/>
  <c r="BE179" i="2"/>
  <c r="BD179" i="2"/>
  <c r="BC179" i="2"/>
  <c r="BB179" i="2"/>
  <c r="BA179" i="2"/>
  <c r="AZ179" i="2"/>
  <c r="AY179" i="2"/>
  <c r="AX179" i="2"/>
  <c r="AW179" i="2"/>
  <c r="AV179" i="2"/>
  <c r="AU179" i="2"/>
  <c r="AT179" i="2"/>
  <c r="AS179" i="2"/>
  <c r="AR179" i="2"/>
  <c r="AQ179" i="2"/>
  <c r="AP179" i="2"/>
  <c r="AO179" i="2"/>
  <c r="AN179" i="2"/>
  <c r="AM179" i="2"/>
  <c r="AL179" i="2"/>
  <c r="AK179" i="2"/>
  <c r="AJ179" i="2"/>
  <c r="AI179" i="2"/>
  <c r="AH179" i="2"/>
  <c r="AG179" i="2"/>
  <c r="AF179" i="2"/>
  <c r="BI178" i="2"/>
  <c r="BH178" i="2"/>
  <c r="BG178" i="2"/>
  <c r="BF178" i="2"/>
  <c r="BE178" i="2"/>
  <c r="BD178" i="2"/>
  <c r="BC178" i="2"/>
  <c r="BB178" i="2"/>
  <c r="BA178" i="2"/>
  <c r="AZ178" i="2"/>
  <c r="AY178" i="2"/>
  <c r="AX178" i="2"/>
  <c r="AW178" i="2"/>
  <c r="AV178" i="2"/>
  <c r="AU178" i="2"/>
  <c r="AT178" i="2"/>
  <c r="AS178" i="2"/>
  <c r="AR178" i="2"/>
  <c r="AQ178" i="2"/>
  <c r="AP178" i="2"/>
  <c r="AO178" i="2"/>
  <c r="AN178" i="2"/>
  <c r="AM178" i="2"/>
  <c r="AL178" i="2"/>
  <c r="AK178" i="2"/>
  <c r="AJ178" i="2"/>
  <c r="AI178" i="2"/>
  <c r="AH178" i="2"/>
  <c r="AG178" i="2"/>
  <c r="AF178" i="2"/>
  <c r="BI177" i="2"/>
  <c r="BH177" i="2"/>
  <c r="BG177" i="2"/>
  <c r="BF177" i="2"/>
  <c r="BE177" i="2"/>
  <c r="BD177" i="2"/>
  <c r="BC177" i="2"/>
  <c r="BB177" i="2"/>
  <c r="BA177" i="2"/>
  <c r="AZ177" i="2"/>
  <c r="AY177" i="2"/>
  <c r="AX177" i="2"/>
  <c r="AW177" i="2"/>
  <c r="AV177" i="2"/>
  <c r="AU177" i="2"/>
  <c r="AT177" i="2"/>
  <c r="AS177" i="2"/>
  <c r="AR177" i="2"/>
  <c r="AQ177" i="2"/>
  <c r="AP177" i="2"/>
  <c r="AO177" i="2"/>
  <c r="AN177" i="2"/>
  <c r="AM177" i="2"/>
  <c r="AL177" i="2"/>
  <c r="AK177" i="2"/>
  <c r="AJ177" i="2"/>
  <c r="AI177" i="2"/>
  <c r="AH177" i="2"/>
  <c r="AG177" i="2"/>
  <c r="AF177" i="2"/>
  <c r="BI176" i="2"/>
  <c r="BH176" i="2"/>
  <c r="BG176" i="2"/>
  <c r="BF176" i="2"/>
  <c r="BE176" i="2"/>
  <c r="BD176" i="2"/>
  <c r="BC176" i="2"/>
  <c r="BB176" i="2"/>
  <c r="BA176" i="2"/>
  <c r="AZ176" i="2"/>
  <c r="AY176" i="2"/>
  <c r="AX176" i="2"/>
  <c r="AW176" i="2"/>
  <c r="AV176" i="2"/>
  <c r="AU176" i="2"/>
  <c r="AT176" i="2"/>
  <c r="AS176" i="2"/>
  <c r="AR176" i="2"/>
  <c r="AQ176" i="2"/>
  <c r="AP176" i="2"/>
  <c r="AO176" i="2"/>
  <c r="AN176" i="2"/>
  <c r="AM176" i="2"/>
  <c r="AL176" i="2"/>
  <c r="AK176" i="2"/>
  <c r="AJ176" i="2"/>
  <c r="AI176" i="2"/>
  <c r="AH176" i="2"/>
  <c r="AG176" i="2"/>
  <c r="AF176" i="2"/>
  <c r="BI175" i="2"/>
  <c r="BH175" i="2"/>
  <c r="BG175" i="2"/>
  <c r="BF175" i="2"/>
  <c r="BE175" i="2"/>
  <c r="BD175" i="2"/>
  <c r="BC175" i="2"/>
  <c r="BB175" i="2"/>
  <c r="BA175" i="2"/>
  <c r="AZ175" i="2"/>
  <c r="AY175" i="2"/>
  <c r="AX175" i="2"/>
  <c r="AW175" i="2"/>
  <c r="AV175" i="2"/>
  <c r="AU175" i="2"/>
  <c r="AT175" i="2"/>
  <c r="AS175" i="2"/>
  <c r="AR175" i="2"/>
  <c r="AQ175" i="2"/>
  <c r="AP175" i="2"/>
  <c r="AO175" i="2"/>
  <c r="AN175" i="2"/>
  <c r="AM175" i="2"/>
  <c r="AL175" i="2"/>
  <c r="AK175" i="2"/>
  <c r="AJ175" i="2"/>
  <c r="AI175" i="2"/>
  <c r="AH175" i="2"/>
  <c r="AG175" i="2"/>
  <c r="AF175" i="2"/>
  <c r="BI174" i="2"/>
  <c r="BH174" i="2"/>
  <c r="BG174" i="2"/>
  <c r="BF174" i="2"/>
  <c r="BE174" i="2"/>
  <c r="BD174" i="2"/>
  <c r="BC174" i="2"/>
  <c r="BB174" i="2"/>
  <c r="BA174" i="2"/>
  <c r="AZ174" i="2"/>
  <c r="AY174" i="2"/>
  <c r="AX174" i="2"/>
  <c r="AW174" i="2"/>
  <c r="AV174" i="2"/>
  <c r="AU174" i="2"/>
  <c r="AT174" i="2"/>
  <c r="AS174" i="2"/>
  <c r="AR174" i="2"/>
  <c r="AQ174" i="2"/>
  <c r="AP174" i="2"/>
  <c r="AO174" i="2"/>
  <c r="AN174" i="2"/>
  <c r="AM174" i="2"/>
  <c r="AL174" i="2"/>
  <c r="AK174" i="2"/>
  <c r="AJ174" i="2"/>
  <c r="AI174" i="2"/>
  <c r="AH174" i="2"/>
  <c r="AG174" i="2"/>
  <c r="AF174" i="2"/>
  <c r="BI173" i="2"/>
  <c r="BH173" i="2"/>
  <c r="BG173" i="2"/>
  <c r="BF173" i="2"/>
  <c r="BE173" i="2"/>
  <c r="BD173" i="2"/>
  <c r="BC173" i="2"/>
  <c r="BB173" i="2"/>
  <c r="BA173" i="2"/>
  <c r="AZ173" i="2"/>
  <c r="AY173" i="2"/>
  <c r="AX173" i="2"/>
  <c r="AW173" i="2"/>
  <c r="AV173" i="2"/>
  <c r="AU173" i="2"/>
  <c r="AT173" i="2"/>
  <c r="AS173" i="2"/>
  <c r="AR173" i="2"/>
  <c r="AQ173" i="2"/>
  <c r="AP173" i="2"/>
  <c r="AO173" i="2"/>
  <c r="AN173" i="2"/>
  <c r="AM173" i="2"/>
  <c r="AL173" i="2"/>
  <c r="AK173" i="2"/>
  <c r="AJ173" i="2"/>
  <c r="AI173" i="2"/>
  <c r="AH173" i="2"/>
  <c r="AG173" i="2"/>
  <c r="AF173" i="2"/>
  <c r="BI172" i="2"/>
  <c r="BH172" i="2"/>
  <c r="BG172" i="2"/>
  <c r="BF172" i="2"/>
  <c r="BE172" i="2"/>
  <c r="BD172" i="2"/>
  <c r="BC172" i="2"/>
  <c r="BB172" i="2"/>
  <c r="BA172" i="2"/>
  <c r="AZ172" i="2"/>
  <c r="AY172" i="2"/>
  <c r="AX172" i="2"/>
  <c r="AW172" i="2"/>
  <c r="AV172" i="2"/>
  <c r="AU172" i="2"/>
  <c r="AT172" i="2"/>
  <c r="AS172" i="2"/>
  <c r="AR172" i="2"/>
  <c r="AQ172" i="2"/>
  <c r="AP172" i="2"/>
  <c r="AO172" i="2"/>
  <c r="AN172" i="2"/>
  <c r="AM172" i="2"/>
  <c r="AL172" i="2"/>
  <c r="AK172" i="2"/>
  <c r="AJ172" i="2"/>
  <c r="AI172" i="2"/>
  <c r="AH172" i="2"/>
  <c r="AG172" i="2"/>
  <c r="AF172" i="2"/>
  <c r="BI171" i="2"/>
  <c r="BH171" i="2"/>
  <c r="BG171" i="2"/>
  <c r="BF171" i="2"/>
  <c r="BE171" i="2"/>
  <c r="BD171" i="2"/>
  <c r="BC171" i="2"/>
  <c r="BB171" i="2"/>
  <c r="BA171" i="2"/>
  <c r="AZ171" i="2"/>
  <c r="AY171" i="2"/>
  <c r="AX171" i="2"/>
  <c r="AW171" i="2"/>
  <c r="AV171" i="2"/>
  <c r="AU171" i="2"/>
  <c r="AT171" i="2"/>
  <c r="AS171" i="2"/>
  <c r="AR171" i="2"/>
  <c r="AQ171" i="2"/>
  <c r="AP171" i="2"/>
  <c r="AO171" i="2"/>
  <c r="AN171" i="2"/>
  <c r="AM171" i="2"/>
  <c r="AL171" i="2"/>
  <c r="AK171" i="2"/>
  <c r="AJ171" i="2"/>
  <c r="AI171" i="2"/>
  <c r="AH171" i="2"/>
  <c r="AG171" i="2"/>
  <c r="AF171" i="2"/>
  <c r="BI170" i="2"/>
  <c r="BH170" i="2"/>
  <c r="BG170" i="2"/>
  <c r="BF170" i="2"/>
  <c r="BE170" i="2"/>
  <c r="BD170" i="2"/>
  <c r="BC170" i="2"/>
  <c r="BB170" i="2"/>
  <c r="BA170" i="2"/>
  <c r="AZ170" i="2"/>
  <c r="AY170" i="2"/>
  <c r="AX170" i="2"/>
  <c r="AW170" i="2"/>
  <c r="AV170" i="2"/>
  <c r="AU170" i="2"/>
  <c r="AT170" i="2"/>
  <c r="AS170" i="2"/>
  <c r="AR170" i="2"/>
  <c r="AQ170" i="2"/>
  <c r="AP170" i="2"/>
  <c r="AO170" i="2"/>
  <c r="AN170" i="2"/>
  <c r="AM170" i="2"/>
  <c r="AL170" i="2"/>
  <c r="AK170" i="2"/>
  <c r="AJ170" i="2"/>
  <c r="AI170" i="2"/>
  <c r="AH170" i="2"/>
  <c r="AG170" i="2"/>
  <c r="AF170" i="2"/>
  <c r="BI169" i="2"/>
  <c r="BH169" i="2"/>
  <c r="BG169" i="2"/>
  <c r="BF169" i="2"/>
  <c r="BE169" i="2"/>
  <c r="BD169" i="2"/>
  <c r="BC169" i="2"/>
  <c r="BB169" i="2"/>
  <c r="BA169" i="2"/>
  <c r="AZ169" i="2"/>
  <c r="AY169" i="2"/>
  <c r="AX169" i="2"/>
  <c r="AW169" i="2"/>
  <c r="AV169" i="2"/>
  <c r="AU169" i="2"/>
  <c r="AT169" i="2"/>
  <c r="AS169" i="2"/>
  <c r="AR169" i="2"/>
  <c r="AQ169" i="2"/>
  <c r="AP169" i="2"/>
  <c r="AO169" i="2"/>
  <c r="AN169" i="2"/>
  <c r="AM169" i="2"/>
  <c r="AL169" i="2"/>
  <c r="AK169" i="2"/>
  <c r="AJ169" i="2"/>
  <c r="AI169" i="2"/>
  <c r="AH169" i="2"/>
  <c r="AG169" i="2"/>
  <c r="AF169" i="2"/>
  <c r="BI168" i="2"/>
  <c r="BH168" i="2"/>
  <c r="BG168" i="2"/>
  <c r="BF168" i="2"/>
  <c r="BE168" i="2"/>
  <c r="BD168" i="2"/>
  <c r="BC168" i="2"/>
  <c r="BB168" i="2"/>
  <c r="BA168" i="2"/>
  <c r="AZ168" i="2"/>
  <c r="AY168" i="2"/>
  <c r="AX168" i="2"/>
  <c r="AW168" i="2"/>
  <c r="AV168" i="2"/>
  <c r="AU168" i="2"/>
  <c r="AT168" i="2"/>
  <c r="AS168" i="2"/>
  <c r="AR168" i="2"/>
  <c r="AQ168" i="2"/>
  <c r="AP168" i="2"/>
  <c r="AO168" i="2"/>
  <c r="AN168" i="2"/>
  <c r="AM168" i="2"/>
  <c r="AL168" i="2"/>
  <c r="AK168" i="2"/>
  <c r="AJ168" i="2"/>
  <c r="AI168" i="2"/>
  <c r="AH168" i="2"/>
  <c r="AG168" i="2"/>
  <c r="AF168" i="2"/>
  <c r="BI167" i="2"/>
  <c r="BH167" i="2"/>
  <c r="BG167" i="2"/>
  <c r="BF167" i="2"/>
  <c r="BE167" i="2"/>
  <c r="BD167" i="2"/>
  <c r="BC167" i="2"/>
  <c r="BB167" i="2"/>
  <c r="BA167" i="2"/>
  <c r="AZ167" i="2"/>
  <c r="AY167" i="2"/>
  <c r="AX167" i="2"/>
  <c r="AW167" i="2"/>
  <c r="AV167" i="2"/>
  <c r="AU167" i="2"/>
  <c r="AT167" i="2"/>
  <c r="AS167" i="2"/>
  <c r="AR167" i="2"/>
  <c r="AQ167" i="2"/>
  <c r="AP167" i="2"/>
  <c r="AO167" i="2"/>
  <c r="AN167" i="2"/>
  <c r="AM167" i="2"/>
  <c r="AL167" i="2"/>
  <c r="AK167" i="2"/>
  <c r="AJ167" i="2"/>
  <c r="AI167" i="2"/>
  <c r="AH167" i="2"/>
  <c r="AG167" i="2"/>
  <c r="AF167" i="2"/>
  <c r="BI166" i="2"/>
  <c r="BH166" i="2"/>
  <c r="BG166" i="2"/>
  <c r="BF166" i="2"/>
  <c r="BE166" i="2"/>
  <c r="BD166" i="2"/>
  <c r="BC166" i="2"/>
  <c r="BB166" i="2"/>
  <c r="BA166" i="2"/>
  <c r="AZ166" i="2"/>
  <c r="AY166" i="2"/>
  <c r="AX166" i="2"/>
  <c r="AW166" i="2"/>
  <c r="AV166" i="2"/>
  <c r="AU166" i="2"/>
  <c r="AT166" i="2"/>
  <c r="AS166" i="2"/>
  <c r="AR166" i="2"/>
  <c r="AQ166" i="2"/>
  <c r="AP166" i="2"/>
  <c r="AO166" i="2"/>
  <c r="AN166" i="2"/>
  <c r="AM166" i="2"/>
  <c r="AL166" i="2"/>
  <c r="AK166" i="2"/>
  <c r="AJ166" i="2"/>
  <c r="AI166" i="2"/>
  <c r="AH166" i="2"/>
  <c r="AG166" i="2"/>
  <c r="AF166" i="2"/>
  <c r="BI165" i="2"/>
  <c r="BH165" i="2"/>
  <c r="BG165" i="2"/>
  <c r="BF165" i="2"/>
  <c r="BE165" i="2"/>
  <c r="BD165" i="2"/>
  <c r="BC165" i="2"/>
  <c r="BB165" i="2"/>
  <c r="BA165" i="2"/>
  <c r="AZ165" i="2"/>
  <c r="AY165" i="2"/>
  <c r="AX165" i="2"/>
  <c r="AW165" i="2"/>
  <c r="AV165" i="2"/>
  <c r="AU165" i="2"/>
  <c r="AT165" i="2"/>
  <c r="AS165" i="2"/>
  <c r="AR165" i="2"/>
  <c r="AQ165" i="2"/>
  <c r="AP165" i="2"/>
  <c r="AO165" i="2"/>
  <c r="AN165" i="2"/>
  <c r="AM165" i="2"/>
  <c r="AL165" i="2"/>
  <c r="AK165" i="2"/>
  <c r="AJ165" i="2"/>
  <c r="AI165" i="2"/>
  <c r="AH165" i="2"/>
  <c r="AG165" i="2"/>
  <c r="AF165" i="2"/>
  <c r="BI164" i="2"/>
  <c r="BH164" i="2"/>
  <c r="BG164" i="2"/>
  <c r="BF164" i="2"/>
  <c r="BE164" i="2"/>
  <c r="BD164" i="2"/>
  <c r="BC164" i="2"/>
  <c r="BB164" i="2"/>
  <c r="BA164" i="2"/>
  <c r="AZ164" i="2"/>
  <c r="AY164" i="2"/>
  <c r="AX164" i="2"/>
  <c r="AW164" i="2"/>
  <c r="AV164" i="2"/>
  <c r="AU164" i="2"/>
  <c r="AT164" i="2"/>
  <c r="AS164" i="2"/>
  <c r="AR164" i="2"/>
  <c r="AQ164" i="2"/>
  <c r="AP164" i="2"/>
  <c r="AO164" i="2"/>
  <c r="AN164" i="2"/>
  <c r="AM164" i="2"/>
  <c r="AL164" i="2"/>
  <c r="AK164" i="2"/>
  <c r="AJ164" i="2"/>
  <c r="AI164" i="2"/>
  <c r="AH164" i="2"/>
  <c r="AG164" i="2"/>
  <c r="AF164" i="2"/>
  <c r="BI163" i="2"/>
  <c r="BH163" i="2"/>
  <c r="BG163" i="2"/>
  <c r="BF163" i="2"/>
  <c r="BE163" i="2"/>
  <c r="BD163" i="2"/>
  <c r="BC163" i="2"/>
  <c r="BB163" i="2"/>
  <c r="BA163" i="2"/>
  <c r="AZ163" i="2"/>
  <c r="AY163" i="2"/>
  <c r="AX163" i="2"/>
  <c r="AW163" i="2"/>
  <c r="AV163" i="2"/>
  <c r="AU163" i="2"/>
  <c r="AT163" i="2"/>
  <c r="AS163" i="2"/>
  <c r="AR163" i="2"/>
  <c r="AQ163" i="2"/>
  <c r="AP163" i="2"/>
  <c r="AO163" i="2"/>
  <c r="AN163" i="2"/>
  <c r="AM163" i="2"/>
  <c r="AL163" i="2"/>
  <c r="AK163" i="2"/>
  <c r="AJ163" i="2"/>
  <c r="AI163" i="2"/>
  <c r="AH163" i="2"/>
  <c r="AG163" i="2"/>
  <c r="AF163" i="2"/>
  <c r="BI162" i="2"/>
  <c r="BH162" i="2"/>
  <c r="BG162" i="2"/>
  <c r="BF162" i="2"/>
  <c r="BE162" i="2"/>
  <c r="BD162" i="2"/>
  <c r="BC162" i="2"/>
  <c r="BB162" i="2"/>
  <c r="BA162" i="2"/>
  <c r="AZ162" i="2"/>
  <c r="AY162" i="2"/>
  <c r="AX162" i="2"/>
  <c r="AW162" i="2"/>
  <c r="AV162" i="2"/>
  <c r="AU162" i="2"/>
  <c r="AT162" i="2"/>
  <c r="AS162" i="2"/>
  <c r="AR162" i="2"/>
  <c r="AQ162" i="2"/>
  <c r="AP162" i="2"/>
  <c r="AO162" i="2"/>
  <c r="AN162" i="2"/>
  <c r="AM162" i="2"/>
  <c r="AL162" i="2"/>
  <c r="AK162" i="2"/>
  <c r="AJ162" i="2"/>
  <c r="AI162" i="2"/>
  <c r="AH162" i="2"/>
  <c r="AG162" i="2"/>
  <c r="AF162" i="2"/>
  <c r="BI161" i="2"/>
  <c r="BH161" i="2"/>
  <c r="BG161" i="2"/>
  <c r="BF161" i="2"/>
  <c r="BE161" i="2"/>
  <c r="BD161" i="2"/>
  <c r="BC161" i="2"/>
  <c r="BB161" i="2"/>
  <c r="BA161" i="2"/>
  <c r="AZ161" i="2"/>
  <c r="AY161" i="2"/>
  <c r="AX161" i="2"/>
  <c r="AW161" i="2"/>
  <c r="AV161" i="2"/>
  <c r="AU161" i="2"/>
  <c r="AT161" i="2"/>
  <c r="AS161" i="2"/>
  <c r="AR161" i="2"/>
  <c r="AQ161" i="2"/>
  <c r="AP161" i="2"/>
  <c r="AO161" i="2"/>
  <c r="AN161" i="2"/>
  <c r="AM161" i="2"/>
  <c r="AL161" i="2"/>
  <c r="AK161" i="2"/>
  <c r="AJ161" i="2"/>
  <c r="AI161" i="2"/>
  <c r="AH161" i="2"/>
  <c r="AG161" i="2"/>
  <c r="AF161" i="2"/>
  <c r="BI160" i="2"/>
  <c r="BH160" i="2"/>
  <c r="BG160" i="2"/>
  <c r="BF160" i="2"/>
  <c r="BE160" i="2"/>
  <c r="BD160" i="2"/>
  <c r="BC160" i="2"/>
  <c r="BB160" i="2"/>
  <c r="BA160" i="2"/>
  <c r="AZ160" i="2"/>
  <c r="AY160" i="2"/>
  <c r="AX160" i="2"/>
  <c r="AW160" i="2"/>
  <c r="AV160" i="2"/>
  <c r="AU160" i="2"/>
  <c r="AT160" i="2"/>
  <c r="AS160" i="2"/>
  <c r="AR160" i="2"/>
  <c r="AQ160" i="2"/>
  <c r="AP160" i="2"/>
  <c r="AO160" i="2"/>
  <c r="AN160" i="2"/>
  <c r="AM160" i="2"/>
  <c r="AL160" i="2"/>
  <c r="AK160" i="2"/>
  <c r="AJ160" i="2"/>
  <c r="AI160" i="2"/>
  <c r="AH160" i="2"/>
  <c r="AG160" i="2"/>
  <c r="AF160" i="2"/>
  <c r="BI159" i="2"/>
  <c r="BH159" i="2"/>
  <c r="BG159" i="2"/>
  <c r="BF159" i="2"/>
  <c r="BE159" i="2"/>
  <c r="BD159" i="2"/>
  <c r="BC159" i="2"/>
  <c r="BB159" i="2"/>
  <c r="BA159" i="2"/>
  <c r="AZ159" i="2"/>
  <c r="AY159" i="2"/>
  <c r="AX159" i="2"/>
  <c r="AW159" i="2"/>
  <c r="AV159" i="2"/>
  <c r="AU159" i="2"/>
  <c r="AT159" i="2"/>
  <c r="AS159" i="2"/>
  <c r="AR159" i="2"/>
  <c r="AQ159" i="2"/>
  <c r="AP159" i="2"/>
  <c r="AO159" i="2"/>
  <c r="AN159" i="2"/>
  <c r="AM159" i="2"/>
  <c r="AL159" i="2"/>
  <c r="AK159" i="2"/>
  <c r="AJ159" i="2"/>
  <c r="AI159" i="2"/>
  <c r="AH159" i="2"/>
  <c r="AG159" i="2"/>
  <c r="AF159" i="2"/>
  <c r="BI158" i="2"/>
  <c r="BH158" i="2"/>
  <c r="BG158" i="2"/>
  <c r="BF158" i="2"/>
  <c r="BE158" i="2"/>
  <c r="BD158" i="2"/>
  <c r="BC158" i="2"/>
  <c r="BB158" i="2"/>
  <c r="BA158" i="2"/>
  <c r="AZ158" i="2"/>
  <c r="AY158" i="2"/>
  <c r="AX158" i="2"/>
  <c r="AW158" i="2"/>
  <c r="AV158" i="2"/>
  <c r="AU158" i="2"/>
  <c r="AT158" i="2"/>
  <c r="AS158" i="2"/>
  <c r="AR158" i="2"/>
  <c r="AQ158" i="2"/>
  <c r="AP158" i="2"/>
  <c r="AO158" i="2"/>
  <c r="AN158" i="2"/>
  <c r="AM158" i="2"/>
  <c r="AL158" i="2"/>
  <c r="AK158" i="2"/>
  <c r="AJ158" i="2"/>
  <c r="AI158" i="2"/>
  <c r="AH158" i="2"/>
  <c r="AG158" i="2"/>
  <c r="AF158" i="2"/>
  <c r="BI157" i="2"/>
  <c r="BH157" i="2"/>
  <c r="BG157" i="2"/>
  <c r="BF157" i="2"/>
  <c r="BE157" i="2"/>
  <c r="BD157" i="2"/>
  <c r="BC157" i="2"/>
  <c r="BB157" i="2"/>
  <c r="BA157" i="2"/>
  <c r="AZ157" i="2"/>
  <c r="AY157" i="2"/>
  <c r="AX157" i="2"/>
  <c r="AW157" i="2"/>
  <c r="AV157" i="2"/>
  <c r="AU157" i="2"/>
  <c r="AT157" i="2"/>
  <c r="AS157" i="2"/>
  <c r="AR157" i="2"/>
  <c r="AQ157" i="2"/>
  <c r="AP157" i="2"/>
  <c r="AO157" i="2"/>
  <c r="AN157" i="2"/>
  <c r="AM157" i="2"/>
  <c r="AL157" i="2"/>
  <c r="AK157" i="2"/>
  <c r="AJ157" i="2"/>
  <c r="AI157" i="2"/>
  <c r="AH157" i="2"/>
  <c r="AG157" i="2"/>
  <c r="AF157" i="2"/>
  <c r="BI156" i="2"/>
  <c r="BH156" i="2"/>
  <c r="BG156" i="2"/>
  <c r="BF156" i="2"/>
  <c r="BE156" i="2"/>
  <c r="BD156" i="2"/>
  <c r="BC156" i="2"/>
  <c r="BB156" i="2"/>
  <c r="BA156" i="2"/>
  <c r="AZ156" i="2"/>
  <c r="AY156" i="2"/>
  <c r="AX156" i="2"/>
  <c r="AW156" i="2"/>
  <c r="AV156" i="2"/>
  <c r="AU156" i="2"/>
  <c r="AT156" i="2"/>
  <c r="AS156" i="2"/>
  <c r="AR156" i="2"/>
  <c r="AQ156" i="2"/>
  <c r="AP156" i="2"/>
  <c r="AO156" i="2"/>
  <c r="AN156" i="2"/>
  <c r="AM156" i="2"/>
  <c r="AL156" i="2"/>
  <c r="AK156" i="2"/>
  <c r="AJ156" i="2"/>
  <c r="AI156" i="2"/>
  <c r="AH156" i="2"/>
  <c r="AG156" i="2"/>
  <c r="AF156" i="2"/>
  <c r="BI155" i="2"/>
  <c r="BH155" i="2"/>
  <c r="BG155" i="2"/>
  <c r="BF155" i="2"/>
  <c r="BE155" i="2"/>
  <c r="BD155" i="2"/>
  <c r="BC155" i="2"/>
  <c r="BB155" i="2"/>
  <c r="BA155" i="2"/>
  <c r="AZ155" i="2"/>
  <c r="AY155" i="2"/>
  <c r="AX155" i="2"/>
  <c r="AW155" i="2"/>
  <c r="AV155" i="2"/>
  <c r="AU155" i="2"/>
  <c r="AT155" i="2"/>
  <c r="AS155" i="2"/>
  <c r="AR155" i="2"/>
  <c r="AQ155" i="2"/>
  <c r="AP155" i="2"/>
  <c r="AO155" i="2"/>
  <c r="AN155" i="2"/>
  <c r="AM155" i="2"/>
  <c r="AL155" i="2"/>
  <c r="AK155" i="2"/>
  <c r="AJ155" i="2"/>
  <c r="AI155" i="2"/>
  <c r="AH155" i="2"/>
  <c r="AG155" i="2"/>
  <c r="AF155" i="2"/>
  <c r="BI154" i="2"/>
  <c r="BH154" i="2"/>
  <c r="BG154" i="2"/>
  <c r="BF154" i="2"/>
  <c r="BE154" i="2"/>
  <c r="BD154" i="2"/>
  <c r="BC154" i="2"/>
  <c r="BB154" i="2"/>
  <c r="BA154" i="2"/>
  <c r="AZ154" i="2"/>
  <c r="AY154" i="2"/>
  <c r="AX154" i="2"/>
  <c r="AW154" i="2"/>
  <c r="AV154" i="2"/>
  <c r="AU154" i="2"/>
  <c r="AT154" i="2"/>
  <c r="AS154" i="2"/>
  <c r="AR154" i="2"/>
  <c r="AQ154" i="2"/>
  <c r="AP154" i="2"/>
  <c r="AO154" i="2"/>
  <c r="AN154" i="2"/>
  <c r="AM154" i="2"/>
  <c r="AL154" i="2"/>
  <c r="AK154" i="2"/>
  <c r="AJ154" i="2"/>
  <c r="AI154" i="2"/>
  <c r="AH154" i="2"/>
  <c r="AG154" i="2"/>
  <c r="AF154" i="2"/>
  <c r="BI153" i="2"/>
  <c r="BH153" i="2"/>
  <c r="BG153" i="2"/>
  <c r="BF153" i="2"/>
  <c r="BE153" i="2"/>
  <c r="BD153" i="2"/>
  <c r="BC153" i="2"/>
  <c r="BB153" i="2"/>
  <c r="BA153" i="2"/>
  <c r="AZ153" i="2"/>
  <c r="AY153" i="2"/>
  <c r="AX153" i="2"/>
  <c r="AW153" i="2"/>
  <c r="AV153" i="2"/>
  <c r="AU153" i="2"/>
  <c r="AT153" i="2"/>
  <c r="AS153" i="2"/>
  <c r="AR153" i="2"/>
  <c r="AQ153" i="2"/>
  <c r="AP153" i="2"/>
  <c r="AO153" i="2"/>
  <c r="AN153" i="2"/>
  <c r="AM153" i="2"/>
  <c r="AL153" i="2"/>
  <c r="AK153" i="2"/>
  <c r="AJ153" i="2"/>
  <c r="AI153" i="2"/>
  <c r="AH153" i="2"/>
  <c r="AG153" i="2"/>
  <c r="AF153" i="2"/>
  <c r="BI152" i="2"/>
  <c r="BH152" i="2"/>
  <c r="BG152" i="2"/>
  <c r="BF152" i="2"/>
  <c r="BE152" i="2"/>
  <c r="BD152" i="2"/>
  <c r="BC152" i="2"/>
  <c r="BB152" i="2"/>
  <c r="BA152" i="2"/>
  <c r="AZ152" i="2"/>
  <c r="AY152" i="2"/>
  <c r="AX152" i="2"/>
  <c r="AW152" i="2"/>
  <c r="AV152" i="2"/>
  <c r="AU152" i="2"/>
  <c r="AT152" i="2"/>
  <c r="AS152" i="2"/>
  <c r="AR152" i="2"/>
  <c r="AQ152" i="2"/>
  <c r="AP152" i="2"/>
  <c r="AO152" i="2"/>
  <c r="AN152" i="2"/>
  <c r="AM152" i="2"/>
  <c r="AL152" i="2"/>
  <c r="AK152" i="2"/>
  <c r="AJ152" i="2"/>
  <c r="AI152" i="2"/>
  <c r="AH152" i="2"/>
  <c r="AG152" i="2"/>
  <c r="AF152" i="2"/>
  <c r="BI151" i="2"/>
  <c r="BH151" i="2"/>
  <c r="BG151" i="2"/>
  <c r="BF151" i="2"/>
  <c r="BE151" i="2"/>
  <c r="BD151" i="2"/>
  <c r="BC151" i="2"/>
  <c r="BB151" i="2"/>
  <c r="BA151" i="2"/>
  <c r="AZ151" i="2"/>
  <c r="AY151" i="2"/>
  <c r="AX151" i="2"/>
  <c r="AW151" i="2"/>
  <c r="AV151" i="2"/>
  <c r="AU151" i="2"/>
  <c r="AT151" i="2"/>
  <c r="AS151" i="2"/>
  <c r="AR151" i="2"/>
  <c r="AQ151" i="2"/>
  <c r="AP151" i="2"/>
  <c r="AO151" i="2"/>
  <c r="AN151" i="2"/>
  <c r="AM151" i="2"/>
  <c r="AL151" i="2"/>
  <c r="AK151" i="2"/>
  <c r="AJ151" i="2"/>
  <c r="AI151" i="2"/>
  <c r="AH151" i="2"/>
  <c r="AG151" i="2"/>
  <c r="AF151" i="2"/>
  <c r="BI150" i="2"/>
  <c r="BH150" i="2"/>
  <c r="BG150" i="2"/>
  <c r="BF150" i="2"/>
  <c r="BE150" i="2"/>
  <c r="BD150" i="2"/>
  <c r="BC150" i="2"/>
  <c r="BB150" i="2"/>
  <c r="BA150" i="2"/>
  <c r="AZ150" i="2"/>
  <c r="AY150" i="2"/>
  <c r="AX150" i="2"/>
  <c r="AW150" i="2"/>
  <c r="AV150" i="2"/>
  <c r="AU150" i="2"/>
  <c r="AT150" i="2"/>
  <c r="AS150" i="2"/>
  <c r="AR150" i="2"/>
  <c r="AQ150" i="2"/>
  <c r="AP150" i="2"/>
  <c r="AO150" i="2"/>
  <c r="AN150" i="2"/>
  <c r="AM150" i="2"/>
  <c r="AL150" i="2"/>
  <c r="AK150" i="2"/>
  <c r="AJ150" i="2"/>
  <c r="AI150" i="2"/>
  <c r="AH150" i="2"/>
  <c r="AG150" i="2"/>
  <c r="AF150" i="2"/>
  <c r="BI149" i="2"/>
  <c r="BH149" i="2"/>
  <c r="BG149" i="2"/>
  <c r="BF149" i="2"/>
  <c r="BE149" i="2"/>
  <c r="BD149" i="2"/>
  <c r="BC149" i="2"/>
  <c r="BB149" i="2"/>
  <c r="BA149" i="2"/>
  <c r="AZ149" i="2"/>
  <c r="AY149" i="2"/>
  <c r="AX149" i="2"/>
  <c r="AW149" i="2"/>
  <c r="AV149" i="2"/>
  <c r="AU149" i="2"/>
  <c r="AT149" i="2"/>
  <c r="AS149" i="2"/>
  <c r="AR149" i="2"/>
  <c r="AQ149" i="2"/>
  <c r="AP149" i="2"/>
  <c r="AO149" i="2"/>
  <c r="AN149" i="2"/>
  <c r="AM149" i="2"/>
  <c r="AL149" i="2"/>
  <c r="AK149" i="2"/>
  <c r="AJ149" i="2"/>
  <c r="AI149" i="2"/>
  <c r="AH149" i="2"/>
  <c r="AG149" i="2"/>
  <c r="AF149" i="2"/>
  <c r="BI148" i="2"/>
  <c r="BH148" i="2"/>
  <c r="BG148" i="2"/>
  <c r="BF148" i="2"/>
  <c r="BE148" i="2"/>
  <c r="BD148" i="2"/>
  <c r="BC148" i="2"/>
  <c r="BB148" i="2"/>
  <c r="BA148" i="2"/>
  <c r="AZ148" i="2"/>
  <c r="AY148" i="2"/>
  <c r="AX148" i="2"/>
  <c r="AW148" i="2"/>
  <c r="AV148" i="2"/>
  <c r="AU148" i="2"/>
  <c r="AT148" i="2"/>
  <c r="AS148" i="2"/>
  <c r="AR148" i="2"/>
  <c r="AQ148" i="2"/>
  <c r="AP148" i="2"/>
  <c r="AO148" i="2"/>
  <c r="AN148" i="2"/>
  <c r="AM148" i="2"/>
  <c r="AL148" i="2"/>
  <c r="AK148" i="2"/>
  <c r="AJ148" i="2"/>
  <c r="AI148" i="2"/>
  <c r="AH148" i="2"/>
  <c r="AG148" i="2"/>
  <c r="AF148" i="2"/>
  <c r="BI147" i="2"/>
  <c r="BH147" i="2"/>
  <c r="BG147" i="2"/>
  <c r="BF147" i="2"/>
  <c r="BE147" i="2"/>
  <c r="BD147" i="2"/>
  <c r="BC147" i="2"/>
  <c r="BB147" i="2"/>
  <c r="BA147" i="2"/>
  <c r="AZ147" i="2"/>
  <c r="AY147" i="2"/>
  <c r="AX147" i="2"/>
  <c r="AW147" i="2"/>
  <c r="AV147" i="2"/>
  <c r="AU147" i="2"/>
  <c r="AT147" i="2"/>
  <c r="AS147" i="2"/>
  <c r="AR147" i="2"/>
  <c r="AQ147" i="2"/>
  <c r="AP147" i="2"/>
  <c r="AO147" i="2"/>
  <c r="AN147" i="2"/>
  <c r="AM147" i="2"/>
  <c r="AL147" i="2"/>
  <c r="AK147" i="2"/>
  <c r="AJ147" i="2"/>
  <c r="AI147" i="2"/>
  <c r="AH147" i="2"/>
  <c r="AG147" i="2"/>
  <c r="AF147" i="2"/>
  <c r="BI146" i="2"/>
  <c r="BH146" i="2"/>
  <c r="BG146" i="2"/>
  <c r="BF146" i="2"/>
  <c r="BE146" i="2"/>
  <c r="BD146" i="2"/>
  <c r="BC146" i="2"/>
  <c r="BB146" i="2"/>
  <c r="BA146" i="2"/>
  <c r="AZ146" i="2"/>
  <c r="AY146" i="2"/>
  <c r="AX146" i="2"/>
  <c r="AW146" i="2"/>
  <c r="AV146" i="2"/>
  <c r="AU146" i="2"/>
  <c r="AT146" i="2"/>
  <c r="AS146" i="2"/>
  <c r="AR146" i="2"/>
  <c r="AQ146" i="2"/>
  <c r="AP146" i="2"/>
  <c r="AO146" i="2"/>
  <c r="AN146" i="2"/>
  <c r="AM146" i="2"/>
  <c r="AL146" i="2"/>
  <c r="AK146" i="2"/>
  <c r="AJ146" i="2"/>
  <c r="AI146" i="2"/>
  <c r="AH146" i="2"/>
  <c r="AG146" i="2"/>
  <c r="AF146" i="2"/>
  <c r="BI145" i="2"/>
  <c r="BH145" i="2"/>
  <c r="BG145" i="2"/>
  <c r="BF145" i="2"/>
  <c r="BE145" i="2"/>
  <c r="BD145" i="2"/>
  <c r="BC145" i="2"/>
  <c r="BB145" i="2"/>
  <c r="BA145" i="2"/>
  <c r="AZ145" i="2"/>
  <c r="AY145" i="2"/>
  <c r="AX145" i="2"/>
  <c r="AW145" i="2"/>
  <c r="AV145" i="2"/>
  <c r="AU145" i="2"/>
  <c r="AT145" i="2"/>
  <c r="AS145" i="2"/>
  <c r="AR145" i="2"/>
  <c r="AQ145" i="2"/>
  <c r="AP145" i="2"/>
  <c r="AO145" i="2"/>
  <c r="AN145" i="2"/>
  <c r="AM145" i="2"/>
  <c r="AL145" i="2"/>
  <c r="AK145" i="2"/>
  <c r="AJ145" i="2"/>
  <c r="AI145" i="2"/>
  <c r="AH145" i="2"/>
  <c r="AG145" i="2"/>
  <c r="AF145" i="2"/>
  <c r="BI144" i="2"/>
  <c r="BH144" i="2"/>
  <c r="BG144" i="2"/>
  <c r="BF144" i="2"/>
  <c r="BE144" i="2"/>
  <c r="BD144" i="2"/>
  <c r="BC144" i="2"/>
  <c r="BB144" i="2"/>
  <c r="BA144" i="2"/>
  <c r="AZ144" i="2"/>
  <c r="AY144" i="2"/>
  <c r="AX144" i="2"/>
  <c r="AW144" i="2"/>
  <c r="AV144" i="2"/>
  <c r="AU144" i="2"/>
  <c r="AT144" i="2"/>
  <c r="AS144" i="2"/>
  <c r="AR144" i="2"/>
  <c r="AQ144" i="2"/>
  <c r="AP144" i="2"/>
  <c r="AO144" i="2"/>
  <c r="AN144" i="2"/>
  <c r="AM144" i="2"/>
  <c r="AL144" i="2"/>
  <c r="AK144" i="2"/>
  <c r="AJ144" i="2"/>
  <c r="AI144" i="2"/>
  <c r="AH144" i="2"/>
  <c r="AG144" i="2"/>
  <c r="AF144" i="2"/>
  <c r="BI143" i="2"/>
  <c r="BH143" i="2"/>
  <c r="BG143" i="2"/>
  <c r="BF143" i="2"/>
  <c r="BE143" i="2"/>
  <c r="BD143" i="2"/>
  <c r="BC143" i="2"/>
  <c r="BB143" i="2"/>
  <c r="BA143" i="2"/>
  <c r="AZ143" i="2"/>
  <c r="AY143" i="2"/>
  <c r="AX143" i="2"/>
  <c r="AW143" i="2"/>
  <c r="AV143" i="2"/>
  <c r="AU143" i="2"/>
  <c r="AT143" i="2"/>
  <c r="AS143" i="2"/>
  <c r="AR143" i="2"/>
  <c r="AQ143" i="2"/>
  <c r="AP143" i="2"/>
  <c r="AO143" i="2"/>
  <c r="AN143" i="2"/>
  <c r="AM143" i="2"/>
  <c r="AL143" i="2"/>
  <c r="AK143" i="2"/>
  <c r="AJ143" i="2"/>
  <c r="AI143" i="2"/>
  <c r="AH143" i="2"/>
  <c r="AG143" i="2"/>
  <c r="AF143" i="2"/>
  <c r="BI142" i="2"/>
  <c r="BH142" i="2"/>
  <c r="BG142" i="2"/>
  <c r="BF142" i="2"/>
  <c r="BE142" i="2"/>
  <c r="BD142" i="2"/>
  <c r="BC142" i="2"/>
  <c r="BB142" i="2"/>
  <c r="BA142" i="2"/>
  <c r="AZ142" i="2"/>
  <c r="AY142" i="2"/>
  <c r="AX142" i="2"/>
  <c r="AW142" i="2"/>
  <c r="AV142" i="2"/>
  <c r="AU142" i="2"/>
  <c r="AT142" i="2"/>
  <c r="AS142" i="2"/>
  <c r="AR142" i="2"/>
  <c r="AQ142" i="2"/>
  <c r="AP142" i="2"/>
  <c r="AO142" i="2"/>
  <c r="AN142" i="2"/>
  <c r="AM142" i="2"/>
  <c r="AL142" i="2"/>
  <c r="AK142" i="2"/>
  <c r="AJ142" i="2"/>
  <c r="AI142" i="2"/>
  <c r="AH142" i="2"/>
  <c r="AG142" i="2"/>
  <c r="AF142" i="2"/>
  <c r="BI141" i="2"/>
  <c r="BH141" i="2"/>
  <c r="BG141" i="2"/>
  <c r="BF141" i="2"/>
  <c r="BE141" i="2"/>
  <c r="BD141" i="2"/>
  <c r="BC141" i="2"/>
  <c r="BB141" i="2"/>
  <c r="BA141" i="2"/>
  <c r="AZ141" i="2"/>
  <c r="AY141" i="2"/>
  <c r="AX141" i="2"/>
  <c r="AW141" i="2"/>
  <c r="AV141" i="2"/>
  <c r="AU141" i="2"/>
  <c r="AT141" i="2"/>
  <c r="AS141" i="2"/>
  <c r="AR141" i="2"/>
  <c r="AQ141" i="2"/>
  <c r="AP141" i="2"/>
  <c r="AO141" i="2"/>
  <c r="AN141" i="2"/>
  <c r="AM141" i="2"/>
  <c r="AL141" i="2"/>
  <c r="AK141" i="2"/>
  <c r="AJ141" i="2"/>
  <c r="AI141" i="2"/>
  <c r="AH141" i="2"/>
  <c r="AG141" i="2"/>
  <c r="AF141" i="2"/>
  <c r="BI140" i="2"/>
  <c r="BH140" i="2"/>
  <c r="BG140" i="2"/>
  <c r="BF140" i="2"/>
  <c r="BE140" i="2"/>
  <c r="BD140" i="2"/>
  <c r="BC140" i="2"/>
  <c r="BB140" i="2"/>
  <c r="BA140" i="2"/>
  <c r="AZ140" i="2"/>
  <c r="AY140" i="2"/>
  <c r="AX140" i="2"/>
  <c r="AW140" i="2"/>
  <c r="AV140" i="2"/>
  <c r="AU140" i="2"/>
  <c r="AT140" i="2"/>
  <c r="AS140" i="2"/>
  <c r="AR140" i="2"/>
  <c r="AQ140" i="2"/>
  <c r="AP140" i="2"/>
  <c r="AO140" i="2"/>
  <c r="AN140" i="2"/>
  <c r="AM140" i="2"/>
  <c r="AL140" i="2"/>
  <c r="AK140" i="2"/>
  <c r="AJ140" i="2"/>
  <c r="AI140" i="2"/>
  <c r="AH140" i="2"/>
  <c r="AG140" i="2"/>
  <c r="AF140" i="2"/>
  <c r="BI139" i="2"/>
  <c r="BH139" i="2"/>
  <c r="BG139" i="2"/>
  <c r="BF139" i="2"/>
  <c r="BE139" i="2"/>
  <c r="BD139" i="2"/>
  <c r="BC139" i="2"/>
  <c r="BB139" i="2"/>
  <c r="BA139" i="2"/>
  <c r="AZ139" i="2"/>
  <c r="AY139" i="2"/>
  <c r="AX139" i="2"/>
  <c r="AW139" i="2"/>
  <c r="AV139" i="2"/>
  <c r="AU139" i="2"/>
  <c r="AT139" i="2"/>
  <c r="AS139" i="2"/>
  <c r="AR139" i="2"/>
  <c r="AQ139" i="2"/>
  <c r="AP139" i="2"/>
  <c r="AO139" i="2"/>
  <c r="AN139" i="2"/>
  <c r="AM139" i="2"/>
  <c r="AL139" i="2"/>
  <c r="AK139" i="2"/>
  <c r="AJ139" i="2"/>
  <c r="AI139" i="2"/>
  <c r="AH139" i="2"/>
  <c r="AG139" i="2"/>
  <c r="AF139" i="2"/>
  <c r="BI138" i="2"/>
  <c r="BH138" i="2"/>
  <c r="BG138" i="2"/>
  <c r="BF138" i="2"/>
  <c r="BE138" i="2"/>
  <c r="BD138" i="2"/>
  <c r="BC138" i="2"/>
  <c r="BB138" i="2"/>
  <c r="BA138" i="2"/>
  <c r="AZ138" i="2"/>
  <c r="AY138" i="2"/>
  <c r="AX138" i="2"/>
  <c r="AW138" i="2"/>
  <c r="AV138" i="2"/>
  <c r="AU138" i="2"/>
  <c r="AT138" i="2"/>
  <c r="AS138" i="2"/>
  <c r="AR138" i="2"/>
  <c r="AQ138" i="2"/>
  <c r="AP138" i="2"/>
  <c r="AO138" i="2"/>
  <c r="AN138" i="2"/>
  <c r="AM138" i="2"/>
  <c r="AL138" i="2"/>
  <c r="AK138" i="2"/>
  <c r="AJ138" i="2"/>
  <c r="AI138" i="2"/>
  <c r="AH138" i="2"/>
  <c r="AG138" i="2"/>
  <c r="AF138" i="2"/>
  <c r="BI137" i="2"/>
  <c r="BH137" i="2"/>
  <c r="BG137" i="2"/>
  <c r="BF137" i="2"/>
  <c r="BE137" i="2"/>
  <c r="BD137" i="2"/>
  <c r="BC137" i="2"/>
  <c r="BB137" i="2"/>
  <c r="BA137" i="2"/>
  <c r="AZ137" i="2"/>
  <c r="AY137" i="2"/>
  <c r="AX137" i="2"/>
  <c r="AW137" i="2"/>
  <c r="AV137" i="2"/>
  <c r="AU137" i="2"/>
  <c r="AT137" i="2"/>
  <c r="AS137" i="2"/>
  <c r="AR137" i="2"/>
  <c r="AQ137" i="2"/>
  <c r="AP137" i="2"/>
  <c r="AO137" i="2"/>
  <c r="AN137" i="2"/>
  <c r="AM137" i="2"/>
  <c r="AL137" i="2"/>
  <c r="AK137" i="2"/>
  <c r="AJ137" i="2"/>
  <c r="AI137" i="2"/>
  <c r="AH137" i="2"/>
  <c r="AG137" i="2"/>
  <c r="AF137" i="2"/>
  <c r="BI136" i="2"/>
  <c r="BH136" i="2"/>
  <c r="BG136" i="2"/>
  <c r="BF136" i="2"/>
  <c r="BE136" i="2"/>
  <c r="BD136" i="2"/>
  <c r="BC136" i="2"/>
  <c r="BB136" i="2"/>
  <c r="BA136" i="2"/>
  <c r="AZ136" i="2"/>
  <c r="AY136" i="2"/>
  <c r="AX136" i="2"/>
  <c r="AW136" i="2"/>
  <c r="AV136" i="2"/>
  <c r="AU136" i="2"/>
  <c r="AT136" i="2"/>
  <c r="AS136" i="2"/>
  <c r="AR136" i="2"/>
  <c r="AQ136" i="2"/>
  <c r="AP136" i="2"/>
  <c r="AO136" i="2"/>
  <c r="AN136" i="2"/>
  <c r="AM136" i="2"/>
  <c r="AL136" i="2"/>
  <c r="AK136" i="2"/>
  <c r="AJ136" i="2"/>
  <c r="AI136" i="2"/>
  <c r="AH136" i="2"/>
  <c r="AG136" i="2"/>
  <c r="AF136" i="2"/>
  <c r="BI135" i="2"/>
  <c r="BH135" i="2"/>
  <c r="BG135" i="2"/>
  <c r="BF135" i="2"/>
  <c r="BE135" i="2"/>
  <c r="BD135" i="2"/>
  <c r="BC135" i="2"/>
  <c r="BB135" i="2"/>
  <c r="BA135" i="2"/>
  <c r="AZ135" i="2"/>
  <c r="AY135" i="2"/>
  <c r="AX135" i="2"/>
  <c r="AW135" i="2"/>
  <c r="AV135" i="2"/>
  <c r="AU135" i="2"/>
  <c r="AT135" i="2"/>
  <c r="AS135" i="2"/>
  <c r="AR135" i="2"/>
  <c r="AQ135" i="2"/>
  <c r="AP135" i="2"/>
  <c r="AO135" i="2"/>
  <c r="AN135" i="2"/>
  <c r="AM135" i="2"/>
  <c r="AL135" i="2"/>
  <c r="AK135" i="2"/>
  <c r="AJ135" i="2"/>
  <c r="AI135" i="2"/>
  <c r="AH135" i="2"/>
  <c r="AG135" i="2"/>
  <c r="AF135" i="2"/>
  <c r="BI134" i="2"/>
  <c r="BH134" i="2"/>
  <c r="BG134" i="2"/>
  <c r="BF134" i="2"/>
  <c r="BE134" i="2"/>
  <c r="BD134" i="2"/>
  <c r="BC134" i="2"/>
  <c r="BB134" i="2"/>
  <c r="BA134" i="2"/>
  <c r="AZ134" i="2"/>
  <c r="AY134" i="2"/>
  <c r="AX134" i="2"/>
  <c r="AW134" i="2"/>
  <c r="AV134" i="2"/>
  <c r="AU134" i="2"/>
  <c r="AT134" i="2"/>
  <c r="AS134" i="2"/>
  <c r="AR134" i="2"/>
  <c r="AQ134" i="2"/>
  <c r="AP134" i="2"/>
  <c r="AO134" i="2"/>
  <c r="AN134" i="2"/>
  <c r="AM134" i="2"/>
  <c r="AL134" i="2"/>
  <c r="AK134" i="2"/>
  <c r="AJ134" i="2"/>
  <c r="AI134" i="2"/>
  <c r="AH134" i="2"/>
  <c r="AG134" i="2"/>
  <c r="AF134" i="2"/>
  <c r="BI133" i="2"/>
  <c r="BH133" i="2"/>
  <c r="BG133" i="2"/>
  <c r="BF133" i="2"/>
  <c r="BE133" i="2"/>
  <c r="BD133" i="2"/>
  <c r="BC133" i="2"/>
  <c r="BB133" i="2"/>
  <c r="BA133" i="2"/>
  <c r="AZ133" i="2"/>
  <c r="AY133" i="2"/>
  <c r="AX133" i="2"/>
  <c r="AW133" i="2"/>
  <c r="AV133" i="2"/>
  <c r="AU133" i="2"/>
  <c r="AT133" i="2"/>
  <c r="AS133" i="2"/>
  <c r="AR133" i="2"/>
  <c r="AQ133" i="2"/>
  <c r="AP133" i="2"/>
  <c r="AO133" i="2"/>
  <c r="AN133" i="2"/>
  <c r="AM133" i="2"/>
  <c r="AL133" i="2"/>
  <c r="AK133" i="2"/>
  <c r="AJ133" i="2"/>
  <c r="AI133" i="2"/>
  <c r="AH133" i="2"/>
  <c r="AG133" i="2"/>
  <c r="AF133" i="2"/>
  <c r="BI132" i="2"/>
  <c r="BH132" i="2"/>
  <c r="BG132" i="2"/>
  <c r="BF132" i="2"/>
  <c r="BE132" i="2"/>
  <c r="BD132" i="2"/>
  <c r="BC132" i="2"/>
  <c r="BB132" i="2"/>
  <c r="BA132" i="2"/>
  <c r="AZ132" i="2"/>
  <c r="AY132" i="2"/>
  <c r="AX132" i="2"/>
  <c r="AW132" i="2"/>
  <c r="AV132" i="2"/>
  <c r="AU132" i="2"/>
  <c r="AT132" i="2"/>
  <c r="AS132" i="2"/>
  <c r="AR132" i="2"/>
  <c r="AQ132" i="2"/>
  <c r="AP132" i="2"/>
  <c r="AO132" i="2"/>
  <c r="AN132" i="2"/>
  <c r="AM132" i="2"/>
  <c r="AL132" i="2"/>
  <c r="AK132" i="2"/>
  <c r="AJ132" i="2"/>
  <c r="AI132" i="2"/>
  <c r="AH132" i="2"/>
  <c r="AG132" i="2"/>
  <c r="AF132" i="2"/>
  <c r="BI131" i="2"/>
  <c r="BH131" i="2"/>
  <c r="BG131" i="2"/>
  <c r="BF131" i="2"/>
  <c r="BE131" i="2"/>
  <c r="BD131" i="2"/>
  <c r="BC131" i="2"/>
  <c r="BB131" i="2"/>
  <c r="BA131" i="2"/>
  <c r="AZ131" i="2"/>
  <c r="AY131" i="2"/>
  <c r="AX131" i="2"/>
  <c r="AW131" i="2"/>
  <c r="AV131" i="2"/>
  <c r="AU131" i="2"/>
  <c r="AT131" i="2"/>
  <c r="AS131" i="2"/>
  <c r="AR131" i="2"/>
  <c r="AQ131" i="2"/>
  <c r="AP131" i="2"/>
  <c r="AO131" i="2"/>
  <c r="AN131" i="2"/>
  <c r="AM131" i="2"/>
  <c r="AL131" i="2"/>
  <c r="AK131" i="2"/>
  <c r="AJ131" i="2"/>
  <c r="AI131" i="2"/>
  <c r="AH131" i="2"/>
  <c r="AG131" i="2"/>
  <c r="AF131" i="2"/>
  <c r="BI130" i="2"/>
  <c r="BH130" i="2"/>
  <c r="BG130" i="2"/>
  <c r="BF130" i="2"/>
  <c r="BE130" i="2"/>
  <c r="BD130" i="2"/>
  <c r="BC130" i="2"/>
  <c r="BB130" i="2"/>
  <c r="BA130" i="2"/>
  <c r="AZ130" i="2"/>
  <c r="AY130" i="2"/>
  <c r="AX130" i="2"/>
  <c r="AW130" i="2"/>
  <c r="AV130" i="2"/>
  <c r="AU130" i="2"/>
  <c r="AT130" i="2"/>
  <c r="AS130" i="2"/>
  <c r="AR130" i="2"/>
  <c r="AQ130" i="2"/>
  <c r="AP130" i="2"/>
  <c r="AO130" i="2"/>
  <c r="AN130" i="2"/>
  <c r="AM130" i="2"/>
  <c r="AL130" i="2"/>
  <c r="AK130" i="2"/>
  <c r="AJ130" i="2"/>
  <c r="AI130" i="2"/>
  <c r="AH130" i="2"/>
  <c r="AG130" i="2"/>
  <c r="AF130" i="2"/>
  <c r="BI129" i="2"/>
  <c r="BH129" i="2"/>
  <c r="BG129" i="2"/>
  <c r="BF129" i="2"/>
  <c r="BE129" i="2"/>
  <c r="BD129" i="2"/>
  <c r="BC129" i="2"/>
  <c r="BB129" i="2"/>
  <c r="BA129" i="2"/>
  <c r="AZ129" i="2"/>
  <c r="AY129" i="2"/>
  <c r="AX129" i="2"/>
  <c r="AW129" i="2"/>
  <c r="AV129" i="2"/>
  <c r="AU129" i="2"/>
  <c r="AT129" i="2"/>
  <c r="AS129" i="2"/>
  <c r="AR129" i="2"/>
  <c r="AQ129" i="2"/>
  <c r="AP129" i="2"/>
  <c r="AO129" i="2"/>
  <c r="AN129" i="2"/>
  <c r="AM129" i="2"/>
  <c r="AL129" i="2"/>
  <c r="AK129" i="2"/>
  <c r="AJ129" i="2"/>
  <c r="AI129" i="2"/>
  <c r="AH129" i="2"/>
  <c r="AG129" i="2"/>
  <c r="AF129" i="2"/>
  <c r="BI128" i="2"/>
  <c r="BH128" i="2"/>
  <c r="BG128" i="2"/>
  <c r="BF128" i="2"/>
  <c r="BE128" i="2"/>
  <c r="BD128" i="2"/>
  <c r="BC128" i="2"/>
  <c r="BB128" i="2"/>
  <c r="BA128" i="2"/>
  <c r="AZ128" i="2"/>
  <c r="AY128" i="2"/>
  <c r="AX128" i="2"/>
  <c r="AW128" i="2"/>
  <c r="AV128" i="2"/>
  <c r="AU128" i="2"/>
  <c r="AT128" i="2"/>
  <c r="AS128" i="2"/>
  <c r="AR128" i="2"/>
  <c r="AQ128" i="2"/>
  <c r="AP128" i="2"/>
  <c r="AO128" i="2"/>
  <c r="AN128" i="2"/>
  <c r="AM128" i="2"/>
  <c r="AL128" i="2"/>
  <c r="AK128" i="2"/>
  <c r="AJ128" i="2"/>
  <c r="AI128" i="2"/>
  <c r="AH128" i="2"/>
  <c r="AG128" i="2"/>
  <c r="AF128" i="2"/>
  <c r="BI127" i="2"/>
  <c r="BH127" i="2"/>
  <c r="BG127" i="2"/>
  <c r="BF127" i="2"/>
  <c r="BE127" i="2"/>
  <c r="BD127" i="2"/>
  <c r="BC127" i="2"/>
  <c r="BB127" i="2"/>
  <c r="BA127" i="2"/>
  <c r="AZ127" i="2"/>
  <c r="AY127" i="2"/>
  <c r="AX127" i="2"/>
  <c r="AW127" i="2"/>
  <c r="AV127" i="2"/>
  <c r="AU127" i="2"/>
  <c r="AT127" i="2"/>
  <c r="AS127" i="2"/>
  <c r="AR127" i="2"/>
  <c r="AQ127" i="2"/>
  <c r="AP127" i="2"/>
  <c r="AO127" i="2"/>
  <c r="AN127" i="2"/>
  <c r="AM127" i="2"/>
  <c r="AL127" i="2"/>
  <c r="AK127" i="2"/>
  <c r="AJ127" i="2"/>
  <c r="AI127" i="2"/>
  <c r="AH127" i="2"/>
  <c r="AG127" i="2"/>
  <c r="AF127" i="2"/>
  <c r="BI126" i="2"/>
  <c r="BH126" i="2"/>
  <c r="BG126" i="2"/>
  <c r="BF126" i="2"/>
  <c r="BE126" i="2"/>
  <c r="BD126" i="2"/>
  <c r="BC126" i="2"/>
  <c r="BB126" i="2"/>
  <c r="BA126" i="2"/>
  <c r="AZ126" i="2"/>
  <c r="AY126" i="2"/>
  <c r="AX126" i="2"/>
  <c r="AW126" i="2"/>
  <c r="AV126" i="2"/>
  <c r="AU126" i="2"/>
  <c r="AT126" i="2"/>
  <c r="AS126" i="2"/>
  <c r="AR126" i="2"/>
  <c r="AQ126" i="2"/>
  <c r="AP126" i="2"/>
  <c r="AO126" i="2"/>
  <c r="AN126" i="2"/>
  <c r="AM126" i="2"/>
  <c r="AL126" i="2"/>
  <c r="AK126" i="2"/>
  <c r="AJ126" i="2"/>
  <c r="AI126" i="2"/>
  <c r="AH126" i="2"/>
  <c r="AG126" i="2"/>
  <c r="AF126" i="2"/>
  <c r="BI125" i="2"/>
  <c r="BH125" i="2"/>
  <c r="BG125" i="2"/>
  <c r="BF125" i="2"/>
  <c r="BE125" i="2"/>
  <c r="BD125" i="2"/>
  <c r="BC125" i="2"/>
  <c r="BB125" i="2"/>
  <c r="BA125" i="2"/>
  <c r="AZ125" i="2"/>
  <c r="AY125" i="2"/>
  <c r="AX125" i="2"/>
  <c r="AW125" i="2"/>
  <c r="AV125" i="2"/>
  <c r="AU125" i="2"/>
  <c r="AT125" i="2"/>
  <c r="AS125" i="2"/>
  <c r="AR125" i="2"/>
  <c r="AQ125" i="2"/>
  <c r="AP125" i="2"/>
  <c r="AO125" i="2"/>
  <c r="AN125" i="2"/>
  <c r="AM125" i="2"/>
  <c r="AL125" i="2"/>
  <c r="AK125" i="2"/>
  <c r="AJ125" i="2"/>
  <c r="AI125" i="2"/>
  <c r="AH125" i="2"/>
  <c r="AG125" i="2"/>
  <c r="AF125" i="2"/>
  <c r="BI124" i="2"/>
  <c r="BH124" i="2"/>
  <c r="BG124" i="2"/>
  <c r="BF124" i="2"/>
  <c r="BE124" i="2"/>
  <c r="BD124" i="2"/>
  <c r="BC124" i="2"/>
  <c r="BB124" i="2"/>
  <c r="BA124" i="2"/>
  <c r="AZ124" i="2"/>
  <c r="AY124" i="2"/>
  <c r="AX124" i="2"/>
  <c r="AW124" i="2"/>
  <c r="AV124" i="2"/>
  <c r="AU124" i="2"/>
  <c r="AT124" i="2"/>
  <c r="AS124" i="2"/>
  <c r="AR124" i="2"/>
  <c r="AQ124" i="2"/>
  <c r="AP124" i="2"/>
  <c r="AO124" i="2"/>
  <c r="AN124" i="2"/>
  <c r="AM124" i="2"/>
  <c r="AL124" i="2"/>
  <c r="AK124" i="2"/>
  <c r="AJ124" i="2"/>
  <c r="AI124" i="2"/>
  <c r="AH124" i="2"/>
  <c r="AG124" i="2"/>
  <c r="AF124" i="2"/>
  <c r="BI123" i="2"/>
  <c r="BH123" i="2"/>
  <c r="BG123" i="2"/>
  <c r="BF123" i="2"/>
  <c r="BE123" i="2"/>
  <c r="BD123" i="2"/>
  <c r="BC123" i="2"/>
  <c r="BB123" i="2"/>
  <c r="BA123" i="2"/>
  <c r="AZ123" i="2"/>
  <c r="AY123" i="2"/>
  <c r="AX123" i="2"/>
  <c r="AW123" i="2"/>
  <c r="AV123" i="2"/>
  <c r="AU123" i="2"/>
  <c r="AT123" i="2"/>
  <c r="AS123" i="2"/>
  <c r="AR123" i="2"/>
  <c r="AQ123" i="2"/>
  <c r="AP123" i="2"/>
  <c r="AO123" i="2"/>
  <c r="AN123" i="2"/>
  <c r="AM123" i="2"/>
  <c r="AL123" i="2"/>
  <c r="AK123" i="2"/>
  <c r="AJ123" i="2"/>
  <c r="AI123" i="2"/>
  <c r="AH123" i="2"/>
  <c r="AG123" i="2"/>
  <c r="AF123" i="2"/>
  <c r="BI122" i="2"/>
  <c r="BH122" i="2"/>
  <c r="BG122" i="2"/>
  <c r="BF122" i="2"/>
  <c r="BE122" i="2"/>
  <c r="BD122" i="2"/>
  <c r="BC122" i="2"/>
  <c r="BB122" i="2"/>
  <c r="BA122" i="2"/>
  <c r="AZ122" i="2"/>
  <c r="AY122" i="2"/>
  <c r="AX122" i="2"/>
  <c r="AW122" i="2"/>
  <c r="AV122" i="2"/>
  <c r="AU122" i="2"/>
  <c r="AT122" i="2"/>
  <c r="AS122" i="2"/>
  <c r="AR122" i="2"/>
  <c r="AQ122" i="2"/>
  <c r="AP122" i="2"/>
  <c r="AO122" i="2"/>
  <c r="AN122" i="2"/>
  <c r="AM122" i="2"/>
  <c r="AL122" i="2"/>
  <c r="AK122" i="2"/>
  <c r="AJ122" i="2"/>
  <c r="AI122" i="2"/>
  <c r="AH122" i="2"/>
  <c r="AG122" i="2"/>
  <c r="AF122" i="2"/>
  <c r="BI121" i="2"/>
  <c r="BH121" i="2"/>
  <c r="BG121" i="2"/>
  <c r="BF121" i="2"/>
  <c r="BE121" i="2"/>
  <c r="BD121" i="2"/>
  <c r="BC121" i="2"/>
  <c r="BB121" i="2"/>
  <c r="BA121" i="2"/>
  <c r="AZ121" i="2"/>
  <c r="AY121" i="2"/>
  <c r="AX121" i="2"/>
  <c r="AW121" i="2"/>
  <c r="AV121" i="2"/>
  <c r="AU121" i="2"/>
  <c r="AT121" i="2"/>
  <c r="AS121" i="2"/>
  <c r="AR121" i="2"/>
  <c r="AQ121" i="2"/>
  <c r="AP121" i="2"/>
  <c r="AO121" i="2"/>
  <c r="AN121" i="2"/>
  <c r="AM121" i="2"/>
  <c r="AL121" i="2"/>
  <c r="AK121" i="2"/>
  <c r="AJ121" i="2"/>
  <c r="AI121" i="2"/>
  <c r="AH121" i="2"/>
  <c r="AG121" i="2"/>
  <c r="AF121" i="2"/>
  <c r="BI120" i="2"/>
  <c r="BH120" i="2"/>
  <c r="BG120" i="2"/>
  <c r="BF120" i="2"/>
  <c r="BE120" i="2"/>
  <c r="BD120" i="2"/>
  <c r="BC120" i="2"/>
  <c r="BB120" i="2"/>
  <c r="BA120" i="2"/>
  <c r="AZ120" i="2"/>
  <c r="AY120" i="2"/>
  <c r="AX120" i="2"/>
  <c r="AW120" i="2"/>
  <c r="AV120" i="2"/>
  <c r="AU120" i="2"/>
  <c r="AT120" i="2"/>
  <c r="AS120" i="2"/>
  <c r="AR120" i="2"/>
  <c r="AQ120" i="2"/>
  <c r="AP120" i="2"/>
  <c r="AO120" i="2"/>
  <c r="AN120" i="2"/>
  <c r="AM120" i="2"/>
  <c r="AL120" i="2"/>
  <c r="AK120" i="2"/>
  <c r="AJ120" i="2"/>
  <c r="AI120" i="2"/>
  <c r="AH120" i="2"/>
  <c r="AG120" i="2"/>
  <c r="AF120" i="2"/>
  <c r="BI119" i="2"/>
  <c r="BH119" i="2"/>
  <c r="BG119" i="2"/>
  <c r="BF119" i="2"/>
  <c r="BE119" i="2"/>
  <c r="BD119" i="2"/>
  <c r="BC119" i="2"/>
  <c r="BB119" i="2"/>
  <c r="BA119" i="2"/>
  <c r="AZ119" i="2"/>
  <c r="AY119" i="2"/>
  <c r="AX119" i="2"/>
  <c r="AW119" i="2"/>
  <c r="AV119" i="2"/>
  <c r="AU119" i="2"/>
  <c r="AT119" i="2"/>
  <c r="AS119" i="2"/>
  <c r="AR119" i="2"/>
  <c r="AQ119" i="2"/>
  <c r="AP119" i="2"/>
  <c r="AO119" i="2"/>
  <c r="AN119" i="2"/>
  <c r="AM119" i="2"/>
  <c r="AL119" i="2"/>
  <c r="AK119" i="2"/>
  <c r="AJ119" i="2"/>
  <c r="AI119" i="2"/>
  <c r="AH119" i="2"/>
  <c r="AG119" i="2"/>
  <c r="AF119" i="2"/>
  <c r="BI118" i="2"/>
  <c r="BH118" i="2"/>
  <c r="BG118" i="2"/>
  <c r="BF118" i="2"/>
  <c r="BE118" i="2"/>
  <c r="BD118" i="2"/>
  <c r="BC118" i="2"/>
  <c r="BB118" i="2"/>
  <c r="BA118" i="2"/>
  <c r="AZ118" i="2"/>
  <c r="AY118" i="2"/>
  <c r="AX118" i="2"/>
  <c r="AW118" i="2"/>
  <c r="AV118" i="2"/>
  <c r="AU118" i="2"/>
  <c r="AT118" i="2"/>
  <c r="AS118" i="2"/>
  <c r="AR118" i="2"/>
  <c r="AQ118" i="2"/>
  <c r="AP118" i="2"/>
  <c r="AO118" i="2"/>
  <c r="AN118" i="2"/>
  <c r="AM118" i="2"/>
  <c r="AL118" i="2"/>
  <c r="AK118" i="2"/>
  <c r="AJ118" i="2"/>
  <c r="AI118" i="2"/>
  <c r="AH118" i="2"/>
  <c r="AG118" i="2"/>
  <c r="AF118" i="2"/>
  <c r="BI117" i="2"/>
  <c r="BH117" i="2"/>
  <c r="BG117" i="2"/>
  <c r="BF117" i="2"/>
  <c r="BE117" i="2"/>
  <c r="BD117" i="2"/>
  <c r="BC117" i="2"/>
  <c r="BB117" i="2"/>
  <c r="BA117" i="2"/>
  <c r="AZ117" i="2"/>
  <c r="AY117" i="2"/>
  <c r="AX117" i="2"/>
  <c r="AW117" i="2"/>
  <c r="AV117" i="2"/>
  <c r="AU117" i="2"/>
  <c r="AT117" i="2"/>
  <c r="AS117" i="2"/>
  <c r="AR117" i="2"/>
  <c r="AQ117" i="2"/>
  <c r="AP117" i="2"/>
  <c r="AO117" i="2"/>
  <c r="AN117" i="2"/>
  <c r="AM117" i="2"/>
  <c r="AL117" i="2"/>
  <c r="AK117" i="2"/>
  <c r="AJ117" i="2"/>
  <c r="AI117" i="2"/>
  <c r="AH117" i="2"/>
  <c r="AG117" i="2"/>
  <c r="AF117" i="2"/>
  <c r="BI116" i="2"/>
  <c r="BH116" i="2"/>
  <c r="BG116" i="2"/>
  <c r="BF116" i="2"/>
  <c r="BE116" i="2"/>
  <c r="BD116" i="2"/>
  <c r="BC116" i="2"/>
  <c r="BB116" i="2"/>
  <c r="BA116" i="2"/>
  <c r="AZ116" i="2"/>
  <c r="AY116" i="2"/>
  <c r="AX116" i="2"/>
  <c r="AW116" i="2"/>
  <c r="AV116" i="2"/>
  <c r="AU116" i="2"/>
  <c r="AT116" i="2"/>
  <c r="AS116" i="2"/>
  <c r="AR116" i="2"/>
  <c r="AQ116" i="2"/>
  <c r="AP116" i="2"/>
  <c r="AO116" i="2"/>
  <c r="AN116" i="2"/>
  <c r="AM116" i="2"/>
  <c r="AL116" i="2"/>
  <c r="AK116" i="2"/>
  <c r="AJ116" i="2"/>
  <c r="AI116" i="2"/>
  <c r="AH116" i="2"/>
  <c r="AG116" i="2"/>
  <c r="AF116" i="2"/>
  <c r="BI115" i="2"/>
  <c r="BH115" i="2"/>
  <c r="BG115" i="2"/>
  <c r="BF115" i="2"/>
  <c r="BE115" i="2"/>
  <c r="BD115" i="2"/>
  <c r="BC115" i="2"/>
  <c r="BB115" i="2"/>
  <c r="BA115" i="2"/>
  <c r="AZ115" i="2"/>
  <c r="AY115" i="2"/>
  <c r="AX115" i="2"/>
  <c r="AW115" i="2"/>
  <c r="AV115" i="2"/>
  <c r="AU115" i="2"/>
  <c r="AT115" i="2"/>
  <c r="AS115" i="2"/>
  <c r="AR115" i="2"/>
  <c r="AQ115" i="2"/>
  <c r="AP115" i="2"/>
  <c r="AO115" i="2"/>
  <c r="AN115" i="2"/>
  <c r="AM115" i="2"/>
  <c r="AL115" i="2"/>
  <c r="AK115" i="2"/>
  <c r="AJ115" i="2"/>
  <c r="AI115" i="2"/>
  <c r="AH115" i="2"/>
  <c r="AG115" i="2"/>
  <c r="AF115" i="2"/>
  <c r="BI114" i="2"/>
  <c r="BH114" i="2"/>
  <c r="BG114" i="2"/>
  <c r="BF114" i="2"/>
  <c r="BE114" i="2"/>
  <c r="BD114" i="2"/>
  <c r="BC114" i="2"/>
  <c r="BB114" i="2"/>
  <c r="BA114" i="2"/>
  <c r="AZ114" i="2"/>
  <c r="AY114" i="2"/>
  <c r="AX114" i="2"/>
  <c r="AW114" i="2"/>
  <c r="AV114" i="2"/>
  <c r="AU114" i="2"/>
  <c r="AT114" i="2"/>
  <c r="AS114" i="2"/>
  <c r="AR114" i="2"/>
  <c r="AQ114" i="2"/>
  <c r="AP114" i="2"/>
  <c r="AO114" i="2"/>
  <c r="AN114" i="2"/>
  <c r="AM114" i="2"/>
  <c r="AL114" i="2"/>
  <c r="AK114" i="2"/>
  <c r="AJ114" i="2"/>
  <c r="AI114" i="2"/>
  <c r="AH114" i="2"/>
  <c r="AG114" i="2"/>
  <c r="AF114" i="2"/>
  <c r="BI113" i="2"/>
  <c r="BH113" i="2"/>
  <c r="BG113" i="2"/>
  <c r="BF113" i="2"/>
  <c r="BE113" i="2"/>
  <c r="BD113" i="2"/>
  <c r="BC113" i="2"/>
  <c r="BB113" i="2"/>
  <c r="BA113" i="2"/>
  <c r="AZ113" i="2"/>
  <c r="AY113" i="2"/>
  <c r="AX113" i="2"/>
  <c r="AW113" i="2"/>
  <c r="AV113" i="2"/>
  <c r="AU113" i="2"/>
  <c r="AT113" i="2"/>
  <c r="AS113" i="2"/>
  <c r="AR113" i="2"/>
  <c r="AQ113" i="2"/>
  <c r="AP113" i="2"/>
  <c r="AO113" i="2"/>
  <c r="AN113" i="2"/>
  <c r="AM113" i="2"/>
  <c r="AL113" i="2"/>
  <c r="AK113" i="2"/>
  <c r="AJ113" i="2"/>
  <c r="AI113" i="2"/>
  <c r="AH113" i="2"/>
  <c r="AG113" i="2"/>
  <c r="AF113" i="2"/>
  <c r="BI112" i="2"/>
  <c r="BH112" i="2"/>
  <c r="BG112" i="2"/>
  <c r="BF112" i="2"/>
  <c r="BE112" i="2"/>
  <c r="BD112" i="2"/>
  <c r="BC112" i="2"/>
  <c r="BB112" i="2"/>
  <c r="BA112" i="2"/>
  <c r="AZ112" i="2"/>
  <c r="AY112" i="2"/>
  <c r="AX112" i="2"/>
  <c r="AW112" i="2"/>
  <c r="AV112" i="2"/>
  <c r="AU112" i="2"/>
  <c r="AT112" i="2"/>
  <c r="AS112" i="2"/>
  <c r="AR112" i="2"/>
  <c r="AQ112" i="2"/>
  <c r="AP112" i="2"/>
  <c r="AO112" i="2"/>
  <c r="AN112" i="2"/>
  <c r="AM112" i="2"/>
  <c r="AL112" i="2"/>
  <c r="AK112" i="2"/>
  <c r="AJ112" i="2"/>
  <c r="AI112" i="2"/>
  <c r="AH112" i="2"/>
  <c r="AG112" i="2"/>
  <c r="AF112" i="2"/>
  <c r="BI111" i="2"/>
  <c r="BH111" i="2"/>
  <c r="BG111" i="2"/>
  <c r="BF111" i="2"/>
  <c r="BE111" i="2"/>
  <c r="BD111" i="2"/>
  <c r="BC111" i="2"/>
  <c r="BB111" i="2"/>
  <c r="BA111" i="2"/>
  <c r="AZ111" i="2"/>
  <c r="AY111" i="2"/>
  <c r="AX111" i="2"/>
  <c r="AW111" i="2"/>
  <c r="AV111" i="2"/>
  <c r="AU111" i="2"/>
  <c r="AT111" i="2"/>
  <c r="AS111" i="2"/>
  <c r="AR111" i="2"/>
  <c r="AQ111" i="2"/>
  <c r="AP111" i="2"/>
  <c r="AO111" i="2"/>
  <c r="AN111" i="2"/>
  <c r="AM111" i="2"/>
  <c r="AL111" i="2"/>
  <c r="AK111" i="2"/>
  <c r="AJ111" i="2"/>
  <c r="AI111" i="2"/>
  <c r="AH111" i="2"/>
  <c r="AG111" i="2"/>
  <c r="AF111" i="2"/>
  <c r="BI110" i="2"/>
  <c r="BH110" i="2"/>
  <c r="BG110" i="2"/>
  <c r="BF110" i="2"/>
  <c r="BE110" i="2"/>
  <c r="BD110" i="2"/>
  <c r="BC110" i="2"/>
  <c r="BB110" i="2"/>
  <c r="BA110" i="2"/>
  <c r="AZ110" i="2"/>
  <c r="AY110" i="2"/>
  <c r="AX110" i="2"/>
  <c r="AW110" i="2"/>
  <c r="AV110" i="2"/>
  <c r="AU110" i="2"/>
  <c r="AT110" i="2"/>
  <c r="AS110" i="2"/>
  <c r="AR110" i="2"/>
  <c r="AQ110" i="2"/>
  <c r="AP110" i="2"/>
  <c r="AO110" i="2"/>
  <c r="AN110" i="2"/>
  <c r="AM110" i="2"/>
  <c r="AL110" i="2"/>
  <c r="AK110" i="2"/>
  <c r="AJ110" i="2"/>
  <c r="AI110" i="2"/>
  <c r="AH110" i="2"/>
  <c r="AG110" i="2"/>
  <c r="AF110" i="2"/>
  <c r="BI109" i="2"/>
  <c r="BH109" i="2"/>
  <c r="BG109" i="2"/>
  <c r="BF109" i="2"/>
  <c r="BE109" i="2"/>
  <c r="BD109" i="2"/>
  <c r="BC109" i="2"/>
  <c r="BB109" i="2"/>
  <c r="BA109" i="2"/>
  <c r="AZ109" i="2"/>
  <c r="AY109" i="2"/>
  <c r="AX109" i="2"/>
  <c r="AW109" i="2"/>
  <c r="AV109" i="2"/>
  <c r="AU109" i="2"/>
  <c r="AT109" i="2"/>
  <c r="AS109" i="2"/>
  <c r="AR109" i="2"/>
  <c r="AQ109" i="2"/>
  <c r="AP109" i="2"/>
  <c r="AO109" i="2"/>
  <c r="AN109" i="2"/>
  <c r="AM109" i="2"/>
  <c r="AL109" i="2"/>
  <c r="AK109" i="2"/>
  <c r="AJ109" i="2"/>
  <c r="AI109" i="2"/>
  <c r="AH109" i="2"/>
  <c r="AG109" i="2"/>
  <c r="AF109" i="2"/>
  <c r="BI108" i="2"/>
  <c r="BH108" i="2"/>
  <c r="BG108" i="2"/>
  <c r="BF108" i="2"/>
  <c r="BE108" i="2"/>
  <c r="BD108" i="2"/>
  <c r="BC108" i="2"/>
  <c r="BB108" i="2"/>
  <c r="BA108" i="2"/>
  <c r="AZ108" i="2"/>
  <c r="AY108" i="2"/>
  <c r="AX108" i="2"/>
  <c r="AW108" i="2"/>
  <c r="AV108" i="2"/>
  <c r="AU108" i="2"/>
  <c r="AT108" i="2"/>
  <c r="AS108" i="2"/>
  <c r="AR108" i="2"/>
  <c r="AQ108" i="2"/>
  <c r="AP108" i="2"/>
  <c r="AO108" i="2"/>
  <c r="AN108" i="2"/>
  <c r="AM108" i="2"/>
  <c r="AL108" i="2"/>
  <c r="AK108" i="2"/>
  <c r="AJ108" i="2"/>
  <c r="AI108" i="2"/>
  <c r="AH108" i="2"/>
  <c r="AG108" i="2"/>
  <c r="AF108" i="2"/>
  <c r="BI107" i="2"/>
  <c r="BH107" i="2"/>
  <c r="BG107" i="2"/>
  <c r="BF107" i="2"/>
  <c r="BE107" i="2"/>
  <c r="BD107" i="2"/>
  <c r="BC107" i="2"/>
  <c r="BB107" i="2"/>
  <c r="BA107" i="2"/>
  <c r="AZ107" i="2"/>
  <c r="AY107" i="2"/>
  <c r="AX107" i="2"/>
  <c r="AW107" i="2"/>
  <c r="AV107" i="2"/>
  <c r="AU107" i="2"/>
  <c r="AT107" i="2"/>
  <c r="AS107" i="2"/>
  <c r="AR107" i="2"/>
  <c r="AQ107" i="2"/>
  <c r="AP107" i="2"/>
  <c r="AO107" i="2"/>
  <c r="AN107" i="2"/>
  <c r="AM107" i="2"/>
  <c r="AL107" i="2"/>
  <c r="AK107" i="2"/>
  <c r="AJ107" i="2"/>
  <c r="AI107" i="2"/>
  <c r="AH107" i="2"/>
  <c r="AG107" i="2"/>
  <c r="AF107" i="2"/>
  <c r="BI106" i="2"/>
  <c r="BH106" i="2"/>
  <c r="BG106" i="2"/>
  <c r="BF106" i="2"/>
  <c r="BE106" i="2"/>
  <c r="BD106" i="2"/>
  <c r="BC106" i="2"/>
  <c r="BB106" i="2"/>
  <c r="BA106" i="2"/>
  <c r="AZ106" i="2"/>
  <c r="AY106" i="2"/>
  <c r="AX106" i="2"/>
  <c r="AW106" i="2"/>
  <c r="AV106" i="2"/>
  <c r="AU106" i="2"/>
  <c r="AT106" i="2"/>
  <c r="AS106" i="2"/>
  <c r="AR106" i="2"/>
  <c r="AQ106" i="2"/>
  <c r="AP106" i="2"/>
  <c r="AO106" i="2"/>
  <c r="AN106" i="2"/>
  <c r="AM106" i="2"/>
  <c r="AL106" i="2"/>
  <c r="AK106" i="2"/>
  <c r="AJ106" i="2"/>
  <c r="AI106" i="2"/>
  <c r="AH106" i="2"/>
  <c r="AG106" i="2"/>
  <c r="AF106" i="2"/>
  <c r="BI105" i="2"/>
  <c r="BH105" i="2"/>
  <c r="BG105" i="2"/>
  <c r="BF105" i="2"/>
  <c r="BE105" i="2"/>
  <c r="BD105" i="2"/>
  <c r="BC105" i="2"/>
  <c r="BB105" i="2"/>
  <c r="BA105" i="2"/>
  <c r="AZ105" i="2"/>
  <c r="AY105" i="2"/>
  <c r="AX105" i="2"/>
  <c r="AW105" i="2"/>
  <c r="AV105" i="2"/>
  <c r="AU105" i="2"/>
  <c r="AT105" i="2"/>
  <c r="AS105" i="2"/>
  <c r="AR105" i="2"/>
  <c r="AQ105" i="2"/>
  <c r="AP105" i="2"/>
  <c r="AO105" i="2"/>
  <c r="AN105" i="2"/>
  <c r="AM105" i="2"/>
  <c r="AL105" i="2"/>
  <c r="AK105" i="2"/>
  <c r="AJ105" i="2"/>
  <c r="AI105" i="2"/>
  <c r="AH105" i="2"/>
  <c r="AG105" i="2"/>
  <c r="AF105" i="2"/>
  <c r="BI104" i="2"/>
  <c r="BH104" i="2"/>
  <c r="BG104" i="2"/>
  <c r="BF104" i="2"/>
  <c r="BE104" i="2"/>
  <c r="BD104" i="2"/>
  <c r="BC104" i="2"/>
  <c r="BB104" i="2"/>
  <c r="BA104" i="2"/>
  <c r="AZ104" i="2"/>
  <c r="AY104" i="2"/>
  <c r="AX104" i="2"/>
  <c r="AW104" i="2"/>
  <c r="AV104" i="2"/>
  <c r="AU104" i="2"/>
  <c r="AT104" i="2"/>
  <c r="AS104" i="2"/>
  <c r="AR104" i="2"/>
  <c r="AQ104" i="2"/>
  <c r="AP104" i="2"/>
  <c r="AO104" i="2"/>
  <c r="AN104" i="2"/>
  <c r="AM104" i="2"/>
  <c r="AL104" i="2"/>
  <c r="AK104" i="2"/>
  <c r="AJ104" i="2"/>
  <c r="AI104" i="2"/>
  <c r="AH104" i="2"/>
  <c r="AG104" i="2"/>
  <c r="AF104" i="2"/>
  <c r="BI103" i="2"/>
  <c r="BH103" i="2"/>
  <c r="BG103" i="2"/>
  <c r="BF103" i="2"/>
  <c r="BE103" i="2"/>
  <c r="BD103" i="2"/>
  <c r="BC103" i="2"/>
  <c r="BB103" i="2"/>
  <c r="BA103" i="2"/>
  <c r="AZ103" i="2"/>
  <c r="AY103" i="2"/>
  <c r="AX103" i="2"/>
  <c r="AW103" i="2"/>
  <c r="AV103" i="2"/>
  <c r="AU103" i="2"/>
  <c r="AT103" i="2"/>
  <c r="AS103" i="2"/>
  <c r="AR103" i="2"/>
  <c r="AQ103" i="2"/>
  <c r="AP103" i="2"/>
  <c r="AO103" i="2"/>
  <c r="AN103" i="2"/>
  <c r="AM103" i="2"/>
  <c r="AL103" i="2"/>
  <c r="AK103" i="2"/>
  <c r="AJ103" i="2"/>
  <c r="AI103" i="2"/>
  <c r="AH103" i="2"/>
  <c r="AG103" i="2"/>
  <c r="AF103" i="2"/>
  <c r="BI102" i="2"/>
  <c r="BH102" i="2"/>
  <c r="BG102" i="2"/>
  <c r="BF102" i="2"/>
  <c r="BE102" i="2"/>
  <c r="BD102" i="2"/>
  <c r="BC102" i="2"/>
  <c r="BB102" i="2"/>
  <c r="BA102" i="2"/>
  <c r="AZ102" i="2"/>
  <c r="AY102" i="2"/>
  <c r="AX102" i="2"/>
  <c r="AW102" i="2"/>
  <c r="AV102" i="2"/>
  <c r="AU102" i="2"/>
  <c r="AT102" i="2"/>
  <c r="AS102" i="2"/>
  <c r="AR102" i="2"/>
  <c r="AQ102" i="2"/>
  <c r="AP102" i="2"/>
  <c r="AO102" i="2"/>
  <c r="AN102" i="2"/>
  <c r="AM102" i="2"/>
  <c r="AL102" i="2"/>
  <c r="AK102" i="2"/>
  <c r="AJ102" i="2"/>
  <c r="AI102" i="2"/>
  <c r="AH102" i="2"/>
  <c r="AG102" i="2"/>
  <c r="AF102" i="2"/>
  <c r="BI101" i="2"/>
  <c r="BH101" i="2"/>
  <c r="BG101" i="2"/>
  <c r="BF101" i="2"/>
  <c r="BE101" i="2"/>
  <c r="BD101" i="2"/>
  <c r="BC101" i="2"/>
  <c r="BB101" i="2"/>
  <c r="BA101" i="2"/>
  <c r="AZ101" i="2"/>
  <c r="AY101" i="2"/>
  <c r="AX101" i="2"/>
  <c r="AW101" i="2"/>
  <c r="AV101" i="2"/>
  <c r="AU101" i="2"/>
  <c r="AT101" i="2"/>
  <c r="AS101" i="2"/>
  <c r="AR101" i="2"/>
  <c r="AQ101" i="2"/>
  <c r="AP101" i="2"/>
  <c r="AO101" i="2"/>
  <c r="AN101" i="2"/>
  <c r="AM101" i="2"/>
  <c r="AL101" i="2"/>
  <c r="AK101" i="2"/>
  <c r="AJ101" i="2"/>
  <c r="AI101" i="2"/>
  <c r="AH101" i="2"/>
  <c r="AG101" i="2"/>
  <c r="AF101" i="2"/>
  <c r="BI100" i="2"/>
  <c r="BH100" i="2"/>
  <c r="BG100" i="2"/>
  <c r="BF100" i="2"/>
  <c r="BE100" i="2"/>
  <c r="BD100" i="2"/>
  <c r="BC100" i="2"/>
  <c r="BB100" i="2"/>
  <c r="BA100" i="2"/>
  <c r="AZ100" i="2"/>
  <c r="AY100" i="2"/>
  <c r="AX100" i="2"/>
  <c r="AW100" i="2"/>
  <c r="AV100" i="2"/>
  <c r="AU100" i="2"/>
  <c r="AT100" i="2"/>
  <c r="AS100" i="2"/>
  <c r="AR100" i="2"/>
  <c r="AQ100" i="2"/>
  <c r="AP100" i="2"/>
  <c r="AO100" i="2"/>
  <c r="AN100" i="2"/>
  <c r="AM100" i="2"/>
  <c r="AL100" i="2"/>
  <c r="AK100" i="2"/>
  <c r="AJ100" i="2"/>
  <c r="AI100" i="2"/>
  <c r="AH100" i="2"/>
  <c r="AG100" i="2"/>
  <c r="AF100" i="2"/>
  <c r="BI99" i="2"/>
  <c r="BH99" i="2"/>
  <c r="BG99" i="2"/>
  <c r="BF99" i="2"/>
  <c r="BE99" i="2"/>
  <c r="BD99" i="2"/>
  <c r="BC99" i="2"/>
  <c r="BB99" i="2"/>
  <c r="BA99" i="2"/>
  <c r="AZ99" i="2"/>
  <c r="AY99" i="2"/>
  <c r="AX99" i="2"/>
  <c r="AW99" i="2"/>
  <c r="AV99" i="2"/>
  <c r="AU99" i="2"/>
  <c r="AT99" i="2"/>
  <c r="AS99" i="2"/>
  <c r="AR99" i="2"/>
  <c r="AQ99" i="2"/>
  <c r="AP99" i="2"/>
  <c r="AO99" i="2"/>
  <c r="AN99" i="2"/>
  <c r="AM99" i="2"/>
  <c r="AL99" i="2"/>
  <c r="AK99" i="2"/>
  <c r="AJ99" i="2"/>
  <c r="AI99" i="2"/>
  <c r="AH99" i="2"/>
  <c r="AG99" i="2"/>
  <c r="AF99" i="2"/>
  <c r="BI98" i="2"/>
  <c r="BH98" i="2"/>
  <c r="BG98" i="2"/>
  <c r="BF98" i="2"/>
  <c r="BE98" i="2"/>
  <c r="BD98" i="2"/>
  <c r="BC98" i="2"/>
  <c r="BB98" i="2"/>
  <c r="BA98" i="2"/>
  <c r="AZ98" i="2"/>
  <c r="AY98" i="2"/>
  <c r="AX98" i="2"/>
  <c r="AW98" i="2"/>
  <c r="AV98" i="2"/>
  <c r="AU98" i="2"/>
  <c r="AT98" i="2"/>
  <c r="AS98" i="2"/>
  <c r="AR98" i="2"/>
  <c r="AQ98" i="2"/>
  <c r="AP98" i="2"/>
  <c r="AO98" i="2"/>
  <c r="AN98" i="2"/>
  <c r="AM98" i="2"/>
  <c r="AL98" i="2"/>
  <c r="AK98" i="2"/>
  <c r="AJ98" i="2"/>
  <c r="AI98" i="2"/>
  <c r="AH98" i="2"/>
  <c r="AG98" i="2"/>
  <c r="AF98" i="2"/>
  <c r="BI97" i="2"/>
  <c r="BH97" i="2"/>
  <c r="BG97" i="2"/>
  <c r="BF97" i="2"/>
  <c r="BE97" i="2"/>
  <c r="BD97" i="2"/>
  <c r="BC97" i="2"/>
  <c r="BB97" i="2"/>
  <c r="BA97" i="2"/>
  <c r="AZ97" i="2"/>
  <c r="AY97" i="2"/>
  <c r="AX97" i="2"/>
  <c r="AW97" i="2"/>
  <c r="AV97" i="2"/>
  <c r="AU97" i="2"/>
  <c r="AT97" i="2"/>
  <c r="AS97" i="2"/>
  <c r="AR97" i="2"/>
  <c r="AQ97" i="2"/>
  <c r="AP97" i="2"/>
  <c r="AO97" i="2"/>
  <c r="AN97" i="2"/>
  <c r="AM97" i="2"/>
  <c r="AL97" i="2"/>
  <c r="AK97" i="2"/>
  <c r="AJ97" i="2"/>
  <c r="AI97" i="2"/>
  <c r="AH97" i="2"/>
  <c r="AG97" i="2"/>
  <c r="AF97" i="2"/>
  <c r="BI96" i="2"/>
  <c r="BH96" i="2"/>
  <c r="BG96" i="2"/>
  <c r="BF96" i="2"/>
  <c r="BE96" i="2"/>
  <c r="BD96" i="2"/>
  <c r="BC96" i="2"/>
  <c r="BB96" i="2"/>
  <c r="BA96" i="2"/>
  <c r="AZ96" i="2"/>
  <c r="AY96" i="2"/>
  <c r="AX96" i="2"/>
  <c r="AW96" i="2"/>
  <c r="AV96" i="2"/>
  <c r="AU96" i="2"/>
  <c r="AT96" i="2"/>
  <c r="AS96" i="2"/>
  <c r="AR96" i="2"/>
  <c r="AQ96" i="2"/>
  <c r="AP96" i="2"/>
  <c r="AO96" i="2"/>
  <c r="AN96" i="2"/>
  <c r="AM96" i="2"/>
  <c r="AL96" i="2"/>
  <c r="AK96" i="2"/>
  <c r="AJ96" i="2"/>
  <c r="AI96" i="2"/>
  <c r="AH96" i="2"/>
  <c r="AG96" i="2"/>
  <c r="AF96" i="2"/>
  <c r="BI95" i="2"/>
  <c r="BH95" i="2"/>
  <c r="BG95" i="2"/>
  <c r="BF95" i="2"/>
  <c r="BE95" i="2"/>
  <c r="BD95" i="2"/>
  <c r="BC95" i="2"/>
  <c r="BB95" i="2"/>
  <c r="BA95" i="2"/>
  <c r="AZ95" i="2"/>
  <c r="AY95" i="2"/>
  <c r="AX95" i="2"/>
  <c r="AW95" i="2"/>
  <c r="AV95" i="2"/>
  <c r="AU95" i="2"/>
  <c r="AT95" i="2"/>
  <c r="AS95" i="2"/>
  <c r="AR95" i="2"/>
  <c r="AQ95" i="2"/>
  <c r="AP95" i="2"/>
  <c r="AO95" i="2"/>
  <c r="AN95" i="2"/>
  <c r="AM95" i="2"/>
  <c r="AL95" i="2"/>
  <c r="AK95" i="2"/>
  <c r="AJ95" i="2"/>
  <c r="AI95" i="2"/>
  <c r="AH95" i="2"/>
  <c r="AG95" i="2"/>
  <c r="AF95" i="2"/>
  <c r="BI94" i="2"/>
  <c r="BH94" i="2"/>
  <c r="BG94" i="2"/>
  <c r="BF94" i="2"/>
  <c r="BE94" i="2"/>
  <c r="BD94" i="2"/>
  <c r="BC94" i="2"/>
  <c r="BB94" i="2"/>
  <c r="BA94" i="2"/>
  <c r="AZ94" i="2"/>
  <c r="AY94" i="2"/>
  <c r="AX94" i="2"/>
  <c r="AW94" i="2"/>
  <c r="AV94" i="2"/>
  <c r="AU94" i="2"/>
  <c r="AT94" i="2"/>
  <c r="AS94" i="2"/>
  <c r="AR94" i="2"/>
  <c r="AQ94" i="2"/>
  <c r="AP94" i="2"/>
  <c r="AO94" i="2"/>
  <c r="AN94" i="2"/>
  <c r="AM94" i="2"/>
  <c r="AL94" i="2"/>
  <c r="AK94" i="2"/>
  <c r="AJ94" i="2"/>
  <c r="AI94" i="2"/>
  <c r="AH94" i="2"/>
  <c r="AG94" i="2"/>
  <c r="AF94" i="2"/>
  <c r="BI93" i="2"/>
  <c r="BH93" i="2"/>
  <c r="BG93" i="2"/>
  <c r="BF93" i="2"/>
  <c r="BE93" i="2"/>
  <c r="BD93" i="2"/>
  <c r="BC93" i="2"/>
  <c r="BB93" i="2"/>
  <c r="BA93" i="2"/>
  <c r="AZ93" i="2"/>
  <c r="AY93" i="2"/>
  <c r="AX93" i="2"/>
  <c r="AW93" i="2"/>
  <c r="AV93" i="2"/>
  <c r="AU93" i="2"/>
  <c r="AT93" i="2"/>
  <c r="AS93" i="2"/>
  <c r="AR93" i="2"/>
  <c r="AQ93" i="2"/>
  <c r="AP93" i="2"/>
  <c r="AO93" i="2"/>
  <c r="AN93" i="2"/>
  <c r="AM93" i="2"/>
  <c r="AL93" i="2"/>
  <c r="AK93" i="2"/>
  <c r="AJ93" i="2"/>
  <c r="AI93" i="2"/>
  <c r="AH93" i="2"/>
  <c r="AG93" i="2"/>
  <c r="AF93" i="2"/>
  <c r="BI92" i="2"/>
  <c r="BH92" i="2"/>
  <c r="BG92" i="2"/>
  <c r="BF92" i="2"/>
  <c r="BE92" i="2"/>
  <c r="BD92" i="2"/>
  <c r="BC92" i="2"/>
  <c r="BB92" i="2"/>
  <c r="BA92" i="2"/>
  <c r="AZ92" i="2"/>
  <c r="AY92" i="2"/>
  <c r="AX92" i="2"/>
  <c r="AW92" i="2"/>
  <c r="AV92" i="2"/>
  <c r="AU92" i="2"/>
  <c r="AT92" i="2"/>
  <c r="AS92" i="2"/>
  <c r="AR92" i="2"/>
  <c r="AQ92" i="2"/>
  <c r="AP92" i="2"/>
  <c r="AO92" i="2"/>
  <c r="AN92" i="2"/>
  <c r="AM92" i="2"/>
  <c r="AL92" i="2"/>
  <c r="AK92" i="2"/>
  <c r="AJ92" i="2"/>
  <c r="AI92" i="2"/>
  <c r="AH92" i="2"/>
  <c r="AG92" i="2"/>
  <c r="AF92" i="2"/>
  <c r="BI91" i="2"/>
  <c r="BH91" i="2"/>
  <c r="BG91" i="2"/>
  <c r="BF91" i="2"/>
  <c r="BE91" i="2"/>
  <c r="BD91" i="2"/>
  <c r="BC91" i="2"/>
  <c r="BB91" i="2"/>
  <c r="BA91" i="2"/>
  <c r="AZ91" i="2"/>
  <c r="AY91" i="2"/>
  <c r="AX91" i="2"/>
  <c r="AW91" i="2"/>
  <c r="AV91" i="2"/>
  <c r="AU91" i="2"/>
  <c r="AT91" i="2"/>
  <c r="AS91" i="2"/>
  <c r="AR91" i="2"/>
  <c r="AQ91" i="2"/>
  <c r="AP91" i="2"/>
  <c r="AO91" i="2"/>
  <c r="AN91" i="2"/>
  <c r="AM91" i="2"/>
  <c r="AL91" i="2"/>
  <c r="AK91" i="2"/>
  <c r="AJ91" i="2"/>
  <c r="AI91" i="2"/>
  <c r="AH91" i="2"/>
  <c r="AG91" i="2"/>
  <c r="AF91" i="2"/>
  <c r="BI90" i="2"/>
  <c r="BH90" i="2"/>
  <c r="BG90" i="2"/>
  <c r="BF90" i="2"/>
  <c r="BE90" i="2"/>
  <c r="BD90" i="2"/>
  <c r="BC90" i="2"/>
  <c r="BB90" i="2"/>
  <c r="BA90" i="2"/>
  <c r="AZ90" i="2"/>
  <c r="AY90" i="2"/>
  <c r="AX90" i="2"/>
  <c r="AW90" i="2"/>
  <c r="AV90" i="2"/>
  <c r="AU90" i="2"/>
  <c r="AT90" i="2"/>
  <c r="AS90" i="2"/>
  <c r="AR90" i="2"/>
  <c r="AQ90" i="2"/>
  <c r="AP90" i="2"/>
  <c r="AO90" i="2"/>
  <c r="AN90" i="2"/>
  <c r="AM90" i="2"/>
  <c r="AL90" i="2"/>
  <c r="AK90" i="2"/>
  <c r="AJ90" i="2"/>
  <c r="AI90" i="2"/>
  <c r="AH90" i="2"/>
  <c r="AG90" i="2"/>
  <c r="AF90" i="2"/>
  <c r="BI89" i="2"/>
  <c r="BH89" i="2"/>
  <c r="BG89" i="2"/>
  <c r="BF89" i="2"/>
  <c r="BE89" i="2"/>
  <c r="BD89" i="2"/>
  <c r="BC89" i="2"/>
  <c r="BB89" i="2"/>
  <c r="BA89" i="2"/>
  <c r="AZ89" i="2"/>
  <c r="AY89" i="2"/>
  <c r="AX89" i="2"/>
  <c r="AW89" i="2"/>
  <c r="AV89" i="2"/>
  <c r="AU89" i="2"/>
  <c r="AT89" i="2"/>
  <c r="AS89" i="2"/>
  <c r="AR89" i="2"/>
  <c r="AQ89" i="2"/>
  <c r="AP89" i="2"/>
  <c r="AO89" i="2"/>
  <c r="AN89" i="2"/>
  <c r="AM89" i="2"/>
  <c r="AL89" i="2"/>
  <c r="AK89" i="2"/>
  <c r="AJ89" i="2"/>
  <c r="AI89" i="2"/>
  <c r="AH89" i="2"/>
  <c r="AG89" i="2"/>
  <c r="AF89" i="2"/>
  <c r="BI88" i="2"/>
  <c r="BH88" i="2"/>
  <c r="BG88" i="2"/>
  <c r="BF88" i="2"/>
  <c r="BE88" i="2"/>
  <c r="BD88" i="2"/>
  <c r="BC88" i="2"/>
  <c r="BB88" i="2"/>
  <c r="BA88" i="2"/>
  <c r="AZ88" i="2"/>
  <c r="AY88" i="2"/>
  <c r="AX88" i="2"/>
  <c r="AW88" i="2"/>
  <c r="AV88" i="2"/>
  <c r="AU88" i="2"/>
  <c r="AT88" i="2"/>
  <c r="AS88" i="2"/>
  <c r="AR88" i="2"/>
  <c r="AQ88" i="2"/>
  <c r="AP88" i="2"/>
  <c r="AO88" i="2"/>
  <c r="AN88" i="2"/>
  <c r="AM88" i="2"/>
  <c r="AL88" i="2"/>
  <c r="AK88" i="2"/>
  <c r="AJ88" i="2"/>
  <c r="AI88" i="2"/>
  <c r="AH88" i="2"/>
  <c r="AG88" i="2"/>
  <c r="AF88" i="2"/>
  <c r="BI87" i="2"/>
  <c r="BH87" i="2"/>
  <c r="BG87" i="2"/>
  <c r="BF87" i="2"/>
  <c r="BE87" i="2"/>
  <c r="BD87" i="2"/>
  <c r="BC87" i="2"/>
  <c r="BB87" i="2"/>
  <c r="BA87" i="2"/>
  <c r="AZ87" i="2"/>
  <c r="AY87" i="2"/>
  <c r="AX87" i="2"/>
  <c r="AW87" i="2"/>
  <c r="AV87" i="2"/>
  <c r="AU87" i="2"/>
  <c r="AT87" i="2"/>
  <c r="AS87" i="2"/>
  <c r="AR87" i="2"/>
  <c r="AQ87" i="2"/>
  <c r="AP87" i="2"/>
  <c r="AO87" i="2"/>
  <c r="AN87" i="2"/>
  <c r="AM87" i="2"/>
  <c r="AL87" i="2"/>
  <c r="AK87" i="2"/>
  <c r="AJ87" i="2"/>
  <c r="AI87" i="2"/>
  <c r="AH87" i="2"/>
  <c r="AG87" i="2"/>
  <c r="AF87" i="2"/>
  <c r="BI86" i="2"/>
  <c r="BH86" i="2"/>
  <c r="BG86" i="2"/>
  <c r="BF86" i="2"/>
  <c r="BE86" i="2"/>
  <c r="BD86" i="2"/>
  <c r="BC86" i="2"/>
  <c r="BB86" i="2"/>
  <c r="BA86" i="2"/>
  <c r="AZ86" i="2"/>
  <c r="AY86" i="2"/>
  <c r="AX86" i="2"/>
  <c r="AW86" i="2"/>
  <c r="AV86" i="2"/>
  <c r="AU86" i="2"/>
  <c r="AT86" i="2"/>
  <c r="AS86" i="2"/>
  <c r="AR86" i="2"/>
  <c r="AQ86" i="2"/>
  <c r="AP86" i="2"/>
  <c r="AO86" i="2"/>
  <c r="AN86" i="2"/>
  <c r="AM86" i="2"/>
  <c r="AL86" i="2"/>
  <c r="AK86" i="2"/>
  <c r="AJ86" i="2"/>
  <c r="AI86" i="2"/>
  <c r="AH86" i="2"/>
  <c r="AG86" i="2"/>
  <c r="AF86" i="2"/>
  <c r="BI85" i="2"/>
  <c r="BH85" i="2"/>
  <c r="BG85" i="2"/>
  <c r="BF85" i="2"/>
  <c r="BE85" i="2"/>
  <c r="BD85" i="2"/>
  <c r="BC85" i="2"/>
  <c r="BB85" i="2"/>
  <c r="BA85" i="2"/>
  <c r="AZ85" i="2"/>
  <c r="AY85" i="2"/>
  <c r="AX85" i="2"/>
  <c r="AW85" i="2"/>
  <c r="AV85" i="2"/>
  <c r="AU85" i="2"/>
  <c r="AT85" i="2"/>
  <c r="AS85" i="2"/>
  <c r="AR85" i="2"/>
  <c r="AQ85" i="2"/>
  <c r="AP85" i="2"/>
  <c r="AO85" i="2"/>
  <c r="AN85" i="2"/>
  <c r="AM85" i="2"/>
  <c r="AL85" i="2"/>
  <c r="AK85" i="2"/>
  <c r="AJ85" i="2"/>
  <c r="AI85" i="2"/>
  <c r="AH85" i="2"/>
  <c r="AG85" i="2"/>
  <c r="AF85" i="2"/>
  <c r="BI84" i="2"/>
  <c r="BH84" i="2"/>
  <c r="BG84" i="2"/>
  <c r="BF84" i="2"/>
  <c r="BE84" i="2"/>
  <c r="BD84" i="2"/>
  <c r="BC84" i="2"/>
  <c r="BB84" i="2"/>
  <c r="BA84" i="2"/>
  <c r="AZ84" i="2"/>
  <c r="AY84" i="2"/>
  <c r="AX84" i="2"/>
  <c r="AW84" i="2"/>
  <c r="AV84" i="2"/>
  <c r="AU84" i="2"/>
  <c r="AT84" i="2"/>
  <c r="AS84" i="2"/>
  <c r="AR84" i="2"/>
  <c r="AQ84" i="2"/>
  <c r="AP84" i="2"/>
  <c r="AO84" i="2"/>
  <c r="AN84" i="2"/>
  <c r="AM84" i="2"/>
  <c r="AL84" i="2"/>
  <c r="AK84" i="2"/>
  <c r="AJ84" i="2"/>
  <c r="AI84" i="2"/>
  <c r="AH84" i="2"/>
  <c r="AG84" i="2"/>
  <c r="AF84" i="2"/>
  <c r="BI83" i="2"/>
  <c r="BH83" i="2"/>
  <c r="BG83" i="2"/>
  <c r="BF83" i="2"/>
  <c r="BE83" i="2"/>
  <c r="BD83" i="2"/>
  <c r="BC83" i="2"/>
  <c r="BB83" i="2"/>
  <c r="BA83" i="2"/>
  <c r="AZ83" i="2"/>
  <c r="AY83" i="2"/>
  <c r="AX83" i="2"/>
  <c r="AW83" i="2"/>
  <c r="AV83" i="2"/>
  <c r="AU83" i="2"/>
  <c r="AT83" i="2"/>
  <c r="AS83" i="2"/>
  <c r="AR83" i="2"/>
  <c r="AQ83" i="2"/>
  <c r="AP83" i="2"/>
  <c r="AO83" i="2"/>
  <c r="AN83" i="2"/>
  <c r="AM83" i="2"/>
  <c r="AL83" i="2"/>
  <c r="AK83" i="2"/>
  <c r="AJ83" i="2"/>
  <c r="AI83" i="2"/>
  <c r="AH83" i="2"/>
  <c r="AG83" i="2"/>
  <c r="AF83" i="2"/>
  <c r="BI82" i="2"/>
  <c r="BH82" i="2"/>
  <c r="BG82" i="2"/>
  <c r="BF82" i="2"/>
  <c r="BE82" i="2"/>
  <c r="BD82" i="2"/>
  <c r="BC82" i="2"/>
  <c r="BB82" i="2"/>
  <c r="BA82" i="2"/>
  <c r="AZ82" i="2"/>
  <c r="AY82" i="2"/>
  <c r="AX82" i="2"/>
  <c r="AW82" i="2"/>
  <c r="AV82" i="2"/>
  <c r="AU82" i="2"/>
  <c r="AT82" i="2"/>
  <c r="AS82" i="2"/>
  <c r="AR82" i="2"/>
  <c r="AQ82" i="2"/>
  <c r="AP82" i="2"/>
  <c r="AO82" i="2"/>
  <c r="AN82" i="2"/>
  <c r="AM82" i="2"/>
  <c r="AL82" i="2"/>
  <c r="AK82" i="2"/>
  <c r="AJ82" i="2"/>
  <c r="AI82" i="2"/>
  <c r="AH82" i="2"/>
  <c r="AG82" i="2"/>
  <c r="AF82" i="2"/>
  <c r="BI81" i="2"/>
  <c r="BH81" i="2"/>
  <c r="BG81" i="2"/>
  <c r="BF81" i="2"/>
  <c r="BE81" i="2"/>
  <c r="BD81" i="2"/>
  <c r="BC81" i="2"/>
  <c r="BB81" i="2"/>
  <c r="BA81" i="2"/>
  <c r="AZ81" i="2"/>
  <c r="AY81" i="2"/>
  <c r="AX81" i="2"/>
  <c r="AW81" i="2"/>
  <c r="AV81" i="2"/>
  <c r="AU81" i="2"/>
  <c r="AT81" i="2"/>
  <c r="AS81" i="2"/>
  <c r="AR81" i="2"/>
  <c r="AQ81" i="2"/>
  <c r="AP81" i="2"/>
  <c r="AO81" i="2"/>
  <c r="AN81" i="2"/>
  <c r="AM81" i="2"/>
  <c r="AL81" i="2"/>
  <c r="AK81" i="2"/>
  <c r="AJ81" i="2"/>
  <c r="AI81" i="2"/>
  <c r="AH81" i="2"/>
  <c r="AG81" i="2"/>
  <c r="AF81" i="2"/>
  <c r="BI80" i="2"/>
  <c r="BH80" i="2"/>
  <c r="BG80" i="2"/>
  <c r="BF80" i="2"/>
  <c r="BE80" i="2"/>
  <c r="BD80" i="2"/>
  <c r="BC80" i="2"/>
  <c r="BB80" i="2"/>
  <c r="BA80" i="2"/>
  <c r="AZ80" i="2"/>
  <c r="AY80" i="2"/>
  <c r="AX80" i="2"/>
  <c r="AW80" i="2"/>
  <c r="AV80" i="2"/>
  <c r="AU80" i="2"/>
  <c r="AT80" i="2"/>
  <c r="AS80" i="2"/>
  <c r="AR80" i="2"/>
  <c r="AQ80" i="2"/>
  <c r="AP80" i="2"/>
  <c r="AO80" i="2"/>
  <c r="AN80" i="2"/>
  <c r="AM80" i="2"/>
  <c r="AL80" i="2"/>
  <c r="AK80" i="2"/>
  <c r="AJ80" i="2"/>
  <c r="AI80" i="2"/>
  <c r="AH80" i="2"/>
  <c r="AG80" i="2"/>
  <c r="AF80" i="2"/>
  <c r="BI79" i="2"/>
  <c r="BH79" i="2"/>
  <c r="BG79" i="2"/>
  <c r="BF79" i="2"/>
  <c r="BE79" i="2"/>
  <c r="BD79" i="2"/>
  <c r="BC79" i="2"/>
  <c r="BB79" i="2"/>
  <c r="BA79" i="2"/>
  <c r="AZ79" i="2"/>
  <c r="AY79" i="2"/>
  <c r="AX79" i="2"/>
  <c r="AW79" i="2"/>
  <c r="AV79" i="2"/>
  <c r="AU79" i="2"/>
  <c r="AT79" i="2"/>
  <c r="AS79" i="2"/>
  <c r="AR79" i="2"/>
  <c r="AQ79" i="2"/>
  <c r="AP79" i="2"/>
  <c r="AO79" i="2"/>
  <c r="AN79" i="2"/>
  <c r="AM79" i="2"/>
  <c r="AL79" i="2"/>
  <c r="AK79" i="2"/>
  <c r="AJ79" i="2"/>
  <c r="AI79" i="2"/>
  <c r="AH79" i="2"/>
  <c r="AG79" i="2"/>
  <c r="AF79" i="2"/>
  <c r="BI78" i="2"/>
  <c r="BH78" i="2"/>
  <c r="BG78" i="2"/>
  <c r="BF78" i="2"/>
  <c r="BE78" i="2"/>
  <c r="BD78" i="2"/>
  <c r="BC78" i="2"/>
  <c r="BB78" i="2"/>
  <c r="BA78" i="2"/>
  <c r="AZ78" i="2"/>
  <c r="AY78" i="2"/>
  <c r="AX78" i="2"/>
  <c r="AW78" i="2"/>
  <c r="AV78" i="2"/>
  <c r="AU78" i="2"/>
  <c r="AT78" i="2"/>
  <c r="AS78" i="2"/>
  <c r="AR78" i="2"/>
  <c r="AQ78" i="2"/>
  <c r="AP78" i="2"/>
  <c r="AO78" i="2"/>
  <c r="AN78" i="2"/>
  <c r="AM78" i="2"/>
  <c r="AL78" i="2"/>
  <c r="AK78" i="2"/>
  <c r="AJ78" i="2"/>
  <c r="AI78" i="2"/>
  <c r="AH78" i="2"/>
  <c r="AG78" i="2"/>
  <c r="AF78" i="2"/>
  <c r="BI77" i="2"/>
  <c r="BH77" i="2"/>
  <c r="BG77" i="2"/>
  <c r="BF77" i="2"/>
  <c r="BE77" i="2"/>
  <c r="BD77" i="2"/>
  <c r="BC77" i="2"/>
  <c r="BB77" i="2"/>
  <c r="BA77" i="2"/>
  <c r="AZ77" i="2"/>
  <c r="AY77" i="2"/>
  <c r="AX77" i="2"/>
  <c r="AW77" i="2"/>
  <c r="AV77" i="2"/>
  <c r="AU77" i="2"/>
  <c r="AT77" i="2"/>
  <c r="AS77" i="2"/>
  <c r="AR77" i="2"/>
  <c r="AQ77" i="2"/>
  <c r="AP77" i="2"/>
  <c r="AO77" i="2"/>
  <c r="AN77" i="2"/>
  <c r="AM77" i="2"/>
  <c r="AL77" i="2"/>
  <c r="AK77" i="2"/>
  <c r="AJ77" i="2"/>
  <c r="AI77" i="2"/>
  <c r="AH77" i="2"/>
  <c r="AG77" i="2"/>
  <c r="AF77" i="2"/>
  <c r="BI76" i="2"/>
  <c r="BH76" i="2"/>
  <c r="BG76" i="2"/>
  <c r="BF76" i="2"/>
  <c r="BE76" i="2"/>
  <c r="BD76" i="2"/>
  <c r="BC76" i="2"/>
  <c r="BB76" i="2"/>
  <c r="BA76" i="2"/>
  <c r="AZ76" i="2"/>
  <c r="AY76" i="2"/>
  <c r="AX76" i="2"/>
  <c r="AW76" i="2"/>
  <c r="AV76" i="2"/>
  <c r="AU76" i="2"/>
  <c r="AT76" i="2"/>
  <c r="AS76" i="2"/>
  <c r="AR76" i="2"/>
  <c r="AQ76" i="2"/>
  <c r="AP76" i="2"/>
  <c r="AO76" i="2"/>
  <c r="AN76" i="2"/>
  <c r="AM76" i="2"/>
  <c r="AL76" i="2"/>
  <c r="AK76" i="2"/>
  <c r="AJ76" i="2"/>
  <c r="AI76" i="2"/>
  <c r="AH76" i="2"/>
  <c r="AG76" i="2"/>
  <c r="AF76" i="2"/>
  <c r="BI75" i="2"/>
  <c r="BH75" i="2"/>
  <c r="BG75" i="2"/>
  <c r="BF75" i="2"/>
  <c r="BE75" i="2"/>
  <c r="BD75" i="2"/>
  <c r="BC75" i="2"/>
  <c r="BB75" i="2"/>
  <c r="BA75" i="2"/>
  <c r="AZ75" i="2"/>
  <c r="AY75" i="2"/>
  <c r="AX75" i="2"/>
  <c r="AW75" i="2"/>
  <c r="AV75" i="2"/>
  <c r="AU75" i="2"/>
  <c r="AT75" i="2"/>
  <c r="AS75" i="2"/>
  <c r="AR75" i="2"/>
  <c r="AQ75" i="2"/>
  <c r="AP75" i="2"/>
  <c r="AO75" i="2"/>
  <c r="AN75" i="2"/>
  <c r="AM75" i="2"/>
  <c r="AL75" i="2"/>
  <c r="AK75" i="2"/>
  <c r="AJ75" i="2"/>
  <c r="AI75" i="2"/>
  <c r="AH75" i="2"/>
  <c r="AG75" i="2"/>
  <c r="AF75" i="2"/>
  <c r="BI74" i="2"/>
  <c r="BH74" i="2"/>
  <c r="BG74" i="2"/>
  <c r="BF74" i="2"/>
  <c r="BE74" i="2"/>
  <c r="BD74" i="2"/>
  <c r="BC74" i="2"/>
  <c r="BB74" i="2"/>
  <c r="BA74" i="2"/>
  <c r="AZ74" i="2"/>
  <c r="AY74" i="2"/>
  <c r="AX74" i="2"/>
  <c r="AW74" i="2"/>
  <c r="AV74" i="2"/>
  <c r="AU74" i="2"/>
  <c r="AT74" i="2"/>
  <c r="AS74" i="2"/>
  <c r="AR74" i="2"/>
  <c r="AQ74" i="2"/>
  <c r="AP74" i="2"/>
  <c r="AO74" i="2"/>
  <c r="AN74" i="2"/>
  <c r="AM74" i="2"/>
  <c r="AL74" i="2"/>
  <c r="AK74" i="2"/>
  <c r="AJ74" i="2"/>
  <c r="AI74" i="2"/>
  <c r="AH74" i="2"/>
  <c r="AG74" i="2"/>
  <c r="AF74" i="2"/>
  <c r="BI73" i="2"/>
  <c r="BH73" i="2"/>
  <c r="BG73" i="2"/>
  <c r="BF73" i="2"/>
  <c r="BE73" i="2"/>
  <c r="BD73" i="2"/>
  <c r="BC73" i="2"/>
  <c r="BB73" i="2"/>
  <c r="BA73" i="2"/>
  <c r="AZ73" i="2"/>
  <c r="AY73" i="2"/>
  <c r="AX73" i="2"/>
  <c r="AW73" i="2"/>
  <c r="AV73" i="2"/>
  <c r="AU73" i="2"/>
  <c r="AT73" i="2"/>
  <c r="AS73" i="2"/>
  <c r="AR73" i="2"/>
  <c r="AQ73" i="2"/>
  <c r="AP73" i="2"/>
  <c r="AO73" i="2"/>
  <c r="AN73" i="2"/>
  <c r="AM73" i="2"/>
  <c r="AL73" i="2"/>
  <c r="AK73" i="2"/>
  <c r="AJ73" i="2"/>
  <c r="AI73" i="2"/>
  <c r="AH73" i="2"/>
  <c r="AG73" i="2"/>
  <c r="AF73" i="2"/>
  <c r="BI72" i="2"/>
  <c r="BH72" i="2"/>
  <c r="BG72" i="2"/>
  <c r="BF72" i="2"/>
  <c r="BE72" i="2"/>
  <c r="BD72" i="2"/>
  <c r="BC72" i="2"/>
  <c r="BB72" i="2"/>
  <c r="BA72" i="2"/>
  <c r="AZ72" i="2"/>
  <c r="AY72" i="2"/>
  <c r="AX72" i="2"/>
  <c r="AW72" i="2"/>
  <c r="AV72" i="2"/>
  <c r="AU72" i="2"/>
  <c r="AT72" i="2"/>
  <c r="AS72" i="2"/>
  <c r="AR72" i="2"/>
  <c r="AQ72" i="2"/>
  <c r="AP72" i="2"/>
  <c r="AO72" i="2"/>
  <c r="AN72" i="2"/>
  <c r="AM72" i="2"/>
  <c r="AL72" i="2"/>
  <c r="AK72" i="2"/>
  <c r="AJ72" i="2"/>
  <c r="AI72" i="2"/>
  <c r="AH72" i="2"/>
  <c r="AG72" i="2"/>
  <c r="AF72" i="2"/>
  <c r="BI71" i="2"/>
  <c r="BH71" i="2"/>
  <c r="BG71" i="2"/>
  <c r="BF71" i="2"/>
  <c r="BE71" i="2"/>
  <c r="BD71" i="2"/>
  <c r="BC71" i="2"/>
  <c r="BB71" i="2"/>
  <c r="BA71" i="2"/>
  <c r="AZ71" i="2"/>
  <c r="AY71" i="2"/>
  <c r="AX71" i="2"/>
  <c r="AW71" i="2"/>
  <c r="AV71" i="2"/>
  <c r="AU71" i="2"/>
  <c r="AT71" i="2"/>
  <c r="AS71" i="2"/>
  <c r="AR71" i="2"/>
  <c r="AQ71" i="2"/>
  <c r="AP71" i="2"/>
  <c r="AO71" i="2"/>
  <c r="AN71" i="2"/>
  <c r="AM71" i="2"/>
  <c r="AL71" i="2"/>
  <c r="AK71" i="2"/>
  <c r="AJ71" i="2"/>
  <c r="AI71" i="2"/>
  <c r="AH71" i="2"/>
  <c r="AG71" i="2"/>
  <c r="AF71" i="2"/>
  <c r="BI70" i="2"/>
  <c r="BH70" i="2"/>
  <c r="BG70" i="2"/>
  <c r="BF70" i="2"/>
  <c r="BE70" i="2"/>
  <c r="BD70" i="2"/>
  <c r="BC70" i="2"/>
  <c r="BB70" i="2"/>
  <c r="BA70" i="2"/>
  <c r="AZ70" i="2"/>
  <c r="AY70" i="2"/>
  <c r="AX70" i="2"/>
  <c r="AW70" i="2"/>
  <c r="AV70" i="2"/>
  <c r="AU70" i="2"/>
  <c r="AT70" i="2"/>
  <c r="AS70" i="2"/>
  <c r="AR70" i="2"/>
  <c r="AQ70" i="2"/>
  <c r="AP70" i="2"/>
  <c r="AO70" i="2"/>
  <c r="AN70" i="2"/>
  <c r="AM70" i="2"/>
  <c r="AL70" i="2"/>
  <c r="AK70" i="2"/>
  <c r="AJ70" i="2"/>
  <c r="AI70" i="2"/>
  <c r="AH70" i="2"/>
  <c r="AG70" i="2"/>
  <c r="AF70" i="2"/>
  <c r="BI69" i="2"/>
  <c r="BH69" i="2"/>
  <c r="BG69" i="2"/>
  <c r="BF69" i="2"/>
  <c r="BE69" i="2"/>
  <c r="BD69" i="2"/>
  <c r="BC69" i="2"/>
  <c r="BB69" i="2"/>
  <c r="BA69" i="2"/>
  <c r="AZ69" i="2"/>
  <c r="AY69" i="2"/>
  <c r="AX69" i="2"/>
  <c r="AW69" i="2"/>
  <c r="AV69" i="2"/>
  <c r="AU69" i="2"/>
  <c r="AT69" i="2"/>
  <c r="AS69" i="2"/>
  <c r="AR69" i="2"/>
  <c r="AQ69" i="2"/>
  <c r="AP69" i="2"/>
  <c r="AO69" i="2"/>
  <c r="AN69" i="2"/>
  <c r="AM69" i="2"/>
  <c r="AL69" i="2"/>
  <c r="AK69" i="2"/>
  <c r="AJ69" i="2"/>
  <c r="AI69" i="2"/>
  <c r="AH69" i="2"/>
  <c r="AG69" i="2"/>
  <c r="AF69" i="2"/>
  <c r="BI68" i="2"/>
  <c r="BH68" i="2"/>
  <c r="BG68" i="2"/>
  <c r="BF68" i="2"/>
  <c r="BE68" i="2"/>
  <c r="BD68" i="2"/>
  <c r="BC68" i="2"/>
  <c r="BB68" i="2"/>
  <c r="BA68" i="2"/>
  <c r="AZ68" i="2"/>
  <c r="AY68" i="2"/>
  <c r="AX68" i="2"/>
  <c r="AW68" i="2"/>
  <c r="AV68" i="2"/>
  <c r="AU68" i="2"/>
  <c r="AT68" i="2"/>
  <c r="AS68" i="2"/>
  <c r="AR68" i="2"/>
  <c r="AQ68" i="2"/>
  <c r="AP68" i="2"/>
  <c r="AO68" i="2"/>
  <c r="AN68" i="2"/>
  <c r="AM68" i="2"/>
  <c r="AL68" i="2"/>
  <c r="AK68" i="2"/>
  <c r="AJ68" i="2"/>
  <c r="AI68" i="2"/>
  <c r="AH68" i="2"/>
  <c r="AG68" i="2"/>
  <c r="AF68" i="2"/>
  <c r="BI67" i="2"/>
  <c r="BH67" i="2"/>
  <c r="BG67" i="2"/>
  <c r="BF67" i="2"/>
  <c r="BE67" i="2"/>
  <c r="BD67" i="2"/>
  <c r="BC67" i="2"/>
  <c r="BB67" i="2"/>
  <c r="BA67" i="2"/>
  <c r="AZ67" i="2"/>
  <c r="AY67" i="2"/>
  <c r="AX67" i="2"/>
  <c r="AW67" i="2"/>
  <c r="AV67" i="2"/>
  <c r="AU67" i="2"/>
  <c r="AT67" i="2"/>
  <c r="AS67" i="2"/>
  <c r="AR67" i="2"/>
  <c r="AQ67" i="2"/>
  <c r="AP67" i="2"/>
  <c r="AO67" i="2"/>
  <c r="AN67" i="2"/>
  <c r="AM67" i="2"/>
  <c r="AL67" i="2"/>
  <c r="AK67" i="2"/>
  <c r="AJ67" i="2"/>
  <c r="AI67" i="2"/>
  <c r="AH67" i="2"/>
  <c r="AG67" i="2"/>
  <c r="AF67" i="2"/>
  <c r="BI66" i="2"/>
  <c r="BH66" i="2"/>
  <c r="BG66" i="2"/>
  <c r="BF66" i="2"/>
  <c r="BE66" i="2"/>
  <c r="BD66" i="2"/>
  <c r="BC66" i="2"/>
  <c r="BB66" i="2"/>
  <c r="BA66" i="2"/>
  <c r="AZ66" i="2"/>
  <c r="AY66" i="2"/>
  <c r="AX66" i="2"/>
  <c r="AW66" i="2"/>
  <c r="AV66" i="2"/>
  <c r="AU66" i="2"/>
  <c r="AT66" i="2"/>
  <c r="AS66" i="2"/>
  <c r="AR66" i="2"/>
  <c r="AQ66" i="2"/>
  <c r="AP66" i="2"/>
  <c r="AO66" i="2"/>
  <c r="AN66" i="2"/>
  <c r="AM66" i="2"/>
  <c r="AL66" i="2"/>
  <c r="AK66" i="2"/>
  <c r="AJ66" i="2"/>
  <c r="AI66" i="2"/>
  <c r="AH66" i="2"/>
  <c r="AG66" i="2"/>
  <c r="AF66" i="2"/>
  <c r="BI65" i="2"/>
  <c r="BH65" i="2"/>
  <c r="BG65" i="2"/>
  <c r="BF65" i="2"/>
  <c r="BE65" i="2"/>
  <c r="BD65" i="2"/>
  <c r="BC65" i="2"/>
  <c r="BB65" i="2"/>
  <c r="BA65" i="2"/>
  <c r="AZ65" i="2"/>
  <c r="AY65" i="2"/>
  <c r="AX65" i="2"/>
  <c r="AW65" i="2"/>
  <c r="AV65" i="2"/>
  <c r="AU65" i="2"/>
  <c r="AT65" i="2"/>
  <c r="AS65" i="2"/>
  <c r="AR65" i="2"/>
  <c r="AQ65" i="2"/>
  <c r="AP65" i="2"/>
  <c r="AO65" i="2"/>
  <c r="AN65" i="2"/>
  <c r="AM65" i="2"/>
  <c r="AL65" i="2"/>
  <c r="AK65" i="2"/>
  <c r="AJ65" i="2"/>
  <c r="AI65" i="2"/>
  <c r="AH65" i="2"/>
  <c r="AG65" i="2"/>
  <c r="AF65" i="2"/>
  <c r="BI64" i="2"/>
  <c r="BH64" i="2"/>
  <c r="BG64" i="2"/>
  <c r="BF64" i="2"/>
  <c r="BE64" i="2"/>
  <c r="BD64" i="2"/>
  <c r="BC64" i="2"/>
  <c r="BB64" i="2"/>
  <c r="BA64" i="2"/>
  <c r="AZ64" i="2"/>
  <c r="AY64" i="2"/>
  <c r="AX64" i="2"/>
  <c r="AW64" i="2"/>
  <c r="AV64" i="2"/>
  <c r="AU64" i="2"/>
  <c r="AT64" i="2"/>
  <c r="AS64" i="2"/>
  <c r="AR64" i="2"/>
  <c r="AQ64" i="2"/>
  <c r="AP64" i="2"/>
  <c r="AO64" i="2"/>
  <c r="AN64" i="2"/>
  <c r="AM64" i="2"/>
  <c r="AL64" i="2"/>
  <c r="AK64" i="2"/>
  <c r="AJ64" i="2"/>
  <c r="AI64" i="2"/>
  <c r="AH64" i="2"/>
  <c r="AG64" i="2"/>
  <c r="AF64" i="2"/>
  <c r="BI63" i="2"/>
  <c r="BH63" i="2"/>
  <c r="BG63" i="2"/>
  <c r="BF63" i="2"/>
  <c r="BE63" i="2"/>
  <c r="BD63" i="2"/>
  <c r="BC63" i="2"/>
  <c r="BB63" i="2"/>
  <c r="BA63" i="2"/>
  <c r="AZ63" i="2"/>
  <c r="AY63" i="2"/>
  <c r="AX63" i="2"/>
  <c r="AW63" i="2"/>
  <c r="AV63" i="2"/>
  <c r="AU63" i="2"/>
  <c r="AT63" i="2"/>
  <c r="AS63" i="2"/>
  <c r="AR63" i="2"/>
  <c r="AQ63" i="2"/>
  <c r="AP63" i="2"/>
  <c r="AO63" i="2"/>
  <c r="AN63" i="2"/>
  <c r="AM63" i="2"/>
  <c r="AL63" i="2"/>
  <c r="AK63" i="2"/>
  <c r="AJ63" i="2"/>
  <c r="AI63" i="2"/>
  <c r="AH63" i="2"/>
  <c r="AG63" i="2"/>
  <c r="AF63" i="2"/>
  <c r="BI62" i="2"/>
  <c r="BH62" i="2"/>
  <c r="BG62" i="2"/>
  <c r="BF62" i="2"/>
  <c r="BE62" i="2"/>
  <c r="BD62" i="2"/>
  <c r="BC62" i="2"/>
  <c r="BB62" i="2"/>
  <c r="BA62" i="2"/>
  <c r="AZ62" i="2"/>
  <c r="AY62" i="2"/>
  <c r="AX62" i="2"/>
  <c r="AW62" i="2"/>
  <c r="AV62" i="2"/>
  <c r="AU62" i="2"/>
  <c r="AT62" i="2"/>
  <c r="AS62" i="2"/>
  <c r="AR62" i="2"/>
  <c r="AQ62" i="2"/>
  <c r="AP62" i="2"/>
  <c r="AO62" i="2"/>
  <c r="AN62" i="2"/>
  <c r="AM62" i="2"/>
  <c r="AL62" i="2"/>
  <c r="AK62" i="2"/>
  <c r="AJ62" i="2"/>
  <c r="AI62" i="2"/>
  <c r="AH62" i="2"/>
  <c r="AG62" i="2"/>
  <c r="AF62" i="2"/>
  <c r="BI61" i="2"/>
  <c r="BH61" i="2"/>
  <c r="BG61" i="2"/>
  <c r="BF61" i="2"/>
  <c r="BE61" i="2"/>
  <c r="BD61" i="2"/>
  <c r="BC61" i="2"/>
  <c r="BB61" i="2"/>
  <c r="BA61" i="2"/>
  <c r="AZ61" i="2"/>
  <c r="AY61" i="2"/>
  <c r="AX61" i="2"/>
  <c r="AW61" i="2"/>
  <c r="AV61" i="2"/>
  <c r="AU61" i="2"/>
  <c r="AT61" i="2"/>
  <c r="AS61" i="2"/>
  <c r="AR61" i="2"/>
  <c r="AQ61" i="2"/>
  <c r="AP61" i="2"/>
  <c r="AO61" i="2"/>
  <c r="AN61" i="2"/>
  <c r="AM61" i="2"/>
  <c r="AL61" i="2"/>
  <c r="AK61" i="2"/>
  <c r="AJ61" i="2"/>
  <c r="AI61" i="2"/>
  <c r="AH61" i="2"/>
  <c r="AG61" i="2"/>
  <c r="AF61" i="2"/>
  <c r="BI60" i="2"/>
  <c r="BH60" i="2"/>
  <c r="BG60" i="2"/>
  <c r="BF60" i="2"/>
  <c r="BE60" i="2"/>
  <c r="BD60" i="2"/>
  <c r="BC60" i="2"/>
  <c r="BB60" i="2"/>
  <c r="BA60" i="2"/>
  <c r="AZ60" i="2"/>
  <c r="AY60" i="2"/>
  <c r="AX60" i="2"/>
  <c r="AW60" i="2"/>
  <c r="AV60" i="2"/>
  <c r="AU60" i="2"/>
  <c r="AT60" i="2"/>
  <c r="AS60" i="2"/>
  <c r="AR60" i="2"/>
  <c r="AQ60" i="2"/>
  <c r="AP60" i="2"/>
  <c r="AO60" i="2"/>
  <c r="AN60" i="2"/>
  <c r="AM60" i="2"/>
  <c r="AL60" i="2"/>
  <c r="AK60" i="2"/>
  <c r="AJ60" i="2"/>
  <c r="AI60" i="2"/>
  <c r="AH60" i="2"/>
  <c r="AG60" i="2"/>
  <c r="AF60" i="2"/>
  <c r="BI59" i="2"/>
  <c r="BH59" i="2"/>
  <c r="BG59" i="2"/>
  <c r="BF59" i="2"/>
  <c r="BE59" i="2"/>
  <c r="BD59" i="2"/>
  <c r="BC59" i="2"/>
  <c r="BB59" i="2"/>
  <c r="BA59" i="2"/>
  <c r="AZ59" i="2"/>
  <c r="AY59" i="2"/>
  <c r="AX59" i="2"/>
  <c r="AW59" i="2"/>
  <c r="AV59" i="2"/>
  <c r="AU59" i="2"/>
  <c r="AT59" i="2"/>
  <c r="AS59" i="2"/>
  <c r="AR59" i="2"/>
  <c r="AQ59" i="2"/>
  <c r="AP59" i="2"/>
  <c r="AO59" i="2"/>
  <c r="AN59" i="2"/>
  <c r="AM59" i="2"/>
  <c r="AL59" i="2"/>
  <c r="AK59" i="2"/>
  <c r="AJ59" i="2"/>
  <c r="AI59" i="2"/>
  <c r="AH59" i="2"/>
  <c r="AG59" i="2"/>
  <c r="AF59" i="2"/>
  <c r="BI58" i="2"/>
  <c r="BH58" i="2"/>
  <c r="BG58" i="2"/>
  <c r="BF58" i="2"/>
  <c r="BE58" i="2"/>
  <c r="BD58" i="2"/>
  <c r="BC58" i="2"/>
  <c r="BB58" i="2"/>
  <c r="BA58" i="2"/>
  <c r="AZ58" i="2"/>
  <c r="AY58" i="2"/>
  <c r="AX58" i="2"/>
  <c r="AW58" i="2"/>
  <c r="AV58" i="2"/>
  <c r="AU58" i="2"/>
  <c r="AT58" i="2"/>
  <c r="AS58" i="2"/>
  <c r="AR58" i="2"/>
  <c r="AQ58" i="2"/>
  <c r="AP58" i="2"/>
  <c r="AO58" i="2"/>
  <c r="AN58" i="2"/>
  <c r="AM58" i="2"/>
  <c r="AL58" i="2"/>
  <c r="AK58" i="2"/>
  <c r="AJ58" i="2"/>
  <c r="AI58" i="2"/>
  <c r="AH58" i="2"/>
  <c r="AG58" i="2"/>
  <c r="AF58" i="2"/>
  <c r="BI57" i="2"/>
  <c r="BH57" i="2"/>
  <c r="BG57" i="2"/>
  <c r="BF57" i="2"/>
  <c r="BE57" i="2"/>
  <c r="BD57" i="2"/>
  <c r="BC57" i="2"/>
  <c r="BB57" i="2"/>
  <c r="BA57" i="2"/>
  <c r="AZ57" i="2"/>
  <c r="AY57" i="2"/>
  <c r="AX57" i="2"/>
  <c r="AW57" i="2"/>
  <c r="AV57" i="2"/>
  <c r="AU57" i="2"/>
  <c r="AT57" i="2"/>
  <c r="AS57" i="2"/>
  <c r="AR57" i="2"/>
  <c r="AQ57" i="2"/>
  <c r="AP57" i="2"/>
  <c r="AO57" i="2"/>
  <c r="AN57" i="2"/>
  <c r="AM57" i="2"/>
  <c r="AL57" i="2"/>
  <c r="AK57" i="2"/>
  <c r="AJ57" i="2"/>
  <c r="AI57" i="2"/>
  <c r="AH57" i="2"/>
  <c r="AG57" i="2"/>
  <c r="AF57" i="2"/>
  <c r="BI56" i="2"/>
  <c r="BH56" i="2"/>
  <c r="BG56" i="2"/>
  <c r="BF56" i="2"/>
  <c r="BE56" i="2"/>
  <c r="BD56" i="2"/>
  <c r="BC56" i="2"/>
  <c r="BB56" i="2"/>
  <c r="BA56" i="2"/>
  <c r="AZ56" i="2"/>
  <c r="AY56" i="2"/>
  <c r="AX56" i="2"/>
  <c r="AW56" i="2"/>
  <c r="AV56" i="2"/>
  <c r="AU56" i="2"/>
  <c r="AT56" i="2"/>
  <c r="AS56" i="2"/>
  <c r="AR56" i="2"/>
  <c r="AQ56" i="2"/>
  <c r="AP56" i="2"/>
  <c r="AO56" i="2"/>
  <c r="AN56" i="2"/>
  <c r="AM56" i="2"/>
  <c r="AL56" i="2"/>
  <c r="AK56" i="2"/>
  <c r="AJ56" i="2"/>
  <c r="AI56" i="2"/>
  <c r="AH56" i="2"/>
  <c r="AG56" i="2"/>
  <c r="AF56" i="2"/>
  <c r="BI55" i="2"/>
  <c r="BH55" i="2"/>
  <c r="BG55" i="2"/>
  <c r="BF55" i="2"/>
  <c r="BE55" i="2"/>
  <c r="BD55" i="2"/>
  <c r="BC55" i="2"/>
  <c r="BB55" i="2"/>
  <c r="BA55" i="2"/>
  <c r="AZ55" i="2"/>
  <c r="AY55" i="2"/>
  <c r="AX55" i="2"/>
  <c r="AW55" i="2"/>
  <c r="AV55" i="2"/>
  <c r="AU55" i="2"/>
  <c r="AT55" i="2"/>
  <c r="AS55" i="2"/>
  <c r="AR55" i="2"/>
  <c r="AQ55" i="2"/>
  <c r="AP55" i="2"/>
  <c r="AO55" i="2"/>
  <c r="AN55" i="2"/>
  <c r="AM55" i="2"/>
  <c r="AL55" i="2"/>
  <c r="AK55" i="2"/>
  <c r="AJ55" i="2"/>
  <c r="AI55" i="2"/>
  <c r="AH55" i="2"/>
  <c r="AG55" i="2"/>
  <c r="AF55" i="2"/>
  <c r="BI54" i="2"/>
  <c r="BH54" i="2"/>
  <c r="BG54" i="2"/>
  <c r="BF54" i="2"/>
  <c r="BE54" i="2"/>
  <c r="BD54" i="2"/>
  <c r="BC54" i="2"/>
  <c r="BB54" i="2"/>
  <c r="BA54" i="2"/>
  <c r="AZ54" i="2"/>
  <c r="AY54" i="2"/>
  <c r="AX54" i="2"/>
  <c r="AW54" i="2"/>
  <c r="AV54" i="2"/>
  <c r="AU54" i="2"/>
  <c r="AT54" i="2"/>
  <c r="AS54" i="2"/>
  <c r="AR54" i="2"/>
  <c r="AQ54" i="2"/>
  <c r="AP54" i="2"/>
  <c r="AO54" i="2"/>
  <c r="AN54" i="2"/>
  <c r="AM54" i="2"/>
  <c r="AL54" i="2"/>
  <c r="AK54" i="2"/>
  <c r="AJ54" i="2"/>
  <c r="AI54" i="2"/>
  <c r="AH54" i="2"/>
  <c r="AG54" i="2"/>
  <c r="AF54" i="2"/>
  <c r="BI53" i="2"/>
  <c r="BH53" i="2"/>
  <c r="BG53" i="2"/>
  <c r="BF53" i="2"/>
  <c r="BE53" i="2"/>
  <c r="BD53" i="2"/>
  <c r="BC53" i="2"/>
  <c r="BB53" i="2"/>
  <c r="BA53" i="2"/>
  <c r="AZ53" i="2"/>
  <c r="AY53" i="2"/>
  <c r="AX53" i="2"/>
  <c r="AW53" i="2"/>
  <c r="AV53" i="2"/>
  <c r="AU53" i="2"/>
  <c r="AT53" i="2"/>
  <c r="AS53" i="2"/>
  <c r="AR53" i="2"/>
  <c r="AQ53" i="2"/>
  <c r="AP53" i="2"/>
  <c r="AO53" i="2"/>
  <c r="AN53" i="2"/>
  <c r="AM53" i="2"/>
  <c r="AL53" i="2"/>
  <c r="AK53" i="2"/>
  <c r="AJ53" i="2"/>
  <c r="AI53" i="2"/>
  <c r="AH53" i="2"/>
  <c r="AG53" i="2"/>
  <c r="AF53" i="2"/>
  <c r="BI52" i="2"/>
  <c r="BH52" i="2"/>
  <c r="BG52" i="2"/>
  <c r="BF52" i="2"/>
  <c r="BE52" i="2"/>
  <c r="BD52" i="2"/>
  <c r="BC52" i="2"/>
  <c r="BB52" i="2"/>
  <c r="BA52" i="2"/>
  <c r="AZ52" i="2"/>
  <c r="AY52" i="2"/>
  <c r="AX52" i="2"/>
  <c r="AW52" i="2"/>
  <c r="AV52" i="2"/>
  <c r="AU52" i="2"/>
  <c r="AT52" i="2"/>
  <c r="AS52" i="2"/>
  <c r="AR52" i="2"/>
  <c r="AQ52" i="2"/>
  <c r="AP52" i="2"/>
  <c r="AO52" i="2"/>
  <c r="AN52" i="2"/>
  <c r="AM52" i="2"/>
  <c r="AL52" i="2"/>
  <c r="AK52" i="2"/>
  <c r="AJ52" i="2"/>
  <c r="AI52" i="2"/>
  <c r="AH52" i="2"/>
  <c r="AG52" i="2"/>
  <c r="AF52" i="2"/>
  <c r="BI51" i="2"/>
  <c r="BH51" i="2"/>
  <c r="BG51" i="2"/>
  <c r="BF51" i="2"/>
  <c r="BE51" i="2"/>
  <c r="BD51" i="2"/>
  <c r="BC51" i="2"/>
  <c r="BB51" i="2"/>
  <c r="BA51" i="2"/>
  <c r="AZ51" i="2"/>
  <c r="AY51" i="2"/>
  <c r="AX51" i="2"/>
  <c r="AW51" i="2"/>
  <c r="AV51" i="2"/>
  <c r="AU51" i="2"/>
  <c r="AT51" i="2"/>
  <c r="AS51" i="2"/>
  <c r="AR51" i="2"/>
  <c r="AQ51" i="2"/>
  <c r="AP51" i="2"/>
  <c r="AO51" i="2"/>
  <c r="AN51" i="2"/>
  <c r="AM51" i="2"/>
  <c r="AL51" i="2"/>
  <c r="AK51" i="2"/>
  <c r="AJ51" i="2"/>
  <c r="AI51" i="2"/>
  <c r="AH51" i="2"/>
  <c r="AG51" i="2"/>
  <c r="AF51" i="2"/>
  <c r="BI50" i="2"/>
  <c r="BH50" i="2"/>
  <c r="BG50" i="2"/>
  <c r="BF50" i="2"/>
  <c r="BE50" i="2"/>
  <c r="BD50" i="2"/>
  <c r="BC50" i="2"/>
  <c r="BB50" i="2"/>
  <c r="BA50" i="2"/>
  <c r="AZ50" i="2"/>
  <c r="AY50" i="2"/>
  <c r="AX50" i="2"/>
  <c r="AW50" i="2"/>
  <c r="AV50" i="2"/>
  <c r="AU50" i="2"/>
  <c r="AT50" i="2"/>
  <c r="AS50" i="2"/>
  <c r="AR50" i="2"/>
  <c r="AQ50" i="2"/>
  <c r="AP50" i="2"/>
  <c r="AO50" i="2"/>
  <c r="AN50" i="2"/>
  <c r="AM50" i="2"/>
  <c r="AL50" i="2"/>
  <c r="AK50" i="2"/>
  <c r="AJ50" i="2"/>
  <c r="AI50" i="2"/>
  <c r="AH50" i="2"/>
  <c r="AG50" i="2"/>
  <c r="AF50" i="2"/>
  <c r="BI49" i="2"/>
  <c r="BH49" i="2"/>
  <c r="BG49" i="2"/>
  <c r="BF49" i="2"/>
  <c r="BE49" i="2"/>
  <c r="BD49" i="2"/>
  <c r="BC49" i="2"/>
  <c r="BB49" i="2"/>
  <c r="BA49" i="2"/>
  <c r="AZ49" i="2"/>
  <c r="AY49" i="2"/>
  <c r="AX49" i="2"/>
  <c r="AW49" i="2"/>
  <c r="AV49" i="2"/>
  <c r="AU49" i="2"/>
  <c r="AT49" i="2"/>
  <c r="AS49" i="2"/>
  <c r="AR49" i="2"/>
  <c r="AQ49" i="2"/>
  <c r="AP49" i="2"/>
  <c r="AO49" i="2"/>
  <c r="AN49" i="2"/>
  <c r="AM49" i="2"/>
  <c r="AL49" i="2"/>
  <c r="AK49" i="2"/>
  <c r="AJ49" i="2"/>
  <c r="AI49" i="2"/>
  <c r="AH49" i="2"/>
  <c r="AG49" i="2"/>
  <c r="AF49" i="2"/>
  <c r="BI48" i="2"/>
  <c r="BH48" i="2"/>
  <c r="BG48" i="2"/>
  <c r="BF48" i="2"/>
  <c r="BE48" i="2"/>
  <c r="BD48" i="2"/>
  <c r="BC48" i="2"/>
  <c r="BB48" i="2"/>
  <c r="BA48" i="2"/>
  <c r="AZ48" i="2"/>
  <c r="AY48" i="2"/>
  <c r="AX48" i="2"/>
  <c r="AW48" i="2"/>
  <c r="AV48" i="2"/>
  <c r="AU48" i="2"/>
  <c r="AT48" i="2"/>
  <c r="AS48" i="2"/>
  <c r="AR48" i="2"/>
  <c r="AQ48" i="2"/>
  <c r="AP48" i="2"/>
  <c r="AO48" i="2"/>
  <c r="AN48" i="2"/>
  <c r="AM48" i="2"/>
  <c r="AL48" i="2"/>
  <c r="AK48" i="2"/>
  <c r="AJ48" i="2"/>
  <c r="AI48" i="2"/>
  <c r="AH48" i="2"/>
  <c r="AG48" i="2"/>
  <c r="AF48" i="2"/>
  <c r="BI47" i="2"/>
  <c r="BH47" i="2"/>
  <c r="BG47" i="2"/>
  <c r="BF47" i="2"/>
  <c r="BE47" i="2"/>
  <c r="BD47" i="2"/>
  <c r="BC47" i="2"/>
  <c r="BB47" i="2"/>
  <c r="BA47" i="2"/>
  <c r="AZ47" i="2"/>
  <c r="AY47" i="2"/>
  <c r="AX47" i="2"/>
  <c r="AW47" i="2"/>
  <c r="AV47" i="2"/>
  <c r="AU47" i="2"/>
  <c r="AT47" i="2"/>
  <c r="AS47" i="2"/>
  <c r="AR47" i="2"/>
  <c r="AQ47" i="2"/>
  <c r="AP47" i="2"/>
  <c r="AO47" i="2"/>
  <c r="AN47" i="2"/>
  <c r="AM47" i="2"/>
  <c r="AL47" i="2"/>
  <c r="AK47" i="2"/>
  <c r="AJ47" i="2"/>
  <c r="AI47" i="2"/>
  <c r="AH47" i="2"/>
  <c r="AG47" i="2"/>
  <c r="AF47" i="2"/>
  <c r="BI46" i="2"/>
  <c r="BH46" i="2"/>
  <c r="BG46" i="2"/>
  <c r="BF46" i="2"/>
  <c r="BE46" i="2"/>
  <c r="BD46" i="2"/>
  <c r="BC46" i="2"/>
  <c r="BB46" i="2"/>
  <c r="BA46" i="2"/>
  <c r="AZ46" i="2"/>
  <c r="AY46" i="2"/>
  <c r="AX46" i="2"/>
  <c r="AW46" i="2"/>
  <c r="AV46" i="2"/>
  <c r="AU46" i="2"/>
  <c r="AT46" i="2"/>
  <c r="AS46" i="2"/>
  <c r="AR46" i="2"/>
  <c r="AQ46" i="2"/>
  <c r="AP46" i="2"/>
  <c r="AO46" i="2"/>
  <c r="AN46" i="2"/>
  <c r="AM46" i="2"/>
  <c r="AL46" i="2"/>
  <c r="AK46" i="2"/>
  <c r="AJ46" i="2"/>
  <c r="AI46" i="2"/>
  <c r="AH46" i="2"/>
  <c r="AG46" i="2"/>
  <c r="AF46" i="2"/>
  <c r="BI45" i="2"/>
  <c r="BH45" i="2"/>
  <c r="BG45" i="2"/>
  <c r="BF45" i="2"/>
  <c r="BE45" i="2"/>
  <c r="BD45" i="2"/>
  <c r="BC45" i="2"/>
  <c r="BB45" i="2"/>
  <c r="BA45" i="2"/>
  <c r="AZ45" i="2"/>
  <c r="AY45" i="2"/>
  <c r="AX45" i="2"/>
  <c r="AW45" i="2"/>
  <c r="AV45" i="2"/>
  <c r="AU45" i="2"/>
  <c r="AT45" i="2"/>
  <c r="AS45" i="2"/>
  <c r="AR45" i="2"/>
  <c r="AQ45" i="2"/>
  <c r="AP45" i="2"/>
  <c r="AO45" i="2"/>
  <c r="AN45" i="2"/>
  <c r="AM45" i="2"/>
  <c r="AL45" i="2"/>
  <c r="AK45" i="2"/>
  <c r="AJ45" i="2"/>
  <c r="AI45" i="2"/>
  <c r="AH45" i="2"/>
  <c r="AG45" i="2"/>
  <c r="AF45" i="2"/>
  <c r="BI44" i="2"/>
  <c r="BH44" i="2"/>
  <c r="BG44" i="2"/>
  <c r="BF44" i="2"/>
  <c r="BE44" i="2"/>
  <c r="BD44" i="2"/>
  <c r="BC44" i="2"/>
  <c r="BB44" i="2"/>
  <c r="BA44" i="2"/>
  <c r="AZ44" i="2"/>
  <c r="AY44" i="2"/>
  <c r="AX44" i="2"/>
  <c r="AW44" i="2"/>
  <c r="AV44" i="2"/>
  <c r="AU44" i="2"/>
  <c r="AT44" i="2"/>
  <c r="AS44" i="2"/>
  <c r="AR44" i="2"/>
  <c r="AQ44" i="2"/>
  <c r="AP44" i="2"/>
  <c r="AO44" i="2"/>
  <c r="AN44" i="2"/>
  <c r="AM44" i="2"/>
  <c r="AL44" i="2"/>
  <c r="AK44" i="2"/>
  <c r="AJ44" i="2"/>
  <c r="AI44" i="2"/>
  <c r="AH44" i="2"/>
  <c r="AG44" i="2"/>
  <c r="AF44" i="2"/>
  <c r="BI43" i="2"/>
  <c r="BH43" i="2"/>
  <c r="BG43" i="2"/>
  <c r="BF43" i="2"/>
  <c r="BE43" i="2"/>
  <c r="BD43" i="2"/>
  <c r="BC43" i="2"/>
  <c r="BB43" i="2"/>
  <c r="BA43" i="2"/>
  <c r="AZ43" i="2"/>
  <c r="AY43" i="2"/>
  <c r="AX43" i="2"/>
  <c r="AW43" i="2"/>
  <c r="AV43" i="2"/>
  <c r="AU43" i="2"/>
  <c r="AT43" i="2"/>
  <c r="AS43" i="2"/>
  <c r="AR43" i="2"/>
  <c r="AQ43" i="2"/>
  <c r="AP43" i="2"/>
  <c r="AO43" i="2"/>
  <c r="AN43" i="2"/>
  <c r="AM43" i="2"/>
  <c r="AL43" i="2"/>
  <c r="AK43" i="2"/>
  <c r="AJ43" i="2"/>
  <c r="AI43" i="2"/>
  <c r="AH43" i="2"/>
  <c r="AG43" i="2"/>
  <c r="AF43" i="2"/>
  <c r="BI42" i="2"/>
  <c r="BH42" i="2"/>
  <c r="BG42" i="2"/>
  <c r="BF42" i="2"/>
  <c r="BE42" i="2"/>
  <c r="BD42" i="2"/>
  <c r="BC42" i="2"/>
  <c r="BB42" i="2"/>
  <c r="BA42" i="2"/>
  <c r="AZ42" i="2"/>
  <c r="AY42" i="2"/>
  <c r="AX42" i="2"/>
  <c r="AW42" i="2"/>
  <c r="AV42" i="2"/>
  <c r="AU42" i="2"/>
  <c r="AT42" i="2"/>
  <c r="AS42" i="2"/>
  <c r="AR42" i="2"/>
  <c r="AQ42" i="2"/>
  <c r="AP42" i="2"/>
  <c r="AO42" i="2"/>
  <c r="AN42" i="2"/>
  <c r="AM42" i="2"/>
  <c r="AL42" i="2"/>
  <c r="AK42" i="2"/>
  <c r="AJ42" i="2"/>
  <c r="AI42" i="2"/>
  <c r="AH42" i="2"/>
  <c r="AG42" i="2"/>
  <c r="AF42" i="2"/>
  <c r="BI41" i="2"/>
  <c r="BH41" i="2"/>
  <c r="BG41" i="2"/>
  <c r="BF41" i="2"/>
  <c r="BE41" i="2"/>
  <c r="BD41" i="2"/>
  <c r="BC41" i="2"/>
  <c r="BB41" i="2"/>
  <c r="BA41" i="2"/>
  <c r="AZ41" i="2"/>
  <c r="AY41" i="2"/>
  <c r="AX41" i="2"/>
  <c r="AW41" i="2"/>
  <c r="AV41" i="2"/>
  <c r="AU41" i="2"/>
  <c r="AT41" i="2"/>
  <c r="AS41" i="2"/>
  <c r="AR41" i="2"/>
  <c r="AQ41" i="2"/>
  <c r="AP41" i="2"/>
  <c r="AO41" i="2"/>
  <c r="AN41" i="2"/>
  <c r="AM41" i="2"/>
  <c r="AL41" i="2"/>
  <c r="AK41" i="2"/>
  <c r="AJ41" i="2"/>
  <c r="AI41" i="2"/>
  <c r="AH41" i="2"/>
  <c r="AG41" i="2"/>
  <c r="AF41" i="2"/>
  <c r="BI40" i="2"/>
  <c r="BH40" i="2"/>
  <c r="BG40" i="2"/>
  <c r="BF40" i="2"/>
  <c r="BE40" i="2"/>
  <c r="BD40" i="2"/>
  <c r="BC40" i="2"/>
  <c r="BB40" i="2"/>
  <c r="BA40" i="2"/>
  <c r="AZ40" i="2"/>
  <c r="AY40" i="2"/>
  <c r="AX40" i="2"/>
  <c r="AW40" i="2"/>
  <c r="AV40" i="2"/>
  <c r="AU40" i="2"/>
  <c r="AT40" i="2"/>
  <c r="AS40" i="2"/>
  <c r="AR40" i="2"/>
  <c r="AQ40" i="2"/>
  <c r="AP40" i="2"/>
  <c r="AO40" i="2"/>
  <c r="AN40" i="2"/>
  <c r="AM40" i="2"/>
  <c r="AL40" i="2"/>
  <c r="AK40" i="2"/>
  <c r="AJ40" i="2"/>
  <c r="AI40" i="2"/>
  <c r="AH40" i="2"/>
  <c r="AG40" i="2"/>
  <c r="AF40" i="2"/>
  <c r="BI39" i="2"/>
  <c r="BH39" i="2"/>
  <c r="BG39" i="2"/>
  <c r="BF39" i="2"/>
  <c r="BE39" i="2"/>
  <c r="BD39" i="2"/>
  <c r="BC39" i="2"/>
  <c r="BB39" i="2"/>
  <c r="BA39" i="2"/>
  <c r="AZ39" i="2"/>
  <c r="AY39" i="2"/>
  <c r="AX39" i="2"/>
  <c r="AW39" i="2"/>
  <c r="AV39" i="2"/>
  <c r="AU39" i="2"/>
  <c r="AT39" i="2"/>
  <c r="AS39" i="2"/>
  <c r="AR39" i="2"/>
  <c r="AQ39" i="2"/>
  <c r="AP39" i="2"/>
  <c r="AO39" i="2"/>
  <c r="AN39" i="2"/>
  <c r="AM39" i="2"/>
  <c r="AL39" i="2"/>
  <c r="AK39" i="2"/>
  <c r="AJ39" i="2"/>
  <c r="AI39" i="2"/>
  <c r="AH39" i="2"/>
  <c r="AG39" i="2"/>
  <c r="AF39" i="2"/>
  <c r="BI38" i="2"/>
  <c r="BH38" i="2"/>
  <c r="BG38" i="2"/>
  <c r="BF38" i="2"/>
  <c r="BE38" i="2"/>
  <c r="BD38" i="2"/>
  <c r="BC38" i="2"/>
  <c r="BB38" i="2"/>
  <c r="BA38" i="2"/>
  <c r="AZ38" i="2"/>
  <c r="AY38" i="2"/>
  <c r="AX38" i="2"/>
  <c r="AW38" i="2"/>
  <c r="AV38" i="2"/>
  <c r="AU38" i="2"/>
  <c r="AT38" i="2"/>
  <c r="AS38" i="2"/>
  <c r="AR38" i="2"/>
  <c r="AQ38" i="2"/>
  <c r="AP38" i="2"/>
  <c r="AO38" i="2"/>
  <c r="AN38" i="2"/>
  <c r="AM38" i="2"/>
  <c r="AL38" i="2"/>
  <c r="AK38" i="2"/>
  <c r="AJ38" i="2"/>
  <c r="AI38" i="2"/>
  <c r="AH38" i="2"/>
  <c r="AG38" i="2"/>
  <c r="AF38" i="2"/>
  <c r="BI37" i="2"/>
  <c r="BH37" i="2"/>
  <c r="BG37" i="2"/>
  <c r="BF37" i="2"/>
  <c r="BE37" i="2"/>
  <c r="BD37" i="2"/>
  <c r="BC37" i="2"/>
  <c r="BB37" i="2"/>
  <c r="BA37" i="2"/>
  <c r="AZ37" i="2"/>
  <c r="AY37" i="2"/>
  <c r="AX37" i="2"/>
  <c r="AW37" i="2"/>
  <c r="AV37" i="2"/>
  <c r="AU37" i="2"/>
  <c r="AT37" i="2"/>
  <c r="AS37" i="2"/>
  <c r="AR37" i="2"/>
  <c r="AQ37" i="2"/>
  <c r="AP37" i="2"/>
  <c r="AO37" i="2"/>
  <c r="AN37" i="2"/>
  <c r="AM37" i="2"/>
  <c r="AL37" i="2"/>
  <c r="AK37" i="2"/>
  <c r="AJ37" i="2"/>
  <c r="AI37" i="2"/>
  <c r="AH37" i="2"/>
  <c r="AG37" i="2"/>
  <c r="AF37" i="2"/>
  <c r="BI36" i="2"/>
  <c r="BH36" i="2"/>
  <c r="BG36" i="2"/>
  <c r="BF36" i="2"/>
  <c r="BE36" i="2"/>
  <c r="BD36" i="2"/>
  <c r="BC36" i="2"/>
  <c r="BB36" i="2"/>
  <c r="BA36" i="2"/>
  <c r="AZ36" i="2"/>
  <c r="AY36" i="2"/>
  <c r="AX36" i="2"/>
  <c r="AW36" i="2"/>
  <c r="AV36" i="2"/>
  <c r="AU36" i="2"/>
  <c r="AT36" i="2"/>
  <c r="AS36" i="2"/>
  <c r="AR36" i="2"/>
  <c r="AQ36" i="2"/>
  <c r="AP36" i="2"/>
  <c r="AO36" i="2"/>
  <c r="AN36" i="2"/>
  <c r="AM36" i="2"/>
  <c r="AL36" i="2"/>
  <c r="AK36" i="2"/>
  <c r="AJ36" i="2"/>
  <c r="AI36" i="2"/>
  <c r="AH36" i="2"/>
  <c r="AG36" i="2"/>
  <c r="AF36" i="2"/>
  <c r="BI35" i="2"/>
  <c r="BH35" i="2"/>
  <c r="BG35" i="2"/>
  <c r="BF35" i="2"/>
  <c r="BE35" i="2"/>
  <c r="BD35" i="2"/>
  <c r="BC35" i="2"/>
  <c r="BB35" i="2"/>
  <c r="BA35" i="2"/>
  <c r="AZ35" i="2"/>
  <c r="AY35" i="2"/>
  <c r="AX35" i="2"/>
  <c r="AW35" i="2"/>
  <c r="AV35" i="2"/>
  <c r="AU35" i="2"/>
  <c r="AT35" i="2"/>
  <c r="AS35" i="2"/>
  <c r="AR35" i="2"/>
  <c r="AQ35" i="2"/>
  <c r="AP35" i="2"/>
  <c r="AO35" i="2"/>
  <c r="AN35" i="2"/>
  <c r="AM35" i="2"/>
  <c r="AL35" i="2"/>
  <c r="AK35" i="2"/>
  <c r="AJ35" i="2"/>
  <c r="AI35" i="2"/>
  <c r="AH35" i="2"/>
  <c r="AG35" i="2"/>
  <c r="AF35" i="2"/>
  <c r="BI34" i="2"/>
  <c r="BH34" i="2"/>
  <c r="BG34" i="2"/>
  <c r="BF34" i="2"/>
  <c r="BE34" i="2"/>
  <c r="BD34" i="2"/>
  <c r="BC34" i="2"/>
  <c r="BB34" i="2"/>
  <c r="BA34" i="2"/>
  <c r="AZ34" i="2"/>
  <c r="AY34" i="2"/>
  <c r="AX34" i="2"/>
  <c r="AW34" i="2"/>
  <c r="AV34" i="2"/>
  <c r="AU34" i="2"/>
  <c r="AT34" i="2"/>
  <c r="AS34" i="2"/>
  <c r="AR34" i="2"/>
  <c r="AQ34" i="2"/>
  <c r="AP34" i="2"/>
  <c r="AO34" i="2"/>
  <c r="AN34" i="2"/>
  <c r="AM34" i="2"/>
  <c r="AL34" i="2"/>
  <c r="AK34" i="2"/>
  <c r="AJ34" i="2"/>
  <c r="AI34" i="2"/>
  <c r="AH34" i="2"/>
  <c r="AG34" i="2"/>
  <c r="AF34" i="2"/>
  <c r="BI33" i="2"/>
  <c r="BH33" i="2"/>
  <c r="BG33" i="2"/>
  <c r="BF33" i="2"/>
  <c r="BE33" i="2"/>
  <c r="BD33" i="2"/>
  <c r="BC33" i="2"/>
  <c r="BB33" i="2"/>
  <c r="BA33" i="2"/>
  <c r="AZ33" i="2"/>
  <c r="AY33" i="2"/>
  <c r="AX33" i="2"/>
  <c r="AW33" i="2"/>
  <c r="AV33" i="2"/>
  <c r="AU33" i="2"/>
  <c r="AT33" i="2"/>
  <c r="AS33" i="2"/>
  <c r="AR33" i="2"/>
  <c r="AQ33" i="2"/>
  <c r="AP33" i="2"/>
  <c r="AO33" i="2"/>
  <c r="AN33" i="2"/>
  <c r="AM33" i="2"/>
  <c r="AL33" i="2"/>
  <c r="AK33" i="2"/>
  <c r="AJ33" i="2"/>
  <c r="AI33" i="2"/>
  <c r="AH33" i="2"/>
  <c r="AG33" i="2"/>
  <c r="AF33" i="2"/>
  <c r="BI32" i="2"/>
  <c r="BH32" i="2"/>
  <c r="BG32" i="2"/>
  <c r="BF32" i="2"/>
  <c r="BE32" i="2"/>
  <c r="BD32" i="2"/>
  <c r="BC32" i="2"/>
  <c r="BB32" i="2"/>
  <c r="BA32" i="2"/>
  <c r="AZ32" i="2"/>
  <c r="AY32" i="2"/>
  <c r="AX32" i="2"/>
  <c r="AW32" i="2"/>
  <c r="AV32" i="2"/>
  <c r="AU32" i="2"/>
  <c r="AT32" i="2"/>
  <c r="AS32" i="2"/>
  <c r="AR32" i="2"/>
  <c r="AQ32" i="2"/>
  <c r="AP32" i="2"/>
  <c r="AO32" i="2"/>
  <c r="AN32" i="2"/>
  <c r="AM32" i="2"/>
  <c r="AL32" i="2"/>
  <c r="AK32" i="2"/>
  <c r="AJ32" i="2"/>
  <c r="AI32" i="2"/>
  <c r="AH32" i="2"/>
  <c r="AG32" i="2"/>
  <c r="AF32" i="2"/>
  <c r="BI31" i="2"/>
  <c r="BH31" i="2"/>
  <c r="BG31" i="2"/>
  <c r="BF31" i="2"/>
  <c r="BE31" i="2"/>
  <c r="BD31" i="2"/>
  <c r="BC31" i="2"/>
  <c r="BB31" i="2"/>
  <c r="BA31" i="2"/>
  <c r="AZ31" i="2"/>
  <c r="AY31" i="2"/>
  <c r="AX31" i="2"/>
  <c r="AW31" i="2"/>
  <c r="AV31" i="2"/>
  <c r="AU31" i="2"/>
  <c r="AT31" i="2"/>
  <c r="AS31" i="2"/>
  <c r="AR31" i="2"/>
  <c r="AQ31" i="2"/>
  <c r="AP31" i="2"/>
  <c r="AO31" i="2"/>
  <c r="AN31" i="2"/>
  <c r="AM31" i="2"/>
  <c r="AL31" i="2"/>
  <c r="AK31" i="2"/>
  <c r="AJ31" i="2"/>
  <c r="AI31" i="2"/>
  <c r="AH31" i="2"/>
  <c r="AG31" i="2"/>
  <c r="AF31" i="2"/>
  <c r="BI30" i="2"/>
  <c r="BH30" i="2"/>
  <c r="BG30" i="2"/>
  <c r="BF30" i="2"/>
  <c r="BE30" i="2"/>
  <c r="BD30" i="2"/>
  <c r="BC30" i="2"/>
  <c r="BB30" i="2"/>
  <c r="BA30" i="2"/>
  <c r="AZ30" i="2"/>
  <c r="AY30" i="2"/>
  <c r="AX30" i="2"/>
  <c r="AW30" i="2"/>
  <c r="AV30" i="2"/>
  <c r="AU30" i="2"/>
  <c r="AT30" i="2"/>
  <c r="AS30" i="2"/>
  <c r="AR30" i="2"/>
  <c r="AQ30" i="2"/>
  <c r="AP30" i="2"/>
  <c r="AO30" i="2"/>
  <c r="AN30" i="2"/>
  <c r="AM30" i="2"/>
  <c r="AL30" i="2"/>
  <c r="AK30" i="2"/>
  <c r="AJ30" i="2"/>
  <c r="AI30" i="2"/>
  <c r="AH30" i="2"/>
  <c r="AG30" i="2"/>
  <c r="AF30" i="2"/>
  <c r="BI29" i="2"/>
  <c r="BH29" i="2"/>
  <c r="BG29" i="2"/>
  <c r="BF29" i="2"/>
  <c r="BE29" i="2"/>
  <c r="BD29" i="2"/>
  <c r="BC29" i="2"/>
  <c r="BB29" i="2"/>
  <c r="BA29" i="2"/>
  <c r="AZ29" i="2"/>
  <c r="AY29" i="2"/>
  <c r="AX29" i="2"/>
  <c r="AW29" i="2"/>
  <c r="AV29" i="2"/>
  <c r="AU29" i="2"/>
  <c r="AT29" i="2"/>
  <c r="AS29" i="2"/>
  <c r="AR29" i="2"/>
  <c r="AQ29" i="2"/>
  <c r="AP29" i="2"/>
  <c r="AO29" i="2"/>
  <c r="AN29" i="2"/>
  <c r="AM29" i="2"/>
  <c r="AL29" i="2"/>
  <c r="AK29" i="2"/>
  <c r="AJ29" i="2"/>
  <c r="AI29" i="2"/>
  <c r="AH29" i="2"/>
  <c r="AG29" i="2"/>
  <c r="AF29" i="2"/>
  <c r="BI28" i="2"/>
  <c r="BH28" i="2"/>
  <c r="BG28" i="2"/>
  <c r="BF28" i="2"/>
  <c r="BE28" i="2"/>
  <c r="BD28" i="2"/>
  <c r="BC28" i="2"/>
  <c r="BB28" i="2"/>
  <c r="BA28" i="2"/>
  <c r="AZ28" i="2"/>
  <c r="AY28" i="2"/>
  <c r="AX28" i="2"/>
  <c r="AW28" i="2"/>
  <c r="AV28" i="2"/>
  <c r="AU28" i="2"/>
  <c r="AT28" i="2"/>
  <c r="AS28" i="2"/>
  <c r="AR28" i="2"/>
  <c r="AQ28" i="2"/>
  <c r="AP28" i="2"/>
  <c r="AO28" i="2"/>
  <c r="AN28" i="2"/>
  <c r="AM28" i="2"/>
  <c r="AL28" i="2"/>
  <c r="AK28" i="2"/>
  <c r="AJ28" i="2"/>
  <c r="AI28" i="2"/>
  <c r="AH28" i="2"/>
  <c r="AG28" i="2"/>
  <c r="AF28" i="2"/>
  <c r="BI27" i="2"/>
  <c r="BH27" i="2"/>
  <c r="BG27" i="2"/>
  <c r="BF27" i="2"/>
  <c r="BE27" i="2"/>
  <c r="BD27" i="2"/>
  <c r="BC27" i="2"/>
  <c r="BB27" i="2"/>
  <c r="BA27" i="2"/>
  <c r="AZ27" i="2"/>
  <c r="AY27" i="2"/>
  <c r="AX27" i="2"/>
  <c r="AW27" i="2"/>
  <c r="AV27" i="2"/>
  <c r="AU27" i="2"/>
  <c r="AT27" i="2"/>
  <c r="AS27" i="2"/>
  <c r="AR27" i="2"/>
  <c r="AQ27" i="2"/>
  <c r="AP27" i="2"/>
  <c r="AO27" i="2"/>
  <c r="AN27" i="2"/>
  <c r="AM27" i="2"/>
  <c r="AL27" i="2"/>
  <c r="AK27" i="2"/>
  <c r="AJ27" i="2"/>
  <c r="AI27" i="2"/>
  <c r="AH27" i="2"/>
  <c r="AG27" i="2"/>
  <c r="AF27" i="2"/>
  <c r="BI26" i="2"/>
  <c r="BH26" i="2"/>
  <c r="BG26" i="2"/>
  <c r="BF26" i="2"/>
  <c r="BE26" i="2"/>
  <c r="BD26" i="2"/>
  <c r="BC26" i="2"/>
  <c r="BB26" i="2"/>
  <c r="BA26" i="2"/>
  <c r="AZ26" i="2"/>
  <c r="AY26" i="2"/>
  <c r="AX26" i="2"/>
  <c r="AW26" i="2"/>
  <c r="AV26" i="2"/>
  <c r="AU26" i="2"/>
  <c r="AT26" i="2"/>
  <c r="AS26" i="2"/>
  <c r="AR26" i="2"/>
  <c r="AQ26" i="2"/>
  <c r="AP26" i="2"/>
  <c r="AO26" i="2"/>
  <c r="AN26" i="2"/>
  <c r="AM26" i="2"/>
  <c r="AL26" i="2"/>
  <c r="AK26" i="2"/>
  <c r="AJ26" i="2"/>
  <c r="AI26" i="2"/>
  <c r="AH26" i="2"/>
  <c r="AG26" i="2"/>
  <c r="AF26" i="2"/>
  <c r="BI25" i="2"/>
  <c r="BH25" i="2"/>
  <c r="BG25" i="2"/>
  <c r="BF25" i="2"/>
  <c r="BE25" i="2"/>
  <c r="BD25" i="2"/>
  <c r="BC25" i="2"/>
  <c r="BB25" i="2"/>
  <c r="BA25" i="2"/>
  <c r="AZ25" i="2"/>
  <c r="AY25" i="2"/>
  <c r="AX25" i="2"/>
  <c r="AW25" i="2"/>
  <c r="AV25" i="2"/>
  <c r="AU25" i="2"/>
  <c r="AT25" i="2"/>
  <c r="AS25" i="2"/>
  <c r="AR25" i="2"/>
  <c r="AQ25" i="2"/>
  <c r="AP25" i="2"/>
  <c r="AO25" i="2"/>
  <c r="AN25" i="2"/>
  <c r="AM25" i="2"/>
  <c r="AL25" i="2"/>
  <c r="AK25" i="2"/>
  <c r="AJ25" i="2"/>
  <c r="AI25" i="2"/>
  <c r="AH25" i="2"/>
  <c r="AG25" i="2"/>
  <c r="AF25" i="2"/>
  <c r="BI24" i="2"/>
  <c r="BH24" i="2"/>
  <c r="BG24" i="2"/>
  <c r="BF24" i="2"/>
  <c r="BE24" i="2"/>
  <c r="BD24" i="2"/>
  <c r="BC24" i="2"/>
  <c r="BB24" i="2"/>
  <c r="BA24" i="2"/>
  <c r="AZ24" i="2"/>
  <c r="AY24" i="2"/>
  <c r="AX24" i="2"/>
  <c r="AW24" i="2"/>
  <c r="AV24" i="2"/>
  <c r="AU24" i="2"/>
  <c r="AT24" i="2"/>
  <c r="AS24" i="2"/>
  <c r="AR24" i="2"/>
  <c r="AQ24" i="2"/>
  <c r="AP24" i="2"/>
  <c r="AO24" i="2"/>
  <c r="AN24" i="2"/>
  <c r="AM24" i="2"/>
  <c r="AL24" i="2"/>
  <c r="AK24" i="2"/>
  <c r="AJ24" i="2"/>
  <c r="AI24" i="2"/>
  <c r="AH24" i="2"/>
  <c r="AG24" i="2"/>
  <c r="AF24" i="2"/>
  <c r="BI23" i="2"/>
  <c r="BH23" i="2"/>
  <c r="BG23" i="2"/>
  <c r="BF23" i="2"/>
  <c r="BE23" i="2"/>
  <c r="BD23" i="2"/>
  <c r="BC23" i="2"/>
  <c r="BB23" i="2"/>
  <c r="BA23" i="2"/>
  <c r="AZ23" i="2"/>
  <c r="AY23" i="2"/>
  <c r="AX23" i="2"/>
  <c r="AW23" i="2"/>
  <c r="AV23" i="2"/>
  <c r="AU23" i="2"/>
  <c r="AT23" i="2"/>
  <c r="AS23" i="2"/>
  <c r="AR23" i="2"/>
  <c r="AQ23" i="2"/>
  <c r="AP23" i="2"/>
  <c r="AO23" i="2"/>
  <c r="AN23" i="2"/>
  <c r="AM23" i="2"/>
  <c r="AL23" i="2"/>
  <c r="AK23" i="2"/>
  <c r="AJ23" i="2"/>
  <c r="AI23" i="2"/>
  <c r="AH23" i="2"/>
  <c r="AG23" i="2"/>
  <c r="AF23" i="2"/>
  <c r="BI22" i="2"/>
  <c r="BH22" i="2"/>
  <c r="BG22" i="2"/>
  <c r="BF22" i="2"/>
  <c r="BE22" i="2"/>
  <c r="BD22" i="2"/>
  <c r="BC22" i="2"/>
  <c r="BB22" i="2"/>
  <c r="BA22" i="2"/>
  <c r="AZ22" i="2"/>
  <c r="AY22" i="2"/>
  <c r="AX22" i="2"/>
  <c r="AW22" i="2"/>
  <c r="AV22" i="2"/>
  <c r="AU22" i="2"/>
  <c r="AT22" i="2"/>
  <c r="AS22" i="2"/>
  <c r="AR22" i="2"/>
  <c r="AQ22" i="2"/>
  <c r="AP22" i="2"/>
  <c r="AO22" i="2"/>
  <c r="AN22" i="2"/>
  <c r="AM22" i="2"/>
  <c r="AL22" i="2"/>
  <c r="AK22" i="2"/>
  <c r="AJ22" i="2"/>
  <c r="AI22" i="2"/>
  <c r="AH22" i="2"/>
  <c r="AG22" i="2"/>
  <c r="AF22" i="2"/>
  <c r="BI21" i="2"/>
  <c r="BH21" i="2"/>
  <c r="BG21" i="2"/>
  <c r="BF21" i="2"/>
  <c r="BE21" i="2"/>
  <c r="BD21" i="2"/>
  <c r="BC21" i="2"/>
  <c r="BB21" i="2"/>
  <c r="BA21" i="2"/>
  <c r="AZ21" i="2"/>
  <c r="AY21" i="2"/>
  <c r="AX21" i="2"/>
  <c r="AW21" i="2"/>
  <c r="AV21" i="2"/>
  <c r="AU21" i="2"/>
  <c r="AT21" i="2"/>
  <c r="AS21" i="2"/>
  <c r="AR21" i="2"/>
  <c r="AQ21" i="2"/>
  <c r="AP21" i="2"/>
  <c r="AO21" i="2"/>
  <c r="AN21" i="2"/>
  <c r="AM21" i="2"/>
  <c r="AL21" i="2"/>
  <c r="AK21" i="2"/>
  <c r="AJ21" i="2"/>
  <c r="AI21" i="2"/>
  <c r="AH21" i="2"/>
  <c r="AG21" i="2"/>
  <c r="AF21" i="2"/>
  <c r="BI20" i="2"/>
  <c r="BH20" i="2"/>
  <c r="BG20" i="2"/>
  <c r="BF20" i="2"/>
  <c r="BE20" i="2"/>
  <c r="BD20" i="2"/>
  <c r="BC20" i="2"/>
  <c r="BB20" i="2"/>
  <c r="BA20" i="2"/>
  <c r="AZ20" i="2"/>
  <c r="AY20" i="2"/>
  <c r="AX20" i="2"/>
  <c r="AW20" i="2"/>
  <c r="AV20" i="2"/>
  <c r="AU20" i="2"/>
  <c r="AT20" i="2"/>
  <c r="AS20" i="2"/>
  <c r="AR20" i="2"/>
  <c r="AQ20" i="2"/>
  <c r="AP20" i="2"/>
  <c r="AO20" i="2"/>
  <c r="AN20" i="2"/>
  <c r="AM20" i="2"/>
  <c r="AL20" i="2"/>
  <c r="AK20" i="2"/>
  <c r="AJ20" i="2"/>
  <c r="AI20" i="2"/>
  <c r="AH20" i="2"/>
  <c r="AG20" i="2"/>
  <c r="AF20" i="2"/>
  <c r="BI19" i="2"/>
  <c r="BH19" i="2"/>
  <c r="BG19" i="2"/>
  <c r="BF19" i="2"/>
  <c r="BE19" i="2"/>
  <c r="BD19" i="2"/>
  <c r="BC19" i="2"/>
  <c r="BB19" i="2"/>
  <c r="BA19" i="2"/>
  <c r="AZ19" i="2"/>
  <c r="AY19" i="2"/>
  <c r="AX19" i="2"/>
  <c r="AW19" i="2"/>
  <c r="AV19" i="2"/>
  <c r="AU19" i="2"/>
  <c r="AT19" i="2"/>
  <c r="AS19" i="2"/>
  <c r="AR19" i="2"/>
  <c r="AQ19" i="2"/>
  <c r="AP19" i="2"/>
  <c r="AO19" i="2"/>
  <c r="AN19" i="2"/>
  <c r="AM19" i="2"/>
  <c r="AL19" i="2"/>
  <c r="AK19" i="2"/>
  <c r="AJ19" i="2"/>
  <c r="AI19" i="2"/>
  <c r="AH19" i="2"/>
  <c r="AG19" i="2"/>
  <c r="AF19" i="2"/>
  <c r="BI18" i="2"/>
  <c r="BH18" i="2"/>
  <c r="BG18" i="2"/>
  <c r="BF18" i="2"/>
  <c r="BE18" i="2"/>
  <c r="BD18" i="2"/>
  <c r="BC18" i="2"/>
  <c r="BB18" i="2"/>
  <c r="BA18" i="2"/>
  <c r="AZ18" i="2"/>
  <c r="AY18" i="2"/>
  <c r="AX18" i="2"/>
  <c r="AW18" i="2"/>
  <c r="AV18" i="2"/>
  <c r="AU18" i="2"/>
  <c r="AT18" i="2"/>
  <c r="AS18" i="2"/>
  <c r="AR18" i="2"/>
  <c r="AQ18" i="2"/>
  <c r="AP18" i="2"/>
  <c r="AO18" i="2"/>
  <c r="AN18" i="2"/>
  <c r="AM18" i="2"/>
  <c r="AL18" i="2"/>
  <c r="AK18" i="2"/>
  <c r="AJ18" i="2"/>
  <c r="AI18" i="2"/>
  <c r="AH18" i="2"/>
  <c r="AG18" i="2"/>
  <c r="AF18" i="2"/>
  <c r="BI17" i="2"/>
  <c r="BH17" i="2"/>
  <c r="BG17" i="2"/>
  <c r="BF17" i="2"/>
  <c r="BE17" i="2"/>
  <c r="BD17" i="2"/>
  <c r="BC17" i="2"/>
  <c r="BB17" i="2"/>
  <c r="BA17" i="2"/>
  <c r="AZ17" i="2"/>
  <c r="AY17" i="2"/>
  <c r="AX17" i="2"/>
  <c r="AW17" i="2"/>
  <c r="AV17" i="2"/>
  <c r="AU17" i="2"/>
  <c r="AT17" i="2"/>
  <c r="AS17" i="2"/>
  <c r="AR17" i="2"/>
  <c r="AQ17" i="2"/>
  <c r="AP17" i="2"/>
  <c r="AO17" i="2"/>
  <c r="AN17" i="2"/>
  <c r="AM17" i="2"/>
  <c r="AL17" i="2"/>
  <c r="AK17" i="2"/>
  <c r="AJ17" i="2"/>
  <c r="AI17" i="2"/>
  <c r="AH17" i="2"/>
  <c r="AG17" i="2"/>
  <c r="AF17" i="2"/>
  <c r="BI16" i="2"/>
  <c r="BH16" i="2"/>
  <c r="BG16" i="2"/>
  <c r="BF16" i="2"/>
  <c r="BE16" i="2"/>
  <c r="BD16" i="2"/>
  <c r="BC16" i="2"/>
  <c r="BB16" i="2"/>
  <c r="BA16" i="2"/>
  <c r="AZ16" i="2"/>
  <c r="AY16" i="2"/>
  <c r="AX16" i="2"/>
  <c r="AW16" i="2"/>
  <c r="AV16" i="2"/>
  <c r="AU16" i="2"/>
  <c r="AT16" i="2"/>
  <c r="AS16" i="2"/>
  <c r="AR16" i="2"/>
  <c r="AQ16" i="2"/>
  <c r="AP16" i="2"/>
  <c r="AO16" i="2"/>
  <c r="AN16" i="2"/>
  <c r="AM16" i="2"/>
  <c r="AL16" i="2"/>
  <c r="AK16" i="2"/>
  <c r="AJ16" i="2"/>
  <c r="AI16" i="2"/>
  <c r="AH16" i="2"/>
  <c r="AG16" i="2"/>
  <c r="AF16" i="2"/>
  <c r="BI15" i="2"/>
  <c r="BH15" i="2"/>
  <c r="BG15" i="2"/>
  <c r="BF15" i="2"/>
  <c r="BE15" i="2"/>
  <c r="BD15" i="2"/>
  <c r="BC15" i="2"/>
  <c r="BB15" i="2"/>
  <c r="BA15" i="2"/>
  <c r="AZ15" i="2"/>
  <c r="AY15" i="2"/>
  <c r="AX15" i="2"/>
  <c r="AW15" i="2"/>
  <c r="AV15" i="2"/>
  <c r="AU15" i="2"/>
  <c r="AT15" i="2"/>
  <c r="AS15" i="2"/>
  <c r="AR15" i="2"/>
  <c r="AQ15" i="2"/>
  <c r="AP15" i="2"/>
  <c r="AO15" i="2"/>
  <c r="AN15" i="2"/>
  <c r="AM15" i="2"/>
  <c r="AL15" i="2"/>
  <c r="AK15" i="2"/>
  <c r="AJ15" i="2"/>
  <c r="AI15" i="2"/>
  <c r="AH15" i="2"/>
  <c r="AG15" i="2"/>
  <c r="AF15" i="2"/>
  <c r="BI14" i="2"/>
  <c r="BH14" i="2"/>
  <c r="BG14" i="2"/>
  <c r="BF14" i="2"/>
  <c r="BE14" i="2"/>
  <c r="BD14" i="2"/>
  <c r="BC14" i="2"/>
  <c r="BB14" i="2"/>
  <c r="BA14" i="2"/>
  <c r="AZ14" i="2"/>
  <c r="AY14" i="2"/>
  <c r="AX14" i="2"/>
  <c r="AW14" i="2"/>
  <c r="AV14" i="2"/>
  <c r="AU14" i="2"/>
  <c r="AT14" i="2"/>
  <c r="AS14" i="2"/>
  <c r="AR14" i="2"/>
  <c r="AQ14" i="2"/>
  <c r="AP14" i="2"/>
  <c r="AO14" i="2"/>
  <c r="AN14" i="2"/>
  <c r="AM14" i="2"/>
  <c r="AL14" i="2"/>
  <c r="AK14" i="2"/>
  <c r="AJ14" i="2"/>
  <c r="AI14" i="2"/>
  <c r="AH14" i="2"/>
  <c r="AG14" i="2"/>
  <c r="AF14" i="2"/>
  <c r="BI13" i="2"/>
  <c r="BH13" i="2"/>
  <c r="BG13" i="2"/>
  <c r="BF13" i="2"/>
  <c r="BE13" i="2"/>
  <c r="BD13" i="2"/>
  <c r="BC13" i="2"/>
  <c r="BB13" i="2"/>
  <c r="BA13" i="2"/>
  <c r="AZ13" i="2"/>
  <c r="AY13" i="2"/>
  <c r="AX13" i="2"/>
  <c r="AW13" i="2"/>
  <c r="AV13" i="2"/>
  <c r="AU13" i="2"/>
  <c r="AT13" i="2"/>
  <c r="AS13" i="2"/>
  <c r="AR13" i="2"/>
  <c r="AQ13" i="2"/>
  <c r="AP13" i="2"/>
  <c r="AO13" i="2"/>
  <c r="AN13" i="2"/>
  <c r="AM13" i="2"/>
  <c r="AL13" i="2"/>
  <c r="AK13" i="2"/>
  <c r="AJ13" i="2"/>
  <c r="AI13" i="2"/>
  <c r="AH13" i="2"/>
  <c r="AG13" i="2"/>
  <c r="AF13" i="2"/>
  <c r="BI12" i="2"/>
  <c r="BH12" i="2"/>
  <c r="BG12" i="2"/>
  <c r="BF12" i="2"/>
  <c r="BE12" i="2"/>
  <c r="BD12" i="2"/>
  <c r="BC12" i="2"/>
  <c r="BB12" i="2"/>
  <c r="BA12" i="2"/>
  <c r="AZ12" i="2"/>
  <c r="AY12" i="2"/>
  <c r="AX12" i="2"/>
  <c r="AW12" i="2"/>
  <c r="AV12" i="2"/>
  <c r="AU12" i="2"/>
  <c r="AT12" i="2"/>
  <c r="AS12" i="2"/>
  <c r="AR12" i="2"/>
  <c r="AQ12" i="2"/>
  <c r="AP12" i="2"/>
  <c r="AO12" i="2"/>
  <c r="AN12" i="2"/>
  <c r="AM12" i="2"/>
  <c r="AL12" i="2"/>
  <c r="AK12" i="2"/>
  <c r="AJ12" i="2"/>
  <c r="AI12" i="2"/>
  <c r="AH12" i="2"/>
  <c r="AG12" i="2"/>
  <c r="AF12" i="2"/>
  <c r="BI11" i="2"/>
  <c r="BH11" i="2"/>
  <c r="BG11" i="2"/>
  <c r="BF11" i="2"/>
  <c r="BE11" i="2"/>
  <c r="BD11" i="2"/>
  <c r="BC11" i="2"/>
  <c r="BB11" i="2"/>
  <c r="BA11" i="2"/>
  <c r="AZ11" i="2"/>
  <c r="AY11" i="2"/>
  <c r="AX11" i="2"/>
  <c r="AW11" i="2"/>
  <c r="AV11" i="2"/>
  <c r="AU11" i="2"/>
  <c r="AT11" i="2"/>
  <c r="AS11" i="2"/>
  <c r="AR11" i="2"/>
  <c r="AQ11" i="2"/>
  <c r="AP11" i="2"/>
  <c r="AO11" i="2"/>
  <c r="AN11" i="2"/>
  <c r="AM11" i="2"/>
  <c r="AL11" i="2"/>
  <c r="AK11" i="2"/>
  <c r="AJ11" i="2"/>
  <c r="AI11" i="2"/>
  <c r="AH11" i="2"/>
  <c r="AG11" i="2"/>
  <c r="AF11" i="2"/>
  <c r="BI10" i="2"/>
  <c r="BH10" i="2"/>
  <c r="BG10" i="2"/>
  <c r="BF10" i="2"/>
  <c r="BE10" i="2"/>
  <c r="BD10" i="2"/>
  <c r="BC10" i="2"/>
  <c r="BB10" i="2"/>
  <c r="BA10" i="2"/>
  <c r="AZ10" i="2"/>
  <c r="AY10" i="2"/>
  <c r="AX10" i="2"/>
  <c r="AW10" i="2"/>
  <c r="AV10" i="2"/>
  <c r="AU10" i="2"/>
  <c r="AT10" i="2"/>
  <c r="AS10" i="2"/>
  <c r="AR10" i="2"/>
  <c r="AQ10" i="2"/>
  <c r="AP10" i="2"/>
  <c r="AO10" i="2"/>
  <c r="AN10" i="2"/>
  <c r="AM10" i="2"/>
  <c r="AL10" i="2"/>
  <c r="AK10" i="2"/>
  <c r="AJ10" i="2"/>
  <c r="AI10" i="2"/>
  <c r="AH10" i="2"/>
  <c r="AG10" i="2"/>
  <c r="AF10" i="2"/>
  <c r="BI9" i="2"/>
  <c r="BH9" i="2"/>
  <c r="BG9" i="2"/>
  <c r="BF9" i="2"/>
  <c r="BE9" i="2"/>
  <c r="BD9" i="2"/>
  <c r="BC9" i="2"/>
  <c r="BB9" i="2"/>
  <c r="BA9" i="2"/>
  <c r="AZ9" i="2"/>
  <c r="AY9" i="2"/>
  <c r="AX9" i="2"/>
  <c r="AW9" i="2"/>
  <c r="AV9" i="2"/>
  <c r="AU9" i="2"/>
  <c r="AT9" i="2"/>
  <c r="AS9" i="2"/>
  <c r="AR9" i="2"/>
  <c r="AQ9" i="2"/>
  <c r="AP9" i="2"/>
  <c r="AO9" i="2"/>
  <c r="AN9" i="2"/>
  <c r="AM9" i="2"/>
  <c r="AL9" i="2"/>
  <c r="AK9" i="2"/>
  <c r="AJ9" i="2"/>
  <c r="AI9" i="2"/>
  <c r="AH9" i="2"/>
  <c r="AG9" i="2"/>
  <c r="AF9" i="2"/>
  <c r="BI8" i="2"/>
  <c r="BH8" i="2"/>
  <c r="BG8" i="2"/>
  <c r="BF8" i="2"/>
  <c r="BE8" i="2"/>
  <c r="BD8" i="2"/>
  <c r="BC8" i="2"/>
  <c r="BB8" i="2"/>
  <c r="BA8" i="2"/>
  <c r="AZ8" i="2"/>
  <c r="AY8" i="2"/>
  <c r="AX8" i="2"/>
  <c r="AW8" i="2"/>
  <c r="AV8" i="2"/>
  <c r="AU8" i="2"/>
  <c r="AT8" i="2"/>
  <c r="AS8" i="2"/>
  <c r="AR8" i="2"/>
  <c r="AQ8" i="2"/>
  <c r="AP8" i="2"/>
  <c r="AO8" i="2"/>
  <c r="AN8" i="2"/>
  <c r="AM8" i="2"/>
  <c r="AL8" i="2"/>
  <c r="AK8" i="2"/>
  <c r="AJ8" i="2"/>
  <c r="AI8" i="2"/>
  <c r="AH8" i="2"/>
  <c r="AG8" i="2"/>
  <c r="AF8" i="2"/>
  <c r="BI7" i="2"/>
  <c r="BH7" i="2"/>
  <c r="BG7" i="2"/>
  <c r="BF7" i="2"/>
  <c r="BE7" i="2"/>
  <c r="BD7" i="2"/>
  <c r="BC7" i="2"/>
  <c r="BB7" i="2"/>
  <c r="BA7" i="2"/>
  <c r="AZ7" i="2"/>
  <c r="AY7" i="2"/>
  <c r="AX7" i="2"/>
  <c r="AW7" i="2"/>
  <c r="AV7" i="2"/>
  <c r="AU7" i="2"/>
  <c r="AT7" i="2"/>
  <c r="AS7" i="2"/>
  <c r="AR7" i="2"/>
  <c r="AQ7" i="2"/>
  <c r="AP7" i="2"/>
  <c r="AO7" i="2"/>
  <c r="AN7" i="2"/>
  <c r="AM7" i="2"/>
  <c r="AL7" i="2"/>
  <c r="AK7" i="2"/>
  <c r="AJ7" i="2"/>
  <c r="AI7" i="2"/>
  <c r="AH7" i="2"/>
  <c r="AG7" i="2"/>
  <c r="AF7" i="2"/>
  <c r="BI6" i="2"/>
  <c r="BH6" i="2"/>
  <c r="BG6" i="2"/>
  <c r="BF6" i="2"/>
  <c r="BE6" i="2"/>
  <c r="BD6" i="2"/>
  <c r="BC6" i="2"/>
  <c r="BB6" i="2"/>
  <c r="BA6" i="2"/>
  <c r="AZ6" i="2"/>
  <c r="AY6" i="2"/>
  <c r="AX6" i="2"/>
  <c r="AW6" i="2"/>
  <c r="AV6" i="2"/>
  <c r="AU6" i="2"/>
  <c r="AT6" i="2"/>
  <c r="AS6" i="2"/>
  <c r="AR6" i="2"/>
  <c r="AQ6" i="2"/>
  <c r="AP6" i="2"/>
  <c r="AO6" i="2"/>
  <c r="AN6" i="2"/>
  <c r="AM6" i="2"/>
  <c r="AL6" i="2"/>
  <c r="AK6" i="2"/>
  <c r="AJ6" i="2"/>
  <c r="AI6" i="2"/>
  <c r="AH6" i="2"/>
  <c r="AG6" i="2"/>
  <c r="AF6" i="2"/>
  <c r="BI5" i="2"/>
  <c r="BH5" i="2"/>
  <c r="BG5" i="2"/>
  <c r="BF5" i="2"/>
  <c r="BE5" i="2"/>
  <c r="BD5" i="2"/>
  <c r="BC5" i="2"/>
  <c r="BB5" i="2"/>
  <c r="BA5" i="2"/>
  <c r="AZ5" i="2"/>
  <c r="AY5" i="2"/>
  <c r="AX5" i="2"/>
  <c r="AW5" i="2"/>
  <c r="AV5" i="2"/>
  <c r="AU5" i="2"/>
  <c r="AT5" i="2"/>
  <c r="AS5" i="2"/>
  <c r="AR5" i="2"/>
  <c r="AQ5" i="2"/>
  <c r="AP5" i="2"/>
  <c r="AO5" i="2"/>
  <c r="AN5" i="2"/>
  <c r="AM5" i="2"/>
  <c r="AL5" i="2"/>
  <c r="AK5" i="2"/>
  <c r="AJ5" i="2"/>
  <c r="AI5" i="2"/>
  <c r="AH5" i="2"/>
  <c r="AG5" i="2"/>
  <c r="AF5" i="2"/>
  <c r="BI4" i="2"/>
  <c r="BH4" i="2"/>
  <c r="BG4" i="2"/>
  <c r="BF4" i="2"/>
  <c r="BE4" i="2"/>
  <c r="BD4" i="2"/>
  <c r="BC4" i="2"/>
  <c r="BB4" i="2"/>
  <c r="BA4" i="2"/>
  <c r="AZ4" i="2"/>
  <c r="AY4" i="2"/>
  <c r="AX4" i="2"/>
  <c r="AW4" i="2"/>
  <c r="AV4" i="2"/>
  <c r="AU4" i="2"/>
  <c r="AT4" i="2"/>
  <c r="AS4" i="2"/>
  <c r="AR4" i="2"/>
  <c r="AQ4" i="2"/>
  <c r="AP4" i="2"/>
  <c r="AO4" i="2"/>
  <c r="AN4" i="2"/>
  <c r="AM4" i="2"/>
  <c r="AL4" i="2"/>
  <c r="AK4" i="2"/>
  <c r="AJ4" i="2"/>
  <c r="AI4" i="2"/>
  <c r="AH4" i="2"/>
  <c r="AG4" i="2"/>
  <c r="AF4" i="2"/>
  <c r="BI3" i="2"/>
  <c r="BH3" i="2"/>
  <c r="BG3" i="2"/>
  <c r="BF3" i="2"/>
  <c r="BE3" i="2"/>
  <c r="BD3" i="2"/>
  <c r="BC3" i="2"/>
  <c r="BB3" i="2"/>
  <c r="BA3" i="2"/>
  <c r="AZ3" i="2"/>
  <c r="AY3" i="2"/>
  <c r="AX3" i="2"/>
  <c r="AW3" i="2"/>
  <c r="AV3" i="2"/>
  <c r="AU3" i="2"/>
  <c r="AT3" i="2"/>
  <c r="AS3" i="2"/>
  <c r="AR3" i="2"/>
  <c r="AQ3" i="2"/>
  <c r="AP3" i="2"/>
  <c r="AO3" i="2"/>
  <c r="AN3" i="2"/>
  <c r="AM3" i="2"/>
  <c r="AL3" i="2"/>
  <c r="AK3" i="2"/>
  <c r="AJ3" i="2"/>
  <c r="AI3" i="2"/>
  <c r="AH3" i="2"/>
  <c r="AG3" i="2"/>
  <c r="AF3" i="2"/>
  <c r="AG2" i="2"/>
  <c r="AH2" i="2"/>
  <c r="AI2" i="2"/>
  <c r="AJ2" i="2"/>
  <c r="AK2" i="2"/>
  <c r="AL2" i="2"/>
  <c r="AM2" i="2"/>
  <c r="AN2" i="2"/>
  <c r="AO2" i="2"/>
  <c r="AP2" i="2"/>
  <c r="AQ2" i="2"/>
  <c r="AR2" i="2"/>
  <c r="AS2" i="2"/>
  <c r="AT2" i="2"/>
  <c r="AU2" i="2"/>
  <c r="AV2" i="2"/>
  <c r="AW2" i="2"/>
  <c r="AX2" i="2"/>
  <c r="AY2" i="2"/>
  <c r="AZ2" i="2"/>
  <c r="BA2" i="2"/>
  <c r="BB2" i="2"/>
  <c r="BC2" i="2"/>
  <c r="BD2" i="2"/>
  <c r="BE2" i="2"/>
  <c r="BF2" i="2"/>
  <c r="BG2" i="2"/>
  <c r="BH2" i="2"/>
  <c r="BI2" i="2"/>
  <c r="AF2" i="2"/>
  <c r="B66" i="7" l="1"/>
  <c r="D43" i="7"/>
  <c r="D44" i="7"/>
  <c r="AI171" i="6"/>
  <c r="AI139" i="6"/>
  <c r="AI255" i="6"/>
  <c r="AI252" i="6"/>
  <c r="AI254" i="6"/>
  <c r="AI253" i="6"/>
  <c r="AI251" i="6"/>
  <c r="AI123" i="6"/>
  <c r="AE375" i="6"/>
  <c r="AI339" i="6"/>
  <c r="AI307" i="6"/>
  <c r="AI275" i="6"/>
  <c r="AI243" i="6"/>
  <c r="AI227" i="6"/>
  <c r="AI211" i="6"/>
  <c r="AI195" i="6"/>
  <c r="AI115" i="6"/>
  <c r="AI99" i="6"/>
  <c r="AI83" i="6"/>
  <c r="AI51" i="6"/>
  <c r="AI19" i="6"/>
  <c r="AF375" i="6"/>
  <c r="AI50" i="6"/>
  <c r="AG375" i="6"/>
  <c r="AI206" i="6"/>
  <c r="AI289" i="6"/>
  <c r="AI49" i="6"/>
  <c r="AH375" i="6"/>
  <c r="AI365" i="6"/>
  <c r="AI333" i="6"/>
  <c r="AI285" i="6"/>
  <c r="AI205" i="6"/>
  <c r="AI173" i="6"/>
  <c r="AI368" i="6"/>
  <c r="AI288" i="6"/>
  <c r="AI172" i="6"/>
  <c r="AI348" i="6"/>
  <c r="AI316" i="6"/>
  <c r="AI220" i="6"/>
  <c r="AI108" i="6"/>
  <c r="AI76" i="6"/>
  <c r="AI315" i="6"/>
  <c r="AI107" i="6"/>
  <c r="AI59" i="6"/>
  <c r="AI48" i="6"/>
  <c r="AI334" i="6"/>
  <c r="AI302" i="6"/>
  <c r="AI174" i="6"/>
  <c r="AI366" i="6"/>
  <c r="AI335" i="6"/>
  <c r="AI332" i="6"/>
  <c r="AI140" i="6"/>
  <c r="AI92" i="6"/>
  <c r="AI60" i="6"/>
  <c r="AI28" i="6"/>
  <c r="AI347" i="6"/>
  <c r="AI331" i="6"/>
  <c r="AI219" i="6"/>
  <c r="AI91" i="6"/>
  <c r="AI27" i="6"/>
  <c r="AI330" i="6"/>
  <c r="AI371" i="6"/>
  <c r="AI355" i="6"/>
  <c r="AI259" i="6"/>
  <c r="AI163" i="6"/>
  <c r="AI131" i="6"/>
  <c r="AI369" i="6"/>
  <c r="AI276" i="6"/>
  <c r="AI180" i="6"/>
  <c r="AI84" i="6"/>
  <c r="AI4" i="6"/>
  <c r="AI370" i="6"/>
  <c r="AI354" i="6"/>
  <c r="AI338" i="6"/>
  <c r="AI322" i="6"/>
  <c r="AI306" i="6"/>
  <c r="AI290" i="6"/>
  <c r="AI274" i="6"/>
  <c r="AI258" i="6"/>
  <c r="AI242" i="6"/>
  <c r="AI226" i="6"/>
  <c r="AI194" i="6"/>
  <c r="AI178" i="6"/>
  <c r="AI162" i="6"/>
  <c r="AI146" i="6"/>
  <c r="AI130" i="6"/>
  <c r="AI114" i="6"/>
  <c r="AI82" i="6"/>
  <c r="AI66" i="6"/>
  <c r="AI34" i="6"/>
  <c r="AI18" i="6"/>
  <c r="AI367" i="6"/>
  <c r="AI353" i="6"/>
  <c r="AI321" i="6"/>
  <c r="AI305" i="6"/>
  <c r="AI257" i="6"/>
  <c r="AI241" i="6"/>
  <c r="AI225" i="6"/>
  <c r="AI209" i="6"/>
  <c r="AI177" i="6"/>
  <c r="AI161" i="6"/>
  <c r="AI145" i="6"/>
  <c r="AI129" i="6"/>
  <c r="AI113" i="6"/>
  <c r="AI81" i="6"/>
  <c r="AI65" i="6"/>
  <c r="AI33" i="6"/>
  <c r="AI17" i="6"/>
  <c r="AI47" i="6"/>
  <c r="AI336" i="6"/>
  <c r="AI304" i="6"/>
  <c r="AI272" i="6"/>
  <c r="AI224" i="6"/>
  <c r="AI144" i="6"/>
  <c r="AI286" i="6"/>
  <c r="AI364" i="6"/>
  <c r="AI236" i="6"/>
  <c r="AI319" i="6"/>
  <c r="AI303" i="6"/>
  <c r="AI223" i="6"/>
  <c r="AI191" i="6"/>
  <c r="AI175" i="6"/>
  <c r="AI159" i="6"/>
  <c r="AI143" i="6"/>
  <c r="AI111" i="6"/>
  <c r="AI79" i="6"/>
  <c r="AI63" i="6"/>
  <c r="AI31" i="6"/>
  <c r="AI363" i="6"/>
  <c r="AI203" i="6"/>
  <c r="AI110" i="6"/>
  <c r="AI62" i="6"/>
  <c r="AI30" i="6"/>
  <c r="AI372" i="6"/>
  <c r="AI356" i="6"/>
  <c r="AI340" i="6"/>
  <c r="AI324" i="6"/>
  <c r="AI308" i="6"/>
  <c r="AI292" i="6"/>
  <c r="AI260" i="6"/>
  <c r="AI244" i="6"/>
  <c r="AI228" i="6"/>
  <c r="AI212" i="6"/>
  <c r="AI196" i="6"/>
  <c r="AI164" i="6"/>
  <c r="AI148" i="6"/>
  <c r="AI132" i="6"/>
  <c r="AI116" i="6"/>
  <c r="AI100" i="6"/>
  <c r="AI68" i="6"/>
  <c r="AI52" i="6"/>
  <c r="AI36" i="6"/>
  <c r="AI20" i="6"/>
  <c r="AI210" i="6"/>
  <c r="AI98" i="6"/>
  <c r="AI337" i="6"/>
  <c r="AI273" i="6"/>
  <c r="AI193" i="6"/>
  <c r="AI97" i="6"/>
  <c r="AI287" i="6"/>
  <c r="AI352" i="6"/>
  <c r="AI320" i="6"/>
  <c r="AI256" i="6"/>
  <c r="AI240" i="6"/>
  <c r="AI208" i="6"/>
  <c r="AI192" i="6"/>
  <c r="AI176" i="6"/>
  <c r="AI160" i="6"/>
  <c r="AI128" i="6"/>
  <c r="AI112" i="6"/>
  <c r="AI96" i="6"/>
  <c r="AI80" i="6"/>
  <c r="AI64" i="6"/>
  <c r="AI32" i="6"/>
  <c r="AI16" i="6"/>
  <c r="AI46" i="6"/>
  <c r="AI284" i="6"/>
  <c r="AI204" i="6"/>
  <c r="AI283" i="6"/>
  <c r="AI235" i="6"/>
  <c r="AI318" i="6"/>
  <c r="AI222" i="6"/>
  <c r="AI190" i="6"/>
  <c r="AI142" i="6"/>
  <c r="AI78" i="6"/>
  <c r="AI317" i="6"/>
  <c r="AI221" i="6"/>
  <c r="AI189" i="6"/>
  <c r="AI141" i="6"/>
  <c r="AI109" i="6"/>
  <c r="AI93" i="6"/>
  <c r="AI77" i="6"/>
  <c r="AI61" i="6"/>
  <c r="AI29" i="6"/>
  <c r="AI323" i="6"/>
  <c r="AI67" i="6"/>
  <c r="AI291" i="6"/>
  <c r="AI179" i="6"/>
  <c r="AI147" i="6"/>
  <c r="AI35" i="6"/>
  <c r="AI351" i="6"/>
  <c r="AI207" i="6"/>
  <c r="AI127" i="6"/>
  <c r="AI238" i="6"/>
  <c r="AI158" i="6"/>
  <c r="AI126" i="6"/>
  <c r="AI14" i="6"/>
  <c r="AI349" i="6"/>
  <c r="AI301" i="6"/>
  <c r="AI269" i="6"/>
  <c r="AI237" i="6"/>
  <c r="AI157" i="6"/>
  <c r="AI45" i="6"/>
  <c r="AI188" i="6"/>
  <c r="AI12" i="6"/>
  <c r="AI299" i="6"/>
  <c r="AI187" i="6"/>
  <c r="AI43" i="6"/>
  <c r="AI11" i="6"/>
  <c r="AI374" i="6"/>
  <c r="AI358" i="6"/>
  <c r="AI342" i="6"/>
  <c r="AI326" i="6"/>
  <c r="AI310" i="6"/>
  <c r="AI294" i="6"/>
  <c r="AI278" i="6"/>
  <c r="AI262" i="6"/>
  <c r="AI246" i="6"/>
  <c r="AI230" i="6"/>
  <c r="AI214" i="6"/>
  <c r="AI198" i="6"/>
  <c r="AI182" i="6"/>
  <c r="AI166" i="6"/>
  <c r="AI150" i="6"/>
  <c r="AI134" i="6"/>
  <c r="AI118" i="6"/>
  <c r="AI102" i="6"/>
  <c r="AI86" i="6"/>
  <c r="AI70" i="6"/>
  <c r="AI54" i="6"/>
  <c r="AI38" i="6"/>
  <c r="AI22" i="6"/>
  <c r="AI6" i="6"/>
  <c r="AI271" i="6"/>
  <c r="AI239" i="6"/>
  <c r="AI95" i="6"/>
  <c r="AI15" i="6"/>
  <c r="AI350" i="6"/>
  <c r="AI270" i="6"/>
  <c r="AI94" i="6"/>
  <c r="AI125" i="6"/>
  <c r="AI13" i="6"/>
  <c r="AI300" i="6"/>
  <c r="AI268" i="6"/>
  <c r="AI156" i="6"/>
  <c r="AI124" i="6"/>
  <c r="AI44" i="6"/>
  <c r="AI267" i="6"/>
  <c r="AI155" i="6"/>
  <c r="AI75" i="6"/>
  <c r="AI373" i="6"/>
  <c r="AI357" i="6"/>
  <c r="AI341" i="6"/>
  <c r="AI325" i="6"/>
  <c r="AI309" i="6"/>
  <c r="AI293" i="6"/>
  <c r="AI277" i="6"/>
  <c r="AI261" i="6"/>
  <c r="AI245" i="6"/>
  <c r="AI229" i="6"/>
  <c r="AI213" i="6"/>
  <c r="AI197" i="6"/>
  <c r="AI181" i="6"/>
  <c r="AI165" i="6"/>
  <c r="AI149" i="6"/>
  <c r="AI133" i="6"/>
  <c r="AI117" i="6"/>
  <c r="AI101" i="6"/>
  <c r="AI85" i="6"/>
  <c r="AI69" i="6"/>
  <c r="AI53" i="6"/>
  <c r="AI37" i="6"/>
  <c r="AI21" i="6"/>
  <c r="AI5" i="6"/>
  <c r="AI346" i="6"/>
  <c r="AI314" i="6"/>
  <c r="AI282" i="6"/>
  <c r="AI250" i="6"/>
  <c r="AI218" i="6"/>
  <c r="AI186" i="6"/>
  <c r="AI154" i="6"/>
  <c r="AI122" i="6"/>
  <c r="AI90" i="6"/>
  <c r="AI58" i="6"/>
  <c r="AI26" i="6"/>
  <c r="AI361" i="6"/>
  <c r="AI329" i="6"/>
  <c r="AI297" i="6"/>
  <c r="AI265" i="6"/>
  <c r="AI249" i="6"/>
  <c r="AI217" i="6"/>
  <c r="AI185" i="6"/>
  <c r="AI153" i="6"/>
  <c r="AI121" i="6"/>
  <c r="AI89" i="6"/>
  <c r="AI73" i="6"/>
  <c r="AI41" i="6"/>
  <c r="AI9" i="6"/>
  <c r="AI360" i="6"/>
  <c r="AI344" i="6"/>
  <c r="AI328" i="6"/>
  <c r="AI312" i="6"/>
  <c r="AI296" i="6"/>
  <c r="AI280" i="6"/>
  <c r="AI264" i="6"/>
  <c r="AI248" i="6"/>
  <c r="AI232" i="6"/>
  <c r="AI216" i="6"/>
  <c r="AI200" i="6"/>
  <c r="AI184" i="6"/>
  <c r="AI168" i="6"/>
  <c r="AI152" i="6"/>
  <c r="AI136" i="6"/>
  <c r="AI120" i="6"/>
  <c r="AI104" i="6"/>
  <c r="AI88" i="6"/>
  <c r="AI72" i="6"/>
  <c r="AI56" i="6"/>
  <c r="AI40" i="6"/>
  <c r="AI24" i="6"/>
  <c r="AI8" i="6"/>
  <c r="AI362" i="6"/>
  <c r="AI298" i="6"/>
  <c r="AI266" i="6"/>
  <c r="AI234" i="6"/>
  <c r="AI202" i="6"/>
  <c r="AI170" i="6"/>
  <c r="AI138" i="6"/>
  <c r="AI106" i="6"/>
  <c r="AI74" i="6"/>
  <c r="AI42" i="6"/>
  <c r="AI10" i="6"/>
  <c r="AI345" i="6"/>
  <c r="AI313" i="6"/>
  <c r="AI281" i="6"/>
  <c r="AI233" i="6"/>
  <c r="AI201" i="6"/>
  <c r="AI169" i="6"/>
  <c r="AI137" i="6"/>
  <c r="AI105" i="6"/>
  <c r="AI57" i="6"/>
  <c r="AI25" i="6"/>
  <c r="AI3" i="6"/>
  <c r="AI359" i="6"/>
  <c r="AI343" i="6"/>
  <c r="AI327" i="6"/>
  <c r="AI311" i="6"/>
  <c r="AI295" i="6"/>
  <c r="AI279" i="6"/>
  <c r="AI263" i="6"/>
  <c r="AI247" i="6"/>
  <c r="AI231" i="6"/>
  <c r="AI215" i="6"/>
  <c r="AI199" i="6"/>
  <c r="AI183" i="6"/>
  <c r="AI167" i="6"/>
  <c r="AI151" i="6"/>
  <c r="AI135" i="6"/>
  <c r="AI119" i="6"/>
  <c r="AI103" i="6"/>
  <c r="AI87" i="6"/>
  <c r="AI71" i="6"/>
  <c r="AI55" i="6"/>
  <c r="AI39" i="6"/>
  <c r="AI23" i="6"/>
  <c r="AI7" i="6"/>
  <c r="AI375" i="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0F82DBE-1AD5-4091-A10C-3D6F90D9121D}" keepAlive="1" name="Query - All_India_Index_Upto_April23 (1)" description="Connection to the 'All_India_Index_Upto_April23 (1)' query in the workbook." type="5" refreshedVersion="8" background="1" saveData="1">
    <dbPr connection="Provider=Microsoft.Mashup.OleDb.1;Data Source=$Workbook$;Location=&quot;All_India_Index_Upto_April23 (1)&quot;;Extended Properties=&quot;&quot;" command="SELECT * FROM [All_India_Index_Upto_April23 (1)]"/>
  </connection>
</connections>
</file>

<file path=xl/sharedStrings.xml><?xml version="1.0" encoding="utf-8"?>
<sst xmlns="http://schemas.openxmlformats.org/spreadsheetml/2006/main" count="1912" uniqueCount="114">
  <si>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</si>
  <si>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</si>
  <si>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</si>
  <si>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</si>
  <si>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</si>
  <si>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</si>
  <si>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</si>
  <si>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</si>
  <si>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</si>
  <si>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</si>
  <si>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</si>
  <si>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</si>
  <si>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</si>
  <si>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</si>
  <si>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</si>
  <si>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</si>
  <si>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</si>
  <si>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</si>
  <si>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</si>
  <si>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</si>
  <si>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</si>
  <si>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</si>
  <si>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</si>
  <si>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</si>
  <si>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</si>
  <si>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</si>
  <si>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</si>
  <si>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</si>
  <si>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</si>
  <si>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</si>
  <si>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</si>
  <si>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</si>
  <si>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Urban</t>
  </si>
  <si>
    <t>Rural+Urban</t>
  </si>
  <si>
    <t>February</t>
  </si>
  <si>
    <t>March</t>
  </si>
  <si>
    <t>April</t>
  </si>
  <si>
    <t>May</t>
  </si>
  <si>
    <t>June</t>
  </si>
  <si>
    <t>July</t>
  </si>
  <si>
    <t>August</t>
  </si>
  <si>
    <t>September</t>
  </si>
  <si>
    <t>October</t>
  </si>
  <si>
    <t xml:space="preserve">November </t>
  </si>
  <si>
    <t>November</t>
  </si>
  <si>
    <t>December</t>
  </si>
  <si>
    <t>Marcrh</t>
  </si>
  <si>
    <t>Food &amp; related exps</t>
  </si>
  <si>
    <t>Personal Exps</t>
  </si>
  <si>
    <t>Housing &amp; Transport related exps</t>
  </si>
  <si>
    <t>Health, education, recreation, misc</t>
  </si>
  <si>
    <t>Total Expenses</t>
  </si>
  <si>
    <t>Contribution of each category of exps towards CPI calculation</t>
  </si>
  <si>
    <t>Row Labels</t>
  </si>
  <si>
    <t>(blank)</t>
  </si>
  <si>
    <t>Grand Total</t>
  </si>
  <si>
    <t>(All)</t>
  </si>
  <si>
    <t>Sum of Food &amp; related exps</t>
  </si>
  <si>
    <t>Sum of Personal Exps</t>
  </si>
  <si>
    <t>Sum of Health, education, recreation, misc</t>
  </si>
  <si>
    <t>Sum of Housing &amp; Transport related exps</t>
  </si>
  <si>
    <t>Sum of Total Expenses</t>
  </si>
  <si>
    <t>The category "Food &amp; related exps" contribute the most towards CPI calculation.</t>
  </si>
  <si>
    <t>Contribution of each category of exps (%) towards CPI calculation</t>
  </si>
  <si>
    <t>YOY inflation change</t>
  </si>
  <si>
    <t>YOY Inflation change</t>
  </si>
  <si>
    <t>The year 2020 saw the highest inflation rate of 16%</t>
  </si>
  <si>
    <t>Year on Year inflation chart of Expense categories</t>
  </si>
  <si>
    <t>The year 2020 shows a definite increase in food &amp; related exps as compared to the year 2019.</t>
  </si>
  <si>
    <t>The year 2019 has a negative inflation rate, due to which inflation rate in 2020 shows drastically increased.</t>
  </si>
  <si>
    <t xml:space="preserve">Also, the year 2020 saw the sudden influx of corona virus in the whole world, due to which suupy of many food items got affected, thereby resulting in the increase in food &amp; related expenses. </t>
  </si>
  <si>
    <t>All the other expenses, though have increased as well, do not have a significant impact on the sudden increase of inflation rate in 2020</t>
  </si>
  <si>
    <t>MoM changes/ Trends (%)</t>
  </si>
  <si>
    <t>MoM changes/ Trends (Absolute)</t>
  </si>
  <si>
    <t>Analysis of changes in food and related expenses in the past year (June 2022 - May 2023)</t>
  </si>
  <si>
    <t>Sum of Cereals and products</t>
  </si>
  <si>
    <t>Sum of Meat and fish</t>
  </si>
  <si>
    <t>Sum of Egg</t>
  </si>
  <si>
    <t>Sum of Milk and products</t>
  </si>
  <si>
    <t>Sum of Oils and fats</t>
  </si>
  <si>
    <t>Sum of Fruits</t>
  </si>
  <si>
    <t>Sum of Vegetables</t>
  </si>
  <si>
    <t>Sum of Pulses and products</t>
  </si>
  <si>
    <t>Sum of Sugar and Confectionery</t>
  </si>
  <si>
    <t>Sum of Spices</t>
  </si>
  <si>
    <t>Sum of Non-alcoholic beverages</t>
  </si>
  <si>
    <t>Sum of Prepared meals, snacks, sweets etc.</t>
  </si>
  <si>
    <t>Sum of Food and beverages</t>
  </si>
  <si>
    <t>Sum of Pan, tobacco and intoxicants</t>
  </si>
  <si>
    <t>Change in CPI in 1 year</t>
  </si>
  <si>
    <t>Analysis of major contibutor within the Food category towards increase I inflation</t>
  </si>
  <si>
    <t>% change in CPI</t>
  </si>
  <si>
    <t>Biggest contributor</t>
  </si>
  <si>
    <t xml:space="preserve">Conclusion: Spices in the biggest individual contributor within the broader Food category towards increase in inflation. </t>
  </si>
  <si>
    <t>Sum of Health</t>
  </si>
  <si>
    <t>Sum of Transport and communication</t>
  </si>
  <si>
    <t>Sum of Fuel and light</t>
  </si>
  <si>
    <t>Effect of Corona virus (March 2020) on inflation rates</t>
  </si>
  <si>
    <t>Fuel &amp; light expenses have fallen considerably after the onset of Corona in March 2020.</t>
  </si>
  <si>
    <t>Expenses on health have also fallen from March 2020.</t>
  </si>
  <si>
    <t>Transport &amp; communication expenses have fallen considerably from Jan 2020, as the news of Corona virus was spreading rapidly and peaple had already started restricting their movement from one place to another. Many people, however started going to different places extensively in the beginning of June, when the 1st wave seemed to hv been controlled a little, and this trend continued till August 2020, after which there was again a deline in their movements.</t>
  </si>
  <si>
    <t>Food and related expenses have increased considerably after the onset of corona in March 2020, as there was more demand because people started eating healthy to avoid the virus. Until then, the inflation rate was very less in Jan and Feb 2020, which means prices of Food and related products were reducing in these months.</t>
  </si>
  <si>
    <t>Oil price fluctuation from 2021 to 2023</t>
  </si>
  <si>
    <t>% change MoM</t>
  </si>
  <si>
    <t>The oil prices have been steadily contibuting to India's increase in inflation from 2021 to 2023</t>
  </si>
  <si>
    <t>Correlation of fuel prices with</t>
  </si>
  <si>
    <t>Food</t>
  </si>
  <si>
    <t>Personal exps</t>
  </si>
  <si>
    <t>Transport</t>
  </si>
  <si>
    <t>Housing + Household goods</t>
  </si>
  <si>
    <t>Correlation of fuel prices with other categories of expenses</t>
  </si>
  <si>
    <t>There is a very high correlation between Oil prices and Food expenses, personal expenses, Transport expenses &amp; other miscellaneous expenses, thereby showing that the oil price fluctuations affect these expenses very much.</t>
  </si>
  <si>
    <t>However, oil price fluctuations do not affect Housing and household expenses.</t>
  </si>
  <si>
    <t>Analysis of inflation in individual categories of foold &amp; related items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</si>
</sst>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font>
    <font>
      <b/>
      <sz val="11"/>
      <color theme="0"/>
      <name val="calibri"/>
      <family val="2"/>
    </font>
    <font>
      <sz val="11"/>
      <color theme="1"/>
      <name val="calibri"/>
      <family val="2"/>
    </font>
    <font>
      <sz val="11"/>
      <color rgb="FFFF0000"/>
      <name val="calibri"/>
      <family val="2"/>
    </font>
    <font>
      <b/>
      <sz val="11"/>
      <color theme="1"/>
      <name val="calibri"/>
      <family val="2"/>
    </font>
    <font>
      <b/>
      <sz val="14"/>
      <color theme="1"/>
      <name val="calibri"/>
      <family val="2"/>
    </font>
    <font>
      <b/>
      <sz val="12"/>
      <color theme="1"/>
      <name val="calibri"/>
      <family val="2"/>
    </font>
    <font>
      <b/>
      <sz val="12"/>
      <color rgb="FFFF0000"/>
      <name val="calibri"/>
      <family val="2"/>
    </font>
    <font>
      <b/>
      <sz val="11"/>
      <name val="calibri"/>
      <family val="2"/>
    </font>
    <font>
      <sz val="11"/>
      <name val="calibri"/>
      <family val="2"/>
    </font>
    <font>
      <i/>
      <sz val="11"/>
      <color theme="1"/>
      <name val="calibri"/>
      <family val="2"/>
    </font>
  </fonts>
  <fills count="11">
    <fill>
      <patternFill patternType="none"/>
    </fill>
    <fill>
      <patternFill patternType="gray125"/>
    </fill>
    <fill>
      <patternFill patternType="solid">
        <fgColor theme="9"/>
        <bgColor theme="9"/>
      </patternFill>
    </fill>
    <fill>
      <patternFill patternType="solid">
        <fgColor rgb="FFFFFF00"/>
        <bgColor indexed="64"/>
      </patternFill>
    </fill>
    <fill>
      <patternFill patternType="solid">
        <fgColor theme="3" tint="0.749992370372631"/>
        <bgColor indexed="64"/>
      </patternFill>
    </fill>
    <fill>
      <patternFill patternType="solid">
        <fgColor theme="0"/>
        <bgColor indexed="64"/>
      </patternFill>
    </fill>
    <fill>
      <patternFill patternType="solid">
        <fgColor theme="4" tint="0.79998168889431442"/>
        <bgColor theme="4" tint="0.79998168889431442"/>
      </patternFill>
    </fill>
    <fill>
      <patternFill patternType="solid">
        <fgColor theme="6" tint="0.79998168889431442"/>
        <bgColor indexed="64"/>
      </patternFill>
    </fill>
    <fill>
      <patternFill patternType="solid">
        <fgColor theme="5" tint="0.79998168889431442"/>
        <bgColor indexed="64"/>
      </patternFill>
    </fill>
    <fill>
      <patternFill patternType="solid">
        <fgColor theme="0"/>
        <bgColor theme="4" tint="0.79998168889431442"/>
      </patternFill>
    </fill>
    <fill>
      <patternFill patternType="solid">
        <fgColor theme="0" tint="-0.14999847407452621"/>
        <bgColor indexed="64"/>
      </patternFill>
    </fill>
  </fills>
  <borders count="1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indexed="64"/>
      </left>
      <right style="thin">
        <color indexed="64"/>
      </right>
      <top style="thin">
        <color indexed="64"/>
      </top>
      <bottom style="thin">
        <color indexed="64"/>
      </bottom>
      <diagonal/>
    </border>
    <border>
      <left/>
      <right/>
      <top/>
      <bottom style="thin">
        <color theme="4" tint="0.3999755851924192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s>
  <cellStyleXfs count="2">
    <xf numFmtId="0" fontId="0" fillId="0" borderId="0"/>
    <xf numFmtId="9" fontId="2" fillId="0" borderId="0" applyFont="0" applyFill="0" applyBorder="0" applyAlignment="0" applyProtection="0"/>
  </cellStyleXfs>
  <cellXfs count="82">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4" borderId="0" xfId="0" applyFill="1"/>
    <xf numFmtId="2" fontId="0" fillId="0" borderId="0" xfId="0" applyNumberFormat="1"/>
    <xf numFmtId="4" fontId="0" fillId="4" borderId="0" xfId="0" applyNumberFormat="1" applyFill="1"/>
    <xf numFmtId="0" fontId="4" fillId="3" borderId="0" xfId="0" applyFont="1" applyFill="1"/>
    <xf numFmtId="0" fontId="4" fillId="4" borderId="0" xfId="0" applyFont="1" applyFill="1"/>
    <xf numFmtId="4" fontId="4" fillId="4" borderId="0" xfId="0" applyNumberFormat="1" applyFont="1" applyFill="1"/>
    <xf numFmtId="0" fontId="4" fillId="5" borderId="4" xfId="0" applyFont="1" applyFill="1" applyBorder="1"/>
    <xf numFmtId="0" fontId="4" fillId="4" borderId="4" xfId="0" applyFont="1" applyFill="1" applyBorder="1"/>
    <xf numFmtId="0" fontId="4" fillId="4" borderId="4" xfId="0" applyFont="1" applyFill="1" applyBorder="1" applyAlignment="1">
      <alignment wrapText="1"/>
    </xf>
    <xf numFmtId="4" fontId="4" fillId="4" borderId="4" xfId="0" applyNumberFormat="1" applyFont="1" applyFill="1" applyBorder="1"/>
    <xf numFmtId="0" fontId="0" fillId="0" borderId="4" xfId="0" applyBorder="1"/>
    <xf numFmtId="0" fontId="0" fillId="4" borderId="4" xfId="0" applyFill="1" applyBorder="1"/>
    <xf numFmtId="4" fontId="0" fillId="4" borderId="4" xfId="0" applyNumberFormat="1" applyFill="1" applyBorder="1"/>
    <xf numFmtId="0" fontId="0" fillId="0" borderId="0" xfId="0" pivotButton="1"/>
    <xf numFmtId="0" fontId="0" fillId="0" borderId="0" xfId="0" applyAlignment="1">
      <alignment horizontal="left"/>
    </xf>
    <xf numFmtId="0" fontId="0" fillId="0" borderId="0" xfId="0" applyAlignment="1">
      <alignment horizontal="left" indent="1"/>
    </xf>
    <xf numFmtId="0" fontId="4" fillId="6" borderId="5" xfId="0" applyFont="1" applyFill="1" applyBorder="1"/>
    <xf numFmtId="0" fontId="4" fillId="0" borderId="0" xfId="0" applyFont="1"/>
    <xf numFmtId="10" fontId="0" fillId="0" borderId="0" xfId="0" applyNumberFormat="1"/>
    <xf numFmtId="4" fontId="0" fillId="5" borderId="0" xfId="0" applyNumberFormat="1" applyFill="1"/>
    <xf numFmtId="2" fontId="0" fillId="4" borderId="4" xfId="0" applyNumberFormat="1" applyFill="1" applyBorder="1"/>
    <xf numFmtId="0" fontId="0" fillId="5" borderId="0" xfId="0" applyFill="1"/>
    <xf numFmtId="0" fontId="6" fillId="0" borderId="0" xfId="0" applyFont="1"/>
    <xf numFmtId="10" fontId="0" fillId="0" borderId="0" xfId="1" applyNumberFormat="1" applyFont="1"/>
    <xf numFmtId="0" fontId="4" fillId="0" borderId="4" xfId="0" applyFont="1" applyBorder="1" applyAlignment="1">
      <alignment horizontal="center"/>
    </xf>
    <xf numFmtId="0" fontId="4" fillId="0" borderId="4" xfId="0" applyFont="1" applyBorder="1"/>
    <xf numFmtId="10" fontId="4" fillId="0" borderId="4" xfId="1" applyNumberFormat="1" applyFont="1" applyBorder="1"/>
    <xf numFmtId="10" fontId="0" fillId="0" borderId="4" xfId="1" applyNumberFormat="1" applyFont="1" applyBorder="1"/>
    <xf numFmtId="0" fontId="4" fillId="0" borderId="5" xfId="0" applyFont="1" applyBorder="1" applyAlignment="1">
      <alignment horizontal="left"/>
    </xf>
    <xf numFmtId="0" fontId="0" fillId="0" borderId="6" xfId="0" applyBorder="1"/>
    <xf numFmtId="0" fontId="0" fillId="0" borderId="7" xfId="0" applyBorder="1"/>
    <xf numFmtId="0" fontId="0" fillId="0" borderId="8" xfId="0" applyBorder="1" applyAlignment="1">
      <alignment horizontal="left" indent="1"/>
    </xf>
    <xf numFmtId="0" fontId="0" fillId="7" borderId="8" xfId="0" applyFill="1" applyBorder="1" applyAlignment="1">
      <alignment horizontal="left" indent="1"/>
    </xf>
    <xf numFmtId="0" fontId="0" fillId="7" borderId="0" xfId="0" applyFill="1"/>
    <xf numFmtId="10" fontId="0" fillId="7" borderId="0" xfId="1" applyNumberFormat="1" applyFont="1" applyFill="1" applyBorder="1"/>
    <xf numFmtId="0" fontId="0" fillId="7" borderId="9" xfId="0" applyFill="1" applyBorder="1"/>
    <xf numFmtId="10" fontId="0" fillId="0" borderId="0" xfId="1" applyNumberFormat="1" applyFont="1" applyBorder="1"/>
    <xf numFmtId="0" fontId="0" fillId="5" borderId="9" xfId="0" applyFill="1" applyBorder="1"/>
    <xf numFmtId="0" fontId="0" fillId="8" borderId="8" xfId="0" applyFill="1" applyBorder="1" applyAlignment="1">
      <alignment horizontal="left" indent="1"/>
    </xf>
    <xf numFmtId="0" fontId="0" fillId="8" borderId="0" xfId="0" applyFill="1"/>
    <xf numFmtId="10" fontId="0" fillId="8" borderId="0" xfId="1" applyNumberFormat="1" applyFont="1" applyFill="1" applyBorder="1"/>
    <xf numFmtId="0" fontId="0" fillId="8" borderId="9" xfId="0" applyFill="1" applyBorder="1"/>
    <xf numFmtId="0" fontId="0" fillId="0" borderId="10" xfId="0" applyBorder="1" applyAlignment="1">
      <alignment horizontal="left" indent="1"/>
    </xf>
    <xf numFmtId="0" fontId="0" fillId="0" borderId="11" xfId="0" applyBorder="1"/>
    <xf numFmtId="10" fontId="0" fillId="0" borderId="11" xfId="1" applyNumberFormat="1" applyFont="1" applyBorder="1"/>
    <xf numFmtId="0" fontId="0" fillId="5" borderId="12" xfId="0" applyFill="1" applyBorder="1"/>
    <xf numFmtId="0" fontId="4" fillId="6" borderId="10" xfId="0" applyFont="1" applyFill="1" applyBorder="1"/>
    <xf numFmtId="0" fontId="4" fillId="6" borderId="11" xfId="0" applyFont="1" applyFill="1" applyBorder="1"/>
    <xf numFmtId="0" fontId="4" fillId="9" borderId="0" xfId="0" applyFont="1" applyFill="1"/>
    <xf numFmtId="0" fontId="4" fillId="9" borderId="0" xfId="0" applyFont="1" applyFill="1" applyAlignment="1">
      <alignment vertical="center"/>
    </xf>
    <xf numFmtId="0" fontId="4" fillId="6" borderId="0" xfId="0" applyFont="1" applyFill="1"/>
    <xf numFmtId="0" fontId="4" fillId="9" borderId="7" xfId="0" applyFont="1" applyFill="1" applyBorder="1" applyAlignment="1">
      <alignment vertical="center"/>
    </xf>
    <xf numFmtId="0" fontId="4" fillId="6" borderId="7" xfId="0" applyFont="1" applyFill="1" applyBorder="1" applyAlignment="1">
      <alignment vertical="center"/>
    </xf>
    <xf numFmtId="0" fontId="4" fillId="6" borderId="13" xfId="0" applyFont="1" applyFill="1" applyBorder="1" applyAlignment="1">
      <alignment vertical="center"/>
    </xf>
    <xf numFmtId="0" fontId="0" fillId="0" borderId="9" xfId="0" applyBorder="1"/>
    <xf numFmtId="0" fontId="4" fillId="6" borderId="11" xfId="0" applyFont="1" applyFill="1" applyBorder="1" applyAlignment="1">
      <alignment vertical="center"/>
    </xf>
    <xf numFmtId="0" fontId="4" fillId="6" borderId="12" xfId="0" applyFont="1" applyFill="1" applyBorder="1" applyAlignment="1">
      <alignment vertical="center"/>
    </xf>
    <xf numFmtId="0" fontId="5" fillId="0" borderId="0" xfId="0" applyFont="1"/>
    <xf numFmtId="0" fontId="3" fillId="0" borderId="0" xfId="0" applyFont="1"/>
    <xf numFmtId="0" fontId="7" fillId="0" borderId="0" xfId="0" applyFont="1"/>
    <xf numFmtId="0" fontId="8" fillId="0" borderId="0" xfId="0" applyFont="1"/>
    <xf numFmtId="0" fontId="9" fillId="0" borderId="0" xfId="0" applyFont="1"/>
    <xf numFmtId="0" fontId="7" fillId="0" borderId="0" xfId="0" applyFont="1" applyAlignment="1">
      <alignment wrapText="1"/>
    </xf>
    <xf numFmtId="0" fontId="10" fillId="10" borderId="0" xfId="0" applyFont="1" applyFill="1" applyAlignment="1">
      <alignment horizontal="left" indent="1"/>
    </xf>
    <xf numFmtId="10" fontId="10" fillId="10" borderId="0" xfId="1" applyNumberFormat="1" applyFont="1" applyFill="1"/>
    <xf numFmtId="0" fontId="10" fillId="0" borderId="0" xfId="0" applyFont="1"/>
    <xf numFmtId="0" fontId="0" fillId="10" borderId="0" xfId="0" applyFill="1"/>
    <xf numFmtId="4" fontId="0" fillId="10" borderId="0" xfId="0" applyNumberFormat="1" applyFill="1"/>
    <xf numFmtId="2" fontId="0" fillId="4" borderId="0" xfId="0" applyNumberFormat="1" applyFill="1"/>
    <xf numFmtId="2" fontId="4" fillId="4" borderId="0" xfId="0" applyNumberFormat="1" applyFont="1" applyFill="1"/>
    <xf numFmtId="2" fontId="0" fillId="10" borderId="0" xfId="0" applyNumberFormat="1" applyFill="1"/>
    <xf numFmtId="2" fontId="4" fillId="3" borderId="0" xfId="0" applyNumberFormat="1" applyFont="1" applyFill="1"/>
    <xf numFmtId="0" fontId="4" fillId="9" borderId="0" xfId="0" applyFont="1" applyFill="1" applyAlignment="1">
      <alignment horizontal="center" vertical="center"/>
    </xf>
    <xf numFmtId="0" fontId="7" fillId="0" borderId="0" xfId="0" applyFont="1" applyAlignment="1">
      <alignment vertical="top" wrapText="1"/>
    </xf>
    <xf numFmtId="0" fontId="7" fillId="0" borderId="0" xfId="0" applyFont="1"/>
    <xf numFmtId="0" fontId="5" fillId="0" borderId="0" xfId="0" applyFont="1" applyAlignment="1">
      <alignment horizontal="center"/>
    </xf>
    <xf numFmtId="0" fontId="7" fillId="0" borderId="0" xfId="0" applyFont="1" applyAlignment="1">
      <alignment horizontal="left" wrapText="1"/>
    </xf>
    <xf numFmtId="0" fontId="7" fillId="0" borderId="0" xfId="0" applyFont="1" applyAlignment="1">
      <alignment wrapText="1"/>
    </xf>
  </cellXfs>
  <cellStyles count="2">
    <cellStyle name="Normal" xfId="0" builtinId="0"/>
    <cellStyle name="Percent" xfId="1" builtinId="5"/>
  </cellStyles>
  <dxfs count="3">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Contribution of each category of exps towards CPI</a:t>
            </a:r>
          </a:p>
        </c:rich>
      </c:tx>
      <c:layout>
        <c:manualLayout>
          <c:xMode val="edge"/>
          <c:yMode val="edge"/>
          <c:x val="0.11137510936132983"/>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manualLayout>
          <c:layoutTarget val="inner"/>
          <c:xMode val="edge"/>
          <c:yMode val="edge"/>
          <c:x val="0.24695625668488241"/>
          <c:y val="0.1474679206765821"/>
          <c:w val="0.75304374331511759"/>
          <c:h val="0.44318752177902243"/>
        </c:manualLayout>
      </c:layout>
      <c:barChart>
        <c:barDir val="col"/>
        <c:grouping val="clustered"/>
        <c:varyColors val="0"/>
        <c:ser>
          <c:idx val="0"/>
          <c:order val="0"/>
          <c:tx>
            <c:strRef>
              <c:f>'Final Analysis'!$A$4:$C$4</c:f>
              <c:strCache>
                <c:ptCount val="3"/>
                <c:pt idx="0">
                  <c:v>Rural</c:v>
                </c:pt>
                <c:pt idx="1">
                  <c:v>2023</c:v>
                </c:pt>
                <c:pt idx="2">
                  <c:v>May</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Analysis'!$D$3:$H$3</c:f>
              <c:strCache>
                <c:ptCount val="5"/>
                <c:pt idx="0">
                  <c:v>General index</c:v>
                </c:pt>
                <c:pt idx="1">
                  <c:v>Food &amp; related exps</c:v>
                </c:pt>
                <c:pt idx="2">
                  <c:v>Personal Exps</c:v>
                </c:pt>
                <c:pt idx="3">
                  <c:v>Housing &amp; Transport related exps</c:v>
                </c:pt>
                <c:pt idx="4">
                  <c:v>Health, education, recreation, misc</c:v>
                </c:pt>
              </c:strCache>
            </c:strRef>
          </c:cat>
          <c:val>
            <c:numRef>
              <c:f>'Final Analysis'!$D$4:$H$4</c:f>
              <c:numCache>
                <c:formatCode>General</c:formatCode>
                <c:ptCount val="5"/>
                <c:pt idx="0">
                  <c:v>179.8</c:v>
                </c:pt>
                <c:pt idx="1">
                  <c:v>2490.6000000000008</c:v>
                </c:pt>
                <c:pt idx="2">
                  <c:v>754.80000000000007</c:v>
                </c:pt>
                <c:pt idx="3">
                  <c:v>532</c:v>
                </c:pt>
                <c:pt idx="4">
                  <c:v>721.40000000000009</c:v>
                </c:pt>
              </c:numCache>
            </c:numRef>
          </c:val>
          <c:extLst>
            <c:ext xmlns:c16="http://schemas.microsoft.com/office/drawing/2014/chart" uri="{C3380CC4-5D6E-409C-BE32-E72D297353CC}">
              <c16:uniqueId val="{00000000-14A1-45C1-A550-51C17BF47D98}"/>
            </c:ext>
          </c:extLst>
        </c:ser>
        <c:ser>
          <c:idx val="1"/>
          <c:order val="1"/>
          <c:tx>
            <c:strRef>
              <c:f>'Final Analysis'!$A$5:$C$5</c:f>
              <c:strCache>
                <c:ptCount val="3"/>
                <c:pt idx="0">
                  <c:v>Urban</c:v>
                </c:pt>
                <c:pt idx="1">
                  <c:v>2023</c:v>
                </c:pt>
                <c:pt idx="2">
                  <c:v>May</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Analysis'!$D$3:$H$3</c:f>
              <c:strCache>
                <c:ptCount val="5"/>
                <c:pt idx="0">
                  <c:v>General index</c:v>
                </c:pt>
                <c:pt idx="1">
                  <c:v>Food &amp; related exps</c:v>
                </c:pt>
                <c:pt idx="2">
                  <c:v>Personal Exps</c:v>
                </c:pt>
                <c:pt idx="3">
                  <c:v>Housing &amp; Transport related exps</c:v>
                </c:pt>
                <c:pt idx="4">
                  <c:v>Health, education, recreation, misc</c:v>
                </c:pt>
              </c:strCache>
            </c:strRef>
          </c:cat>
          <c:val>
            <c:numRef>
              <c:f>'Final Analysis'!$D$5:$H$5</c:f>
              <c:numCache>
                <c:formatCode>General</c:formatCode>
                <c:ptCount val="5"/>
                <c:pt idx="0">
                  <c:v>178.2</c:v>
                </c:pt>
                <c:pt idx="1">
                  <c:v>2539.2999999999997</c:v>
                </c:pt>
                <c:pt idx="2">
                  <c:v>714.30000000000007</c:v>
                </c:pt>
                <c:pt idx="3">
                  <c:v>689.5</c:v>
                </c:pt>
                <c:pt idx="4">
                  <c:v>697.80000000000007</c:v>
                </c:pt>
              </c:numCache>
            </c:numRef>
          </c:val>
          <c:extLst>
            <c:ext xmlns:c16="http://schemas.microsoft.com/office/drawing/2014/chart" uri="{C3380CC4-5D6E-409C-BE32-E72D297353CC}">
              <c16:uniqueId val="{00000001-14A1-45C1-A550-51C17BF47D98}"/>
            </c:ext>
          </c:extLst>
        </c:ser>
        <c:ser>
          <c:idx val="2"/>
          <c:order val="2"/>
          <c:tx>
            <c:strRef>
              <c:f>'Final Analysis'!$A$6:$C$6</c:f>
              <c:strCache>
                <c:ptCount val="3"/>
                <c:pt idx="0">
                  <c:v>Rural+Urban</c:v>
                </c:pt>
                <c:pt idx="1">
                  <c:v>2023</c:v>
                </c:pt>
                <c:pt idx="2">
                  <c:v>May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Analysis'!$D$3:$H$3</c:f>
              <c:strCache>
                <c:ptCount val="5"/>
                <c:pt idx="0">
                  <c:v>General index</c:v>
                </c:pt>
                <c:pt idx="1">
                  <c:v>Food &amp; related exps</c:v>
                </c:pt>
                <c:pt idx="2">
                  <c:v>Personal Exps</c:v>
                </c:pt>
                <c:pt idx="3">
                  <c:v>Housing &amp; Transport related exps</c:v>
                </c:pt>
                <c:pt idx="4">
                  <c:v>Health, education, recreation, misc</c:v>
                </c:pt>
              </c:strCache>
            </c:strRef>
          </c:cat>
          <c:val>
            <c:numRef>
              <c:f>'Final Analysis'!$D$6:$H$6</c:f>
              <c:numCache>
                <c:formatCode>General</c:formatCode>
                <c:ptCount val="5"/>
                <c:pt idx="0">
                  <c:v>179.1</c:v>
                </c:pt>
                <c:pt idx="1">
                  <c:v>2507.9</c:v>
                </c:pt>
                <c:pt idx="2">
                  <c:v>738.40000000000009</c:v>
                </c:pt>
                <c:pt idx="3">
                  <c:v>698.39999999999986</c:v>
                </c:pt>
                <c:pt idx="4">
                  <c:v>709.7</c:v>
                </c:pt>
              </c:numCache>
            </c:numRef>
          </c:val>
          <c:extLst>
            <c:ext xmlns:c16="http://schemas.microsoft.com/office/drawing/2014/chart" uri="{C3380CC4-5D6E-409C-BE32-E72D297353CC}">
              <c16:uniqueId val="{00000002-14A1-45C1-A550-51C17BF47D98}"/>
            </c:ext>
          </c:extLst>
        </c:ser>
        <c:dLbls>
          <c:showLegendKey val="0"/>
          <c:showVal val="0"/>
          <c:showCatName val="0"/>
          <c:showSerName val="0"/>
          <c:showPercent val="0"/>
          <c:showBubbleSize val="0"/>
        </c:dLbls>
        <c:gapWidth val="100"/>
        <c:overlap val="-24"/>
        <c:axId val="461831071"/>
        <c:axId val="461831551"/>
      </c:barChart>
      <c:catAx>
        <c:axId val="4618310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31551"/>
        <c:crosses val="autoZero"/>
        <c:auto val="1"/>
        <c:lblAlgn val="ctr"/>
        <c:lblOffset val="100"/>
        <c:noMultiLvlLbl val="0"/>
      </c:catAx>
      <c:valAx>
        <c:axId val="4618315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61831071"/>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lt1">
                    <a:lumMod val="85000"/>
                  </a:schemeClr>
                </a:solidFill>
                <a:latin typeface="+mn-lt"/>
                <a:ea typeface="+mn-ea"/>
                <a:cs typeface="+mn-cs"/>
              </a:defRPr>
            </a:pPr>
            <a:endParaRPr lang="en-US"/>
          </a:p>
        </c:txPr>
      </c:dTable>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lotArea>
      <c:layout/>
      <c:scatterChart>
        <c:scatterStyle val="lineMarker"/>
        <c:varyColors val="0"/>
        <c:ser>
          <c:idx val="0"/>
          <c:order val="0"/>
          <c:tx>
            <c:strRef>
              <c:f>'Final Analysis'!$B$16</c:f>
              <c:strCache>
                <c:ptCount val="1"/>
                <c:pt idx="0">
                  <c:v>YOY inflation change</c:v>
                </c:pt>
              </c:strCache>
            </c:strRef>
          </c:tx>
          <c:spPr>
            <a:ln w="22225" cap="rnd">
              <a:solidFill>
                <a:schemeClr val="accent1"/>
              </a:solidFill>
            </a:ln>
            <a:effectLst>
              <a:glow rad="139700">
                <a:schemeClr val="accent1">
                  <a:satMod val="175000"/>
                  <a:alpha val="14000"/>
                </a:schemeClr>
              </a:glow>
            </a:effectLst>
          </c:spPr>
          <c:marker>
            <c:symbol val="circle"/>
            <c:size val="3"/>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xVal>
            <c:numRef>
              <c:f>'Final Analysis'!$A$17:$A$23</c:f>
              <c:numCache>
                <c:formatCode>General</c:formatCode>
                <c:ptCount val="7"/>
                <c:pt idx="0">
                  <c:v>2017</c:v>
                </c:pt>
                <c:pt idx="1">
                  <c:v>2018</c:v>
                </c:pt>
                <c:pt idx="2">
                  <c:v>2019</c:v>
                </c:pt>
                <c:pt idx="3">
                  <c:v>2020</c:v>
                </c:pt>
                <c:pt idx="4">
                  <c:v>2021</c:v>
                </c:pt>
                <c:pt idx="5">
                  <c:v>2022</c:v>
                </c:pt>
                <c:pt idx="6">
                  <c:v>2023</c:v>
                </c:pt>
              </c:numCache>
            </c:numRef>
          </c:xVal>
          <c:yVal>
            <c:numRef>
              <c:f>'Final Analysis'!$B$17:$B$23</c:f>
              <c:numCache>
                <c:formatCode>0.00%</c:formatCode>
                <c:ptCount val="7"/>
                <c:pt idx="0">
                  <c:v>2.7516775209721126E-2</c:v>
                </c:pt>
                <c:pt idx="1">
                  <c:v>3.3149290739245517E-2</c:v>
                </c:pt>
                <c:pt idx="2">
                  <c:v>-5.0090115231217945E-2</c:v>
                </c:pt>
                <c:pt idx="3">
                  <c:v>0.16002800722703947</c:v>
                </c:pt>
                <c:pt idx="4">
                  <c:v>6.680637863208902E-2</c:v>
                </c:pt>
                <c:pt idx="5">
                  <c:v>6.379590375222316E-2</c:v>
                </c:pt>
                <c:pt idx="6">
                  <c:v>-0.57035714617795019</c:v>
                </c:pt>
              </c:numCache>
            </c:numRef>
          </c:yVal>
          <c:smooth val="0"/>
          <c:extLst>
            <c:ext xmlns:c16="http://schemas.microsoft.com/office/drawing/2014/chart" uri="{C3380CC4-5D6E-409C-BE32-E72D297353CC}">
              <c16:uniqueId val="{00000000-0D5D-474D-B61D-ED72CA8A8647}"/>
            </c:ext>
          </c:extLst>
        </c:ser>
        <c:dLbls>
          <c:dLblPos val="t"/>
          <c:showLegendKey val="0"/>
          <c:showVal val="1"/>
          <c:showCatName val="0"/>
          <c:showSerName val="0"/>
          <c:showPercent val="0"/>
          <c:showBubbleSize val="0"/>
        </c:dLbls>
        <c:axId val="379183535"/>
        <c:axId val="379181615"/>
      </c:scatterChart>
      <c:valAx>
        <c:axId val="379183535"/>
        <c:scaling>
          <c:orientation val="minMax"/>
        </c:scaling>
        <c:delete val="0"/>
        <c:axPos val="b"/>
        <c:majorGridlines>
          <c:spPr>
            <a:ln w="9525" cap="flat" cmpd="sng" algn="ctr">
              <a:solidFill>
                <a:schemeClr val="dk1">
                  <a:lumMod val="65000"/>
                  <a:lumOff val="35000"/>
                  <a:alpha val="75000"/>
                </a:schemeClr>
              </a:solidFill>
              <a:round/>
            </a:ln>
            <a:effectLst/>
          </c:spPr>
        </c:majorGridlines>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379181615"/>
        <c:crosses val="autoZero"/>
        <c:crossBetween val="midCat"/>
      </c:valAx>
      <c:valAx>
        <c:axId val="379181615"/>
        <c:scaling>
          <c:orientation val="minMax"/>
        </c:scaling>
        <c:delete val="1"/>
        <c:axPos val="l"/>
        <c:majorGridlines>
          <c:spPr>
            <a:ln w="9525" cap="flat" cmpd="sng" algn="ctr">
              <a:solidFill>
                <a:schemeClr val="dk1">
                  <a:lumMod val="65000"/>
                  <a:lumOff val="35000"/>
                  <a:alpha val="75000"/>
                </a:schemeClr>
              </a:solidFill>
              <a:round/>
            </a:ln>
            <a:effectLst/>
          </c:spPr>
        </c:majorGridlines>
        <c:numFmt formatCode="0.00%" sourceLinked="1"/>
        <c:majorTickMark val="none"/>
        <c:minorTickMark val="none"/>
        <c:tickLblPos val="nextTo"/>
        <c:crossAx val="379183535"/>
        <c:crosses val="autoZero"/>
        <c:crossBetween val="midCat"/>
      </c:valAx>
      <c:spPr>
        <a:noFill/>
        <a:ln>
          <a:noFill/>
        </a:ln>
        <a:effectLst/>
      </c:spPr>
    </c:plotArea>
    <c:plotVisOnly val="1"/>
    <c:dispBlanksAs val="gap"/>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[CPI_PowerQ.xlsx]Pivots - workings!PivotTable7</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Year on Year inflation chart of Expense categories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 - workings'!$B$5</c:f>
              <c:strCache>
                <c:ptCount val="1"/>
                <c:pt idx="0">
                  <c:v>Sum of Housing &amp; Transport related exps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 workings'!$A$6:$A$17</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 workings'!$B$6:$B$17</c:f>
              <c:numCache>
                <c:formatCode>General</c:formatCode>
                <c:ptCount val="11"/>
                <c:pt idx="0">
                  <c:v>5147.0000000000009</c:v>
                </c:pt>
                <c:pt idx="1">
                  <c:v>5456.5999999999995</c:v>
                </c:pt>
                <c:pt idx="2">
                  <c:v>5663.5999999999995</c:v>
                </c:pt>
                <c:pt idx="3">
                  <c:v>5882.0999999999995</c:v>
                </c:pt>
                <c:pt idx="4">
                  <c:v>6160.6</c:v>
                </c:pt>
                <c:pt idx="5">
                  <c:v>6543.7999999999993</c:v>
                </c:pt>
                <c:pt idx="6">
                  <c:v>6170.6</c:v>
                </c:pt>
                <c:pt idx="7">
                  <c:v>6988.4</c:v>
                </c:pt>
                <c:pt idx="8">
                  <c:v>7515.2999999999993</c:v>
                </c:pt>
                <c:pt idx="9">
                  <c:v>8051.9</c:v>
                </c:pt>
                <c:pt idx="10">
                  <c:v>3472.7999999999997</c:v>
                </c:pt>
              </c:numCache>
            </c:numRef>
          </c:val>
          <c:extLst>
            <c:ext xmlns:c16="http://schemas.microsoft.com/office/drawing/2014/chart" uri="{C3380CC4-5D6E-409C-BE32-E72D297353CC}">
              <c16:uniqueId val="{00000000-D8FD-4969-8090-65F5CFB8378C}"/>
            </c:ext>
          </c:extLst>
        </c:ser>
        <c:ser>
          <c:idx val="1"/>
          <c:order val="1"/>
          <c:tx>
            <c:strRef>
              <c:f>'Pivots - workings'!$C$5</c:f>
              <c:strCache>
                <c:ptCount val="1"/>
                <c:pt idx="0">
                  <c:v>Sum of Personal Exps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 workings'!$A$6:$A$17</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 workings'!$C$6:$C$17</c:f>
              <c:numCache>
                <c:formatCode>General</c:formatCode>
                <c:ptCount val="11"/>
                <c:pt idx="0">
                  <c:v>5207.4000000000005</c:v>
                </c:pt>
                <c:pt idx="1">
                  <c:v>5554.0999999999995</c:v>
                </c:pt>
                <c:pt idx="2">
                  <c:v>5841</c:v>
                </c:pt>
                <c:pt idx="3">
                  <c:v>6153.4</c:v>
                </c:pt>
                <c:pt idx="4">
                  <c:v>6413.4999999999991</c:v>
                </c:pt>
                <c:pt idx="5">
                  <c:v>6708.8</c:v>
                </c:pt>
                <c:pt idx="6">
                  <c:v>6307.2</c:v>
                </c:pt>
                <c:pt idx="7">
                  <c:v>7171.2000000000007</c:v>
                </c:pt>
                <c:pt idx="8">
                  <c:v>7611.2</c:v>
                </c:pt>
                <c:pt idx="9">
                  <c:v>8315.2999999999993</c:v>
                </c:pt>
                <c:pt idx="10">
                  <c:v>3661</c:v>
                </c:pt>
              </c:numCache>
            </c:numRef>
          </c:val>
          <c:extLst>
            <c:ext xmlns:c16="http://schemas.microsoft.com/office/drawing/2014/chart" uri="{C3380CC4-5D6E-409C-BE32-E72D297353CC}">
              <c16:uniqueId val="{00000001-D8FD-4969-8090-65F5CFB8378C}"/>
            </c:ext>
          </c:extLst>
        </c:ser>
        <c:ser>
          <c:idx val="2"/>
          <c:order val="2"/>
          <c:tx>
            <c:strRef>
              <c:f>'Pivots - workings'!$D$5</c:f>
              <c:strCache>
                <c:ptCount val="1"/>
                <c:pt idx="0">
                  <c:v>Sum of Food &amp; related exps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 workings'!$A$6:$A$17</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 workings'!$D$6:$D$17</c:f>
              <c:numCache>
                <c:formatCode>General</c:formatCode>
                <c:ptCount val="11"/>
                <c:pt idx="0">
                  <c:v>18672.8</c:v>
                </c:pt>
                <c:pt idx="1">
                  <c:v>19925.7</c:v>
                </c:pt>
                <c:pt idx="2">
                  <c:v>21046.3</c:v>
                </c:pt>
                <c:pt idx="3">
                  <c:v>22498.199999999997</c:v>
                </c:pt>
                <c:pt idx="4">
                  <c:v>22826.5</c:v>
                </c:pt>
                <c:pt idx="5">
                  <c:v>23177.3</c:v>
                </c:pt>
                <c:pt idx="6">
                  <c:v>21983.8</c:v>
                </c:pt>
                <c:pt idx="7">
                  <c:v>25976.499999999996</c:v>
                </c:pt>
                <c:pt idx="8">
                  <c:v>27728.200000000004</c:v>
                </c:pt>
                <c:pt idx="9">
                  <c:v>29255.600000000006</c:v>
                </c:pt>
                <c:pt idx="10">
                  <c:v>12446.3</c:v>
                </c:pt>
              </c:numCache>
            </c:numRef>
          </c:val>
          <c:extLst>
            <c:ext xmlns:c16="http://schemas.microsoft.com/office/drawing/2014/chart" uri="{C3380CC4-5D6E-409C-BE32-E72D297353CC}">
              <c16:uniqueId val="{00000002-D8FD-4969-8090-65F5CFB8378C}"/>
            </c:ext>
          </c:extLst>
        </c:ser>
        <c:ser>
          <c:idx val="3"/>
          <c:order val="3"/>
          <c:tx>
            <c:strRef>
              <c:f>'Pivots - workings'!$E$5</c:f>
              <c:strCache>
                <c:ptCount val="1"/>
                <c:pt idx="0">
                  <c:v>Sum of Health, education, recreation, misc</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 workings'!$A$6:$A$17</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 workings'!$E$6:$E$17</c:f>
              <c:numCache>
                <c:formatCode>General</c:formatCode>
                <c:ptCount val="11"/>
                <c:pt idx="0">
                  <c:v>5125.5999999999995</c:v>
                </c:pt>
                <c:pt idx="1">
                  <c:v>5431.7000000000007</c:v>
                </c:pt>
                <c:pt idx="2">
                  <c:v>5703</c:v>
                </c:pt>
                <c:pt idx="3">
                  <c:v>5972.5</c:v>
                </c:pt>
                <c:pt idx="4">
                  <c:v>6220.2</c:v>
                </c:pt>
                <c:pt idx="5">
                  <c:v>6570.6</c:v>
                </c:pt>
                <c:pt idx="6">
                  <c:v>6385</c:v>
                </c:pt>
                <c:pt idx="7">
                  <c:v>7247.1000000000013</c:v>
                </c:pt>
                <c:pt idx="8">
                  <c:v>7694</c:v>
                </c:pt>
                <c:pt idx="9">
                  <c:v>8150.7</c:v>
                </c:pt>
                <c:pt idx="10">
                  <c:v>3523.3000000000006</c:v>
                </c:pt>
              </c:numCache>
            </c:numRef>
          </c:val>
          <c:extLst>
            <c:ext xmlns:c16="http://schemas.microsoft.com/office/drawing/2014/chart" uri="{C3380CC4-5D6E-409C-BE32-E72D297353CC}">
              <c16:uniqueId val="{00000003-D8FD-4969-8090-65F5CFB8378C}"/>
            </c:ext>
          </c:extLst>
        </c:ser>
        <c:ser>
          <c:idx val="4"/>
          <c:order val="4"/>
          <c:tx>
            <c:strRef>
              <c:f>'Pivots - workings'!$F$5</c:f>
              <c:strCache>
                <c:ptCount val="1"/>
                <c:pt idx="0">
                  <c:v>Sum of Total Expenses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'Pivots - workings'!$A$6:$A$17</c:f>
              <c:strCache>
                <c:ptCount val="11"/>
                <c:pt idx="0">
                  <c:v>2013</c:v>
                </c:pt>
                <c:pt idx="1">
                  <c:v>2014</c:v>
                </c:pt>
                <c:pt idx="2">
                  <c:v>2015</c:v>
                </c:pt>
                <c:pt idx="3">
                  <c:v>2016</c:v>
                </c:pt>
                <c:pt idx="4">
                  <c:v>2017</c:v>
                </c:pt>
                <c:pt idx="5">
                  <c:v>2018</c:v>
                </c:pt>
                <c:pt idx="6">
                  <c:v>2019</c:v>
                </c:pt>
                <c:pt idx="7">
                  <c:v>2020</c:v>
                </c:pt>
                <c:pt idx="8">
                  <c:v>2021</c:v>
                </c:pt>
                <c:pt idx="9">
                  <c:v>2022</c:v>
                </c:pt>
                <c:pt idx="10">
                  <c:v>2023</c:v>
                </c:pt>
              </c:strCache>
            </c:strRef>
          </c:cat>
          <c:val>
            <c:numRef>
              <c:f>'Pivots - workings'!$F$6:$F$17</c:f>
              <c:numCache>
                <c:formatCode>General</c:formatCode>
                <c:ptCount val="11"/>
                <c:pt idx="0">
                  <c:v>34152.800000000003</c:v>
                </c:pt>
                <c:pt idx="1">
                  <c:v>36368.100000000006</c:v>
                </c:pt>
                <c:pt idx="2">
                  <c:v>38253.9</c:v>
                </c:pt>
                <c:pt idx="3">
                  <c:v>40506.199999999997</c:v>
                </c:pt>
                <c:pt idx="4">
                  <c:v>41620.800000000003</c:v>
                </c:pt>
                <c:pt idx="5">
                  <c:v>43000.499999999993</c:v>
                </c:pt>
                <c:pt idx="6">
                  <c:v>40846.600000000006</c:v>
                </c:pt>
                <c:pt idx="7">
                  <c:v>47383.199999999997</c:v>
                </c:pt>
                <c:pt idx="8">
                  <c:v>50548.7</c:v>
                </c:pt>
                <c:pt idx="9">
                  <c:v>53773.5</c:v>
                </c:pt>
                <c:pt idx="10">
                  <c:v>23103.399999999998</c:v>
                </c:pt>
              </c:numCache>
            </c:numRef>
          </c:val>
          <c:extLst>
            <c:ext xmlns:c16="http://schemas.microsoft.com/office/drawing/2014/chart" uri="{C3380CC4-5D6E-409C-BE32-E72D297353CC}">
              <c16:uniqueId val="{00000004-D8FD-4969-8090-65F5CFB8378C}"/>
            </c:ext>
          </c:extLst>
        </c:ser>
        <c:dLbls>
          <c:showLegendKey val="0"/>
          <c:showVal val="0"/>
          <c:showCatName val="0"/>
          <c:showSerName val="0"/>
          <c:showPercent val="0"/>
          <c:showBubbleSize val="0"/>
        </c:dLbls>
        <c:gapWidth val="100"/>
        <c:overlap val="-24"/>
        <c:axId val="456506415"/>
        <c:axId val="456504495"/>
      </c:barChart>
      <c:catAx>
        <c:axId val="4565064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504495"/>
        <c:crosses val="autoZero"/>
        <c:auto val="1"/>
        <c:lblAlgn val="ctr"/>
        <c:lblOffset val="100"/>
        <c:noMultiLvlLbl val="0"/>
      </c:catAx>
      <c:valAx>
        <c:axId val="456504495"/>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45650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Effect of Corona virus (March 2020) on inflation rates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'Final Analysis'!$B$72:$B$73</c:f>
              <c:strCache>
                <c:ptCount val="2"/>
                <c:pt idx="0">
                  <c:v>Food &amp; related exps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Analysis'!$A$74:$A$87</c:f>
              <c:strCache>
                <c:ptCount val="14"/>
                <c:pt idx="0">
                  <c:v>September</c:v>
                </c:pt>
                <c:pt idx="1">
                  <c:v>October</c:v>
                </c:pt>
                <c:pt idx="2">
                  <c:v>November</c:v>
                </c:pt>
                <c:pt idx="3">
                  <c:v>December</c:v>
                </c:pt>
                <c:pt idx="4">
                  <c:v>2020</c:v>
                </c:pt>
                <c:pt idx="5">
                  <c:v>January</c:v>
                </c:pt>
                <c:pt idx="6">
                  <c:v>February</c:v>
                </c:pt>
                <c:pt idx="7">
                  <c:v>March</c:v>
                </c:pt>
                <c:pt idx="8">
                  <c:v>April</c:v>
                </c:pt>
                <c:pt idx="9">
                  <c:v>May</c:v>
                </c:pt>
                <c:pt idx="10">
                  <c:v>June</c:v>
                </c:pt>
                <c:pt idx="11">
                  <c:v>July</c:v>
                </c:pt>
                <c:pt idx="12">
                  <c:v>August</c:v>
                </c:pt>
                <c:pt idx="13">
                  <c:v>September</c:v>
                </c:pt>
              </c:strCache>
            </c:strRef>
          </c:cat>
          <c:val>
            <c:numRef>
              <c:f>'Final Analysis'!$B$74:$B$87</c:f>
              <c:numCache>
                <c:formatCode>0.00%</c:formatCode>
                <c:ptCount val="14"/>
                <c:pt idx="0">
                  <c:v>5.4886012332820535E-3</c:v>
                </c:pt>
                <c:pt idx="1">
                  <c:v>1.4090527942651207E-2</c:v>
                </c:pt>
                <c:pt idx="2">
                  <c:v>1.2435552384967206E-2</c:v>
                </c:pt>
                <c:pt idx="3">
                  <c:v>1.6974937945391944E-2</c:v>
                </c:pt>
                <c:pt idx="5">
                  <c:v>-2.7556885284623256E-3</c:v>
                </c:pt>
                <c:pt idx="6">
                  <c:v>-1.3184904468656389E-2</c:v>
                </c:pt>
                <c:pt idx="7">
                  <c:v>-7.360588847107624E-3</c:v>
                </c:pt>
                <c:pt idx="8">
                  <c:v>2.6710727814943293E-2</c:v>
                </c:pt>
                <c:pt idx="9">
                  <c:v>0</c:v>
                </c:pt>
                <c:pt idx="10">
                  <c:v>1.5103937700182096E-2</c:v>
                </c:pt>
                <c:pt idx="11">
                  <c:v>0</c:v>
                </c:pt>
                <c:pt idx="12">
                  <c:v>1.2992235592538603E-2</c:v>
                </c:pt>
                <c:pt idx="13">
                  <c:v>6.5044126179497914E-3</c:v>
                </c:pt>
              </c:numCache>
            </c:numRef>
          </c:val>
          <c:extLst>
            <c:ext xmlns:c16="http://schemas.microsoft.com/office/drawing/2014/chart" uri="{C3380CC4-5D6E-409C-BE32-E72D297353CC}">
              <c16:uniqueId val="{00000000-EE52-47BA-AF55-8B4BC40103CC}"/>
            </c:ext>
          </c:extLst>
        </c:ser>
        <c:ser>
          <c:idx val="1"/>
          <c:order val="1"/>
          <c:tx>
            <c:strRef>
              <c:f>'Final Analysis'!$C$72:$C$73</c:f>
              <c:strCache>
                <c:ptCount val="2"/>
                <c:pt idx="0">
                  <c:v>Health</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Analysis'!$A$74:$A$87</c:f>
              <c:strCache>
                <c:ptCount val="14"/>
                <c:pt idx="0">
                  <c:v>September</c:v>
                </c:pt>
                <c:pt idx="1">
                  <c:v>October</c:v>
                </c:pt>
                <c:pt idx="2">
                  <c:v>November</c:v>
                </c:pt>
                <c:pt idx="3">
                  <c:v>December</c:v>
                </c:pt>
                <c:pt idx="4">
                  <c:v>2020</c:v>
                </c:pt>
                <c:pt idx="5">
                  <c:v>January</c:v>
                </c:pt>
                <c:pt idx="6">
                  <c:v>February</c:v>
                </c:pt>
                <c:pt idx="7">
                  <c:v>March</c:v>
                </c:pt>
                <c:pt idx="8">
                  <c:v>April</c:v>
                </c:pt>
                <c:pt idx="9">
                  <c:v>May</c:v>
                </c:pt>
                <c:pt idx="10">
                  <c:v>June</c:v>
                </c:pt>
                <c:pt idx="11">
                  <c:v>July</c:v>
                </c:pt>
                <c:pt idx="12">
                  <c:v>August</c:v>
                </c:pt>
                <c:pt idx="13">
                  <c:v>September</c:v>
                </c:pt>
              </c:strCache>
            </c:strRef>
          </c:cat>
          <c:val>
            <c:numRef>
              <c:f>'Final Analysis'!$C$74:$C$87</c:f>
              <c:numCache>
                <c:formatCode>0.00%</c:formatCode>
                <c:ptCount val="14"/>
                <c:pt idx="0">
                  <c:v>3.6141856787892993E-3</c:v>
                </c:pt>
                <c:pt idx="1">
                  <c:v>2.7008777852801902E-3</c:v>
                </c:pt>
                <c:pt idx="2">
                  <c:v>3.3670033670033669E-3</c:v>
                </c:pt>
                <c:pt idx="3">
                  <c:v>3.1319910514540877E-3</c:v>
                </c:pt>
                <c:pt idx="5">
                  <c:v>5.1293487957181343E-3</c:v>
                </c:pt>
                <c:pt idx="6">
                  <c:v>3.5500332815620651E-3</c:v>
                </c:pt>
                <c:pt idx="7">
                  <c:v>3.7585673225734879E-3</c:v>
                </c:pt>
                <c:pt idx="8">
                  <c:v>-9.2511013215858789E-3</c:v>
                </c:pt>
                <c:pt idx="9">
                  <c:v>0</c:v>
                </c:pt>
                <c:pt idx="10">
                  <c:v>2.423299244108475E-2</c:v>
                </c:pt>
                <c:pt idx="11">
                  <c:v>0</c:v>
                </c:pt>
                <c:pt idx="12">
                  <c:v>3.9070978945085055E-3</c:v>
                </c:pt>
                <c:pt idx="13">
                  <c:v>4.7567567567568551E-3</c:v>
                </c:pt>
              </c:numCache>
            </c:numRef>
          </c:val>
          <c:extLst>
            <c:ext xmlns:c16="http://schemas.microsoft.com/office/drawing/2014/chart" uri="{C3380CC4-5D6E-409C-BE32-E72D297353CC}">
              <c16:uniqueId val="{00000001-EE52-47BA-AF55-8B4BC40103CC}"/>
            </c:ext>
          </c:extLst>
        </c:ser>
        <c:ser>
          <c:idx val="2"/>
          <c:order val="2"/>
          <c:tx>
            <c:strRef>
              <c:f>'Final Analysis'!$D$72:$D$73</c:f>
              <c:strCache>
                <c:ptCount val="2"/>
                <c:pt idx="0">
                  <c:v>Fuel and light</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Analysis'!$A$74:$A$87</c:f>
              <c:strCache>
                <c:ptCount val="14"/>
                <c:pt idx="0">
                  <c:v>September</c:v>
                </c:pt>
                <c:pt idx="1">
                  <c:v>October</c:v>
                </c:pt>
                <c:pt idx="2">
                  <c:v>November</c:v>
                </c:pt>
                <c:pt idx="3">
                  <c:v>December</c:v>
                </c:pt>
                <c:pt idx="4">
                  <c:v>2020</c:v>
                </c:pt>
                <c:pt idx="5">
                  <c:v>January</c:v>
                </c:pt>
                <c:pt idx="6">
                  <c:v>February</c:v>
                </c:pt>
                <c:pt idx="7">
                  <c:v>March</c:v>
                </c:pt>
                <c:pt idx="8">
                  <c:v>April</c:v>
                </c:pt>
                <c:pt idx="9">
                  <c:v>May</c:v>
                </c:pt>
                <c:pt idx="10">
                  <c:v>June</c:v>
                </c:pt>
                <c:pt idx="11">
                  <c:v>July</c:v>
                </c:pt>
                <c:pt idx="12">
                  <c:v>August</c:v>
                </c:pt>
                <c:pt idx="13">
                  <c:v>September</c:v>
                </c:pt>
              </c:strCache>
            </c:strRef>
          </c:cat>
          <c:val>
            <c:numRef>
              <c:f>'Final Analysis'!$D$74:$D$87</c:f>
              <c:numCache>
                <c:formatCode>0.00%</c:formatCode>
                <c:ptCount val="14"/>
                <c:pt idx="0">
                  <c:v>5.6042884990253694E-3</c:v>
                </c:pt>
                <c:pt idx="1">
                  <c:v>1.0903804216137769E-2</c:v>
                </c:pt>
                <c:pt idx="2">
                  <c:v>1.3662511984659608E-2</c:v>
                </c:pt>
                <c:pt idx="3">
                  <c:v>1.0167888389690126E-2</c:v>
                </c:pt>
                <c:pt idx="5">
                  <c:v>6.7883895131086941E-3</c:v>
                </c:pt>
                <c:pt idx="6">
                  <c:v>1.9297837712159989E-2</c:v>
                </c:pt>
                <c:pt idx="7">
                  <c:v>1.2089416058394186E-2</c:v>
                </c:pt>
                <c:pt idx="8">
                  <c:v>-3.1778228532792475E-2</c:v>
                </c:pt>
                <c:pt idx="9">
                  <c:v>0</c:v>
                </c:pt>
                <c:pt idx="10">
                  <c:v>-1.3268156424581111E-2</c:v>
                </c:pt>
                <c:pt idx="11">
                  <c:v>0</c:v>
                </c:pt>
                <c:pt idx="12">
                  <c:v>7.5489502241095673E-3</c:v>
                </c:pt>
                <c:pt idx="13">
                  <c:v>-1.4048232264107297E-3</c:v>
                </c:pt>
              </c:numCache>
            </c:numRef>
          </c:val>
          <c:extLst>
            <c:ext xmlns:c16="http://schemas.microsoft.com/office/drawing/2014/chart" uri="{C3380CC4-5D6E-409C-BE32-E72D297353CC}">
              <c16:uniqueId val="{00000002-EE52-47BA-AF55-8B4BC40103CC}"/>
            </c:ext>
          </c:extLst>
        </c:ser>
        <c:ser>
          <c:idx val="3"/>
          <c:order val="3"/>
          <c:tx>
            <c:strRef>
              <c:f>'Final Analysis'!$E$72:$E$73</c:f>
              <c:strCache>
                <c:ptCount val="2"/>
                <c:pt idx="0">
                  <c:v>Transport and communication</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'Final Analysis'!$A$74:$A$87</c:f>
              <c:strCache>
                <c:ptCount val="14"/>
                <c:pt idx="0">
                  <c:v>September</c:v>
                </c:pt>
                <c:pt idx="1">
                  <c:v>October</c:v>
                </c:pt>
                <c:pt idx="2">
                  <c:v>November</c:v>
                </c:pt>
                <c:pt idx="3">
                  <c:v>December</c:v>
                </c:pt>
                <c:pt idx="4">
                  <c:v>2020</c:v>
                </c:pt>
                <c:pt idx="5">
                  <c:v>January</c:v>
                </c:pt>
                <c:pt idx="6">
                  <c:v>February</c:v>
                </c:pt>
                <c:pt idx="7">
                  <c:v>March</c:v>
                </c:pt>
                <c:pt idx="8">
                  <c:v>April</c:v>
                </c:pt>
                <c:pt idx="9">
                  <c:v>May</c:v>
                </c:pt>
                <c:pt idx="10">
                  <c:v>June</c:v>
                </c:pt>
                <c:pt idx="11">
                  <c:v>July</c:v>
                </c:pt>
                <c:pt idx="12">
                  <c:v>August</c:v>
                </c:pt>
                <c:pt idx="13">
                  <c:v>September</c:v>
                </c:pt>
              </c:strCache>
            </c:strRef>
          </c:cat>
          <c:val>
            <c:numRef>
              <c:f>'Final Analysis'!$E$74:$E$87</c:f>
              <c:numCache>
                <c:formatCode>0.00%</c:formatCode>
                <c:ptCount val="14"/>
                <c:pt idx="0">
                  <c:v>2.3809523809523209E-3</c:v>
                </c:pt>
                <c:pt idx="1">
                  <c:v>1.5835312747427364E-3</c:v>
                </c:pt>
                <c:pt idx="2">
                  <c:v>2.3715415019762245E-3</c:v>
                </c:pt>
                <c:pt idx="3">
                  <c:v>2.523659305993697E-2</c:v>
                </c:pt>
                <c:pt idx="5">
                  <c:v>8.4615384615383451E-3</c:v>
                </c:pt>
                <c:pt idx="6">
                  <c:v>-4.5766590389014865E-3</c:v>
                </c:pt>
                <c:pt idx="7">
                  <c:v>-3.0651340996169746E-3</c:v>
                </c:pt>
                <c:pt idx="8">
                  <c:v>0</c:v>
                </c:pt>
                <c:pt idx="9">
                  <c:v>0</c:v>
                </c:pt>
                <c:pt idx="10">
                  <c:v>3.9456828080963596E-2</c:v>
                </c:pt>
                <c:pt idx="11">
                  <c:v>0</c:v>
                </c:pt>
                <c:pt idx="12">
                  <c:v>2.5388217894996189E-2</c:v>
                </c:pt>
                <c:pt idx="13">
                  <c:v>7.932692307692198E-3</c:v>
                </c:pt>
              </c:numCache>
            </c:numRef>
          </c:val>
          <c:extLst>
            <c:ext xmlns:c16="http://schemas.microsoft.com/office/drawing/2014/chart" uri="{C3380CC4-5D6E-409C-BE32-E72D297353CC}">
              <c16:uniqueId val="{00000003-EE52-47BA-AF55-8B4BC40103CC}"/>
            </c:ext>
          </c:extLst>
        </c:ser>
        <c:dLbls>
          <c:showLegendKey val="0"/>
          <c:showVal val="0"/>
          <c:showCatName val="0"/>
          <c:showSerName val="0"/>
          <c:showPercent val="0"/>
          <c:showBubbleSize val="0"/>
        </c:dLbls>
        <c:gapWidth val="100"/>
        <c:overlap val="-24"/>
        <c:axId val="629316623"/>
        <c:axId val="629319023"/>
      </c:barChart>
      <c:catAx>
        <c:axId val="62931662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29319023"/>
        <c:crosses val="autoZero"/>
        <c:auto val="1"/>
        <c:lblAlgn val="ctr"/>
        <c:lblOffset val="100"/>
        <c:noMultiLvlLbl val="0"/>
      </c:catAx>
      <c:valAx>
        <c:axId val="629319023"/>
        <c:scaling>
          <c:orientation val="minMax"/>
        </c:scaling>
        <c:delete val="1"/>
        <c:axPos val="l"/>
        <c:majorGridlines>
          <c:spPr>
            <a:ln w="9525" cap="flat" cmpd="sng" algn="ctr">
              <a:solidFill>
                <a:schemeClr val="lt1">
                  <a:lumMod val="95000"/>
                  <a:alpha val="10000"/>
                </a:schemeClr>
              </a:solidFill>
              <a:round/>
            </a:ln>
            <a:effectLst/>
          </c:spPr>
        </c:majorGridlines>
        <c:numFmt formatCode="0.00%" sourceLinked="1"/>
        <c:majorTickMark val="none"/>
        <c:minorTickMark val="none"/>
        <c:tickLblPos val="nextTo"/>
        <c:crossAx val="629316623"/>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Oil price fluctuation from 2021 to 2023</a:t>
            </a:r>
          </a:p>
        </c:rich>
      </c:tx>
      <c:layout>
        <c:manualLayout>
          <c:xMode val="edge"/>
          <c:yMode val="edge"/>
          <c:x val="0.22774999999999998"/>
          <c:y val="4.1666666666666664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lineChart>
        <c:grouping val="standard"/>
        <c:varyColors val="0"/>
        <c:ser>
          <c:idx val="0"/>
          <c:order val="0"/>
          <c:tx>
            <c:strRef>
              <c:f>'Final Analysis'!$C$92</c:f>
              <c:strCache>
                <c:ptCount val="1"/>
                <c:pt idx="0">
                  <c:v>Sum of Fuel and light</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cat>
            <c:strRef>
              <c:f>'Final Analysis'!$B$93:$B$121</c:f>
              <c:strCache>
                <c:ptCount val="29"/>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January</c:v>
                </c:pt>
                <c:pt idx="13">
                  <c:v>February</c:v>
                </c:pt>
                <c:pt idx="14">
                  <c:v>March</c:v>
                </c:pt>
                <c:pt idx="15">
                  <c:v>April</c:v>
                </c:pt>
                <c:pt idx="16">
                  <c:v>May</c:v>
                </c:pt>
                <c:pt idx="17">
                  <c:v>June</c:v>
                </c:pt>
                <c:pt idx="18">
                  <c:v>July</c:v>
                </c:pt>
                <c:pt idx="19">
                  <c:v>August</c:v>
                </c:pt>
                <c:pt idx="20">
                  <c:v>September</c:v>
                </c:pt>
                <c:pt idx="21">
                  <c:v>October</c:v>
                </c:pt>
                <c:pt idx="22">
                  <c:v>November</c:v>
                </c:pt>
                <c:pt idx="23">
                  <c:v>December</c:v>
                </c:pt>
                <c:pt idx="24">
                  <c:v>January</c:v>
                </c:pt>
                <c:pt idx="25">
                  <c:v>February</c:v>
                </c:pt>
                <c:pt idx="26">
                  <c:v>March</c:v>
                </c:pt>
                <c:pt idx="27">
                  <c:v>April</c:v>
                </c:pt>
                <c:pt idx="28">
                  <c:v>May</c:v>
                </c:pt>
              </c:strCache>
            </c:strRef>
          </c:cat>
          <c:val>
            <c:numRef>
              <c:f>'Final Analysis'!$C$93:$C$121</c:f>
              <c:numCache>
                <c:formatCode>General</c:formatCode>
                <c:ptCount val="29"/>
                <c:pt idx="0">
                  <c:v>441.70000000000005</c:v>
                </c:pt>
                <c:pt idx="1">
                  <c:v>455.9</c:v>
                </c:pt>
                <c:pt idx="2">
                  <c:v>466.3</c:v>
                </c:pt>
                <c:pt idx="3">
                  <c:v>466.5</c:v>
                </c:pt>
                <c:pt idx="4">
                  <c:v>476.6</c:v>
                </c:pt>
                <c:pt idx="5">
                  <c:v>478</c:v>
                </c:pt>
                <c:pt idx="6">
                  <c:v>480.9</c:v>
                </c:pt>
                <c:pt idx="7">
                  <c:v>486.4</c:v>
                </c:pt>
                <c:pt idx="8">
                  <c:v>487.1</c:v>
                </c:pt>
                <c:pt idx="9">
                  <c:v>491.9</c:v>
                </c:pt>
                <c:pt idx="10">
                  <c:v>490.79999999999995</c:v>
                </c:pt>
                <c:pt idx="11">
                  <c:v>491.4</c:v>
                </c:pt>
                <c:pt idx="12">
                  <c:v>491.59999999999997</c:v>
                </c:pt>
                <c:pt idx="13">
                  <c:v>496.09999999999997</c:v>
                </c:pt>
                <c:pt idx="14">
                  <c:v>500.59999999999997</c:v>
                </c:pt>
                <c:pt idx="15">
                  <c:v>516</c:v>
                </c:pt>
                <c:pt idx="16">
                  <c:v>523.4</c:v>
                </c:pt>
                <c:pt idx="17">
                  <c:v>527.6</c:v>
                </c:pt>
                <c:pt idx="18">
                  <c:v>538.70000000000005</c:v>
                </c:pt>
                <c:pt idx="19">
                  <c:v>536.29999999999995</c:v>
                </c:pt>
                <c:pt idx="20">
                  <c:v>538.4</c:v>
                </c:pt>
                <c:pt idx="21">
                  <c:v>541.29999999999995</c:v>
                </c:pt>
                <c:pt idx="22">
                  <c:v>543.5</c:v>
                </c:pt>
                <c:pt idx="23">
                  <c:v>545.4</c:v>
                </c:pt>
                <c:pt idx="24">
                  <c:v>545.29999999999995</c:v>
                </c:pt>
                <c:pt idx="25">
                  <c:v>546.5</c:v>
                </c:pt>
                <c:pt idx="26">
                  <c:v>545.9</c:v>
                </c:pt>
                <c:pt idx="27">
                  <c:v>545.29999999999995</c:v>
                </c:pt>
                <c:pt idx="28">
                  <c:v>548.70000000000005</c:v>
                </c:pt>
              </c:numCache>
            </c:numRef>
          </c:val>
          <c:smooth val="0"/>
          <c:extLst>
            <c:ext xmlns:c16="http://schemas.microsoft.com/office/drawing/2014/chart" uri="{C3380CC4-5D6E-409C-BE32-E72D297353CC}">
              <c16:uniqueId val="{00000000-493D-4835-8C09-2EA27C8266CF}"/>
            </c:ext>
          </c:extLst>
        </c:ser>
        <c:dLbls>
          <c:showLegendKey val="0"/>
          <c:showVal val="0"/>
          <c:showCatName val="0"/>
          <c:showSerName val="0"/>
          <c:showPercent val="0"/>
          <c:showBubbleSize val="0"/>
        </c:dLbls>
        <c:smooth val="0"/>
        <c:axId val="617391519"/>
        <c:axId val="617391999"/>
      </c:lineChart>
      <c:catAx>
        <c:axId val="61739151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17391999"/>
        <c:crosses val="autoZero"/>
        <c:auto val="1"/>
        <c:lblAlgn val="ctr"/>
        <c:lblOffset val="100"/>
        <c:noMultiLvlLbl val="0"/>
      </c:catAx>
      <c:valAx>
        <c:axId val="617391999"/>
        <c:scaling>
          <c:orientation val="minMax"/>
        </c:scaling>
        <c:delete val="1"/>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crossAx val="617391519"/>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45">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3"/>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dk1">
            <a:lumMod val="65000"/>
            <a:lumOff val="35000"/>
            <a:alpha val="75000"/>
          </a:schemeClr>
        </a:solidFill>
        <a:round/>
      </a:ln>
    </cs:spPr>
  </cs:gridlineMajor>
  <cs:gridlineMinor>
    <cs:lnRef idx="0"/>
    <cs:fillRef idx="0"/>
    <cs:effectRef idx="0"/>
    <cs:fontRef idx="minor">
      <a:schemeClr val="tx1"/>
    </cs:fontRef>
    <cs:spPr>
      <a:ln w="9525" cap="flat" cmpd="sng" algn="ctr">
        <a:solidFill>
          <a:schemeClr val="dk1">
            <a:lumMod val="65000"/>
            <a:lumOff val="35000"/>
            <a:alpha val="25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spPr>
      <a:ln w="9525" cap="flat" cmpd="sng" algn="ctr">
        <a:solidFill>
          <a:schemeClr val="lt1">
            <a:lumMod val="50000"/>
          </a:schemeClr>
        </a:solidFill>
        <a:round/>
      </a:ln>
    </cs:spPr>
    <cs:defRPr sz="900" kern="1200"/>
    <cs:bodyPr/>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45720</xdr:colOff>
      <xdr:row>23</xdr:row>
      <xdr:rowOff>91440</xdr:rowOff>
    </xdr:from>
    <xdr:to>
      <xdr:col>16</xdr:col>
      <xdr:colOff>45720</xdr:colOff>
      <xdr:row>23</xdr:row>
      <xdr:rowOff>129540</xdr:rowOff>
    </xdr:to>
    <xdr:cxnSp macro="">
      <xdr:nvCxnSpPr>
        <xdr:cNvPr id="9" name="Straight Connector 8">
          <a:extLst>
            <a:ext uri="{FF2B5EF4-FFF2-40B4-BE49-F238E27FC236}">
              <a16:creationId xmlns:a16="http://schemas.microsoft.com/office/drawing/2014/main" id="{E00AD903-B6C5-3A0B-0522-AD7A098ADF3A}"/>
            </a:ext>
          </a:extLst>
        </xdr:cNvPr>
        <xdr:cNvCxnSpPr/>
      </xdr:nvCxnSpPr>
      <xdr:spPr>
        <a:xfrm flipV="1">
          <a:off x="45720" y="5166360"/>
          <a:ext cx="14028420" cy="3810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22860</xdr:colOff>
      <xdr:row>44</xdr:row>
      <xdr:rowOff>68580</xdr:rowOff>
    </xdr:from>
    <xdr:to>
      <xdr:col>16</xdr:col>
      <xdr:colOff>15240</xdr:colOff>
      <xdr:row>44</xdr:row>
      <xdr:rowOff>76200</xdr:rowOff>
    </xdr:to>
    <xdr:cxnSp macro="">
      <xdr:nvCxnSpPr>
        <xdr:cNvPr id="13" name="Straight Connector 12">
          <a:extLst>
            <a:ext uri="{FF2B5EF4-FFF2-40B4-BE49-F238E27FC236}">
              <a16:creationId xmlns:a16="http://schemas.microsoft.com/office/drawing/2014/main" id="{12183DD3-F709-366D-3E97-FD16C36C1DAC}"/>
            </a:ext>
          </a:extLst>
        </xdr:cNvPr>
        <xdr:cNvCxnSpPr/>
      </xdr:nvCxnSpPr>
      <xdr:spPr>
        <a:xfrm>
          <a:off x="22860" y="9052560"/>
          <a:ext cx="14020800" cy="762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22860</xdr:colOff>
      <xdr:row>68</xdr:row>
      <xdr:rowOff>121920</xdr:rowOff>
    </xdr:from>
    <xdr:to>
      <xdr:col>16</xdr:col>
      <xdr:colOff>30480</xdr:colOff>
      <xdr:row>68</xdr:row>
      <xdr:rowOff>182880</xdr:rowOff>
    </xdr:to>
    <xdr:cxnSp macro="">
      <xdr:nvCxnSpPr>
        <xdr:cNvPr id="15" name="Straight Connector 14">
          <a:extLst>
            <a:ext uri="{FF2B5EF4-FFF2-40B4-BE49-F238E27FC236}">
              <a16:creationId xmlns:a16="http://schemas.microsoft.com/office/drawing/2014/main" id="{2067CD70-DE58-8E48-3FE6-9D148CBA16E6}"/>
            </a:ext>
          </a:extLst>
        </xdr:cNvPr>
        <xdr:cNvCxnSpPr/>
      </xdr:nvCxnSpPr>
      <xdr:spPr>
        <a:xfrm>
          <a:off x="22860" y="13555980"/>
          <a:ext cx="14036040" cy="6096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0</xdr:col>
      <xdr:colOff>22860</xdr:colOff>
      <xdr:row>88</xdr:row>
      <xdr:rowOff>114300</xdr:rowOff>
    </xdr:from>
    <xdr:to>
      <xdr:col>15</xdr:col>
      <xdr:colOff>464820</xdr:colOff>
      <xdr:row>88</xdr:row>
      <xdr:rowOff>137160</xdr:rowOff>
    </xdr:to>
    <xdr:cxnSp macro="">
      <xdr:nvCxnSpPr>
        <xdr:cNvPr id="20" name="Straight Connector 19">
          <a:extLst>
            <a:ext uri="{FF2B5EF4-FFF2-40B4-BE49-F238E27FC236}">
              <a16:creationId xmlns:a16="http://schemas.microsoft.com/office/drawing/2014/main" id="{9527C7B4-C7ED-E9F9-C67F-4A36813F230B}"/>
            </a:ext>
          </a:extLst>
        </xdr:cNvPr>
        <xdr:cNvCxnSpPr/>
      </xdr:nvCxnSpPr>
      <xdr:spPr>
        <a:xfrm>
          <a:off x="22860" y="17274540"/>
          <a:ext cx="13860780" cy="22860"/>
        </a:xfrm>
        <a:prstGeom prst="line">
          <a:avLst/>
        </a:prstGeom>
      </xdr:spPr>
      <xdr:style>
        <a:lnRef idx="2">
          <a:schemeClr val="accent1"/>
        </a:lnRef>
        <a:fillRef idx="0">
          <a:schemeClr val="accent1"/>
        </a:fillRef>
        <a:effectRef idx="1">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2</xdr:row>
      <xdr:rowOff>0</xdr:rowOff>
    </xdr:from>
    <xdr:to>
      <xdr:col>9</xdr:col>
      <xdr:colOff>601980</xdr:colOff>
      <xdr:row>19</xdr:row>
      <xdr:rowOff>19050</xdr:rowOff>
    </xdr:to>
    <xdr:graphicFrame macro="">
      <xdr:nvGraphicFramePr>
        <xdr:cNvPr id="2" name="Chart 1">
          <a:extLst>
            <a:ext uri="{FF2B5EF4-FFF2-40B4-BE49-F238E27FC236}">
              <a16:creationId xmlns:a16="http://schemas.microsoft.com/office/drawing/2014/main" id="{C4252A3B-B3D4-4813-997D-400E35C7DE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2</xdr:row>
      <xdr:rowOff>0</xdr:rowOff>
    </xdr:from>
    <xdr:to>
      <xdr:col>19</xdr:col>
      <xdr:colOff>586740</xdr:colOff>
      <xdr:row>19</xdr:row>
      <xdr:rowOff>22860</xdr:rowOff>
    </xdr:to>
    <xdr:graphicFrame macro="">
      <xdr:nvGraphicFramePr>
        <xdr:cNvPr id="3" name="Chart 2">
          <a:extLst>
            <a:ext uri="{FF2B5EF4-FFF2-40B4-BE49-F238E27FC236}">
              <a16:creationId xmlns:a16="http://schemas.microsoft.com/office/drawing/2014/main" id="{3F1D6626-BD6D-4F2A-A51F-6EF8D1A12F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22</xdr:row>
      <xdr:rowOff>0</xdr:rowOff>
    </xdr:from>
    <xdr:to>
      <xdr:col>9</xdr:col>
      <xdr:colOff>594360</xdr:colOff>
      <xdr:row>39</xdr:row>
      <xdr:rowOff>7620</xdr:rowOff>
    </xdr:to>
    <xdr:graphicFrame macro="">
      <xdr:nvGraphicFramePr>
        <xdr:cNvPr id="4" name="Chart 3">
          <a:extLst>
            <a:ext uri="{FF2B5EF4-FFF2-40B4-BE49-F238E27FC236}">
              <a16:creationId xmlns:a16="http://schemas.microsoft.com/office/drawing/2014/main" id="{89D8D777-4DAC-4F12-8DAB-B3C637AE53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0</xdr:colOff>
      <xdr:row>22</xdr:row>
      <xdr:rowOff>7620</xdr:rowOff>
    </xdr:from>
    <xdr:to>
      <xdr:col>19</xdr:col>
      <xdr:colOff>601980</xdr:colOff>
      <xdr:row>39</xdr:row>
      <xdr:rowOff>0</xdr:rowOff>
    </xdr:to>
    <xdr:graphicFrame macro="">
      <xdr:nvGraphicFramePr>
        <xdr:cNvPr id="5" name="Chart 4">
          <a:extLst>
            <a:ext uri="{FF2B5EF4-FFF2-40B4-BE49-F238E27FC236}">
              <a16:creationId xmlns:a16="http://schemas.microsoft.com/office/drawing/2014/main" id="{A9F86F8F-C915-4389-A6C7-F399DB1743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45</xdr:row>
      <xdr:rowOff>0</xdr:rowOff>
    </xdr:from>
    <xdr:to>
      <xdr:col>9</xdr:col>
      <xdr:colOff>594360</xdr:colOff>
      <xdr:row>62</xdr:row>
      <xdr:rowOff>38100</xdr:rowOff>
    </xdr:to>
    <xdr:graphicFrame macro="">
      <xdr:nvGraphicFramePr>
        <xdr:cNvPr id="6" name="Chart 5">
          <a:extLst>
            <a:ext uri="{FF2B5EF4-FFF2-40B4-BE49-F238E27FC236}">
              <a16:creationId xmlns:a16="http://schemas.microsoft.com/office/drawing/2014/main" id="{193DEF0F-1191-4AF7-9686-4A5048975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yothi R" refreshedDate="45890.531973958336" createdVersion="8" refreshedVersion="8" minRefreshableVersion="3" recordCount="373" xr:uid="{C6017AB3-DCAF-4A31-A8DE-4D99717644AD}">
  <cacheSource type="worksheet">
    <worksheetSource ref="A1:AI1048576" sheet="EDA"/>
  </cacheSource>
  <cacheFields count="35">
    <cacheField name="Sector" numFmtId="0">
      <sharedItems containsBlank="1" count="4">
        <s v="Rural"/>
        <s v="Urban"/>
        <s v="Rural+Urban"/>
        <m/>
      </sharedItems>
    </cacheField>
    <cacheField name="Year" numFmtId="0">
      <sharedItems containsString="0" containsBlank="1" containsNumber="1" containsInteger="1" minValue="2013" maxValue="2023" count="12">
        <n v="2013"/>
        <n v="2014"/>
        <n v="2015"/>
        <n v="2016"/>
        <n v="2017"/>
        <n v="2018"/>
        <n v="2019"/>
        <n v="2020"/>
        <n v="2021"/>
        <n v="2022"/>
        <n v="2023"/>
        <m/>
      </sharedItems>
    </cacheField>
    <cacheField name="Month" numFmtId="0">
      <sharedItems containsBlank="1" count="15">
        <s v="January"/>
        <s v="February"/>
        <s v="March"/>
        <s v="April"/>
        <s v="May"/>
        <s v="June"/>
        <s v="July"/>
        <s v="August"/>
        <s v="September"/>
        <s v="October"/>
        <s v="November "/>
        <s v="November"/>
        <s v="December"/>
        <s v="Marcrh"/>
        <m/>
      </sharedItems>
    </cacheField>
    <cacheField name="Cereals and products" numFmtId="0">
      <sharedItems containsString="0" containsBlank="1" containsNumber="1" minValue="107.5" maxValue="174.8"/>
    </cacheField>
    <cacheField name="Meat and fish" numFmtId="0">
      <sharedItems containsString="0" containsBlank="1" containsNumber="1" minValue="106.3" maxValue="223.4"/>
    </cacheField>
    <cacheField name="Egg" numFmtId="0">
      <sharedItems containsString="0" containsBlank="1" containsNumber="1" minValue="102.7" maxValue="197"/>
    </cacheField>
    <cacheField name="Milk and products" numFmtId="0">
      <sharedItems containsString="0" containsBlank="1" containsNumber="1" minValue="103.6" maxValue="179.6"/>
    </cacheField>
    <cacheField name="Oils and fats" numFmtId="0">
      <sharedItems containsString="0" containsBlank="1" containsNumber="1" minValue="101.1" maxValue="209.9"/>
    </cacheField>
    <cacheField name="Fruits" numFmtId="0">
      <sharedItems containsString="0" containsBlank="1" containsNumber="1" minValue="102.3" maxValue="179.5"/>
    </cacheField>
    <cacheField name="Vegetables" numFmtId="0">
      <sharedItems containsString="0" containsBlank="1" containsNumber="1" minValue="101.4" maxValue="245.3"/>
    </cacheField>
    <cacheField name="Pulses and products" numFmtId="0">
      <sharedItems containsString="0" containsBlank="1" containsNumber="1" minValue="103.5" maxValue="191.6"/>
    </cacheField>
    <cacheField name="Sugar and Confectionery" numFmtId="0">
      <sharedItems containsString="0" containsBlank="1" containsNumber="1" minValue="85.3" maxValue="124.2"/>
    </cacheField>
    <cacheField name="Spices" numFmtId="0">
      <sharedItems containsString="0" containsBlank="1" containsNumber="1" minValue="101.8" maxValue="221"/>
    </cacheField>
    <cacheField name="Non-alcoholic beverages" numFmtId="0">
      <sharedItems containsString="0" containsBlank="1" containsNumber="1" minValue="104.8" maxValue="178.7"/>
    </cacheField>
    <cacheField name="Prepared meals, snacks, sweets etc." numFmtId="0">
      <sharedItems containsString="0" containsBlank="1" containsNumber="1" minValue="106.7" maxValue="197.7"/>
    </cacheField>
    <cacheField name="Food and beverages" numFmtId="0">
      <sharedItems containsString="0" containsBlank="1" containsNumber="1" minValue="105.5" maxValue="183.3"/>
    </cacheField>
    <cacheField name="Pan, tobacco and intoxicants" numFmtId="0">
      <sharedItems containsString="0" containsBlank="1" containsNumber="1" minValue="105.1" maxValue="204.2"/>
    </cacheField>
    <cacheField name="Clothing" numFmtId="0">
      <sharedItems containsString="0" containsBlank="1" containsNumber="1" minValue="105.9" maxValue="191.2"/>
    </cacheField>
    <cacheField name="Footwear" numFmtId="0">
      <sharedItems containsString="0" containsBlank="1" containsNumber="1" minValue="105" maxValue="187.9"/>
    </cacheField>
    <cacheField name="Clothing and footwear" numFmtId="0">
      <sharedItems containsString="0" containsBlank="1" containsNumber="1" minValue="105.8" maxValue="190.8"/>
    </cacheField>
    <cacheField name="Housing" numFmtId="0">
      <sharedItems containsString="0" containsBlank="1" containsNumber="1" minValue="0" maxValue="175.6"/>
    </cacheField>
    <cacheField name="Fuel and light" numFmtId="0">
      <sharedItems containsString="0" containsBlank="1" containsNumber="1" minValue="105.4" maxValue="183.4"/>
    </cacheField>
    <cacheField name="Household goods and services" numFmtId="0">
      <sharedItems containsString="0" containsBlank="1" containsNumber="1" minValue="104.8" maxValue="179.8"/>
    </cacheField>
    <cacheField name="Health" numFmtId="0">
      <sharedItems containsString="0" containsBlank="1" containsNumber="1" minValue="104" maxValue="187.8"/>
    </cacheField>
    <cacheField name="Transport and communication" numFmtId="0">
      <sharedItems containsString="0" containsBlank="1" containsNumber="1" minValue="103.2" maxValue="169.7"/>
    </cacheField>
    <cacheField name="Recreation and amusement" numFmtId="0">
      <sharedItems containsString="0" containsBlank="1" containsNumber="1" minValue="102.9" maxValue="173.8"/>
    </cacheField>
    <cacheField name="Education" numFmtId="0">
      <sharedItems containsString="0" containsBlank="1" containsNumber="1" minValue="103.5" maxValue="180.3"/>
    </cacheField>
    <cacheField name="Personal care and effects" numFmtId="0">
      <sharedItems containsString="0" containsBlank="1" containsNumber="1" minValue="102.1" maxValue="185.6"/>
    </cacheField>
    <cacheField name="Miscellaneous" numFmtId="0">
      <sharedItems containsString="0" containsBlank="1" containsNumber="1" minValue="103.7" maxValue="179.5"/>
    </cacheField>
    <cacheField name="General index" numFmtId="0">
      <sharedItems containsString="0" containsBlank="1" containsNumber="1" minValue="104" maxValue="179.8" count="285">
        <n v="105.1"/>
        <n v="104"/>
        <n v="104.6"/>
        <n v="105.8"/>
        <n v="104.7"/>
        <n v="105.3"/>
        <n v="106"/>
        <n v="105"/>
        <n v="105.5"/>
        <n v="106.4"/>
        <n v="105.7"/>
        <n v="106.1"/>
        <n v="107.2"/>
        <n v="106.6"/>
        <n v="106.9"/>
        <n v="108.9"/>
        <n v="109.7"/>
        <n v="109.3"/>
        <n v="110.7"/>
        <n v="111.4"/>
        <n v="111"/>
        <n v="112.1"/>
        <n v="112.7"/>
        <n v="112.4"/>
        <n v="114.2"/>
        <n v="113.2"/>
        <n v="113.7"/>
        <n v="115.5"/>
        <n v="114"/>
        <n v="114.8"/>
        <n v="117.4"/>
        <n v="115"/>
        <n v="116.3"/>
        <n v="113.3"/>
        <n v="114.5"/>
        <n v="112.9"/>
        <n v="113.6"/>
        <n v="113.1"/>
        <n v="114.6"/>
        <n v="115.4"/>
        <n v="114.7"/>
        <n v="115.1"/>
        <n v="116"/>
        <n v="115.6"/>
        <n v="115.8"/>
        <n v="117"/>
        <n v="116.4"/>
        <n v="116.7"/>
        <n v="119.5"/>
        <n v="118.9"/>
        <n v="119.2"/>
        <n v="120.7"/>
        <n v="119.9"/>
        <n v="120.3"/>
        <n v="120.9"/>
        <n v="120.1"/>
        <n v="121"/>
        <n v="119.1"/>
        <n v="121.1"/>
        <n v="119"/>
        <n v="118.4"/>
        <n v="119.4"/>
        <n v="118.5"/>
        <n v="120.6"/>
        <n v="118.7"/>
        <n v="119.7"/>
        <n v="120.2"/>
        <n v="121.5"/>
        <n v="122.4"/>
        <n v="121.6"/>
        <n v="124.1"/>
        <n v="121.7"/>
        <n v="123"/>
        <n v="124.7"/>
        <n v="123.6"/>
        <n v="126.1"/>
        <n v="123.2"/>
        <n v="124.8"/>
        <n v="127"/>
        <n v="123.5"/>
        <n v="125.4"/>
        <n v="127.7"/>
        <n v="124.2"/>
        <n v="128.30000000000001"/>
        <n v="124.6"/>
        <n v="126.6"/>
        <n v="127.9"/>
        <n v="124"/>
        <n v="128.1"/>
        <n v="126.3"/>
        <n v="123.8"/>
        <n v="126"/>
        <n v="128"/>
        <n v="129"/>
        <n v="125.3"/>
        <n v="127.3"/>
        <n v="130.30000000000001"/>
        <n v="128.6"/>
        <n v="131.9"/>
        <n v="130.1"/>
        <n v="133"/>
        <n v="131.1"/>
        <n v="133.5"/>
        <n v="128.4"/>
        <n v="133.4"/>
        <n v="130.9"/>
        <n v="133.80000000000001"/>
        <n v="131.4"/>
        <n v="133.6"/>
        <n v="128.5"/>
        <n v="131.19999999999999"/>
        <n v="132.80000000000001"/>
        <n v="127.6"/>
        <n v="130.4"/>
        <n v="132.4"/>
        <n v="127.8"/>
        <n v="132.6"/>
        <n v="128.19999999999999"/>
        <n v="130.6"/>
        <n v="128.69999999999999"/>
        <n v="132.9"/>
        <n v="129.1"/>
        <n v="133.30000000000001"/>
        <n v="129.30000000000001"/>
        <n v="133.9"/>
        <n v="129.9"/>
        <n v="132"/>
        <n v="136.19999999999999"/>
        <n v="131.80000000000001"/>
        <n v="134.19999999999999"/>
        <n v="137.80000000000001"/>
        <n v="132.69999999999999"/>
        <n v="135.4"/>
        <n v="137.6"/>
        <n v="135.19999999999999"/>
        <n v="138.30000000000001"/>
        <n v="136.1"/>
        <n v="140"/>
        <n v="134.80000000000001"/>
        <n v="139.80000000000001"/>
        <n v="134.1"/>
        <n v="137.19999999999999"/>
        <n v="139.30000000000001"/>
        <n v="136.9"/>
        <n v="138.5"/>
        <n v="134"/>
        <n v="136.4"/>
        <n v="138.69999999999999"/>
        <n v="136.5"/>
        <n v="139.1"/>
        <n v="137.1"/>
        <n v="140.5"/>
        <n v="141.80000000000001"/>
        <n v="137.5"/>
        <n v="142.5"/>
        <n v="138"/>
        <n v="140.4"/>
        <n v="142.1"/>
        <n v="138.1"/>
        <n v="140.19999999999999"/>
        <n v="142.19999999999999"/>
        <n v="138.9"/>
        <n v="140.80000000000001"/>
        <n v="142.4"/>
        <n v="139"/>
        <n v="141.9"/>
        <n v="140.1"/>
        <n v="141"/>
        <n v="139.6"/>
        <n v="138.6"/>
        <n v="139.9"/>
        <n v="141.19999999999999"/>
        <n v="139.5"/>
        <n v="141.5"/>
        <n v="142"/>
        <n v="143.6"/>
        <n v="142.9"/>
        <n v="144.9"/>
        <n v="143.30000000000001"/>
        <n v="144.19999999999999"/>
        <n v="145.69999999999999"/>
        <n v="145"/>
        <n v="146.69999999999999"/>
        <n v="144.69999999999999"/>
        <n v="145.80000000000001"/>
        <n v="148.30000000000001"/>
        <n v="146"/>
        <n v="147.19999999999999"/>
        <n v="149.9"/>
        <n v="147"/>
        <n v="148.6"/>
        <n v="152.30000000000001"/>
        <n v="150.4"/>
        <n v="151.9"/>
        <n v="148.19999999999999"/>
        <n v="150.19999999999999"/>
        <n v="147.69999999999999"/>
        <n v="149.1"/>
        <n v="149.80000000000001"/>
        <n v="147.30000000000001"/>
        <n v="152.69999999999999"/>
        <n v="150.80000000000001"/>
        <n v="151.80000000000001"/>
        <n v="154.69999999999999"/>
        <n v="152.9"/>
        <n v="153.9"/>
        <n v="155.4"/>
        <n v="154"/>
        <n v="157.5"/>
        <n v="155.19999999999999"/>
        <n v="156.4"/>
        <n v="159.80000000000001"/>
        <n v="156.69999999999999"/>
        <n v="158.4"/>
        <n v="160.69999999999999"/>
        <n v="156.9"/>
        <n v="158.9"/>
        <n v="158.5"/>
        <n v="156"/>
        <n v="157.30000000000001"/>
        <n v="156.5"/>
        <n v="156.6"/>
        <n v="156.80000000000001"/>
        <n v="157.6"/>
        <n v="158"/>
        <n v="157.80000000000001"/>
        <n v="161.1"/>
        <n v="159.5"/>
        <n v="160.4"/>
        <n v="162.1"/>
        <n v="161.30000000000001"/>
        <n v="163.19999999999999"/>
        <n v="161.80000000000001"/>
        <n v="162.5"/>
        <n v="163.6"/>
        <n v="162.30000000000001"/>
        <n v="164"/>
        <n v="166.3"/>
        <n v="164.6"/>
        <n v="165.5"/>
        <n v="167.6"/>
        <n v="165.6"/>
        <n v="166.7"/>
        <n v="167"/>
        <n v="165.2"/>
        <n v="166.2"/>
        <n v="166.4"/>
        <n v="165"/>
        <n v="165.7"/>
        <n v="166.1"/>
        <n v="168.7"/>
        <n v="166.5"/>
        <n v="167.7"/>
        <n v="170.8"/>
        <n v="169.2"/>
        <n v="170.1"/>
        <n v="172.5"/>
        <n v="171.7"/>
        <n v="173.6"/>
        <n v="171.4"/>
        <n v="172.6"/>
        <n v="174.3"/>
        <n v="172.3"/>
        <n v="173.4"/>
        <n v="175.3"/>
        <n v="173.1"/>
        <n v="176.4"/>
        <n v="174.1"/>
        <n v="177.9"/>
        <n v="176.7"/>
        <n v="177.8"/>
        <n v="176.5"/>
        <n v="177.1"/>
        <n v="175.7"/>
        <n v="174.9"/>
        <n v="178"/>
        <n v="176.3"/>
        <n v="177.2"/>
        <n v="178.8"/>
        <n v="177.4"/>
        <n v="178.1"/>
        <n v="179.8"/>
        <n v="178.2"/>
        <n v="179.1"/>
        <m/>
      </sharedItems>
    </cacheField>
    <cacheField name="Food &amp; related exps" numFmtId="0">
      <sharedItems containsString="0" containsBlank="1" containsNumber="1" minValue="1476.7999999999997" maxValue="2539.2999999999997" count="361">
        <n v="1476.7999999999997"/>
        <n v="1481.6000000000001"/>
        <n v="1478.4"/>
        <n v="1485.9999999999998"/>
        <n v="1496.6000000000001"/>
        <n v="1489.9"/>
        <n v="1488.7"/>
        <n v="1493.6"/>
        <n v="1490.6000000000001"/>
        <n v="1492.8999999999999"/>
        <n v="1506.1999999999998"/>
        <n v="1497.7"/>
        <n v="1502.1"/>
        <n v="1526.9999999999998"/>
        <n v="1510.7999999999997"/>
        <n v="1529"/>
        <n v="1575.5000000000002"/>
        <n v="1545.5"/>
        <n v="1555.6999999999996"/>
        <n v="1601.1000000000001"/>
        <n v="1571.6999999999998"/>
        <n v="1573.2"/>
        <n v="1618.5000000000002"/>
        <n v="1588.6000000000001"/>
        <n v="1600.2000000000003"/>
        <n v="1613.3000000000002"/>
        <n v="1603.6999999999998"/>
        <n v="1620.2"/>
        <n v="1630.6999999999998"/>
        <n v="1622.7000000000003"/>
        <n v="1649.6"/>
        <n v="1658.6999999999998"/>
        <n v="1651.8999999999999"/>
        <n v="1622.6"/>
        <n v="1619.4"/>
        <n v="1621.3000000000002"/>
        <n v="1600.6000000000001"/>
        <n v="1600"/>
        <n v="1600.2999999999997"/>
        <n v="1596.4"/>
        <n v="1592.2"/>
        <n v="1594.8"/>
        <n v="1606"/>
        <n v="1599.7"/>
        <n v="1603.4999999999998"/>
        <n v="1619.5000000000002"/>
        <n v="1621.6000000000001"/>
        <n v="1620.1"/>
        <n v="1630.1999999999998"/>
        <n v="1643.6000000000001"/>
        <n v="1635.3000000000004"/>
        <n v="1642.9999999999998"/>
        <n v="1666"/>
        <n v="1651.5000000000002"/>
        <n v="1681.2"/>
        <n v="1720.5"/>
        <n v="1695.1"/>
        <n v="1701.0999999999997"/>
        <n v="1740"/>
        <n v="1714.3999999999999"/>
        <n v="1702.7"/>
        <n v="1718.0000000000002"/>
        <n v="1706.8999999999996"/>
        <n v="1701.1999999999998"/>
        <n v="1711.8"/>
        <n v="1703.8"/>
        <n v="1702.8"/>
        <n v="1713.6"/>
        <n v="1705.3"/>
        <n v="1691.3"/>
        <n v="1703.6"/>
        <n v="1694.6999999999998"/>
        <n v="1690.8"/>
        <n v="1702.3"/>
        <n v="1693.3"/>
        <n v="1694.7999999999997"/>
        <n v="1699.2"/>
        <n v="1694.5999999999997"/>
        <n v="1696.2"/>
        <n v="1696.8000000000002"/>
        <n v="1694.8999999999999"/>
        <n v="1702.9"/>
        <n v="1706.1999999999998"/>
        <n v="1702.6000000000001"/>
        <n v="1714.4"/>
        <n v="1730.2"/>
        <n v="1718.3000000000002"/>
        <n v="1746.1"/>
        <n v="1768.6999999999998"/>
        <n v="1752.7"/>
        <n v="1754.7"/>
        <n v="1775.9999999999998"/>
        <n v="1761.0000000000002"/>
        <n v="1776.6999999999998"/>
        <n v="1793.1"/>
        <n v="1780.8"/>
        <n v="1788.6000000000001"/>
        <n v="1799.5"/>
        <n v="1790.3000000000002"/>
        <n v="1806.1"/>
        <n v="1828.1000000000001"/>
        <n v="1811.4999999999998"/>
        <n v="1818.5"/>
        <n v="1846.0999999999997"/>
        <n v="1825.6999999999998"/>
        <n v="1815.4"/>
        <n v="1837"/>
        <n v="1820.6000000000001"/>
        <n v="1823.7"/>
        <n v="1840.9"/>
        <n v="1826.9"/>
        <n v="1817"/>
        <n v="1816.1"/>
        <n v="1814"/>
        <n v="1817.7000000000003"/>
        <n v="1808.2"/>
        <n v="1811.7"/>
        <n v="1837.1000000000004"/>
        <n v="1847.8"/>
        <n v="1838.3999999999999"/>
        <n v="1859.6999999999998"/>
        <n v="1888.9999999999998"/>
        <n v="1868.1000000000001"/>
        <n v="1885.8"/>
        <n v="1929.7000000000003"/>
        <n v="1899.3"/>
        <n v="1908.2999999999997"/>
        <n v="1954.4000000000003"/>
        <n v="1922.8"/>
        <n v="1916.3999999999999"/>
        <n v="1927.5999999999995"/>
        <n v="1918.1000000000001"/>
        <n v="1910.6000000000001"/>
        <n v="1900.2999999999997"/>
        <n v="1904.6999999999998"/>
        <n v="1912.7000000000003"/>
        <n v="1907.1999999999998"/>
        <n v="1908.5999999999995"/>
        <n v="1905.8"/>
        <n v="1899.5"/>
        <n v="1901.8"/>
        <n v="1891.5"/>
        <n v="1874.8"/>
        <n v="1883.8"/>
        <n v="1880.4"/>
        <n v="1858.8"/>
        <n v="1871.0999999999995"/>
        <n v="1878.2000000000003"/>
        <n v="1851.6000000000001"/>
        <n v="1866.7000000000003"/>
        <n v="1872.7000000000003"/>
        <n v="1853.1999999999998"/>
        <n v="1864"/>
        <n v="1870.7"/>
        <n v="1856.1"/>
        <n v="1863.8000000000002"/>
        <n v="1872.9999999999995"/>
        <n v="1857.8999999999999"/>
        <n v="1865.8000000000002"/>
        <n v="1884.6000000000001"/>
        <n v="1879.6000000000001"/>
        <n v="1881.2"/>
        <n v="1920.3000000000002"/>
        <n v="1918.6"/>
        <n v="1917.6"/>
        <n v="1941.4999999999998"/>
        <n v="1925.0999999999997"/>
        <n v="1933.6"/>
        <n v="1934.1"/>
        <n v="1903.3"/>
        <n v="1920.7999999999997"/>
        <n v="1941.3999999999999"/>
        <n v="1920.2999999999997"/>
        <n v="1931.2999999999997"/>
        <n v="1969.8000000000002"/>
        <n v="1952.9"/>
        <n v="1961.4"/>
        <n v="1966.8000000000002"/>
        <n v="1924.5"/>
        <n v="1949.1999999999998"/>
        <n v="1954.3"/>
        <n v="1906.0000000000002"/>
        <n v="1934.6000000000001"/>
        <n v="1934.8"/>
        <n v="1887.2"/>
        <n v="1915.2999999999997"/>
        <n v="1937.0999999999997"/>
        <n v="1875.2"/>
        <n v="1912.3"/>
        <n v="1936.1"/>
        <n v="1879.2000000000003"/>
        <n v="1914.0000000000002"/>
        <n v="1939.4"/>
        <n v="1883.1999999999998"/>
        <n v="1917.7"/>
        <n v="1947.5999999999997"/>
        <n v="1908.3000000000002"/>
        <n v="1932.4"/>
        <n v="1966.6000000000001"/>
        <n v="1932.5"/>
        <n v="1952.8"/>
        <n v="1975.2"/>
        <n v="1929.6999999999998"/>
        <n v="1956.6000000000004"/>
        <n v="1957.5000000000002"/>
        <n v="1911.7"/>
        <n v="1938.7"/>
        <n v="1941.8"/>
        <n v="1918.1"/>
        <n v="1938.8"/>
        <n v="1949.3999999999996"/>
        <n v="1921.8999999999999"/>
        <n v="1938.3000000000002"/>
        <n v="1935.5000000000002"/>
        <n v="1911.1999999999998"/>
        <n v="1925.7999999999997"/>
        <n v="1922.3000000000002"/>
        <n v="1909.0000000000002"/>
        <n v="1916.6"/>
        <n v="1922.6000000000001"/>
        <n v="1919.3000000000002"/>
        <n v="1920.5"/>
        <n v="1924.1000000000004"/>
        <n v="1933.7"/>
        <n v="1926.4"/>
        <n v="1945.4"/>
        <n v="1977.7000000000003"/>
        <n v="1956.0000000000002"/>
        <n v="1968.3999999999999"/>
        <n v="1999.9999999999998"/>
        <n v="1979.0000000000002"/>
        <n v="1991.3999999999999"/>
        <n v="2024.6"/>
        <n v="2002.7"/>
        <n v="1999.6000000000001"/>
        <n v="2037"/>
        <n v="2012.3"/>
        <n v="2014.4"/>
        <n v="2043.5"/>
        <n v="2024.1999999999998"/>
        <n v="2043.1999999999996"/>
        <n v="2071.9"/>
        <n v="2052.6999999999998"/>
        <n v="2071.8000000000002"/>
        <n v="2093.8999999999996"/>
        <n v="2078.8000000000002"/>
        <n v="2108.7999999999997"/>
        <n v="2127.1"/>
        <n v="2114.6000000000004"/>
        <n v="2107.1999999999998"/>
        <n v="2116.1999999999998"/>
        <n v="2109.6"/>
        <n v="2079.1999999999998"/>
        <n v="2088.6"/>
        <n v="2081.6999999999998"/>
        <n v="2065.0999999999995"/>
        <n v="2066.6"/>
        <n v="2112.1000000000004"/>
        <n v="2136.6"/>
        <n v="2120.5"/>
        <n v="2133.4"/>
        <n v="2181.6999999999998"/>
        <n v="2150.3000000000002"/>
        <n v="2159.5"/>
        <n v="2212.1"/>
        <n v="2177.7999999999997"/>
        <n v="2170.2999999999997"/>
        <n v="2230.3000000000002"/>
        <n v="2191.4"/>
        <n v="2213.6"/>
        <n v="2268.8999999999996"/>
        <n v="2232.9000000000005"/>
        <n v="2265.8000000000002"/>
        <n v="2309.5"/>
        <n v="2280.4"/>
        <n v="2284.1"/>
        <n v="2315.6"/>
        <n v="2294.5"/>
        <n v="2250.2999999999997"/>
        <n v="2288.8000000000002"/>
        <n v="2263"/>
        <n v="2211.8000000000002"/>
        <n v="2259.3000000000002"/>
        <n v="2227.6000000000004"/>
        <n v="2257.9999999999995"/>
        <n v="2227.5"/>
        <n v="2236.3000000000002"/>
        <n v="2284"/>
        <n v="2252.9"/>
        <n v="2284.8999999999996"/>
        <n v="2322.9"/>
        <n v="2297.6000000000004"/>
        <n v="2311.6999999999998"/>
        <n v="2349.7999999999997"/>
        <n v="2324.7000000000003"/>
        <n v="2322.1"/>
        <n v="2367.3000000000002"/>
        <n v="2338.1999999999998"/>
        <n v="2321"/>
        <n v="2354.4"/>
        <n v="2334.1"/>
        <n v="2324.1"/>
        <n v="2355.3999999999996"/>
        <n v="2395.4000000000005"/>
        <n v="2368.1999999999998"/>
        <n v="2373.4"/>
        <n v="2414.8999999999996"/>
        <n v="2387"/>
        <n v="2359"/>
        <n v="2403.1000000000004"/>
        <n v="2373.3000000000002"/>
        <n v="2343.6999999999998"/>
        <n v="2383.1"/>
        <n v="2356.3999999999996"/>
        <n v="2341.9"/>
        <n v="2380"/>
        <n v="2354.0000000000005"/>
        <n v="2371.4000000000005"/>
        <n v="2393.8000000000002"/>
        <n v="2377.9"/>
        <n v="2399.4"/>
        <n v="2427.5"/>
        <n v="2408.2000000000003"/>
        <n v="2419.7000000000003"/>
        <n v="2459.7000000000003"/>
        <n v="2433.0000000000005"/>
        <n v="2441.2000000000003"/>
        <n v="2485.8000000000002"/>
        <n v="2456.2000000000003"/>
        <n v="2445.6999999999998"/>
        <n v="2490.1999999999998"/>
        <n v="2460.9"/>
        <n v="2449.4999999999995"/>
        <n v="2492.3999999999996"/>
        <n v="2464.2000000000003"/>
        <n v="2462.3000000000002"/>
        <n v="2506.1"/>
        <n v="2476.8000000000002"/>
        <n v="2479.4"/>
        <n v="2522.4"/>
        <n v="2493.6000000000004"/>
        <n v="2483.1999999999998"/>
        <n v="2515"/>
        <n v="2493.7000000000003"/>
        <n v="2473"/>
        <n v="2496.8999999999996"/>
        <n v="2480.7000000000003"/>
        <n v="2480.1000000000004"/>
        <n v="2511.8000000000002"/>
        <n v="2490.8999999999996"/>
        <n v="2464"/>
        <n v="2505.8999999999996"/>
        <n v="2478.6"/>
        <n v="2478.6999999999998"/>
        <n v="2473.6999999999998"/>
        <n v="2521.2000000000003"/>
        <n v="2490.2000000000003"/>
        <n v="2490.6000000000008"/>
        <n v="2539.2999999999997"/>
        <n v="2507.9"/>
        <m/>
      </sharedItems>
    </cacheField>
    <cacheField name="Personal Exps" numFmtId="0">
      <sharedItems containsString="0" containsBlank="1" containsNumber="1" minValue="421" maxValue="754.80000000000007" count="353">
        <n v="423.40000000000003"/>
        <n v="421"/>
        <n v="422.5"/>
        <n v="425"/>
        <n v="422.8"/>
        <n v="424.2"/>
        <n v="426.2"/>
        <n v="424.4"/>
        <n v="425.5"/>
        <n v="425.2"/>
        <n v="425.79999999999995"/>
        <n v="427.4"/>
        <n v="426.1"/>
        <n v="426.90000000000003"/>
        <n v="430.5"/>
        <n v="428.6"/>
        <n v="429.7"/>
        <n v="432.8"/>
        <n v="430.3"/>
        <n v="431.8"/>
        <n v="437.6"/>
        <n v="435.09999999999997"/>
        <n v="436.5"/>
        <n v="443.3"/>
        <n v="438.4"/>
        <n v="441.3"/>
        <n v="446.79999999999995"/>
        <n v="441.5"/>
        <n v="444.6"/>
        <n v="450.3"/>
        <n v="444.70000000000005"/>
        <n v="448"/>
        <n v="453.4"/>
        <n v="446.5"/>
        <n v="450.6"/>
        <n v="455.5"/>
        <n v="448.4"/>
        <n v="452.59999999999997"/>
        <n v="457"/>
        <n v="450.4"/>
        <n v="454.3"/>
        <n v="458.5"/>
        <n v="452.29999999999995"/>
        <n v="455.9"/>
        <n v="460.9"/>
        <n v="453.6"/>
        <n v="458"/>
        <n v="462.9"/>
        <n v="455.2"/>
        <n v="459.9"/>
        <n v="464.3"/>
        <n v="456"/>
        <n v="461"/>
        <n v="468.1"/>
        <n v="458.7"/>
        <n v="464.2"/>
        <n v="469.79999999999995"/>
        <n v="461.1"/>
        <n v="466.29999999999995"/>
        <n v="471.29999999999995"/>
        <n v="462.1"/>
        <n v="467.5"/>
        <n v="474.6"/>
        <n v="463.5"/>
        <n v="470.20000000000005"/>
        <n v="475.50000000000006"/>
        <n v="464.79999999999995"/>
        <n v="471.20000000000005"/>
        <n v="477.1"/>
        <n v="466.9"/>
        <n v="473"/>
        <n v="480.2"/>
        <n v="468.70000000000005"/>
        <n v="475.59999999999997"/>
        <n v="483.90000000000003"/>
        <n v="470.09999999999997"/>
        <n v="478.4"/>
        <n v="485.2"/>
        <n v="470.8"/>
        <n v="479.4"/>
        <n v="487.29999999999995"/>
        <n v="472.40000000000003"/>
        <n v="481.3"/>
        <n v="490.5"/>
        <n v="473.79999999999995"/>
        <n v="483.7"/>
        <n v="494.5"/>
        <n v="475.6"/>
        <n v="486.90000000000003"/>
        <n v="495.3"/>
        <n v="475.8"/>
        <n v="487.40000000000003"/>
        <n v="497.3"/>
        <n v="476.8"/>
        <n v="489.00000000000006"/>
        <n v="500.8"/>
        <n v="478.70000000000005"/>
        <n v="491.9"/>
        <n v="503.2"/>
        <n v="480.29999999999995"/>
        <n v="494"/>
        <n v="505.99999999999994"/>
        <n v="481.8"/>
        <n v="496.2"/>
        <n v="507"/>
        <n v="482.59999999999997"/>
        <n v="497.2"/>
        <n v="509.6"/>
        <n v="484.5"/>
        <n v="499.4"/>
        <n v="513.9"/>
        <n v="487.8"/>
        <n v="503.5"/>
        <n v="515.80000000000007"/>
        <n v="489.29999999999995"/>
        <n v="505.2"/>
        <n v="518.4"/>
        <n v="490.70000000000005"/>
        <n v="507.30000000000007"/>
        <n v="521"/>
        <n v="492.6"/>
        <n v="509.59999999999997"/>
        <n v="523.4"/>
        <n v="494.09999999999997"/>
        <n v="511.5"/>
        <n v="526.79999999999995"/>
        <n v="495.9"/>
        <n v="514.29999999999995"/>
        <n v="529.9"/>
        <n v="497.9"/>
        <n v="517"/>
        <n v="532.6"/>
        <n v="499.2"/>
        <n v="519.1"/>
        <n v="535.70000000000005"/>
        <n v="499.8"/>
        <n v="521.20000000000005"/>
        <n v="537.09999999999991"/>
        <n v="501.5"/>
        <n v="522.70000000000005"/>
        <n v="537.20000000000005"/>
        <n v="500.9"/>
        <n v="522.6"/>
        <n v="538.79999999999995"/>
        <n v="502.4"/>
        <n v="524.1"/>
        <n v="540.1"/>
        <n v="504"/>
        <n v="525.6"/>
        <n v="541.9"/>
        <n v="504.90000000000003"/>
        <n v="526.9"/>
        <n v="544.50000000000011"/>
        <n v="506.4"/>
        <n v="529.20000000000005"/>
        <n v="545.30000000000007"/>
        <n v="506.9"/>
        <n v="529.79999999999995"/>
        <n v="547.19999999999993"/>
        <n v="507.4"/>
        <n v="531.1"/>
        <n v="550.29999999999995"/>
        <n v="508.1"/>
        <n v="533.29999999999995"/>
        <n v="554.4"/>
        <n v="511.7"/>
        <n v="537.1"/>
        <n v="557.69999999999993"/>
        <n v="540.20000000000005"/>
        <n v="561.4"/>
        <n v="516.1"/>
        <n v="543.1"/>
        <n v="565.1"/>
        <n v="518.79999999999995"/>
        <n v="546.4"/>
        <n v="564.9"/>
        <n v="519.79999999999995"/>
        <n v="546.70000000000005"/>
        <n v="566.70000000000005"/>
        <n v="521.79999999999995"/>
        <n v="548.6"/>
        <n v="567.70000000000005"/>
        <n v="523.29999999999995"/>
        <n v="549.70000000000005"/>
        <n v="569.79999999999995"/>
        <n v="525.29999999999995"/>
        <n v="551.79999999999995"/>
        <n v="572.9"/>
        <n v="529"/>
        <n v="555.20000000000005"/>
        <n v="575.9"/>
        <n v="531.6"/>
        <n v="558"/>
        <n v="577.70000000000005"/>
        <n v="533.20000000000005"/>
        <n v="559.79999999999995"/>
        <n v="578.6"/>
        <n v="534.59999999999991"/>
        <n v="560.90000000000009"/>
        <n v="580.5"/>
        <n v="535.6"/>
        <n v="562.30000000000007"/>
        <n v="581.5"/>
        <n v="538.5"/>
        <n v="564.19999999999993"/>
        <n v="579.4"/>
        <n v="541.4"/>
        <n v="566"/>
        <n v="581.1"/>
        <n v="543.6"/>
        <n v="565.79999999999995"/>
        <n v="544.6"/>
        <n v="566.5"/>
        <n v="579.1"/>
        <n v="546.20000000000005"/>
        <n v="581.4"/>
        <n v="548.5"/>
        <n v="568"/>
        <n v="581"/>
        <n v="548.79999999999995"/>
        <n v="567.9"/>
        <n v="582.5"/>
        <n v="550.5"/>
        <n v="569.5"/>
        <n v="583.4"/>
        <n v="552.09999999999991"/>
        <n v="570.70000000000005"/>
        <n v="585.20000000000005"/>
        <n v="572.70000000000005"/>
        <n v="588.29999999999995"/>
        <n v="576"/>
        <n v="589.5"/>
        <n v="577.39999999999986"/>
        <n v="589.70000000000005"/>
        <n v="561.70000000000005"/>
        <n v="578.40000000000009"/>
        <n v="591.4"/>
        <n v="562.9"/>
        <n v="579.79999999999995"/>
        <n v="592.4"/>
        <n v="564.40000000000009"/>
        <n v="594.80000000000007"/>
        <n v="567.20000000000005"/>
        <n v="583.5"/>
        <n v="596.20000000000005"/>
        <n v="585.4"/>
        <n v="598.6"/>
        <n v="572.40000000000009"/>
        <n v="588.1"/>
        <n v="610"/>
        <n v="585.09999999999991"/>
        <n v="599.9"/>
        <n v="612.29999999999995"/>
        <n v="588.20000000000005"/>
        <n v="602.5"/>
        <n v="617.29999999999995"/>
        <n v="594.40000000000009"/>
        <n v="608.1"/>
        <n v="617.5"/>
        <n v="593"/>
        <n v="607.59999999999991"/>
        <n v="619"/>
        <n v="594.20000000000005"/>
        <n v="608.90000000000009"/>
        <n v="621.5"/>
        <n v="596.1"/>
        <n v="611.1"/>
        <n v="622.9"/>
        <n v="597.70000000000005"/>
        <n v="612.6"/>
        <n v="626.59999999999991"/>
        <n v="600.9"/>
        <n v="616.20000000000005"/>
        <n v="626"/>
        <n v="601.29999999999995"/>
        <n v="615.90000000000009"/>
        <n v="630.29999999999995"/>
        <n v="605.20000000000005"/>
        <n v="620"/>
        <n v="649.70000000000005"/>
        <n v="608.29999999999995"/>
        <n v="632.9"/>
        <n v="649.20000000000005"/>
        <n v="610.6"/>
        <n v="633.5"/>
        <n v="652.80000000000007"/>
        <n v="614.9"/>
        <n v="637.4"/>
        <n v="656.2"/>
        <n v="620.29999999999995"/>
        <n v="643"/>
        <n v="658.59999999999991"/>
        <n v="620.4"/>
        <n v="643.20000000000005"/>
        <n v="663.1"/>
        <n v="623.80000000000007"/>
        <n v="647.1"/>
        <n v="668.6"/>
        <n v="629.1"/>
        <n v="652.6"/>
        <n v="673.1"/>
        <n v="633.1"/>
        <n v="656.8"/>
        <n v="678.40000000000009"/>
        <n v="638.20000000000005"/>
        <n v="662.1"/>
        <n v="683.3"/>
        <n v="643.70000000000005"/>
        <n v="667.2"/>
        <n v="691.1"/>
        <n v="651.40000000000009"/>
        <n v="675"/>
        <n v="698.7"/>
        <n v="657.6"/>
        <n v="682"/>
        <n v="704"/>
        <n v="661.9"/>
        <n v="687"/>
        <n v="709.3"/>
        <n v="667.59999999999991"/>
        <n v="692.4"/>
        <n v="713.7"/>
        <n v="671.8"/>
        <n v="696.60000000000014"/>
        <n v="719"/>
        <n v="676.69999999999993"/>
        <n v="701.90000000000009"/>
        <n v="723.3"/>
        <n v="680.8"/>
        <n v="706"/>
        <n v="728.4"/>
        <n v="684"/>
        <n v="710.30000000000007"/>
        <n v="732.69999999999993"/>
        <n v="688.7"/>
        <n v="715"/>
        <n v="737.5"/>
        <n v="693.9"/>
        <n v="719.8"/>
        <n v="742.3"/>
        <n v="699.40000000000009"/>
        <n v="724.9"/>
        <n v="747.3"/>
        <n v="706.9"/>
        <n v="731"/>
        <n v="730.9"/>
        <n v="752"/>
        <n v="712"/>
        <n v="735.8"/>
        <n v="754.80000000000007"/>
        <n v="714.30000000000007"/>
        <n v="738.40000000000009"/>
        <m/>
      </sharedItems>
    </cacheField>
    <cacheField name="Housing &amp; Transport related exps" numFmtId="0">
      <sharedItems containsString="0" containsBlank="1" containsNumber="1" minValue="313.60000000000002" maxValue="698.39999999999986" count="358">
        <n v="313.60000000000002"/>
        <n v="413.7"/>
        <n v="413.8"/>
        <n v="315.3"/>
        <n v="415.70000000000005"/>
        <n v="415.8"/>
        <n v="316.29999999999995"/>
        <n v="417.6"/>
        <n v="417.20000000000005"/>
        <n v="317"/>
        <n v="418.4"/>
        <n v="418"/>
        <n v="318.39999999999998"/>
        <n v="418.69999999999993"/>
        <n v="418.8"/>
        <n v="321"/>
        <n v="427.5"/>
        <n v="427.6"/>
        <n v="324.60000000000002"/>
        <n v="431.7"/>
        <n v="432.20000000000005"/>
        <n v="326.40000000000003"/>
        <n v="435"/>
        <n v="435.3"/>
        <n v="330"/>
        <n v="439.19999999999993"/>
        <n v="439.69999999999993"/>
        <n v="331.3"/>
        <n v="440.09999999999997"/>
        <n v="441.2"/>
        <n v="333.5"/>
        <n v="441.5"/>
        <n v="443.29999999999995"/>
        <n v="334.79999999999995"/>
        <n v="442.1"/>
        <n v="444.1"/>
        <n v="336.1"/>
        <n v="445.3"/>
        <n v="446.8"/>
        <n v="336.90000000000003"/>
        <n v="447.5"/>
        <n v="448.79999999999995"/>
        <n v="338"/>
        <n v="448.70000000000005"/>
        <n v="450.29999999999995"/>
        <n v="338.3"/>
        <n v="449.40000000000003"/>
        <n v="451.2"/>
        <n v="338.9"/>
        <n v="450.8"/>
        <n v="452.2"/>
        <n v="341.5"/>
        <n v="450.90000000000003"/>
        <n v="453.50000000000006"/>
        <n v="343.9"/>
        <n v="454.29999999999995"/>
        <n v="457"/>
        <n v="344.5"/>
        <n v="455.1"/>
        <n v="457.90000000000003"/>
        <n v="345.3"/>
        <n v="454.59999999999997"/>
        <n v="458.5"/>
        <n v="346.5"/>
        <n v="455.5"/>
        <n v="459.90000000000003"/>
        <n v="347.4"/>
        <n v="455.8"/>
        <n v="460.7"/>
        <n v="347.1"/>
        <n v="459.79999999999995"/>
        <n v="348.3"/>
        <n v="455.79999999999995"/>
        <n v="461.29999999999995"/>
        <n v="350.5"/>
        <n v="456.6"/>
        <n v="463.2"/>
        <n v="352.4"/>
        <n v="459.4"/>
        <n v="466"/>
        <n v="354"/>
        <n v="460.70000000000005"/>
        <n v="467.70000000000005"/>
        <n v="356.7"/>
        <n v="464"/>
        <n v="471"/>
        <n v="359.59999999999997"/>
        <n v="465"/>
        <n v="472.79999999999995"/>
        <n v="360.1"/>
        <n v="466.2"/>
        <n v="474"/>
        <n v="361.1"/>
        <n v="466.1"/>
        <n v="475.2"/>
        <n v="362"/>
        <n v="466.20000000000005"/>
        <n v="475.90000000000003"/>
        <n v="363.3"/>
        <n v="467.3"/>
        <n v="477.6"/>
        <n v="365.2"/>
        <n v="468.3"/>
        <n v="479.4"/>
        <n v="365.7"/>
        <n v="468.7"/>
        <n v="479.5"/>
        <n v="366.4"/>
        <n v="470.79999999999995"/>
        <n v="481.4"/>
        <n v="368.5"/>
        <n v="471.29999999999995"/>
        <n v="483.5"/>
        <n v="368.29999999999995"/>
        <n v="470.5"/>
        <n v="483.29999999999995"/>
        <n v="369.4"/>
        <n v="473"/>
        <n v="485.5"/>
        <n v="371"/>
        <n v="474.9"/>
        <n v="487.5"/>
        <n v="373.6"/>
        <n v="476.5"/>
        <n v="489.40000000000003"/>
        <n v="374.6"/>
        <n v="477.09999999999997"/>
        <n v="490.6"/>
        <n v="375.7"/>
        <n v="476.29999999999995"/>
        <n v="491.4"/>
        <n v="377.79999999999995"/>
        <n v="478.8"/>
        <n v="494.2"/>
        <n v="379.40000000000003"/>
        <n v="481.2"/>
        <n v="496.59999999999997"/>
        <n v="380.59999999999997"/>
        <n v="483.4"/>
        <n v="498.4"/>
        <n v="383.5"/>
        <n v="485"/>
        <n v="500.29999999999995"/>
        <n v="384.4"/>
        <n v="487.9"/>
        <n v="502.79999999999995"/>
        <n v="386.29999999999995"/>
        <n v="490.5"/>
        <n v="505.5"/>
        <n v="388.09999999999997"/>
        <n v="493.1"/>
        <n v="507.9"/>
        <n v="388.5"/>
        <n v="493.40000000000003"/>
        <n v="508.5"/>
        <n v="389.29999999999995"/>
        <n v="493"/>
        <n v="509.09999999999997"/>
        <n v="389.4"/>
        <n v="491.1"/>
        <n v="507.90000000000003"/>
        <n v="390.5"/>
        <n v="492.7"/>
        <n v="509.9"/>
        <n v="394.00000000000006"/>
        <n v="495.6"/>
        <n v="514.30000000000007"/>
        <n v="396.5"/>
        <n v="500.09999999999997"/>
        <n v="518.29999999999995"/>
        <n v="397.5"/>
        <n v="503.2"/>
        <n v="520.9"/>
        <n v="402.1"/>
        <n v="508.40000000000003"/>
        <n v="526.59999999999991"/>
        <n v="404.1"/>
        <n v="510.5"/>
        <n v="528.9"/>
        <n v="404.8"/>
        <n v="513.5"/>
        <n v="531.19999999999993"/>
        <n v="405.6"/>
        <n v="515.9"/>
        <n v="533.4"/>
        <n v="407.1"/>
        <n v="517"/>
        <n v="535.1"/>
        <n v="410.00000000000006"/>
        <n v="518.20000000000005"/>
        <n v="537.9"/>
        <n v="412.5"/>
        <n v="520.19999999999993"/>
        <n v="540.4"/>
        <n v="414.69999999999993"/>
        <n v="522.5"/>
        <n v="542.20000000000005"/>
        <n v="417.4"/>
        <n v="525.4"/>
        <n v="545.5"/>
        <n v="419.8"/>
        <n v="529.5"/>
        <n v="549.19999999999993"/>
        <n v="422.9"/>
        <n v="533.9"/>
        <n v="553.29999999999995"/>
        <n v="428"/>
        <n v="538.1"/>
        <n v="559.90000000000009"/>
        <n v="428.6"/>
        <n v="540.6"/>
        <n v="559.70000000000005"/>
        <n v="427.4"/>
        <n v="556"/>
        <n v="424.9"/>
        <n v="554.09999999999991"/>
        <n v="424.59999999999997"/>
        <n v="531.40000000000009"/>
        <n v="554.5"/>
        <n v="426.29999999999995"/>
        <n v="534.5"/>
        <n v="557.1"/>
        <n v="426.59999999999997"/>
        <n v="536.79999999999995"/>
        <n v="559"/>
        <n v="427.59999999999997"/>
        <n v="536.9"/>
        <n v="535.9"/>
        <n v="559.69999999999993"/>
        <n v="536"/>
        <n v="560.4"/>
        <n v="428.80000000000007"/>
        <n v="538.29999999999995"/>
        <n v="562.1"/>
        <n v="429.99999999999994"/>
        <n v="542.09999999999991"/>
        <n v="564.9"/>
        <n v="431.4"/>
        <n v="546.5"/>
        <n v="567.70000000000005"/>
        <n v="436.1"/>
        <n v="551.4"/>
        <n v="572.1"/>
        <n v="438.40000000000003"/>
        <n v="555.20000000000005"/>
        <n v="575.6"/>
        <n v="440.1"/>
        <n v="559.30000000000007"/>
        <n v="578.70000000000005"/>
        <n v="440.7"/>
        <n v="561.29999999999995"/>
        <n v="579.69999999999993"/>
        <n v="435.7"/>
        <n v="558.1"/>
        <n v="576"/>
        <n v="438"/>
        <n v="561.5"/>
        <n v="578"/>
        <n v="441.30000000000007"/>
        <n v="572.20000000000005"/>
        <n v="585.4"/>
        <n v="442.6"/>
        <n v="574"/>
        <n v="587.5"/>
        <n v="445.20000000000005"/>
        <n v="574.1"/>
        <n v="588.9"/>
        <n v="446.4"/>
        <n v="575.59999999999991"/>
        <n v="591.20000000000005"/>
        <n v="448.5"/>
        <n v="577.29999999999995"/>
        <n v="593.4"/>
        <n v="452.3"/>
        <n v="583.20000000000005"/>
        <n v="597.5"/>
        <n v="459.40000000000003"/>
        <n v="595.9"/>
        <n v="608.20000000000005"/>
        <n v="462.1"/>
        <n v="603.6"/>
        <n v="612.79999999999995"/>
        <n v="606"/>
        <n v="615.4"/>
        <n v="473.7"/>
        <n v="612.20000000000005"/>
        <n v="624.6"/>
        <n v="475.49999999999994"/>
        <n v="613.90000000000009"/>
        <n v="625.79999999999995"/>
        <n v="479.9"/>
        <n v="619.4"/>
        <n v="631.1"/>
        <n v="481.7"/>
        <n v="626.4"/>
        <n v="636.20000000000005"/>
        <n v="482.8"/>
        <n v="626.70000000000005"/>
        <n v="487"/>
        <n v="632.29999999999995"/>
        <n v="641.89999999999986"/>
        <n v="487.1"/>
        <n v="632.19999999999993"/>
        <n v="642.20000000000005"/>
        <n v="489.6"/>
        <n v="632.90000000000009"/>
        <n v="643.4"/>
        <n v="491.50000000000006"/>
        <n v="635.6"/>
        <n v="646.29999999999995"/>
        <n v="494.3"/>
        <n v="639"/>
        <n v="649.9"/>
        <n v="497.4"/>
        <n v="642.59999999999991"/>
        <n v="653.20000000000005"/>
        <n v="507.2"/>
        <n v="656.6"/>
        <n v="665.8"/>
        <n v="511.30000000000007"/>
        <n v="661.5"/>
        <n v="670.3"/>
        <n v="512.5"/>
        <n v="661"/>
        <n v="670.30000000000007"/>
        <n v="517.20000000000005"/>
        <n v="667.8"/>
        <n v="676.4"/>
        <n v="518"/>
        <n v="669.3"/>
        <n v="678.19999999999993"/>
        <n v="671.90000000000009"/>
        <n v="680.8"/>
        <n v="522.6"/>
        <n v="676"/>
        <n v="685"/>
        <n v="524.9"/>
        <n v="677.9"/>
        <n v="687.5"/>
        <n v="527"/>
        <n v="677.99999999999989"/>
        <n v="688.19999999999993"/>
        <n v="528.59999999999991"/>
        <n v="679.7"/>
        <n v="690.6"/>
        <n v="529.20000000000005"/>
        <n v="685.3"/>
        <n v="694"/>
        <n v="529"/>
        <n v="685.09999999999991"/>
        <n v="693.8"/>
        <n v="530"/>
        <n v="687"/>
        <n v="696"/>
        <n v="532"/>
        <n v="689.5"/>
        <n v="698.39999999999986"/>
        <m/>
      </sharedItems>
    </cacheField>
    <cacheField name="Health, education, recreation, misc" numFmtId="0">
      <sharedItems containsString="0" containsBlank="1" containsNumber="1" minValue="414.2" maxValue="721.40000000000009" count="360">
        <n v="415.2"/>
        <n v="414.2"/>
        <n v="414.6"/>
        <n v="416.9"/>
        <n v="416"/>
        <n v="416.4"/>
        <n v="417.6"/>
        <n v="417.4"/>
        <n v="417.3"/>
        <n v="419"/>
        <n v="420"/>
        <n v="419.3"/>
        <n v="421"/>
        <n v="421.4"/>
        <n v="421.09999999999997"/>
        <n v="423.9"/>
        <n v="425.9"/>
        <n v="425.00000000000006"/>
        <n v="427.6"/>
        <n v="430.40000000000003"/>
        <n v="429.1"/>
        <n v="430.5"/>
        <n v="433.2"/>
        <n v="431.9"/>
        <n v="434.5"/>
        <n v="435.9"/>
        <n v="435.2"/>
        <n v="436.5"/>
        <n v="436.9"/>
        <n v="436.7"/>
        <n v="439.2"/>
        <n v="438"/>
        <n v="438.79999999999995"/>
        <n v="441"/>
        <n v="439.1"/>
        <n v="440.2"/>
        <n v="442.6"/>
        <n v="441.5"/>
        <n v="442.20000000000005"/>
        <n v="443.70000000000005"/>
        <n v="443.29999999999995"/>
        <n v="443.5"/>
        <n v="445.3"/>
        <n v="444.9"/>
        <n v="445.1"/>
        <n v="446.8"/>
        <n v="446.1"/>
        <n v="446.6"/>
        <n v="447.90000000000003"/>
        <n v="447.3"/>
        <n v="447.8"/>
        <n v="450.8"/>
        <n v="450.49999999999994"/>
        <n v="451"/>
        <n v="453.79999999999995"/>
        <n v="455.2"/>
        <n v="454.90000000000003"/>
        <n v="455.9"/>
        <n v="458.20000000000005"/>
        <n v="457.59999999999997"/>
        <n v="457.4"/>
        <n v="459.29999999999995"/>
        <n v="459.09999999999997"/>
        <n v="459.20000000000005"/>
        <n v="460.09999999999997"/>
        <n v="460.29999999999995"/>
        <n v="460.5"/>
        <n v="460.70000000000005"/>
        <n v="461.3"/>
        <n v="461.4"/>
        <n v="461.6"/>
        <n v="462.3"/>
        <n v="463.3"/>
        <n v="462.5"/>
        <n v="463.5"/>
        <n v="466.2"/>
        <n v="462.59999999999997"/>
        <n v="465"/>
        <n v="468.6"/>
        <n v="464.09999999999997"/>
        <n v="466.90000000000003"/>
        <n v="470.70000000000005"/>
        <n v="466.09999999999997"/>
        <n v="469.1"/>
        <n v="473.5"/>
        <n v="468.09999999999997"/>
        <n v="471.5"/>
        <n v="478.20000000000005"/>
        <n v="471.40000000000003"/>
        <n v="475.5"/>
        <n v="479.80000000000007"/>
        <n v="474.3"/>
        <n v="477.8"/>
        <n v="481.4"/>
        <n v="476.2"/>
        <n v="479.49999999999994"/>
        <n v="484.3"/>
        <n v="477.09999999999997"/>
        <n v="481.3"/>
        <n v="486.4"/>
        <n v="478.4"/>
        <n v="482.9"/>
        <n v="488.9"/>
        <n v="479.20000000000005"/>
        <n v="484.5"/>
        <n v="490.09999999999997"/>
        <n v="479.99999999999994"/>
        <n v="485.5"/>
        <n v="491.4"/>
        <n v="480.8"/>
        <n v="486.6"/>
        <n v="494.6"/>
        <n v="481.8"/>
        <n v="488.5"/>
        <n v="495.9"/>
        <n v="482.50000000000006"/>
        <n v="489.7"/>
        <n v="498"/>
        <n v="485.3"/>
        <n v="492"/>
        <n v="501"/>
        <n v="486.8"/>
        <n v="494.4"/>
        <n v="503.8"/>
        <n v="489.4"/>
        <n v="497"/>
        <n v="506.50000000000006"/>
        <n v="491.9"/>
        <n v="499.6"/>
        <n v="508.59999999999997"/>
        <n v="493.20000000000005"/>
        <n v="501.29999999999995"/>
        <n v="510.6"/>
        <n v="494.29999999999995"/>
        <n v="502.90000000000003"/>
        <n v="513.9"/>
        <n v="495.79999999999995"/>
        <n v="505.4"/>
        <n v="515.79999999999995"/>
        <n v="497.2"/>
        <n v="507.00000000000006"/>
        <n v="517.5"/>
        <n v="497.79999999999995"/>
        <n v="508.1"/>
        <n v="518.1"/>
        <n v="499.1"/>
        <n v="509"/>
        <n v="519.70000000000005"/>
        <n v="499.9"/>
        <n v="510.2"/>
        <n v="521.5"/>
        <n v="500.9"/>
        <n v="511.70000000000005"/>
        <n v="522.5"/>
        <n v="502.1"/>
        <n v="512.79999999999995"/>
        <n v="525"/>
        <n v="502.79999999999995"/>
        <n v="514.20000000000005"/>
        <n v="526.1"/>
        <n v="503.7"/>
        <n v="515.29999999999995"/>
        <n v="529.9"/>
        <n v="507"/>
        <n v="518.70000000000005"/>
        <n v="534.4"/>
        <n v="509.3"/>
        <n v="521.9"/>
        <n v="535.60000000000014"/>
        <n v="511"/>
        <n v="523.4"/>
        <n v="538"/>
        <n v="512.20000000000005"/>
        <n v="525.30000000000007"/>
        <n v="542.70000000000005"/>
        <n v="514"/>
        <n v="528.5"/>
        <n v="542.5"/>
        <n v="515.6"/>
        <n v="529.20000000000005"/>
        <n v="544.20000000000005"/>
        <n v="518.09999999999991"/>
        <n v="531.1"/>
        <n v="544.5"/>
        <n v="520"/>
        <n v="532.30000000000007"/>
        <n v="547.79999999999995"/>
        <n v="522.20000000000005"/>
        <n v="534.80000000000007"/>
        <n v="551.5"/>
        <n v="526.79999999999995"/>
        <n v="539.20000000000005"/>
        <n v="554.70000000000005"/>
        <n v="529.29999999999995"/>
        <n v="542"/>
        <n v="556.90000000000009"/>
        <n v="531.79999999999995"/>
        <n v="544.19999999999993"/>
        <n v="559.20000000000005"/>
        <n v="536.79999999999995"/>
        <n v="548"/>
        <n v="561.5"/>
        <n v="541"/>
        <n v="551.19999999999993"/>
        <n v="565"/>
        <n v="543"/>
        <n v="553.79999999999995"/>
        <n v="572.70000000000005"/>
        <n v="544.9"/>
        <n v="562.70000000000005"/>
        <n v="578.79999999999995"/>
        <n v="546.40000000000009"/>
        <n v="589.6"/>
        <n v="547.20000000000005"/>
        <n v="568.60000000000014"/>
        <n v="589.4"/>
        <n v="548.10000000000014"/>
        <n v="568.9"/>
        <n v="591"/>
        <n v="549.69999999999993"/>
        <n v="570.4"/>
        <n v="592.1"/>
        <n v="551.70000000000005"/>
        <n v="571.9"/>
        <n v="596.80000000000007"/>
        <n v="555.1"/>
        <n v="575.90000000000009"/>
        <n v="599.1"/>
        <n v="557.1"/>
        <n v="578.1"/>
        <n v="603"/>
        <n v="560.70000000000005"/>
        <n v="581.9"/>
        <n v="605.29999999999995"/>
        <n v="563.70000000000005"/>
        <n v="584.5"/>
        <n v="607.30000000000007"/>
        <n v="565.09999999999991"/>
        <n v="586.20000000000005"/>
        <n v="608.79999999999995"/>
        <n v="566.29999999999995"/>
        <n v="587.5"/>
        <n v="610.29999999999995"/>
        <n v="567.6"/>
        <n v="588.79999999999995"/>
        <n v="612.5"/>
        <n v="569.59999999999991"/>
        <n v="590.90000000000009"/>
        <n v="615.59999999999991"/>
        <n v="571.5"/>
        <n v="593.5"/>
        <n v="616.9"/>
        <n v="594.69999999999993"/>
        <n v="617.69999999999993"/>
        <n v="574.09999999999991"/>
        <n v="595.90000000000009"/>
        <n v="615.29999999999995"/>
        <n v="573.90000000000009"/>
        <n v="594.29999999999995"/>
        <n v="624.9"/>
        <n v="587.1"/>
        <n v="606.1"/>
        <n v="626.70000000000005"/>
        <n v="590.20000000000005"/>
        <n v="608.5"/>
        <n v="592.70000000000005"/>
        <n v="609.70000000000005"/>
        <n v="628.70000000000005"/>
        <n v="594.9"/>
        <n v="611.70000000000005"/>
        <n v="630.1"/>
        <n v="599.4"/>
        <n v="614.90000000000009"/>
        <n v="633.59999999999991"/>
        <n v="601"/>
        <n v="617.40000000000009"/>
        <n v="637"/>
        <n v="603.20000000000005"/>
        <n v="620"/>
        <n v="642.09999999999991"/>
        <n v="609.5"/>
        <n v="625.70000000000005"/>
        <n v="643.5"/>
        <n v="613.1"/>
        <n v="628.29999999999995"/>
        <n v="646"/>
        <n v="614.70000000000005"/>
        <n v="630.20000000000005"/>
        <n v="657.80000000000007"/>
        <n v="621.90000000000009"/>
        <n v="639.6"/>
        <n v="658.40000000000009"/>
        <n v="623"/>
        <n v="640.5"/>
        <n v="661.1"/>
        <n v="628"/>
        <n v="644.5"/>
        <n v="663"/>
        <n v="632.9"/>
        <n v="649.79999999999995"/>
        <n v="666.90000000000009"/>
        <n v="633"/>
        <n v="669.4"/>
        <n v="635.90000000000009"/>
        <n v="652.6"/>
        <n v="671.7"/>
        <n v="639"/>
        <n v="655.40000000000009"/>
        <n v="674.2"/>
        <n v="641.09999999999991"/>
        <n v="657.6"/>
        <n v="676.1"/>
        <n v="644.1"/>
        <n v="660"/>
        <n v="678.40000000000009"/>
        <n v="648.1"/>
        <n v="663.19999999999993"/>
        <n v="681.5"/>
        <n v="652.29999999999995"/>
        <n v="666.9"/>
        <n v="685.3"/>
        <n v="658.3"/>
        <n v="672.09999999999991"/>
        <n v="687.99999999999989"/>
        <n v="662.3"/>
        <n v="675.3"/>
        <n v="689.8"/>
        <n v="665.3"/>
        <n v="677.7"/>
        <n v="693.89999999999986"/>
        <n v="670.09999999999991"/>
        <n v="682.19999999999993"/>
        <n v="697.00000000000011"/>
        <n v="673"/>
        <n v="685.1"/>
        <n v="699.5"/>
        <n v="676.6"/>
        <n v="688.2"/>
        <n v="702.19999999999993"/>
        <n v="679"/>
        <n v="690.8"/>
        <n v="704.6"/>
        <n v="681.4"/>
        <n v="693.1"/>
        <n v="707.5"/>
        <n v="684.3"/>
        <n v="696.1"/>
        <n v="710.8"/>
        <n v="687"/>
        <n v="698.90000000000009"/>
        <n v="715.8"/>
        <n v="691.7"/>
        <n v="703.80000000000007"/>
        <n v="718.69999999999993"/>
        <n v="695.4"/>
        <n v="707.1"/>
        <n v="721.40000000000009"/>
        <n v="697.80000000000007"/>
        <n v="709.7"/>
        <m/>
      </sharedItems>
    </cacheField>
    <cacheField name="Total Expenses" numFmtId="4">
      <sharedItems containsString="0" containsBlank="1" containsNumber="1" minValue="2628.9999999999995" maxValue="4654.399999999999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3">
  <r>
    <x v="0"/>
    <x v="0"/>
    <x v="0"/>
    <n v="107.5"/>
    <n v="106.3"/>
    <n v="108.1"/>
    <n v="104.9"/>
    <n v="106.1"/>
    <n v="103.9"/>
    <n v="101.9"/>
    <n v="106.1"/>
    <n v="106.8"/>
    <n v="103.1"/>
    <n v="104.8"/>
    <n v="106.7"/>
    <n v="105.5"/>
    <n v="105.1"/>
    <n v="106.5"/>
    <n v="105.8"/>
    <n v="106.4"/>
    <n v="0"/>
    <n v="105.5"/>
    <n v="104.8"/>
    <n v="104"/>
    <n v="103.3"/>
    <n v="103.4"/>
    <n v="103.8"/>
    <n v="104.7"/>
    <n v="104"/>
    <x v="0"/>
    <x v="0"/>
    <x v="0"/>
    <x v="0"/>
    <x v="0"/>
    <n v="2628.9999999999995"/>
  </r>
  <r>
    <x v="1"/>
    <x v="0"/>
    <x v="0"/>
    <n v="110.5"/>
    <n v="109.1"/>
    <n v="113"/>
    <n v="103.6"/>
    <n v="103.4"/>
    <n v="102.3"/>
    <n v="102.9"/>
    <n v="105.8"/>
    <n v="105.1"/>
    <n v="101.8"/>
    <n v="105.1"/>
    <n v="107.9"/>
    <n v="105.9"/>
    <n v="105.2"/>
    <n v="105.9"/>
    <n v="105"/>
    <n v="105.8"/>
    <n v="100.3"/>
    <n v="105.4"/>
    <n v="104.8"/>
    <n v="104.1"/>
    <n v="103.2"/>
    <n v="102.9"/>
    <n v="103.5"/>
    <n v="104.3"/>
    <n v="103.7"/>
    <x v="1"/>
    <x v="1"/>
    <x v="1"/>
    <x v="1"/>
    <x v="1"/>
    <n v="2730.5"/>
  </r>
  <r>
    <x v="2"/>
    <x v="0"/>
    <x v="0"/>
    <n v="108.4"/>
    <n v="107.3"/>
    <n v="110"/>
    <n v="104.4"/>
    <n v="105.1"/>
    <n v="103.2"/>
    <n v="102.2"/>
    <n v="106"/>
    <n v="106.2"/>
    <n v="102.7"/>
    <n v="104.9"/>
    <n v="107.3"/>
    <n v="105.6"/>
    <n v="105.1"/>
    <n v="106.3"/>
    <n v="105.5"/>
    <n v="106.2"/>
    <n v="100.3"/>
    <n v="105.5"/>
    <n v="104.8"/>
    <n v="104"/>
    <n v="103.2"/>
    <n v="103.1"/>
    <n v="103.6"/>
    <n v="104.5"/>
    <n v="103.9"/>
    <x v="2"/>
    <x v="2"/>
    <x v="2"/>
    <x v="2"/>
    <x v="2"/>
    <n v="2729.3"/>
  </r>
  <r>
    <x v="0"/>
    <x v="0"/>
    <x v="1"/>
    <n v="109.2"/>
    <n v="108.7"/>
    <n v="110.2"/>
    <n v="105.4"/>
    <n v="106.7"/>
    <n v="104"/>
    <n v="102.4"/>
    <n v="105.9"/>
    <n v="105.7"/>
    <n v="103.1"/>
    <n v="105.1"/>
    <n v="107.7"/>
    <n v="106.3"/>
    <n v="105.6"/>
    <n v="107.1"/>
    <n v="106.3"/>
    <n v="107"/>
    <n v="0"/>
    <n v="106.2"/>
    <n v="105.2"/>
    <n v="104.4"/>
    <n v="103.9"/>
    <n v="104"/>
    <n v="104.1"/>
    <n v="104.6"/>
    <n v="104.4"/>
    <x v="3"/>
    <x v="3"/>
    <x v="3"/>
    <x v="3"/>
    <x v="3"/>
    <n v="2643.2"/>
  </r>
  <r>
    <x v="1"/>
    <x v="0"/>
    <x v="1"/>
    <n v="112.9"/>
    <n v="112.9"/>
    <n v="116.9"/>
    <n v="104"/>
    <n v="103.5"/>
    <n v="103.1"/>
    <n v="104.9"/>
    <n v="104.1"/>
    <n v="103.8"/>
    <n v="102.3"/>
    <n v="106"/>
    <n v="109"/>
    <n v="107.2"/>
    <n v="106"/>
    <n v="106.6"/>
    <n v="105.5"/>
    <n v="106.4"/>
    <n v="100.4"/>
    <n v="105.7"/>
    <n v="105.2"/>
    <n v="104.7"/>
    <n v="104.4"/>
    <n v="103.3"/>
    <n v="103.7"/>
    <n v="104.3"/>
    <n v="104.3"/>
    <x v="4"/>
    <x v="4"/>
    <x v="4"/>
    <x v="4"/>
    <x v="4"/>
    <n v="2751.1000000000004"/>
  </r>
  <r>
    <x v="2"/>
    <x v="0"/>
    <x v="1"/>
    <n v="110.4"/>
    <n v="110.2"/>
    <n v="112.8"/>
    <n v="104.9"/>
    <n v="105.5"/>
    <n v="103.6"/>
    <n v="103.2"/>
    <n v="105.3"/>
    <n v="105.1"/>
    <n v="102.8"/>
    <n v="105.5"/>
    <n v="108.3"/>
    <n v="106.6"/>
    <n v="105.7"/>
    <n v="106.9"/>
    <n v="106"/>
    <n v="106.8"/>
    <n v="100.4"/>
    <n v="106"/>
    <n v="105.2"/>
    <n v="104.5"/>
    <n v="104.2"/>
    <n v="103.6"/>
    <n v="103.9"/>
    <n v="104.5"/>
    <n v="104.4"/>
    <x v="5"/>
    <x v="5"/>
    <x v="5"/>
    <x v="5"/>
    <x v="5"/>
    <n v="2746.3"/>
  </r>
  <r>
    <x v="0"/>
    <x v="0"/>
    <x v="2"/>
    <n v="110.2"/>
    <n v="108.8"/>
    <n v="109.9"/>
    <n v="105.6"/>
    <n v="106.2"/>
    <n v="105.7"/>
    <n v="101.4"/>
    <n v="105.7"/>
    <n v="105"/>
    <n v="103.3"/>
    <n v="105.6"/>
    <n v="108.2"/>
    <n v="106.6"/>
    <n v="106.5"/>
    <n v="107.6"/>
    <n v="106.8"/>
    <n v="107.5"/>
    <n v="0"/>
    <n v="106.1"/>
    <n v="105.6"/>
    <n v="104.7"/>
    <n v="104.6"/>
    <n v="104"/>
    <n v="104.3"/>
    <n v="104.3"/>
    <n v="104.6"/>
    <x v="6"/>
    <x v="6"/>
    <x v="6"/>
    <x v="6"/>
    <x v="6"/>
    <n v="2648.7999999999997"/>
  </r>
  <r>
    <x v="1"/>
    <x v="0"/>
    <x v="2"/>
    <n v="113.9"/>
    <n v="111.4"/>
    <n v="113.2"/>
    <n v="104.3"/>
    <n v="102.7"/>
    <n v="104.9"/>
    <n v="103.8"/>
    <n v="103.5"/>
    <n v="102.6"/>
    <n v="102.4"/>
    <n v="107"/>
    <n v="109.8"/>
    <n v="107.3"/>
    <n v="106.8"/>
    <n v="107.2"/>
    <n v="106"/>
    <n v="107"/>
    <n v="100.4"/>
    <n v="106"/>
    <n v="105.7"/>
    <n v="105.2"/>
    <n v="105.5"/>
    <n v="103.5"/>
    <n v="103.8"/>
    <n v="104.2"/>
    <n v="104.9"/>
    <x v="7"/>
    <x v="7"/>
    <x v="7"/>
    <x v="7"/>
    <x v="7"/>
    <n v="2753"/>
  </r>
  <r>
    <x v="2"/>
    <x v="0"/>
    <x v="2"/>
    <n v="111.4"/>
    <n v="109.7"/>
    <n v="111.2"/>
    <n v="105.1"/>
    <n v="104.9"/>
    <n v="105.3"/>
    <n v="102.2"/>
    <n v="105"/>
    <n v="104.2"/>
    <n v="103"/>
    <n v="106.2"/>
    <n v="108.9"/>
    <n v="106.9"/>
    <n v="106.6"/>
    <n v="107.4"/>
    <n v="106.5"/>
    <n v="107.3"/>
    <n v="100.4"/>
    <n v="106.1"/>
    <n v="105.6"/>
    <n v="104.9"/>
    <n v="105.1"/>
    <n v="103.7"/>
    <n v="104"/>
    <n v="104.3"/>
    <n v="104.7"/>
    <x v="8"/>
    <x v="8"/>
    <x v="8"/>
    <x v="8"/>
    <x v="8"/>
    <n v="2750.6000000000004"/>
  </r>
  <r>
    <x v="0"/>
    <x v="0"/>
    <x v="3"/>
    <n v="110.2"/>
    <n v="109.5"/>
    <n v="106.9"/>
    <n v="106.3"/>
    <n v="105.7"/>
    <n v="108.3"/>
    <n v="103.4"/>
    <n v="105.7"/>
    <n v="104.2"/>
    <n v="103.2"/>
    <n v="106.5"/>
    <n v="108.8"/>
    <n v="107.1"/>
    <n v="107.1"/>
    <n v="108.1"/>
    <n v="107.4"/>
    <n v="108"/>
    <n v="0"/>
    <n v="106.5"/>
    <n v="106.1"/>
    <n v="105.1"/>
    <n v="104.4"/>
    <n v="104.5"/>
    <n v="104.8"/>
    <n v="102.7"/>
    <n v="104.6"/>
    <x v="9"/>
    <x v="9"/>
    <x v="6"/>
    <x v="9"/>
    <x v="9"/>
    <n v="2655.1"/>
  </r>
  <r>
    <x v="1"/>
    <x v="0"/>
    <x v="3"/>
    <n v="114.6"/>
    <n v="113.4"/>
    <n v="106"/>
    <n v="104.7"/>
    <n v="102.1"/>
    <n v="109.5"/>
    <n v="109.7"/>
    <n v="104.6"/>
    <n v="102"/>
    <n v="103.5"/>
    <n v="108.2"/>
    <n v="110.6"/>
    <n v="108.8"/>
    <n v="108.5"/>
    <n v="107.9"/>
    <n v="106.4"/>
    <n v="107.7"/>
    <n v="100.5"/>
    <n v="106.4"/>
    <n v="106.5"/>
    <n v="105.7"/>
    <n v="105"/>
    <n v="104"/>
    <n v="105.2"/>
    <n v="103.2"/>
    <n v="105.1"/>
    <x v="10"/>
    <x v="10"/>
    <x v="9"/>
    <x v="10"/>
    <x v="10"/>
    <n v="2769.7999999999997"/>
  </r>
  <r>
    <x v="2"/>
    <x v="0"/>
    <x v="3"/>
    <n v="111.6"/>
    <n v="110.9"/>
    <n v="106.6"/>
    <n v="105.7"/>
    <n v="104.4"/>
    <n v="108.9"/>
    <n v="105.5"/>
    <n v="105.3"/>
    <n v="103.5"/>
    <n v="103.3"/>
    <n v="107.2"/>
    <n v="109.6"/>
    <n v="107.7"/>
    <n v="107.5"/>
    <n v="108"/>
    <n v="107"/>
    <n v="107.9"/>
    <n v="100.5"/>
    <n v="106.5"/>
    <n v="106.3"/>
    <n v="105.3"/>
    <n v="104.7"/>
    <n v="104.2"/>
    <n v="105"/>
    <n v="102.9"/>
    <n v="104.8"/>
    <x v="11"/>
    <x v="11"/>
    <x v="10"/>
    <x v="11"/>
    <x v="11"/>
    <n v="2760.8"/>
  </r>
  <r>
    <x v="0"/>
    <x v="0"/>
    <x v="4"/>
    <n v="110.9"/>
    <n v="109.8"/>
    <n v="105.9"/>
    <n v="107.5"/>
    <n v="105.3"/>
    <n v="108.1"/>
    <n v="107.3"/>
    <n v="106.1"/>
    <n v="103.7"/>
    <n v="104"/>
    <n v="107.4"/>
    <n v="109.9"/>
    <n v="108.1"/>
    <n v="108.1"/>
    <n v="108.8"/>
    <n v="107.9"/>
    <n v="108.6"/>
    <n v="0"/>
    <n v="107.5"/>
    <n v="106.8"/>
    <n v="105.7"/>
    <n v="104.1"/>
    <n v="105"/>
    <n v="105.5"/>
    <n v="102.1"/>
    <n v="104.8"/>
    <x v="12"/>
    <x v="12"/>
    <x v="11"/>
    <x v="12"/>
    <x v="12"/>
    <n v="2668.9"/>
  </r>
  <r>
    <x v="1"/>
    <x v="0"/>
    <x v="4"/>
    <n v="115.4"/>
    <n v="114.2"/>
    <n v="102.7"/>
    <n v="105.5"/>
    <n v="101.5"/>
    <n v="110.6"/>
    <n v="123.7"/>
    <n v="105.2"/>
    <n v="101.9"/>
    <n v="105"/>
    <n v="109.1"/>
    <n v="111.3"/>
    <n v="111.1"/>
    <n v="109.8"/>
    <n v="108.5"/>
    <n v="106.7"/>
    <n v="108.3"/>
    <n v="100.5"/>
    <n v="107.2"/>
    <n v="107.1"/>
    <n v="106.2"/>
    <n v="103.9"/>
    <n v="104.6"/>
    <n v="105.7"/>
    <n v="102.6"/>
    <n v="104.9"/>
    <x v="13"/>
    <x v="13"/>
    <x v="12"/>
    <x v="13"/>
    <x v="13"/>
    <n v="2793.2"/>
  </r>
  <r>
    <x v="2"/>
    <x v="0"/>
    <x v="4"/>
    <n v="112.3"/>
    <n v="111.3"/>
    <n v="104.7"/>
    <n v="106.8"/>
    <n v="103.9"/>
    <n v="109.3"/>
    <n v="112.9"/>
    <n v="105.8"/>
    <n v="103.1"/>
    <n v="104.3"/>
    <n v="108.1"/>
    <n v="110.5"/>
    <n v="109.2"/>
    <n v="108.6"/>
    <n v="108.7"/>
    <n v="107.4"/>
    <n v="108.5"/>
    <n v="100.5"/>
    <n v="107.4"/>
    <n v="106.9"/>
    <n v="105.9"/>
    <n v="104"/>
    <n v="104.8"/>
    <n v="105.6"/>
    <n v="102.3"/>
    <n v="104.8"/>
    <x v="14"/>
    <x v="14"/>
    <x v="13"/>
    <x v="14"/>
    <x v="14"/>
    <n v="2777.6"/>
  </r>
  <r>
    <x v="0"/>
    <x v="0"/>
    <x v="5"/>
    <n v="112.3"/>
    <n v="112.1"/>
    <n v="108.1"/>
    <n v="108.3"/>
    <n v="105.9"/>
    <n v="109.2"/>
    <n v="118"/>
    <n v="106.8"/>
    <n v="104.1"/>
    <n v="105.4"/>
    <n v="108.2"/>
    <n v="111"/>
    <n v="110.6"/>
    <n v="109"/>
    <n v="109.7"/>
    <n v="108.8"/>
    <n v="109.5"/>
    <n v="0"/>
    <n v="108.5"/>
    <n v="107.5"/>
    <n v="106.3"/>
    <n v="105"/>
    <n v="105.6"/>
    <n v="106.5"/>
    <n v="102.5"/>
    <n v="105.5"/>
    <x v="15"/>
    <x v="15"/>
    <x v="14"/>
    <x v="15"/>
    <x v="15"/>
    <n v="2704.4"/>
  </r>
  <r>
    <x v="1"/>
    <x v="0"/>
    <x v="5"/>
    <n v="117"/>
    <n v="120.1"/>
    <n v="112.5"/>
    <n v="107.3"/>
    <n v="101.3"/>
    <n v="112.4"/>
    <n v="143.6"/>
    <n v="105.4"/>
    <n v="101.4"/>
    <n v="106.4"/>
    <n v="110"/>
    <n v="112.2"/>
    <n v="115"/>
    <n v="110.9"/>
    <n v="109.2"/>
    <n v="107.2"/>
    <n v="108.9"/>
    <n v="106.6"/>
    <n v="108"/>
    <n v="107.7"/>
    <n v="106.5"/>
    <n v="105.2"/>
    <n v="105.2"/>
    <n v="108.1"/>
    <n v="103.3"/>
    <n v="106.1"/>
    <x v="16"/>
    <x v="16"/>
    <x v="15"/>
    <x v="16"/>
    <x v="16"/>
    <n v="2857.5000000000005"/>
  </r>
  <r>
    <x v="2"/>
    <x v="0"/>
    <x v="5"/>
    <n v="113.8"/>
    <n v="114.9"/>
    <n v="109.8"/>
    <n v="107.9"/>
    <n v="104.2"/>
    <n v="110.7"/>
    <n v="126.7"/>
    <n v="106.3"/>
    <n v="103.2"/>
    <n v="105.7"/>
    <n v="109"/>
    <n v="111.6"/>
    <n v="112.2"/>
    <n v="109.5"/>
    <n v="109.5"/>
    <n v="108.1"/>
    <n v="109.3"/>
    <n v="106.6"/>
    <n v="108.3"/>
    <n v="107.6"/>
    <n v="106.4"/>
    <n v="105.1"/>
    <n v="105.4"/>
    <n v="107.4"/>
    <n v="102.8"/>
    <n v="105.8"/>
    <x v="17"/>
    <x v="17"/>
    <x v="16"/>
    <x v="17"/>
    <x v="17"/>
    <n v="2827.8"/>
  </r>
  <r>
    <x v="0"/>
    <x v="0"/>
    <x v="6"/>
    <n v="113.4"/>
    <n v="114.9"/>
    <n v="110.5"/>
    <n v="109.3"/>
    <n v="106.2"/>
    <n v="110.3"/>
    <n v="129.19999999999999"/>
    <n v="107.1"/>
    <n v="104.3"/>
    <n v="106.4"/>
    <n v="109.1"/>
    <n v="112.1"/>
    <n v="113.1"/>
    <n v="109.8"/>
    <n v="110.5"/>
    <n v="109.5"/>
    <n v="110.3"/>
    <n v="0"/>
    <n v="109.5"/>
    <n v="108.3"/>
    <n v="106.9"/>
    <n v="106.8"/>
    <n v="106.4"/>
    <n v="107.8"/>
    <n v="102.5"/>
    <n v="106.5"/>
    <x v="18"/>
    <x v="18"/>
    <x v="17"/>
    <x v="18"/>
    <x v="18"/>
    <n v="2740.6999999999994"/>
  </r>
  <r>
    <x v="1"/>
    <x v="0"/>
    <x v="6"/>
    <n v="117.8"/>
    <n v="119.2"/>
    <n v="114"/>
    <n v="108.3"/>
    <n v="101.1"/>
    <n v="113.2"/>
    <n v="160.9"/>
    <n v="105.1"/>
    <n v="101.3"/>
    <n v="107.5"/>
    <n v="110.4"/>
    <n v="113.1"/>
    <n v="117.5"/>
    <n v="111.7"/>
    <n v="109.8"/>
    <n v="107.8"/>
    <n v="109.5"/>
    <n v="107.7"/>
    <n v="108.6"/>
    <n v="108.1"/>
    <n v="107.1"/>
    <n v="107.3"/>
    <n v="105.9"/>
    <n v="110.1"/>
    <n v="103.2"/>
    <n v="107.3"/>
    <x v="19"/>
    <x v="19"/>
    <x v="18"/>
    <x v="19"/>
    <x v="19"/>
    <n v="2893.5"/>
  </r>
  <r>
    <x v="2"/>
    <x v="0"/>
    <x v="6"/>
    <n v="114.8"/>
    <n v="116.4"/>
    <n v="111.9"/>
    <n v="108.9"/>
    <n v="104.3"/>
    <n v="111.7"/>
    <n v="140"/>
    <n v="106.4"/>
    <n v="103.3"/>
    <n v="106.8"/>
    <n v="109.6"/>
    <n v="112.6"/>
    <n v="114.7"/>
    <n v="110.3"/>
    <n v="110.2"/>
    <n v="108.8"/>
    <n v="110"/>
    <n v="107.7"/>
    <n v="109.2"/>
    <n v="108.2"/>
    <n v="107"/>
    <n v="107.1"/>
    <n v="106.1"/>
    <n v="109.1"/>
    <n v="102.8"/>
    <n v="106.9"/>
    <x v="20"/>
    <x v="20"/>
    <x v="19"/>
    <x v="20"/>
    <x v="20"/>
    <n v="2864.7999999999997"/>
  </r>
  <r>
    <x v="0"/>
    <x v="0"/>
    <x v="7"/>
    <n v="114.3"/>
    <n v="115.4"/>
    <n v="111.1"/>
    <n v="110"/>
    <n v="106.4"/>
    <n v="110.8"/>
    <n v="138.9"/>
    <n v="107.4"/>
    <n v="104.1"/>
    <n v="106.9"/>
    <n v="109.7"/>
    <n v="112.6"/>
    <n v="114.9"/>
    <n v="110.7"/>
    <n v="111.3"/>
    <n v="110.2"/>
    <n v="111.1"/>
    <n v="0"/>
    <n v="109.9"/>
    <n v="108.7"/>
    <n v="107.5"/>
    <n v="107.8"/>
    <n v="106.8"/>
    <n v="108.7"/>
    <n v="105"/>
    <n v="107.5"/>
    <x v="21"/>
    <x v="21"/>
    <x v="20"/>
    <x v="21"/>
    <x v="21"/>
    <n v="2767.7000000000003"/>
  </r>
  <r>
    <x v="1"/>
    <x v="0"/>
    <x v="7"/>
    <n v="118.3"/>
    <n v="120.4"/>
    <n v="112.7"/>
    <n v="108.9"/>
    <n v="101.1"/>
    <n v="108.7"/>
    <n v="177"/>
    <n v="104.7"/>
    <n v="101"/>
    <n v="108.5"/>
    <n v="110.9"/>
    <n v="114.3"/>
    <n v="119.6"/>
    <n v="112.4"/>
    <n v="110.6"/>
    <n v="108.3"/>
    <n v="110.2"/>
    <n v="108.9"/>
    <n v="109.3"/>
    <n v="108.7"/>
    <n v="107.6"/>
    <n v="108.1"/>
    <n v="106.5"/>
    <n v="110.8"/>
    <n v="106"/>
    <n v="108.3"/>
    <x v="22"/>
    <x v="22"/>
    <x v="21"/>
    <x v="22"/>
    <x v="22"/>
    <n v="2921.8"/>
  </r>
  <r>
    <x v="2"/>
    <x v="0"/>
    <x v="7"/>
    <n v="115.6"/>
    <n v="117.2"/>
    <n v="111.7"/>
    <n v="109.6"/>
    <n v="104.5"/>
    <n v="109.8"/>
    <n v="151.80000000000001"/>
    <n v="106.5"/>
    <n v="103.1"/>
    <n v="107.4"/>
    <n v="110.2"/>
    <n v="113.4"/>
    <n v="116.6"/>
    <n v="111.2"/>
    <n v="111"/>
    <n v="109.4"/>
    <n v="110.7"/>
    <n v="108.9"/>
    <n v="109.7"/>
    <n v="108.7"/>
    <n v="107.5"/>
    <n v="108"/>
    <n v="106.6"/>
    <n v="109.9"/>
    <n v="105.4"/>
    <n v="107.9"/>
    <x v="23"/>
    <x v="23"/>
    <x v="22"/>
    <x v="23"/>
    <x v="23"/>
    <n v="2892.3"/>
  </r>
  <r>
    <x v="0"/>
    <x v="0"/>
    <x v="8"/>
    <n v="115.4"/>
    <n v="115.7"/>
    <n v="111.7"/>
    <n v="111"/>
    <n v="107.4"/>
    <n v="110.9"/>
    <n v="154"/>
    <n v="108.1"/>
    <n v="104.2"/>
    <n v="107.9"/>
    <n v="110.4"/>
    <n v="114"/>
    <n v="117.8"/>
    <n v="111.7"/>
    <n v="112.7"/>
    <n v="111.4"/>
    <n v="112.5"/>
    <n v="0"/>
    <n v="111.1"/>
    <n v="109.6"/>
    <n v="108.3"/>
    <n v="109.3"/>
    <n v="107.7"/>
    <n v="109.8"/>
    <n v="106.7"/>
    <n v="108.7"/>
    <x v="24"/>
    <x v="24"/>
    <x v="23"/>
    <x v="24"/>
    <x v="24"/>
    <n v="2808"/>
  </r>
  <r>
    <x v="1"/>
    <x v="0"/>
    <x v="8"/>
    <n v="118.6"/>
    <n v="119.1"/>
    <n v="113.2"/>
    <n v="109.6"/>
    <n v="101.7"/>
    <n v="103.2"/>
    <n v="174.3"/>
    <n v="105.1"/>
    <n v="100.8"/>
    <n v="109.1"/>
    <n v="111.1"/>
    <n v="115.4"/>
    <n v="119.2"/>
    <n v="112.9"/>
    <n v="111.4"/>
    <n v="109"/>
    <n v="111.1"/>
    <n v="109.7"/>
    <n v="109.5"/>
    <n v="109.6"/>
    <n v="107.9"/>
    <n v="110.4"/>
    <n v="107.4"/>
    <n v="111.2"/>
    <n v="106.9"/>
    <n v="109.4"/>
    <x v="25"/>
    <x v="25"/>
    <x v="24"/>
    <x v="25"/>
    <x v="25"/>
    <n v="2926.8"/>
  </r>
  <r>
    <x v="2"/>
    <x v="0"/>
    <x v="8"/>
    <n v="116.4"/>
    <n v="116.9"/>
    <n v="112.3"/>
    <n v="110.5"/>
    <n v="105.3"/>
    <n v="107.3"/>
    <n v="160.9"/>
    <n v="107.1"/>
    <n v="103.1"/>
    <n v="108.3"/>
    <n v="110.7"/>
    <n v="114.6"/>
    <n v="118.3"/>
    <n v="112"/>
    <n v="112.2"/>
    <n v="110.4"/>
    <n v="111.9"/>
    <n v="109.7"/>
    <n v="110.5"/>
    <n v="109.6"/>
    <n v="108.1"/>
    <n v="109.9"/>
    <n v="107.5"/>
    <n v="110.6"/>
    <n v="106.8"/>
    <n v="109"/>
    <x v="26"/>
    <x v="26"/>
    <x v="25"/>
    <x v="26"/>
    <x v="26"/>
    <n v="2919.8999999999996"/>
  </r>
  <r>
    <x v="0"/>
    <x v="0"/>
    <x v="9"/>
    <n v="116.3"/>
    <n v="115.4"/>
    <n v="112.6"/>
    <n v="111.7"/>
    <n v="107.7"/>
    <n v="113.2"/>
    <n v="164.9"/>
    <n v="108.3"/>
    <n v="103.9"/>
    <n v="108.2"/>
    <n v="111.1"/>
    <n v="114.9"/>
    <n v="119.8"/>
    <n v="112.2"/>
    <n v="113.6"/>
    <n v="112.3"/>
    <n v="113.4"/>
    <n v="0"/>
    <n v="111.6"/>
    <n v="110.4"/>
    <n v="108.9"/>
    <n v="109.3"/>
    <n v="108.3"/>
    <n v="110.2"/>
    <n v="107.5"/>
    <n v="109.1"/>
    <x v="27"/>
    <x v="27"/>
    <x v="26"/>
    <x v="27"/>
    <x v="27"/>
    <n v="2834.8"/>
  </r>
  <r>
    <x v="1"/>
    <x v="0"/>
    <x v="9"/>
    <n v="118.9"/>
    <n v="118.1"/>
    <n v="114.5"/>
    <n v="110.4"/>
    <n v="102.3"/>
    <n v="106.2"/>
    <n v="183.5"/>
    <n v="105.3"/>
    <n v="100.2"/>
    <n v="109.6"/>
    <n v="111.4"/>
    <n v="116"/>
    <n v="120.8"/>
    <n v="113.5"/>
    <n v="112.5"/>
    <n v="109.7"/>
    <n v="112"/>
    <n v="110.5"/>
    <n v="109.7"/>
    <n v="110.2"/>
    <n v="108.2"/>
    <n v="109.7"/>
    <n v="108"/>
    <n v="111.3"/>
    <n v="107.3"/>
    <n v="109.4"/>
    <x v="28"/>
    <x v="28"/>
    <x v="27"/>
    <x v="28"/>
    <x v="28"/>
    <n v="2949.2"/>
  </r>
  <r>
    <x v="2"/>
    <x v="0"/>
    <x v="9"/>
    <n v="117.1"/>
    <n v="116.3"/>
    <n v="113.3"/>
    <n v="111.2"/>
    <n v="105.7"/>
    <n v="109.9"/>
    <n v="171.2"/>
    <n v="107.3"/>
    <n v="102.7"/>
    <n v="108.7"/>
    <n v="111.2"/>
    <n v="115.4"/>
    <n v="120.2"/>
    <n v="112.5"/>
    <n v="113.2"/>
    <n v="111.2"/>
    <n v="112.8"/>
    <n v="110.5"/>
    <n v="110.9"/>
    <n v="110.3"/>
    <n v="108.6"/>
    <n v="109.5"/>
    <n v="108.1"/>
    <n v="110.8"/>
    <n v="107.4"/>
    <n v="109.2"/>
    <x v="29"/>
    <x v="29"/>
    <x v="28"/>
    <x v="29"/>
    <x v="29"/>
    <n v="2945.2"/>
  </r>
  <r>
    <x v="0"/>
    <x v="0"/>
    <x v="10"/>
    <n v="117.3"/>
    <n v="114.9"/>
    <n v="116.2"/>
    <n v="112.8"/>
    <n v="108.9"/>
    <n v="116.6"/>
    <n v="178.1"/>
    <n v="109.1"/>
    <n v="103.6"/>
    <n v="109"/>
    <n v="111.8"/>
    <n v="116"/>
    <n v="122.5"/>
    <n v="112.8"/>
    <n v="114.6"/>
    <n v="113.1"/>
    <n v="114.4"/>
    <n v="0"/>
    <n v="112.6"/>
    <n v="111.3"/>
    <n v="109.7"/>
    <n v="109.6"/>
    <n v="108.7"/>
    <n v="111"/>
    <n v="108.2"/>
    <n v="109.8"/>
    <x v="30"/>
    <x v="30"/>
    <x v="29"/>
    <x v="30"/>
    <x v="30"/>
    <n v="2872.6"/>
  </r>
  <r>
    <x v="1"/>
    <x v="0"/>
    <x v="11"/>
    <n v="119.8"/>
    <n v="116.3"/>
    <n v="122.6"/>
    <n v="112"/>
    <n v="103.2"/>
    <n v="110"/>
    <n v="192.8"/>
    <n v="106.3"/>
    <n v="99.5"/>
    <n v="110.3"/>
    <n v="111.8"/>
    <n v="117.1"/>
    <n v="122.9"/>
    <n v="114.1"/>
    <n v="113.5"/>
    <n v="110.3"/>
    <n v="113"/>
    <n v="111.1"/>
    <n v="110"/>
    <n v="110.9"/>
    <n v="108.6"/>
    <n v="109.5"/>
    <n v="108.5"/>
    <n v="111.3"/>
    <n v="107.9"/>
    <n v="109.6"/>
    <x v="31"/>
    <x v="31"/>
    <x v="30"/>
    <x v="31"/>
    <x v="31"/>
    <n v="2982.8999999999996"/>
  </r>
  <r>
    <x v="2"/>
    <x v="0"/>
    <x v="11"/>
    <n v="118.1"/>
    <n v="115.4"/>
    <n v="118.7"/>
    <n v="112.5"/>
    <n v="106.8"/>
    <n v="113.5"/>
    <n v="183.1"/>
    <n v="108.2"/>
    <n v="102.2"/>
    <n v="109.4"/>
    <n v="111.8"/>
    <n v="116.5"/>
    <n v="122.6"/>
    <n v="113.1"/>
    <n v="114.2"/>
    <n v="111.9"/>
    <n v="113.8"/>
    <n v="111.1"/>
    <n v="111.6"/>
    <n v="111.1"/>
    <n v="109.3"/>
    <n v="109.5"/>
    <n v="108.6"/>
    <n v="111.2"/>
    <n v="108.1"/>
    <n v="109.7"/>
    <x v="32"/>
    <x v="32"/>
    <x v="31"/>
    <x v="32"/>
    <x v="32"/>
    <n v="2982"/>
  </r>
  <r>
    <x v="0"/>
    <x v="0"/>
    <x v="12"/>
    <n v="118.4"/>
    <n v="115.9"/>
    <n v="120.4"/>
    <n v="113.8"/>
    <n v="109.5"/>
    <n v="115.5"/>
    <n v="145.69999999999999"/>
    <n v="109.5"/>
    <n v="102.9"/>
    <n v="109.8"/>
    <n v="112.1"/>
    <n v="116.8"/>
    <n v="118.7"/>
    <n v="113.6"/>
    <n v="115.8"/>
    <n v="114"/>
    <n v="115.5"/>
    <n v="0"/>
    <n v="112.8"/>
    <n v="112.1"/>
    <n v="110.1"/>
    <n v="109.9"/>
    <n v="109.2"/>
    <n v="111.6"/>
    <n v="108.1"/>
    <n v="110.1"/>
    <x v="27"/>
    <x v="33"/>
    <x v="32"/>
    <x v="33"/>
    <x v="33"/>
    <n v="2851.8"/>
  </r>
  <r>
    <x v="1"/>
    <x v="0"/>
    <x v="12"/>
    <n v="120.5"/>
    <n v="118.1"/>
    <n v="128.5"/>
    <n v="112.8"/>
    <n v="103.4"/>
    <n v="110.7"/>
    <n v="144.80000000000001"/>
    <n v="107.1"/>
    <n v="98.6"/>
    <n v="111.9"/>
    <n v="112.1"/>
    <n v="118.1"/>
    <n v="117.8"/>
    <n v="115"/>
    <n v="114.2"/>
    <n v="110.9"/>
    <n v="113.7"/>
    <n v="110.7"/>
    <n v="110.4"/>
    <n v="111.3"/>
    <n v="109"/>
    <n v="109.7"/>
    <n v="108.9"/>
    <n v="111.4"/>
    <n v="107.7"/>
    <n v="109.8"/>
    <x v="33"/>
    <x v="34"/>
    <x v="33"/>
    <x v="34"/>
    <x v="34"/>
    <n v="2947.1"/>
  </r>
  <r>
    <x v="2"/>
    <x v="0"/>
    <x v="12"/>
    <n v="119.1"/>
    <n v="116.7"/>
    <n v="123.5"/>
    <n v="113.4"/>
    <n v="107.3"/>
    <n v="113.3"/>
    <n v="145.4"/>
    <n v="108.7"/>
    <n v="101.5"/>
    <n v="110.5"/>
    <n v="112.1"/>
    <n v="117.4"/>
    <n v="118.4"/>
    <n v="114"/>
    <n v="115.2"/>
    <n v="112.7"/>
    <n v="114.8"/>
    <n v="110.7"/>
    <n v="111.9"/>
    <n v="111.7"/>
    <n v="109.7"/>
    <n v="109.8"/>
    <n v="109"/>
    <n v="111.5"/>
    <n v="107.9"/>
    <n v="110"/>
    <x v="34"/>
    <x v="35"/>
    <x v="34"/>
    <x v="35"/>
    <x v="35"/>
    <n v="2956.2"/>
  </r>
  <r>
    <x v="0"/>
    <x v="1"/>
    <x v="0"/>
    <n v="118.9"/>
    <n v="117.1"/>
    <n v="120.5"/>
    <n v="114.4"/>
    <n v="109"/>
    <n v="115.5"/>
    <n v="123.9"/>
    <n v="109.6"/>
    <n v="101.8"/>
    <n v="110.2"/>
    <n v="112.4"/>
    <n v="117.3"/>
    <n v="116"/>
    <n v="114"/>
    <n v="116.5"/>
    <n v="114.5"/>
    <n v="116.2"/>
    <n v="0"/>
    <n v="113"/>
    <n v="112.6"/>
    <n v="110.6"/>
    <n v="110.5"/>
    <n v="109.6"/>
    <n v="111.8"/>
    <n v="108.3"/>
    <n v="110.6"/>
    <x v="24"/>
    <x v="36"/>
    <x v="35"/>
    <x v="36"/>
    <x v="36"/>
    <n v="2834.8"/>
  </r>
  <r>
    <x v="1"/>
    <x v="1"/>
    <x v="0"/>
    <n v="121.2"/>
    <n v="122"/>
    <n v="129.9"/>
    <n v="113.6"/>
    <n v="102.9"/>
    <n v="112.1"/>
    <n v="118.9"/>
    <n v="107.5"/>
    <n v="96.9"/>
    <n v="112.7"/>
    <n v="112.1"/>
    <n v="119"/>
    <n v="115.5"/>
    <n v="115.7"/>
    <n v="114.8"/>
    <n v="111.3"/>
    <n v="114.3"/>
    <n v="111.6"/>
    <n v="111"/>
    <n v="111.9"/>
    <n v="109.7"/>
    <n v="110.8"/>
    <n v="109.8"/>
    <n v="111.5"/>
    <n v="108"/>
    <n v="110.5"/>
    <x v="35"/>
    <x v="37"/>
    <x v="36"/>
    <x v="37"/>
    <x v="37"/>
    <n v="2935.2000000000003"/>
  </r>
  <r>
    <x v="2"/>
    <x v="1"/>
    <x v="0"/>
    <n v="119.6"/>
    <n v="118.8"/>
    <n v="124.1"/>
    <n v="114.1"/>
    <n v="106.8"/>
    <n v="113.9"/>
    <n v="122.2"/>
    <n v="108.9"/>
    <n v="100.2"/>
    <n v="111"/>
    <n v="112.3"/>
    <n v="118.1"/>
    <n v="115.8"/>
    <n v="114.5"/>
    <n v="115.8"/>
    <n v="113.2"/>
    <n v="115.4"/>
    <n v="111.6"/>
    <n v="112.2"/>
    <n v="112.3"/>
    <n v="110.3"/>
    <n v="110.7"/>
    <n v="109.7"/>
    <n v="111.6"/>
    <n v="108.2"/>
    <n v="110.6"/>
    <x v="36"/>
    <x v="38"/>
    <x v="37"/>
    <x v="38"/>
    <x v="38"/>
    <n v="2941.8999999999996"/>
  </r>
  <r>
    <x v="0"/>
    <x v="1"/>
    <x v="1"/>
    <n v="119.4"/>
    <n v="117.7"/>
    <n v="121.2"/>
    <n v="115"/>
    <n v="109"/>
    <n v="116.6"/>
    <n v="116"/>
    <n v="109.8"/>
    <n v="101.1"/>
    <n v="110.4"/>
    <n v="112.9"/>
    <n v="117.8"/>
    <n v="115.3"/>
    <n v="114.2"/>
    <n v="117.1"/>
    <n v="114.5"/>
    <n v="116.7"/>
    <n v="0"/>
    <n v="113.2"/>
    <n v="112.9"/>
    <n v="110.9"/>
    <n v="110.8"/>
    <n v="109.9"/>
    <n v="112"/>
    <n v="108.7"/>
    <n v="110.9"/>
    <x v="28"/>
    <x v="39"/>
    <x v="38"/>
    <x v="39"/>
    <x v="39"/>
    <n v="2834"/>
  </r>
  <r>
    <x v="1"/>
    <x v="1"/>
    <x v="1"/>
    <n v="121.9"/>
    <n v="122"/>
    <n v="124.5"/>
    <n v="115.2"/>
    <n v="102.5"/>
    <n v="114.1"/>
    <n v="111.5"/>
    <n v="108.2"/>
    <n v="95.4"/>
    <n v="113.5"/>
    <n v="112.1"/>
    <n v="119.9"/>
    <n v="115.2"/>
    <n v="116.2"/>
    <n v="115.3"/>
    <n v="111.7"/>
    <n v="114.7"/>
    <n v="112.5"/>
    <n v="111.1"/>
    <n v="112.6"/>
    <n v="110.4"/>
    <n v="111.3"/>
    <n v="110.3"/>
    <n v="111.6"/>
    <n v="108.7"/>
    <n v="111"/>
    <x v="37"/>
    <x v="40"/>
    <x v="39"/>
    <x v="40"/>
    <x v="40"/>
    <n v="2933.3999999999996"/>
  </r>
  <r>
    <x v="2"/>
    <x v="1"/>
    <x v="1"/>
    <n v="120.2"/>
    <n v="119.2"/>
    <n v="122.5"/>
    <n v="115.1"/>
    <n v="106.6"/>
    <n v="115.4"/>
    <n v="114.5"/>
    <n v="109.3"/>
    <n v="99.2"/>
    <n v="111.4"/>
    <n v="112.6"/>
    <n v="118.8"/>
    <n v="115.3"/>
    <n v="114.7"/>
    <n v="116.4"/>
    <n v="113.3"/>
    <n v="115.9"/>
    <n v="112.5"/>
    <n v="112.4"/>
    <n v="112.8"/>
    <n v="110.7"/>
    <n v="111.1"/>
    <n v="110.1"/>
    <n v="111.8"/>
    <n v="108.7"/>
    <n v="110.9"/>
    <x v="36"/>
    <x v="41"/>
    <x v="40"/>
    <x v="41"/>
    <x v="41"/>
    <n v="2941.3999999999996"/>
  </r>
  <r>
    <x v="0"/>
    <x v="1"/>
    <x v="2"/>
    <n v="120.1"/>
    <n v="118.1"/>
    <n v="120.7"/>
    <n v="116.1"/>
    <n v="109.3"/>
    <n v="119.6"/>
    <n v="117.9"/>
    <n v="110.2"/>
    <n v="101.2"/>
    <n v="110.7"/>
    <n v="113"/>
    <n v="118.3"/>
    <n v="116.2"/>
    <n v="114.6"/>
    <n v="117.5"/>
    <n v="114.9"/>
    <n v="117.2"/>
    <n v="0"/>
    <n v="113.4"/>
    <n v="113.4"/>
    <n v="111.4"/>
    <n v="111.2"/>
    <n v="110.2"/>
    <n v="112.4"/>
    <n v="108.9"/>
    <n v="111.3"/>
    <x v="38"/>
    <x v="42"/>
    <x v="41"/>
    <x v="42"/>
    <x v="42"/>
    <n v="2847.8"/>
  </r>
  <r>
    <x v="1"/>
    <x v="1"/>
    <x v="2"/>
    <n v="122.1"/>
    <n v="121.4"/>
    <n v="121.5"/>
    <n v="116.2"/>
    <n v="102.8"/>
    <n v="117.7"/>
    <n v="113.3"/>
    <n v="108.9"/>
    <n v="96.3"/>
    <n v="114.1"/>
    <n v="112.2"/>
    <n v="120.5"/>
    <n v="116"/>
    <n v="116.7"/>
    <n v="115.8"/>
    <n v="112.1"/>
    <n v="115.2"/>
    <n v="113.2"/>
    <n v="110.9"/>
    <n v="113"/>
    <n v="110.8"/>
    <n v="111.6"/>
    <n v="110.9"/>
    <n v="111.8"/>
    <n v="109.2"/>
    <n v="111.4"/>
    <x v="26"/>
    <x v="43"/>
    <x v="42"/>
    <x v="43"/>
    <x v="43"/>
    <n v="2945.6"/>
  </r>
  <r>
    <x v="2"/>
    <x v="1"/>
    <x v="13"/>
    <n v="120.7"/>
    <n v="119.3"/>
    <n v="121"/>
    <n v="116.1"/>
    <n v="106.9"/>
    <n v="118.7"/>
    <n v="116.3"/>
    <n v="109.8"/>
    <n v="99.6"/>
    <n v="111.8"/>
    <n v="112.7"/>
    <n v="119.3"/>
    <n v="116.1"/>
    <n v="115.2"/>
    <n v="116.8"/>
    <n v="113.7"/>
    <n v="116.4"/>
    <n v="113.2"/>
    <n v="112.5"/>
    <n v="113.2"/>
    <n v="111.2"/>
    <n v="111.4"/>
    <n v="110.6"/>
    <n v="112"/>
    <n v="109"/>
    <n v="111.3"/>
    <x v="24"/>
    <x v="44"/>
    <x v="43"/>
    <x v="44"/>
    <x v="44"/>
    <n v="2954.7999999999997"/>
  </r>
  <r>
    <x v="0"/>
    <x v="1"/>
    <x v="3"/>
    <n v="120.2"/>
    <n v="118.9"/>
    <n v="118.1"/>
    <n v="117"/>
    <n v="109.7"/>
    <n v="125.5"/>
    <n v="120.5"/>
    <n v="111"/>
    <n v="102.6"/>
    <n v="111.2"/>
    <n v="113.5"/>
    <n v="118.7"/>
    <n v="117.2"/>
    <n v="115.4"/>
    <n v="118.1"/>
    <n v="116.1"/>
    <n v="117.8"/>
    <n v="0"/>
    <n v="113.4"/>
    <n v="113.7"/>
    <n v="111.8"/>
    <n v="111.2"/>
    <n v="110.5"/>
    <n v="113"/>
    <n v="108.9"/>
    <n v="111.5"/>
    <x v="39"/>
    <x v="45"/>
    <x v="44"/>
    <x v="45"/>
    <x v="45"/>
    <n v="2865.5000000000005"/>
  </r>
  <r>
    <x v="1"/>
    <x v="1"/>
    <x v="3"/>
    <n v="122.5"/>
    <n v="121.7"/>
    <n v="113.3"/>
    <n v="117"/>
    <n v="103.1"/>
    <n v="126.7"/>
    <n v="121.2"/>
    <n v="111"/>
    <n v="100.3"/>
    <n v="115.3"/>
    <n v="112.7"/>
    <n v="121"/>
    <n v="118.2"/>
    <n v="117.6"/>
    <n v="116.3"/>
    <n v="112.5"/>
    <n v="115.7"/>
    <n v="113.9"/>
    <n v="110.9"/>
    <n v="113.4"/>
    <n v="111"/>
    <n v="111.2"/>
    <n v="111.2"/>
    <n v="112.5"/>
    <n v="109.1"/>
    <n v="111.4"/>
    <x v="40"/>
    <x v="46"/>
    <x v="45"/>
    <x v="46"/>
    <x v="46"/>
    <n v="2970.7000000000003"/>
  </r>
  <r>
    <x v="2"/>
    <x v="1"/>
    <x v="3"/>
    <n v="120.9"/>
    <n v="119.9"/>
    <n v="116.2"/>
    <n v="117"/>
    <n v="107.3"/>
    <n v="126.1"/>
    <n v="120.7"/>
    <n v="111"/>
    <n v="101.8"/>
    <n v="112.6"/>
    <n v="113.2"/>
    <n v="119.8"/>
    <n v="117.6"/>
    <n v="116"/>
    <n v="117.4"/>
    <n v="114.6"/>
    <n v="117"/>
    <n v="113.9"/>
    <n v="112.5"/>
    <n v="113.6"/>
    <n v="111.5"/>
    <n v="111.2"/>
    <n v="110.9"/>
    <n v="112.7"/>
    <n v="109"/>
    <n v="111.5"/>
    <x v="41"/>
    <x v="47"/>
    <x v="46"/>
    <x v="47"/>
    <x v="47"/>
    <n v="2975.8999999999996"/>
  </r>
  <r>
    <x v="0"/>
    <x v="1"/>
    <x v="4"/>
    <n v="120.3"/>
    <n v="120.2"/>
    <n v="116.9"/>
    <n v="118"/>
    <n v="110.1"/>
    <n v="126.3"/>
    <n v="123.9"/>
    <n v="111.5"/>
    <n v="103.5"/>
    <n v="111.6"/>
    <n v="114.2"/>
    <n v="119.2"/>
    <n v="118.2"/>
    <n v="116.3"/>
    <n v="118.7"/>
    <n v="116.8"/>
    <n v="118.5"/>
    <n v="0"/>
    <n v="113.4"/>
    <n v="114.1"/>
    <n v="112.1"/>
    <n v="111.4"/>
    <n v="110.9"/>
    <n v="113.1"/>
    <n v="108.9"/>
    <n v="111.8"/>
    <x v="42"/>
    <x v="48"/>
    <x v="47"/>
    <x v="48"/>
    <x v="48"/>
    <n v="2879.9"/>
  </r>
  <r>
    <x v="1"/>
    <x v="1"/>
    <x v="4"/>
    <n v="122.7"/>
    <n v="124.1"/>
    <n v="114.2"/>
    <n v="119.1"/>
    <n v="103.5"/>
    <n v="129.19999999999999"/>
    <n v="127"/>
    <n v="112.6"/>
    <n v="101.3"/>
    <n v="117"/>
    <n v="112.9"/>
    <n v="121.7"/>
    <n v="120"/>
    <n v="118.3"/>
    <n v="116.8"/>
    <n v="112.9"/>
    <n v="116.2"/>
    <n v="114.3"/>
    <n v="111.1"/>
    <n v="114.1"/>
    <n v="111.2"/>
    <n v="111.3"/>
    <n v="111.5"/>
    <n v="112.9"/>
    <n v="109.3"/>
    <n v="111.7"/>
    <x v="43"/>
    <x v="49"/>
    <x v="48"/>
    <x v="49"/>
    <x v="49"/>
    <n v="2996.9000000000005"/>
  </r>
  <r>
    <x v="2"/>
    <x v="1"/>
    <x v="4"/>
    <n v="121.1"/>
    <n v="121.6"/>
    <n v="115.9"/>
    <n v="118.4"/>
    <n v="107.7"/>
    <n v="127.7"/>
    <n v="125"/>
    <n v="111.9"/>
    <n v="102.8"/>
    <n v="113.4"/>
    <n v="113.7"/>
    <n v="120.4"/>
    <n v="118.9"/>
    <n v="116.8"/>
    <n v="118"/>
    <n v="115.2"/>
    <n v="117.6"/>
    <n v="114.3"/>
    <n v="112.5"/>
    <n v="114.1"/>
    <n v="111.8"/>
    <n v="111.3"/>
    <n v="111.2"/>
    <n v="113"/>
    <n v="109.1"/>
    <n v="111.8"/>
    <x v="44"/>
    <x v="50"/>
    <x v="49"/>
    <x v="50"/>
    <x v="50"/>
    <n v="2995.2000000000003"/>
  </r>
  <r>
    <x v="0"/>
    <x v="1"/>
    <x v="5"/>
    <n v="120.7"/>
    <n v="121.6"/>
    <n v="116.1"/>
    <n v="119.3"/>
    <n v="110.3"/>
    <n v="125.8"/>
    <n v="129.30000000000001"/>
    <n v="112.2"/>
    <n v="103.6"/>
    <n v="112.3"/>
    <n v="114.9"/>
    <n v="120.1"/>
    <n v="119.5"/>
    <n v="117.3"/>
    <n v="119.7"/>
    <n v="117.3"/>
    <n v="119.3"/>
    <n v="0"/>
    <n v="114.4"/>
    <n v="114.9"/>
    <n v="112.8"/>
    <n v="112.2"/>
    <n v="111.4"/>
    <n v="114.3"/>
    <n v="108"/>
    <n v="112.3"/>
    <x v="45"/>
    <x v="51"/>
    <x v="50"/>
    <x v="51"/>
    <x v="51"/>
    <n v="2899.6"/>
  </r>
  <r>
    <x v="1"/>
    <x v="1"/>
    <x v="5"/>
    <n v="123.1"/>
    <n v="125.9"/>
    <n v="115.4"/>
    <n v="120.4"/>
    <n v="103.4"/>
    <n v="131.19999999999999"/>
    <n v="137.5"/>
    <n v="112.8"/>
    <n v="101.4"/>
    <n v="118.3"/>
    <n v="113.2"/>
    <n v="122.4"/>
    <n v="122"/>
    <n v="119"/>
    <n v="117.4"/>
    <n v="113.2"/>
    <n v="116.7"/>
    <n v="113.9"/>
    <n v="111.2"/>
    <n v="114.3"/>
    <n v="111.4"/>
    <n v="111.5"/>
    <n v="111.8"/>
    <n v="115.1"/>
    <n v="108.7"/>
    <n v="112.2"/>
    <x v="46"/>
    <x v="52"/>
    <x v="51"/>
    <x v="52"/>
    <x v="52"/>
    <n v="3023.4"/>
  </r>
  <r>
    <x v="2"/>
    <x v="1"/>
    <x v="5"/>
    <n v="121.5"/>
    <n v="123.1"/>
    <n v="115.8"/>
    <n v="119.7"/>
    <n v="107.8"/>
    <n v="128.30000000000001"/>
    <n v="132.1"/>
    <n v="112.4"/>
    <n v="102.9"/>
    <n v="114.3"/>
    <n v="114.2"/>
    <n v="121.2"/>
    <n v="120.4"/>
    <n v="117.8"/>
    <n v="118.8"/>
    <n v="115.6"/>
    <n v="118.3"/>
    <n v="113.9"/>
    <n v="113.2"/>
    <n v="114.6"/>
    <n v="112.3"/>
    <n v="111.8"/>
    <n v="111.6"/>
    <n v="114.8"/>
    <n v="108.3"/>
    <n v="112.3"/>
    <x v="47"/>
    <x v="53"/>
    <x v="52"/>
    <x v="53"/>
    <x v="53"/>
    <n v="3017"/>
  </r>
  <r>
    <x v="0"/>
    <x v="1"/>
    <x v="6"/>
    <n v="121.7"/>
    <n v="122.5"/>
    <n v="117.7"/>
    <n v="120.6"/>
    <n v="110.4"/>
    <n v="129.1"/>
    <n v="150.1"/>
    <n v="113.2"/>
    <n v="104.8"/>
    <n v="113.3"/>
    <n v="115.6"/>
    <n v="120.9"/>
    <n v="123.3"/>
    <n v="118"/>
    <n v="120.7"/>
    <n v="118.3"/>
    <n v="120.3"/>
    <n v="0"/>
    <n v="115.3"/>
    <n v="115.4"/>
    <n v="113.4"/>
    <n v="113.2"/>
    <n v="111.8"/>
    <n v="115.5"/>
    <n v="108.8"/>
    <n v="113.1"/>
    <x v="48"/>
    <x v="54"/>
    <x v="53"/>
    <x v="54"/>
    <x v="54"/>
    <n v="2947"/>
  </r>
  <r>
    <x v="1"/>
    <x v="1"/>
    <x v="6"/>
    <n v="123.8"/>
    <n v="126.4"/>
    <n v="118"/>
    <n v="121.6"/>
    <n v="103.5"/>
    <n v="133.69999999999999"/>
    <n v="172.4"/>
    <n v="113.1"/>
    <n v="102.7"/>
    <n v="120"/>
    <n v="113.8"/>
    <n v="123.4"/>
    <n v="127.1"/>
    <n v="121"/>
    <n v="118"/>
    <n v="113.6"/>
    <n v="117.4"/>
    <n v="114.8"/>
    <n v="111.6"/>
    <n v="114.9"/>
    <n v="111.5"/>
    <n v="113"/>
    <n v="112.4"/>
    <n v="117.8"/>
    <n v="109.7"/>
    <n v="113.5"/>
    <x v="49"/>
    <x v="55"/>
    <x v="54"/>
    <x v="55"/>
    <x v="55"/>
    <n v="3088.7"/>
  </r>
  <r>
    <x v="2"/>
    <x v="1"/>
    <x v="6"/>
    <n v="122.4"/>
    <n v="123.9"/>
    <n v="117.8"/>
    <n v="121"/>
    <n v="107.9"/>
    <n v="131.19999999999999"/>
    <n v="157.69999999999999"/>
    <n v="113.2"/>
    <n v="104.1"/>
    <n v="115.5"/>
    <n v="114.8"/>
    <n v="122.1"/>
    <n v="124.7"/>
    <n v="118.8"/>
    <n v="119.6"/>
    <n v="116.3"/>
    <n v="119.1"/>
    <n v="114.8"/>
    <n v="113.9"/>
    <n v="115.2"/>
    <n v="112.7"/>
    <n v="113.1"/>
    <n v="112.1"/>
    <n v="116.8"/>
    <n v="109.2"/>
    <n v="113.3"/>
    <x v="50"/>
    <x v="56"/>
    <x v="55"/>
    <x v="56"/>
    <x v="56"/>
    <n v="3071.2"/>
  </r>
  <r>
    <x v="0"/>
    <x v="1"/>
    <x v="7"/>
    <n v="121.8"/>
    <n v="122.8"/>
    <n v="117.8"/>
    <n v="121.9"/>
    <n v="110.6"/>
    <n v="129.69999999999999"/>
    <n v="161.1"/>
    <n v="114.1"/>
    <n v="105.1"/>
    <n v="114.6"/>
    <n v="115.8"/>
    <n v="121.7"/>
    <n v="125.3"/>
    <n v="118.8"/>
    <n v="120.9"/>
    <n v="118.8"/>
    <n v="120.7"/>
    <n v="0"/>
    <n v="115.4"/>
    <n v="115.9"/>
    <n v="114"/>
    <n v="113.2"/>
    <n v="112.2"/>
    <n v="116.2"/>
    <n v="109.4"/>
    <n v="113.5"/>
    <x v="51"/>
    <x v="57"/>
    <x v="56"/>
    <x v="57"/>
    <x v="57"/>
    <n v="2971.2999999999997"/>
  </r>
  <r>
    <x v="1"/>
    <x v="1"/>
    <x v="7"/>
    <n v="124.8"/>
    <n v="127.3"/>
    <n v="116.5"/>
    <n v="122.2"/>
    <n v="103.6"/>
    <n v="132.69999999999999"/>
    <n v="181.9"/>
    <n v="115.2"/>
    <n v="102.7"/>
    <n v="122.1"/>
    <n v="114.4"/>
    <n v="124.7"/>
    <n v="128.9"/>
    <n v="123"/>
    <n v="118.6"/>
    <n v="114.1"/>
    <n v="117.9"/>
    <n v="115.5"/>
    <n v="111.8"/>
    <n v="115.3"/>
    <n v="112.2"/>
    <n v="112.5"/>
    <n v="112.9"/>
    <n v="119.2"/>
    <n v="110.5"/>
    <n v="113.9"/>
    <x v="52"/>
    <x v="58"/>
    <x v="57"/>
    <x v="58"/>
    <x v="58"/>
    <n v="3114.3999999999996"/>
  </r>
  <r>
    <x v="2"/>
    <x v="1"/>
    <x v="7"/>
    <n v="122.7"/>
    <n v="124.4"/>
    <n v="117.3"/>
    <n v="122"/>
    <n v="108"/>
    <n v="131.1"/>
    <n v="168.2"/>
    <n v="114.5"/>
    <n v="104.3"/>
    <n v="117.1"/>
    <n v="115.2"/>
    <n v="123.1"/>
    <n v="126.6"/>
    <n v="119.9"/>
    <n v="120"/>
    <n v="116.8"/>
    <n v="119.6"/>
    <n v="115.5"/>
    <n v="114"/>
    <n v="115.6"/>
    <n v="113.3"/>
    <n v="112.8"/>
    <n v="112.6"/>
    <n v="118"/>
    <n v="109.9"/>
    <n v="113.7"/>
    <x v="53"/>
    <x v="59"/>
    <x v="58"/>
    <x v="59"/>
    <x v="59"/>
    <n v="3096.2"/>
  </r>
  <r>
    <x v="0"/>
    <x v="1"/>
    <x v="8"/>
    <n v="122.3"/>
    <n v="122.4"/>
    <n v="117.8"/>
    <n v="122.7"/>
    <n v="110.4"/>
    <n v="129.80000000000001"/>
    <n v="158.80000000000001"/>
    <n v="115"/>
    <n v="104.7"/>
    <n v="114.9"/>
    <n v="116.5"/>
    <n v="122.6"/>
    <n v="125.3"/>
    <n v="119.5"/>
    <n v="121.7"/>
    <n v="119.2"/>
    <n v="121.3"/>
    <n v="0"/>
    <n v="115.8"/>
    <n v="116.7"/>
    <n v="114.5"/>
    <n v="112.8"/>
    <n v="112.6"/>
    <n v="116.6"/>
    <n v="109.1"/>
    <n v="113.7"/>
    <x v="54"/>
    <x v="60"/>
    <x v="59"/>
    <x v="60"/>
    <x v="60"/>
    <n v="2976.7000000000003"/>
  </r>
  <r>
    <x v="1"/>
    <x v="1"/>
    <x v="8"/>
    <n v="124.2"/>
    <n v="125.4"/>
    <n v="116.4"/>
    <n v="122.7"/>
    <n v="103.5"/>
    <n v="124.5"/>
    <n v="168.6"/>
    <n v="116.9"/>
    <n v="101.9"/>
    <n v="122.9"/>
    <n v="114.8"/>
    <n v="125.2"/>
    <n v="126.7"/>
    <n v="124.3"/>
    <n v="119.2"/>
    <n v="114.5"/>
    <n v="118.4"/>
    <n v="116.1"/>
    <n v="111.8"/>
    <n v="115.5"/>
    <n v="112.3"/>
    <n v="111.2"/>
    <n v="113.4"/>
    <n v="120"/>
    <n v="110"/>
    <n v="113.6"/>
    <x v="50"/>
    <x v="61"/>
    <x v="60"/>
    <x v="61"/>
    <x v="61"/>
    <n v="3094"/>
  </r>
  <r>
    <x v="2"/>
    <x v="1"/>
    <x v="8"/>
    <n v="122.9"/>
    <n v="123.5"/>
    <n v="117.3"/>
    <n v="122.7"/>
    <n v="107.9"/>
    <n v="127.3"/>
    <n v="162.1"/>
    <n v="115.6"/>
    <n v="103.8"/>
    <n v="117.6"/>
    <n v="115.8"/>
    <n v="123.8"/>
    <n v="125.8"/>
    <n v="120.8"/>
    <n v="120.7"/>
    <n v="117.2"/>
    <n v="120.1"/>
    <n v="116.1"/>
    <n v="114.3"/>
    <n v="116.1"/>
    <n v="113.7"/>
    <n v="112"/>
    <n v="113.1"/>
    <n v="118.6"/>
    <n v="109.5"/>
    <n v="113.7"/>
    <x v="55"/>
    <x v="62"/>
    <x v="61"/>
    <x v="62"/>
    <x v="62"/>
    <n v="3091.9999999999995"/>
  </r>
  <r>
    <x v="0"/>
    <x v="1"/>
    <x v="9"/>
    <n v="122.6"/>
    <n v="122.5"/>
    <n v="118.3"/>
    <n v="123.2"/>
    <n v="110.5"/>
    <n v="128.9"/>
    <n v="155.30000000000001"/>
    <n v="115.5"/>
    <n v="104"/>
    <n v="115.3"/>
    <n v="116.8"/>
    <n v="123.2"/>
    <n v="125.1"/>
    <n v="120"/>
    <n v="122.7"/>
    <n v="120.3"/>
    <n v="122.3"/>
    <n v="0"/>
    <n v="116.4"/>
    <n v="117.5"/>
    <n v="115.3"/>
    <n v="112.6"/>
    <n v="113"/>
    <n v="116.9"/>
    <n v="109.3"/>
    <n v="114"/>
    <x v="56"/>
    <x v="63"/>
    <x v="62"/>
    <x v="63"/>
    <x v="63"/>
    <n v="2981.5"/>
  </r>
  <r>
    <x v="1"/>
    <x v="1"/>
    <x v="9"/>
    <n v="124.6"/>
    <n v="126.1"/>
    <n v="117.8"/>
    <n v="123.1"/>
    <n v="103.5"/>
    <n v="123.5"/>
    <n v="159.6"/>
    <n v="117.4"/>
    <n v="101.2"/>
    <n v="123.8"/>
    <n v="115.2"/>
    <n v="125.9"/>
    <n v="125.8"/>
    <n v="124.3"/>
    <n v="119.6"/>
    <n v="114.9"/>
    <n v="118.9"/>
    <n v="116.7"/>
    <n v="112"/>
    <n v="115.8"/>
    <n v="112.6"/>
    <n v="111"/>
    <n v="113.6"/>
    <n v="120.2"/>
    <n v="110.1"/>
    <n v="113.7"/>
    <x v="57"/>
    <x v="64"/>
    <x v="63"/>
    <x v="64"/>
    <x v="64"/>
    <n v="3090.9"/>
  </r>
  <r>
    <x v="2"/>
    <x v="1"/>
    <x v="9"/>
    <n v="123.2"/>
    <n v="123.8"/>
    <n v="118.1"/>
    <n v="123.2"/>
    <n v="107.9"/>
    <n v="126.4"/>
    <n v="156.80000000000001"/>
    <n v="116.1"/>
    <n v="103.1"/>
    <n v="118.1"/>
    <n v="116.1"/>
    <n v="124.5"/>
    <n v="125.4"/>
    <n v="121.1"/>
    <n v="121.5"/>
    <n v="118.1"/>
    <n v="121"/>
    <n v="116.7"/>
    <n v="114.7"/>
    <n v="116.7"/>
    <n v="114.3"/>
    <n v="111.8"/>
    <n v="113.3"/>
    <n v="118.8"/>
    <n v="109.6"/>
    <n v="113.9"/>
    <x v="55"/>
    <x v="65"/>
    <x v="64"/>
    <x v="65"/>
    <x v="65"/>
    <n v="3094.2"/>
  </r>
  <r>
    <x v="0"/>
    <x v="1"/>
    <x v="11"/>
    <n v="122.7"/>
    <n v="122.6"/>
    <n v="119.9"/>
    <n v="124"/>
    <n v="110.5"/>
    <n v="128.80000000000001"/>
    <n v="152"/>
    <n v="116.2"/>
    <n v="103.3"/>
    <n v="115.8"/>
    <n v="116.8"/>
    <n v="124.5"/>
    <n v="124.9"/>
    <n v="120.8"/>
    <n v="123.3"/>
    <n v="120.5"/>
    <n v="122.9"/>
    <n v="0"/>
    <n v="117.3"/>
    <n v="118.1"/>
    <n v="115.9"/>
    <n v="112"/>
    <n v="113.3"/>
    <n v="117.2"/>
    <n v="108.8"/>
    <n v="114.1"/>
    <x v="58"/>
    <x v="66"/>
    <x v="65"/>
    <x v="66"/>
    <x v="66"/>
    <n v="2986.2000000000003"/>
  </r>
  <r>
    <x v="1"/>
    <x v="1"/>
    <x v="11"/>
    <n v="124.5"/>
    <n v="125.6"/>
    <n v="122.7"/>
    <n v="124.6"/>
    <n v="103.2"/>
    <n v="122.2"/>
    <n v="153.19999999999999"/>
    <n v="119.3"/>
    <n v="99.8"/>
    <n v="124.6"/>
    <n v="115.8"/>
    <n v="126.9"/>
    <n v="125.4"/>
    <n v="125.8"/>
    <n v="120.3"/>
    <n v="115.4"/>
    <n v="119.5"/>
    <n v="117.1"/>
    <n v="112.6"/>
    <n v="116.4"/>
    <n v="113"/>
    <n v="109.7"/>
    <n v="114"/>
    <n v="120.3"/>
    <n v="109.6"/>
    <n v="113.4"/>
    <x v="59"/>
    <x v="67"/>
    <x v="66"/>
    <x v="67"/>
    <x v="67"/>
    <n v="3094.8999999999996"/>
  </r>
  <r>
    <x v="2"/>
    <x v="1"/>
    <x v="11"/>
    <n v="123.3"/>
    <n v="123.7"/>
    <n v="121"/>
    <n v="124.2"/>
    <n v="107.8"/>
    <n v="125.7"/>
    <n v="152.4"/>
    <n v="117.2"/>
    <n v="102.1"/>
    <n v="118.7"/>
    <n v="116.4"/>
    <n v="125.6"/>
    <n v="125.1"/>
    <n v="122.1"/>
    <n v="122.1"/>
    <n v="118.4"/>
    <n v="121.6"/>
    <n v="117.1"/>
    <n v="115.5"/>
    <n v="117.3"/>
    <n v="114.8"/>
    <n v="110.8"/>
    <n v="113.7"/>
    <n v="119"/>
    <n v="109.1"/>
    <n v="113.8"/>
    <x v="55"/>
    <x v="68"/>
    <x v="67"/>
    <x v="68"/>
    <x v="68"/>
    <n v="3098.5"/>
  </r>
  <r>
    <x v="0"/>
    <x v="1"/>
    <x v="12"/>
    <n v="122.4"/>
    <n v="122.4"/>
    <n v="121.8"/>
    <n v="124.2"/>
    <n v="110.2"/>
    <n v="128.6"/>
    <n v="140.30000000000001"/>
    <n v="116.3"/>
    <n v="102"/>
    <n v="116"/>
    <n v="117.3"/>
    <n v="124.8"/>
    <n v="123.3"/>
    <n v="121.7"/>
    <n v="123.8"/>
    <n v="120.6"/>
    <n v="123.3"/>
    <n v="0"/>
    <n v="117.4"/>
    <n v="118.2"/>
    <n v="116.2"/>
    <n v="111.5"/>
    <n v="113.3"/>
    <n v="117.7"/>
    <n v="109.4"/>
    <n v="114.2"/>
    <x v="53"/>
    <x v="69"/>
    <x v="68"/>
    <x v="69"/>
    <x v="69"/>
    <n v="2976.9"/>
  </r>
  <r>
    <x v="1"/>
    <x v="1"/>
    <x v="12"/>
    <n v="124"/>
    <n v="124.7"/>
    <n v="126.3"/>
    <n v="124.9"/>
    <n v="103"/>
    <n v="122.3"/>
    <n v="141"/>
    <n v="120.1"/>
    <n v="97.8"/>
    <n v="125.4"/>
    <n v="116.1"/>
    <n v="127.6"/>
    <n v="124"/>
    <n v="126.4"/>
    <n v="120.7"/>
    <n v="115.8"/>
    <n v="120"/>
    <n v="116.5"/>
    <n v="113"/>
    <n v="116.8"/>
    <n v="113.2"/>
    <n v="108.8"/>
    <n v="114.3"/>
    <n v="120.7"/>
    <n v="110.4"/>
    <n v="113.4"/>
    <x v="60"/>
    <x v="70"/>
    <x v="69"/>
    <x v="58"/>
    <x v="70"/>
    <n v="3087.2"/>
  </r>
  <r>
    <x v="2"/>
    <x v="1"/>
    <x v="12"/>
    <n v="122.9"/>
    <n v="123.2"/>
    <n v="123.5"/>
    <n v="124.5"/>
    <n v="107.6"/>
    <n v="125.7"/>
    <n v="140.5"/>
    <n v="117.6"/>
    <n v="100.6"/>
    <n v="119.1"/>
    <n v="116.8"/>
    <n v="126.1"/>
    <n v="123.6"/>
    <n v="123"/>
    <n v="122.6"/>
    <n v="118.6"/>
    <n v="122"/>
    <n v="116.5"/>
    <n v="115.7"/>
    <n v="117.5"/>
    <n v="115.1"/>
    <n v="110.1"/>
    <n v="113.9"/>
    <n v="119.5"/>
    <n v="109.8"/>
    <n v="113.8"/>
    <x v="61"/>
    <x v="71"/>
    <x v="70"/>
    <x v="70"/>
    <x v="71"/>
    <n v="3089.8"/>
  </r>
  <r>
    <x v="0"/>
    <x v="2"/>
    <x v="0"/>
    <n v="123.1"/>
    <n v="123.1"/>
    <n v="122.1"/>
    <n v="124.9"/>
    <n v="111"/>
    <n v="130.4"/>
    <n v="132.30000000000001"/>
    <n v="117.2"/>
    <n v="100.5"/>
    <n v="117.2"/>
    <n v="117.9"/>
    <n v="125.6"/>
    <n v="122.8"/>
    <n v="122.7"/>
    <n v="124.4"/>
    <n v="121.6"/>
    <n v="124"/>
    <n v="0"/>
    <n v="118.4"/>
    <n v="118.9"/>
    <n v="116.6"/>
    <n v="111"/>
    <n v="114"/>
    <n v="118.2"/>
    <n v="110.2"/>
    <n v="114.5"/>
    <x v="53"/>
    <x v="72"/>
    <x v="71"/>
    <x v="71"/>
    <x v="72"/>
    <n v="2982.6000000000004"/>
  </r>
  <r>
    <x v="1"/>
    <x v="2"/>
    <x v="0"/>
    <n v="124"/>
    <n v="125.5"/>
    <n v="126.6"/>
    <n v="125.2"/>
    <n v="104.3"/>
    <n v="121.3"/>
    <n v="134.4"/>
    <n v="122.9"/>
    <n v="96.1"/>
    <n v="126.6"/>
    <n v="116.5"/>
    <n v="128"/>
    <n v="123.5"/>
    <n v="127.4"/>
    <n v="121"/>
    <n v="116.1"/>
    <n v="120.2"/>
    <n v="117.3"/>
    <n v="113.4"/>
    <n v="117.2"/>
    <n v="113.7"/>
    <n v="107.9"/>
    <n v="114.6"/>
    <n v="120.8"/>
    <n v="111.4"/>
    <n v="113.4"/>
    <x v="62"/>
    <x v="73"/>
    <x v="72"/>
    <x v="72"/>
    <x v="73"/>
    <n v="3089.3"/>
  </r>
  <r>
    <x v="2"/>
    <x v="2"/>
    <x v="0"/>
    <n v="123.4"/>
    <n v="123.9"/>
    <n v="123.8"/>
    <n v="125"/>
    <n v="108.5"/>
    <n v="126.2"/>
    <n v="133"/>
    <n v="119.1"/>
    <n v="99"/>
    <n v="120.3"/>
    <n v="117.3"/>
    <n v="126.7"/>
    <n v="123.1"/>
    <n v="124"/>
    <n v="123.1"/>
    <n v="119.3"/>
    <n v="122.5"/>
    <n v="117.3"/>
    <n v="116.5"/>
    <n v="118.1"/>
    <n v="115.5"/>
    <n v="109.4"/>
    <n v="114.3"/>
    <n v="119.7"/>
    <n v="110.7"/>
    <n v="114"/>
    <x v="48"/>
    <x v="74"/>
    <x v="73"/>
    <x v="73"/>
    <x v="74"/>
    <n v="3093.7"/>
  </r>
  <r>
    <x v="0"/>
    <x v="2"/>
    <x v="1"/>
    <n v="123.4"/>
    <n v="124.4"/>
    <n v="122.1"/>
    <n v="125.8"/>
    <n v="111.5"/>
    <n v="129.4"/>
    <n v="128.19999999999999"/>
    <n v="118.8"/>
    <n v="100"/>
    <n v="118.6"/>
    <n v="118.8"/>
    <n v="126.8"/>
    <n v="122.8"/>
    <n v="124.2"/>
    <n v="125.4"/>
    <n v="122.7"/>
    <n v="125"/>
    <n v="0"/>
    <n v="120"/>
    <n v="119.6"/>
    <n v="117.7"/>
    <n v="110.9"/>
    <n v="114.8"/>
    <n v="118.7"/>
    <n v="110.8"/>
    <n v="115"/>
    <x v="63"/>
    <x v="75"/>
    <x v="74"/>
    <x v="74"/>
    <x v="75"/>
    <n v="2995.3999999999996"/>
  </r>
  <r>
    <x v="1"/>
    <x v="2"/>
    <x v="1"/>
    <n v="124.3"/>
    <n v="126.5"/>
    <n v="119.5"/>
    <n v="125.6"/>
    <n v="104.9"/>
    <n v="121.6"/>
    <n v="131.80000000000001"/>
    <n v="125.1"/>
    <n v="95"/>
    <n v="127.7"/>
    <n v="116.8"/>
    <n v="128.6"/>
    <n v="123.7"/>
    <n v="128.1"/>
    <n v="121.3"/>
    <n v="116.5"/>
    <n v="120.6"/>
    <n v="118.1"/>
    <n v="114"/>
    <n v="117.7"/>
    <n v="114.1"/>
    <n v="106.8"/>
    <n v="114.9"/>
    <n v="120.4"/>
    <n v="111.7"/>
    <n v="113.2"/>
    <x v="64"/>
    <x v="76"/>
    <x v="75"/>
    <x v="75"/>
    <x v="76"/>
    <n v="3088.5"/>
  </r>
  <r>
    <x v="2"/>
    <x v="2"/>
    <x v="1"/>
    <n v="123.7"/>
    <n v="125.1"/>
    <n v="121.1"/>
    <n v="125.7"/>
    <n v="109.1"/>
    <n v="125.8"/>
    <n v="129.4"/>
    <n v="120.9"/>
    <n v="98.3"/>
    <n v="121.6"/>
    <n v="118"/>
    <n v="127.6"/>
    <n v="123.1"/>
    <n v="125.2"/>
    <n v="123.8"/>
    <n v="120.1"/>
    <n v="123.3"/>
    <n v="118.1"/>
    <n v="117.7"/>
    <n v="118.7"/>
    <n v="116.3"/>
    <n v="108.7"/>
    <n v="114.9"/>
    <n v="119.7"/>
    <n v="111.2"/>
    <n v="114.1"/>
    <x v="65"/>
    <x v="77"/>
    <x v="76"/>
    <x v="76"/>
    <x v="77"/>
    <n v="3101.1999999999994"/>
  </r>
  <r>
    <x v="0"/>
    <x v="2"/>
    <x v="2"/>
    <n v="123.3"/>
    <n v="124.7"/>
    <n v="118.9"/>
    <n v="126"/>
    <n v="111.8"/>
    <n v="130.9"/>
    <n v="128"/>
    <n v="119.9"/>
    <n v="98.9"/>
    <n v="119.4"/>
    <n v="118.9"/>
    <n v="127.7"/>
    <n v="123.1"/>
    <n v="124.7"/>
    <n v="126"/>
    <n v="122.9"/>
    <n v="125.5"/>
    <n v="0"/>
    <n v="120.6"/>
    <n v="120.2"/>
    <n v="118.2"/>
    <n v="111.6"/>
    <n v="115.5"/>
    <n v="119.4"/>
    <n v="110.8"/>
    <n v="115.5"/>
    <x v="58"/>
    <x v="78"/>
    <x v="77"/>
    <x v="77"/>
    <x v="78"/>
    <n v="3002.4"/>
  </r>
  <r>
    <x v="1"/>
    <x v="2"/>
    <x v="2"/>
    <n v="124"/>
    <n v="126.7"/>
    <n v="113.5"/>
    <n v="125.9"/>
    <n v="104.8"/>
    <n v="123.8"/>
    <n v="131.4"/>
    <n v="127.2"/>
    <n v="93.2"/>
    <n v="127.4"/>
    <n v="117"/>
    <n v="129.19999999999999"/>
    <n v="123.9"/>
    <n v="128.80000000000001"/>
    <n v="121.7"/>
    <n v="116.9"/>
    <n v="120.9"/>
    <n v="118.6"/>
    <n v="114.4"/>
    <n v="118"/>
    <n v="114.3"/>
    <n v="108.4"/>
    <n v="115.4"/>
    <n v="120.6"/>
    <n v="111.3"/>
    <n v="113.8"/>
    <x v="57"/>
    <x v="79"/>
    <x v="78"/>
    <x v="78"/>
    <x v="79"/>
    <n v="3091.1000000000004"/>
  </r>
  <r>
    <x v="2"/>
    <x v="2"/>
    <x v="2"/>
    <n v="123.5"/>
    <n v="125.4"/>
    <n v="116.8"/>
    <n v="126"/>
    <n v="109.2"/>
    <n v="127.6"/>
    <n v="129.19999999999999"/>
    <n v="122.4"/>
    <n v="97"/>
    <n v="122.1"/>
    <n v="118.1"/>
    <n v="128.4"/>
    <n v="123.4"/>
    <n v="125.8"/>
    <n v="124.3"/>
    <n v="120.4"/>
    <n v="123.7"/>
    <n v="118.6"/>
    <n v="118.3"/>
    <n v="119.2"/>
    <n v="116.7"/>
    <n v="109.9"/>
    <n v="115.4"/>
    <n v="120.1"/>
    <n v="111"/>
    <n v="114.7"/>
    <x v="66"/>
    <x v="80"/>
    <x v="79"/>
    <x v="79"/>
    <x v="80"/>
    <n v="3107.2"/>
  </r>
  <r>
    <x v="0"/>
    <x v="2"/>
    <x v="3"/>
    <n v="123.3"/>
    <n v="125.5"/>
    <n v="117.2"/>
    <n v="126.8"/>
    <n v="111.9"/>
    <n v="134.19999999999999"/>
    <n v="127.5"/>
    <n v="121.5"/>
    <n v="97.8"/>
    <n v="119.8"/>
    <n v="119.4"/>
    <n v="128.69999999999999"/>
    <n v="123.6"/>
    <n v="125.7"/>
    <n v="126.4"/>
    <n v="123.3"/>
    <n v="126"/>
    <n v="0"/>
    <n v="121.2"/>
    <n v="120.9"/>
    <n v="118.6"/>
    <n v="111.9"/>
    <n v="116.2"/>
    <n v="119.9"/>
    <n v="111.6"/>
    <n v="116"/>
    <x v="67"/>
    <x v="81"/>
    <x v="80"/>
    <x v="80"/>
    <x v="81"/>
    <n v="3014.8999999999996"/>
  </r>
  <r>
    <x v="1"/>
    <x v="2"/>
    <x v="3"/>
    <n v="123.8"/>
    <n v="128.19999999999999"/>
    <n v="110"/>
    <n v="126.3"/>
    <n v="104.5"/>
    <n v="130.6"/>
    <n v="130.80000000000001"/>
    <n v="131.30000000000001"/>
    <n v="91.6"/>
    <n v="127.7"/>
    <n v="117.2"/>
    <n v="129.5"/>
    <n v="124.6"/>
    <n v="130.1"/>
    <n v="122.1"/>
    <n v="117.2"/>
    <n v="121.3"/>
    <n v="119.2"/>
    <n v="114.7"/>
    <n v="118.4"/>
    <n v="114.6"/>
    <n v="108.4"/>
    <n v="115.6"/>
    <n v="121.7"/>
    <n v="111.8"/>
    <n v="114.2"/>
    <x v="65"/>
    <x v="82"/>
    <x v="81"/>
    <x v="81"/>
    <x v="82"/>
    <n v="3105.4"/>
  </r>
  <r>
    <x v="2"/>
    <x v="2"/>
    <x v="3"/>
    <n v="123.5"/>
    <n v="126.4"/>
    <n v="114.4"/>
    <n v="126.6"/>
    <n v="109.2"/>
    <n v="132.5"/>
    <n v="128.6"/>
    <n v="124.8"/>
    <n v="95.7"/>
    <n v="122.4"/>
    <n v="118.5"/>
    <n v="129.1"/>
    <n v="124"/>
    <n v="126.9"/>
    <n v="124.7"/>
    <n v="120.8"/>
    <n v="124.1"/>
    <n v="119.2"/>
    <n v="118.7"/>
    <n v="119.7"/>
    <n v="117.1"/>
    <n v="110.1"/>
    <n v="115.9"/>
    <n v="121"/>
    <n v="111.7"/>
    <n v="115.1"/>
    <x v="51"/>
    <x v="83"/>
    <x v="82"/>
    <x v="82"/>
    <x v="83"/>
    <n v="3120.7000000000003"/>
  </r>
  <r>
    <x v="0"/>
    <x v="2"/>
    <x v="4"/>
    <n v="123.5"/>
    <n v="127.1"/>
    <n v="117.3"/>
    <n v="127.7"/>
    <n v="112.5"/>
    <n v="134.1"/>
    <n v="128.5"/>
    <n v="124.3"/>
    <n v="97.6"/>
    <n v="120.7"/>
    <n v="120.2"/>
    <n v="129.80000000000001"/>
    <n v="124.4"/>
    <n v="126.7"/>
    <n v="127.3"/>
    <n v="124.1"/>
    <n v="126.8"/>
    <n v="0"/>
    <n v="121.9"/>
    <n v="121.5"/>
    <n v="119.4"/>
    <n v="113.3"/>
    <n v="116.7"/>
    <n v="120.5"/>
    <n v="112.3"/>
    <n v="116.9"/>
    <x v="68"/>
    <x v="84"/>
    <x v="83"/>
    <x v="83"/>
    <x v="84"/>
    <n v="3035.1"/>
  </r>
  <r>
    <x v="1"/>
    <x v="2"/>
    <x v="4"/>
    <n v="123.8"/>
    <n v="129.69999999999999"/>
    <n v="111.3"/>
    <n v="126.6"/>
    <n v="105.2"/>
    <n v="130.80000000000001"/>
    <n v="135.6"/>
    <n v="142.6"/>
    <n v="90.8"/>
    <n v="128.80000000000001"/>
    <n v="117.7"/>
    <n v="129.9"/>
    <n v="126.1"/>
    <n v="131.30000000000001"/>
    <n v="122.4"/>
    <n v="117.4"/>
    <n v="121.6"/>
    <n v="119.6"/>
    <n v="114.9"/>
    <n v="118.7"/>
    <n v="114.9"/>
    <n v="110.8"/>
    <n v="116"/>
    <n v="122"/>
    <n v="112.4"/>
    <n v="115.2"/>
    <x v="51"/>
    <x v="85"/>
    <x v="84"/>
    <x v="84"/>
    <x v="85"/>
    <n v="3136.1"/>
  </r>
  <r>
    <x v="2"/>
    <x v="2"/>
    <x v="4"/>
    <n v="123.6"/>
    <n v="128"/>
    <n v="115"/>
    <n v="127.3"/>
    <n v="109.8"/>
    <n v="132.6"/>
    <n v="130.9"/>
    <n v="130.5"/>
    <n v="95.3"/>
    <n v="123.4"/>
    <n v="119.2"/>
    <n v="129.80000000000001"/>
    <n v="125"/>
    <n v="127.9"/>
    <n v="125.4"/>
    <n v="121.3"/>
    <n v="124.7"/>
    <n v="119.6"/>
    <n v="119.2"/>
    <n v="120.2"/>
    <n v="117.7"/>
    <n v="112"/>
    <n v="116.3"/>
    <n v="121.4"/>
    <n v="112.3"/>
    <n v="116.1"/>
    <x v="69"/>
    <x v="86"/>
    <x v="85"/>
    <x v="85"/>
    <x v="86"/>
    <n v="3144.5"/>
  </r>
  <r>
    <x v="0"/>
    <x v="2"/>
    <x v="5"/>
    <n v="124.1"/>
    <n v="130.4"/>
    <n v="122.1"/>
    <n v="128.69999999999999"/>
    <n v="114.1"/>
    <n v="133.19999999999999"/>
    <n v="135.19999999999999"/>
    <n v="131.9"/>
    <n v="96.3"/>
    <n v="123"/>
    <n v="121.1"/>
    <n v="131.19999999999999"/>
    <n v="126.6"/>
    <n v="128.19999999999999"/>
    <n v="128.4"/>
    <n v="125.1"/>
    <n v="128"/>
    <n v="0"/>
    <n v="122.6"/>
    <n v="122.8"/>
    <n v="120.4"/>
    <n v="114.2"/>
    <n v="117.9"/>
    <n v="122"/>
    <n v="113"/>
    <n v="117.9"/>
    <x v="70"/>
    <x v="87"/>
    <x v="86"/>
    <x v="86"/>
    <x v="87"/>
    <n v="3078.3999999999996"/>
  </r>
  <r>
    <x v="1"/>
    <x v="2"/>
    <x v="5"/>
    <n v="123.6"/>
    <n v="134.4"/>
    <n v="120.9"/>
    <n v="127.3"/>
    <n v="106"/>
    <n v="132.30000000000001"/>
    <n v="146.69999999999999"/>
    <n v="148.1"/>
    <n v="89.8"/>
    <n v="130.5"/>
    <n v="118"/>
    <n v="130.5"/>
    <n v="128.5"/>
    <n v="132.1"/>
    <n v="123.2"/>
    <n v="117.6"/>
    <n v="122.3"/>
    <n v="119"/>
    <n v="115.1"/>
    <n v="119.2"/>
    <n v="115.4"/>
    <n v="111.7"/>
    <n v="116.2"/>
    <n v="123.8"/>
    <n v="112.5"/>
    <n v="116"/>
    <x v="71"/>
    <x v="88"/>
    <x v="87"/>
    <x v="87"/>
    <x v="88"/>
    <n v="3180.7"/>
  </r>
  <r>
    <x v="2"/>
    <x v="2"/>
    <x v="5"/>
    <n v="123.9"/>
    <n v="131.80000000000001"/>
    <n v="121.6"/>
    <n v="128.19999999999999"/>
    <n v="111.1"/>
    <n v="132.80000000000001"/>
    <n v="139.1"/>
    <n v="137.4"/>
    <n v="94.1"/>
    <n v="125.5"/>
    <n v="119.8"/>
    <n v="130.9"/>
    <n v="127.3"/>
    <n v="129.19999999999999"/>
    <n v="126.4"/>
    <n v="122"/>
    <n v="125.7"/>
    <n v="119"/>
    <n v="119.8"/>
    <n v="121.1"/>
    <n v="118.5"/>
    <n v="112.9"/>
    <n v="116.9"/>
    <n v="123.1"/>
    <n v="112.8"/>
    <n v="117"/>
    <x v="72"/>
    <x v="89"/>
    <x v="88"/>
    <x v="88"/>
    <x v="89"/>
    <n v="3187.8999999999996"/>
  </r>
  <r>
    <x v="0"/>
    <x v="2"/>
    <x v="6"/>
    <n v="124"/>
    <n v="131.5"/>
    <n v="122"/>
    <n v="128.69999999999999"/>
    <n v="113.5"/>
    <n v="133.30000000000001"/>
    <n v="140.80000000000001"/>
    <n v="133.80000000000001"/>
    <n v="94.1"/>
    <n v="123.4"/>
    <n v="121"/>
    <n v="131.69999999999999"/>
    <n v="127.5"/>
    <n v="129.4"/>
    <n v="128.80000000000001"/>
    <n v="125.5"/>
    <n v="128.30000000000001"/>
    <n v="0"/>
    <n v="123"/>
    <n v="123"/>
    <n v="120.8"/>
    <n v="114.1"/>
    <n v="118"/>
    <n v="122.9"/>
    <n v="112.7"/>
    <n v="118.1"/>
    <x v="73"/>
    <x v="90"/>
    <x v="89"/>
    <x v="89"/>
    <x v="90"/>
    <n v="3089.9"/>
  </r>
  <r>
    <x v="1"/>
    <x v="2"/>
    <x v="6"/>
    <n v="123.2"/>
    <n v="134.30000000000001"/>
    <n v="119.5"/>
    <n v="127.7"/>
    <n v="106.3"/>
    <n v="132.80000000000001"/>
    <n v="153.5"/>
    <n v="149.5"/>
    <n v="85.7"/>
    <n v="131.5"/>
    <n v="118.3"/>
    <n v="131.1"/>
    <n v="129.5"/>
    <n v="133.1"/>
    <n v="123.5"/>
    <n v="117.9"/>
    <n v="122.7"/>
    <n v="119.9"/>
    <n v="115.3"/>
    <n v="119.5"/>
    <n v="116"/>
    <n v="111.5"/>
    <n v="116.6"/>
    <n v="125.4"/>
    <n v="111.7"/>
    <n v="116.3"/>
    <x v="68"/>
    <x v="91"/>
    <x v="90"/>
    <x v="90"/>
    <x v="91"/>
    <n v="3192.2999999999997"/>
  </r>
  <r>
    <x v="2"/>
    <x v="2"/>
    <x v="6"/>
    <n v="123.7"/>
    <n v="132.5"/>
    <n v="121"/>
    <n v="128.30000000000001"/>
    <n v="110.9"/>
    <n v="133.1"/>
    <n v="145.1"/>
    <n v="139.1"/>
    <n v="91.3"/>
    <n v="126.1"/>
    <n v="119.9"/>
    <n v="131.4"/>
    <n v="128.19999999999999"/>
    <n v="130.4"/>
    <n v="126.7"/>
    <n v="122.3"/>
    <n v="126.1"/>
    <n v="119.9"/>
    <n v="120.1"/>
    <n v="121.3"/>
    <n v="119"/>
    <n v="112.7"/>
    <n v="117.2"/>
    <n v="124.4"/>
    <n v="112.3"/>
    <n v="117.2"/>
    <x v="74"/>
    <x v="92"/>
    <x v="91"/>
    <x v="91"/>
    <x v="92"/>
    <n v="3200.2000000000003"/>
  </r>
  <r>
    <x v="0"/>
    <x v="2"/>
    <x v="7"/>
    <n v="124.7"/>
    <n v="131.30000000000001"/>
    <n v="121.3"/>
    <n v="128.80000000000001"/>
    <n v="114"/>
    <n v="134.19999999999999"/>
    <n v="153.6"/>
    <n v="137.9"/>
    <n v="93.1"/>
    <n v="123.9"/>
    <n v="121.5"/>
    <n v="132.5"/>
    <n v="129.80000000000001"/>
    <n v="130.1"/>
    <n v="129.5"/>
    <n v="126.3"/>
    <n v="129"/>
    <n v="0"/>
    <n v="123.8"/>
    <n v="123.7"/>
    <n v="121.1"/>
    <n v="113.6"/>
    <n v="118.5"/>
    <n v="123.6"/>
    <n v="112.5"/>
    <n v="118.2"/>
    <x v="75"/>
    <x v="93"/>
    <x v="92"/>
    <x v="92"/>
    <x v="93"/>
    <n v="3116.5"/>
  </r>
  <r>
    <x v="1"/>
    <x v="2"/>
    <x v="7"/>
    <n v="123.1"/>
    <n v="131.69999999999999"/>
    <n v="118.1"/>
    <n v="128"/>
    <n v="106.8"/>
    <n v="130.1"/>
    <n v="165.5"/>
    <n v="156"/>
    <n v="85.3"/>
    <n v="132.69999999999999"/>
    <n v="118.8"/>
    <n v="131.69999999999999"/>
    <n v="131.1"/>
    <n v="134.19999999999999"/>
    <n v="123.7"/>
    <n v="118.2"/>
    <n v="122.9"/>
    <n v="120.9"/>
    <n v="115.3"/>
    <n v="120"/>
    <n v="116.6"/>
    <n v="109.9"/>
    <n v="117.2"/>
    <n v="126.2"/>
    <n v="112"/>
    <n v="116.2"/>
    <x v="76"/>
    <x v="94"/>
    <x v="93"/>
    <x v="93"/>
    <x v="94"/>
    <n v="3212.2"/>
  </r>
  <r>
    <x v="2"/>
    <x v="2"/>
    <x v="7"/>
    <n v="124.2"/>
    <n v="131.4"/>
    <n v="120.1"/>
    <n v="128.5"/>
    <n v="111.4"/>
    <n v="132.30000000000001"/>
    <n v="157.6"/>
    <n v="144"/>
    <n v="90.5"/>
    <n v="126.8"/>
    <n v="120.4"/>
    <n v="132.1"/>
    <n v="130.30000000000001"/>
    <n v="131.19999999999999"/>
    <n v="127.2"/>
    <n v="122.9"/>
    <n v="126.6"/>
    <n v="120.9"/>
    <n v="120.6"/>
    <n v="122"/>
    <n v="119.4"/>
    <n v="111.7"/>
    <n v="117.8"/>
    <n v="125.1"/>
    <n v="112.3"/>
    <n v="117.2"/>
    <x v="77"/>
    <x v="95"/>
    <x v="94"/>
    <x v="94"/>
    <x v="95"/>
    <n v="3224.5"/>
  </r>
  <r>
    <x v="0"/>
    <x v="2"/>
    <x v="8"/>
    <n v="125.1"/>
    <n v="131.1"/>
    <n v="120.7"/>
    <n v="129.19999999999999"/>
    <n v="114.7"/>
    <n v="132.30000000000001"/>
    <n v="158.9"/>
    <n v="142.1"/>
    <n v="92.5"/>
    <n v="125.4"/>
    <n v="121.9"/>
    <n v="132.69999999999999"/>
    <n v="131"/>
    <n v="131"/>
    <n v="130.4"/>
    <n v="126.8"/>
    <n v="129.9"/>
    <n v="0"/>
    <n v="123.7"/>
    <n v="124.5"/>
    <n v="121.4"/>
    <n v="113.8"/>
    <n v="119.6"/>
    <n v="124.5"/>
    <n v="113.7"/>
    <n v="118.8"/>
    <x v="78"/>
    <x v="96"/>
    <x v="95"/>
    <x v="95"/>
    <x v="96"/>
    <n v="3135.7000000000003"/>
  </r>
  <r>
    <x v="1"/>
    <x v="2"/>
    <x v="8"/>
    <n v="123.4"/>
    <n v="129"/>
    <n v="115.6"/>
    <n v="128.30000000000001"/>
    <n v="107"/>
    <n v="124"/>
    <n v="168.5"/>
    <n v="165.4"/>
    <n v="86.3"/>
    <n v="134.4"/>
    <n v="119.1"/>
    <n v="132.30000000000001"/>
    <n v="131.5"/>
    <n v="134.69999999999999"/>
    <n v="124"/>
    <n v="118.6"/>
    <n v="123.2"/>
    <n v="121.6"/>
    <n v="115.1"/>
    <n v="120.4"/>
    <n v="117.1"/>
    <n v="109.1"/>
    <n v="117.3"/>
    <n v="126.5"/>
    <n v="112.9"/>
    <n v="116.2"/>
    <x v="79"/>
    <x v="97"/>
    <x v="96"/>
    <x v="96"/>
    <x v="97"/>
    <n v="3221.4999999999995"/>
  </r>
  <r>
    <x v="2"/>
    <x v="2"/>
    <x v="8"/>
    <n v="124.6"/>
    <n v="130.4"/>
    <n v="118.7"/>
    <n v="128.9"/>
    <n v="111.9"/>
    <n v="128.4"/>
    <n v="162.19999999999999"/>
    <n v="150"/>
    <n v="90.4"/>
    <n v="128.4"/>
    <n v="120.7"/>
    <n v="132.5"/>
    <n v="131.19999999999999"/>
    <n v="132"/>
    <n v="127.9"/>
    <n v="123.4"/>
    <n v="127.2"/>
    <n v="121.6"/>
    <n v="120.4"/>
    <n v="122.6"/>
    <n v="119.8"/>
    <n v="111.3"/>
    <n v="118.3"/>
    <n v="125.7"/>
    <n v="113.4"/>
    <n v="117.5"/>
    <x v="80"/>
    <x v="98"/>
    <x v="97"/>
    <x v="97"/>
    <x v="98"/>
    <n v="3239.4000000000005"/>
  </r>
  <r>
    <x v="0"/>
    <x v="2"/>
    <x v="9"/>
    <n v="125.6"/>
    <n v="130.4"/>
    <n v="120.8"/>
    <n v="129.4"/>
    <n v="115.8"/>
    <n v="133.19999999999999"/>
    <n v="157.69999999999999"/>
    <n v="154.19999999999999"/>
    <n v="93.7"/>
    <n v="126.6"/>
    <n v="122.3"/>
    <n v="133.1"/>
    <n v="131.80000000000001"/>
    <n v="131.5"/>
    <n v="131.1"/>
    <n v="127.3"/>
    <n v="130.6"/>
    <n v="0"/>
    <n v="124.4"/>
    <n v="125.1"/>
    <n v="122"/>
    <n v="113.8"/>
    <n v="120.1"/>
    <n v="125.1"/>
    <n v="114.2"/>
    <n v="119.2"/>
    <x v="81"/>
    <x v="99"/>
    <x v="98"/>
    <x v="98"/>
    <x v="99"/>
    <n v="3159"/>
  </r>
  <r>
    <x v="1"/>
    <x v="2"/>
    <x v="9"/>
    <n v="123.6"/>
    <n v="128.6"/>
    <n v="115.9"/>
    <n v="128.5"/>
    <n v="109"/>
    <n v="124.1"/>
    <n v="165.8"/>
    <n v="187.2"/>
    <n v="89.4"/>
    <n v="135.80000000000001"/>
    <n v="119.4"/>
    <n v="132.9"/>
    <n v="132.6"/>
    <n v="135.30000000000001"/>
    <n v="124.4"/>
    <n v="118.8"/>
    <n v="123.6"/>
    <n v="122.4"/>
    <n v="114.9"/>
    <n v="120.7"/>
    <n v="117.7"/>
    <n v="109.3"/>
    <n v="117.7"/>
    <n v="126.5"/>
    <n v="113.5"/>
    <n v="116.5"/>
    <x v="82"/>
    <x v="100"/>
    <x v="99"/>
    <x v="99"/>
    <x v="100"/>
    <n v="3254.1000000000004"/>
  </r>
  <r>
    <x v="2"/>
    <x v="2"/>
    <x v="9"/>
    <n v="125"/>
    <n v="129.80000000000001"/>
    <n v="118.9"/>
    <n v="129.1"/>
    <n v="113.3"/>
    <n v="129"/>
    <n v="160.4"/>
    <n v="165.3"/>
    <n v="92.3"/>
    <n v="129.69999999999999"/>
    <n v="121.1"/>
    <n v="133"/>
    <n v="132.1"/>
    <n v="132.5"/>
    <n v="128.5"/>
    <n v="123.8"/>
    <n v="127.8"/>
    <n v="122.4"/>
    <n v="120.8"/>
    <n v="123"/>
    <n v="120.4"/>
    <n v="111.4"/>
    <n v="118.7"/>
    <n v="125.9"/>
    <n v="113.9"/>
    <n v="117.9"/>
    <x v="75"/>
    <x v="101"/>
    <x v="100"/>
    <x v="100"/>
    <x v="101"/>
    <n v="3266"/>
  </r>
  <r>
    <x v="0"/>
    <x v="2"/>
    <x v="11"/>
    <n v="126.1"/>
    <n v="130.6"/>
    <n v="121.7"/>
    <n v="129.5"/>
    <n v="117.8"/>
    <n v="132.1"/>
    <n v="155.19999999999999"/>
    <n v="160.80000000000001"/>
    <n v="94.5"/>
    <n v="128.30000000000001"/>
    <n v="123.1"/>
    <n v="134.19999999999999"/>
    <n v="132.4"/>
    <n v="132.19999999999999"/>
    <n v="132.1"/>
    <n v="128.19999999999999"/>
    <n v="131.5"/>
    <n v="0"/>
    <n v="125.6"/>
    <n v="125.6"/>
    <n v="122.6"/>
    <n v="114"/>
    <n v="120.9"/>
    <n v="125.8"/>
    <n v="114.2"/>
    <n v="119.6"/>
    <x v="83"/>
    <x v="102"/>
    <x v="101"/>
    <x v="101"/>
    <x v="102"/>
    <n v="3178.6"/>
  </r>
  <r>
    <x v="1"/>
    <x v="2"/>
    <x v="11"/>
    <n v="124"/>
    <n v="129.80000000000001"/>
    <n v="121.5"/>
    <n v="128.6"/>
    <n v="110"/>
    <n v="123.7"/>
    <n v="164.6"/>
    <n v="191.6"/>
    <n v="90.8"/>
    <n v="137.1"/>
    <n v="119.8"/>
    <n v="133.69999999999999"/>
    <n v="133.30000000000001"/>
    <n v="137.6"/>
    <n v="125"/>
    <n v="119.3"/>
    <n v="124.2"/>
    <n v="122.9"/>
    <n v="115.1"/>
    <n v="121"/>
    <n v="118.1"/>
    <n v="109.3"/>
    <n v="117.9"/>
    <n v="126.6"/>
    <n v="113.3"/>
    <n v="116.6"/>
    <x v="84"/>
    <x v="103"/>
    <x v="102"/>
    <x v="102"/>
    <x v="103"/>
    <n v="3275.3999999999996"/>
  </r>
  <r>
    <x v="2"/>
    <x v="2"/>
    <x v="11"/>
    <n v="125.4"/>
    <n v="130.30000000000001"/>
    <n v="121.6"/>
    <n v="129.19999999999999"/>
    <n v="114.9"/>
    <n v="128.19999999999999"/>
    <n v="158.4"/>
    <n v="171.2"/>
    <n v="93.3"/>
    <n v="131.19999999999999"/>
    <n v="121.7"/>
    <n v="134"/>
    <n v="132.69999999999999"/>
    <n v="133.6"/>
    <n v="129.30000000000001"/>
    <n v="124.5"/>
    <n v="128.6"/>
    <n v="122.9"/>
    <n v="121.6"/>
    <n v="123.4"/>
    <n v="120.9"/>
    <n v="111.5"/>
    <n v="119.2"/>
    <n v="126.3"/>
    <n v="113.8"/>
    <n v="118.1"/>
    <x v="85"/>
    <x v="104"/>
    <x v="103"/>
    <x v="103"/>
    <x v="104"/>
    <n v="3285.7999999999997"/>
  </r>
  <r>
    <x v="0"/>
    <x v="2"/>
    <x v="12"/>
    <n v="126.3"/>
    <n v="131.30000000000001"/>
    <n v="123.3"/>
    <n v="129.80000000000001"/>
    <n v="118.3"/>
    <n v="131.6"/>
    <n v="145.5"/>
    <n v="162.1"/>
    <n v="95.4"/>
    <n v="128.9"/>
    <n v="123.3"/>
    <n v="135.1"/>
    <n v="131.4"/>
    <n v="133.1"/>
    <n v="132.5"/>
    <n v="128.5"/>
    <n v="131.9"/>
    <n v="0"/>
    <n v="125.7"/>
    <n v="126"/>
    <n v="123.1"/>
    <n v="114"/>
    <n v="121.6"/>
    <n v="125.6"/>
    <n v="114.1"/>
    <n v="119.8"/>
    <x v="86"/>
    <x v="105"/>
    <x v="104"/>
    <x v="104"/>
    <x v="105"/>
    <n v="3178.2"/>
  </r>
  <r>
    <x v="1"/>
    <x v="2"/>
    <x v="12"/>
    <n v="124.3"/>
    <n v="131.69999999999999"/>
    <n v="127.1"/>
    <n v="128.6"/>
    <n v="110"/>
    <n v="120.8"/>
    <n v="149"/>
    <n v="190.1"/>
    <n v="92.7"/>
    <n v="138.6"/>
    <n v="120.2"/>
    <n v="134.19999999999999"/>
    <n v="131.5"/>
    <n v="138.19999999999999"/>
    <n v="125.4"/>
    <n v="119.5"/>
    <n v="124.5"/>
    <n v="122.4"/>
    <n v="116"/>
    <n v="121"/>
    <n v="118.6"/>
    <n v="109.3"/>
    <n v="118.1"/>
    <n v="126.6"/>
    <n v="113.2"/>
    <n v="116.7"/>
    <x v="87"/>
    <x v="106"/>
    <x v="105"/>
    <x v="105"/>
    <x v="106"/>
    <n v="3268.2999999999997"/>
  </r>
  <r>
    <x v="2"/>
    <x v="2"/>
    <x v="12"/>
    <n v="125.7"/>
    <n v="131.4"/>
    <n v="124.8"/>
    <n v="129.4"/>
    <n v="115.3"/>
    <n v="126.6"/>
    <n v="146.69999999999999"/>
    <n v="171.5"/>
    <n v="94.5"/>
    <n v="132.1"/>
    <n v="122"/>
    <n v="134.69999999999999"/>
    <n v="131.4"/>
    <n v="134.5"/>
    <n v="129.69999999999999"/>
    <n v="124.8"/>
    <n v="129"/>
    <n v="122.4"/>
    <n v="122"/>
    <n v="123.6"/>
    <n v="121.4"/>
    <n v="111.5"/>
    <n v="119.6"/>
    <n v="126.2"/>
    <n v="113.7"/>
    <n v="118.3"/>
    <x v="75"/>
    <x v="107"/>
    <x v="106"/>
    <x v="106"/>
    <x v="107"/>
    <n v="3282.8"/>
  </r>
  <r>
    <x v="0"/>
    <x v="3"/>
    <x v="0"/>
    <n v="126.8"/>
    <n v="133.19999999999999"/>
    <n v="126.5"/>
    <n v="130.30000000000001"/>
    <n v="118.9"/>
    <n v="131.6"/>
    <n v="140.1"/>
    <n v="163.80000000000001"/>
    <n v="97.7"/>
    <n v="129.6"/>
    <n v="124.3"/>
    <n v="135.9"/>
    <n v="131.4"/>
    <n v="133.6"/>
    <n v="133.19999999999999"/>
    <n v="128.9"/>
    <n v="132.6"/>
    <n v="0"/>
    <n v="126.2"/>
    <n v="126.6"/>
    <n v="123.7"/>
    <n v="113.6"/>
    <n v="121.4"/>
    <n v="126.2"/>
    <n v="114.9"/>
    <n v="120.1"/>
    <x v="88"/>
    <x v="108"/>
    <x v="107"/>
    <x v="107"/>
    <x v="108"/>
    <n v="3191.1000000000004"/>
  </r>
  <r>
    <x v="1"/>
    <x v="3"/>
    <x v="0"/>
    <n v="124.7"/>
    <n v="135.9"/>
    <n v="132"/>
    <n v="129.19999999999999"/>
    <n v="109.7"/>
    <n v="119"/>
    <n v="144.1"/>
    <n v="184.2"/>
    <n v="96.7"/>
    <n v="139.5"/>
    <n v="120.5"/>
    <n v="134.69999999999999"/>
    <n v="131.19999999999999"/>
    <n v="139.5"/>
    <n v="125.8"/>
    <n v="119.8"/>
    <n v="124.9"/>
    <n v="123.4"/>
    <n v="116.9"/>
    <n v="121.6"/>
    <n v="119.1"/>
    <n v="108.9"/>
    <n v="118.5"/>
    <n v="126.4"/>
    <n v="114"/>
    <n v="116.8"/>
    <x v="82"/>
    <x v="109"/>
    <x v="108"/>
    <x v="108"/>
    <x v="109"/>
    <n v="3277"/>
  </r>
  <r>
    <x v="2"/>
    <x v="3"/>
    <x v="0"/>
    <n v="126.1"/>
    <n v="134.1"/>
    <n v="128.6"/>
    <n v="129.9"/>
    <n v="115.5"/>
    <n v="125.7"/>
    <n v="141.5"/>
    <n v="170.7"/>
    <n v="97.4"/>
    <n v="132.9"/>
    <n v="122.7"/>
    <n v="135.30000000000001"/>
    <n v="131.30000000000001"/>
    <n v="135.19999999999999"/>
    <n v="130.30000000000001"/>
    <n v="125.1"/>
    <n v="129.5"/>
    <n v="123.4"/>
    <n v="122.7"/>
    <n v="124.2"/>
    <n v="122"/>
    <n v="111.1"/>
    <n v="119.8"/>
    <n v="126.3"/>
    <n v="114.5"/>
    <n v="118.5"/>
    <x v="89"/>
    <x v="110"/>
    <x v="109"/>
    <x v="109"/>
    <x v="110"/>
    <n v="3294.3"/>
  </r>
  <r>
    <x v="0"/>
    <x v="3"/>
    <x v="1"/>
    <n v="127.1"/>
    <n v="133.69999999999999"/>
    <n v="127.7"/>
    <n v="130.69999999999999"/>
    <n v="118.5"/>
    <n v="130.4"/>
    <n v="130.9"/>
    <n v="162.80000000000001"/>
    <n v="98.7"/>
    <n v="130.6"/>
    <n v="124.8"/>
    <n v="136.4"/>
    <n v="130.30000000000001"/>
    <n v="134.4"/>
    <n v="133.9"/>
    <n v="129.80000000000001"/>
    <n v="133.4"/>
    <n v="0"/>
    <n v="127.5"/>
    <n v="127.1"/>
    <n v="124.3"/>
    <n v="113.9"/>
    <n v="122.3"/>
    <n v="127.1"/>
    <n v="116.8"/>
    <n v="120.9"/>
    <x v="86"/>
    <x v="111"/>
    <x v="110"/>
    <x v="110"/>
    <x v="111"/>
    <n v="3194"/>
  </r>
  <r>
    <x v="1"/>
    <x v="3"/>
    <x v="1"/>
    <n v="124.8"/>
    <n v="135.1"/>
    <n v="130.30000000000001"/>
    <n v="129.6"/>
    <n v="108.4"/>
    <n v="118.6"/>
    <n v="129.19999999999999"/>
    <n v="176.4"/>
    <n v="99.1"/>
    <n v="139.69999999999999"/>
    <n v="120.6"/>
    <n v="135.19999999999999"/>
    <n v="129.1"/>
    <n v="140"/>
    <n v="126.2"/>
    <n v="120.1"/>
    <n v="125.3"/>
    <n v="124.4"/>
    <n v="116"/>
    <n v="121.8"/>
    <n v="119.5"/>
    <n v="109.1"/>
    <n v="118.8"/>
    <n v="126.3"/>
    <n v="116.2"/>
    <n v="117.2"/>
    <x v="90"/>
    <x v="112"/>
    <x v="111"/>
    <x v="111"/>
    <x v="112"/>
    <n v="3257"/>
  </r>
  <r>
    <x v="2"/>
    <x v="3"/>
    <x v="1"/>
    <n v="126.4"/>
    <n v="134.19999999999999"/>
    <n v="128.69999999999999"/>
    <n v="130.30000000000001"/>
    <n v="114.8"/>
    <n v="124.9"/>
    <n v="130.30000000000001"/>
    <n v="167.4"/>
    <n v="98.8"/>
    <n v="133.6"/>
    <n v="123"/>
    <n v="135.80000000000001"/>
    <n v="129.9"/>
    <n v="135.9"/>
    <n v="130.9"/>
    <n v="125.8"/>
    <n v="130.19999999999999"/>
    <n v="124.4"/>
    <n v="123.1"/>
    <n v="124.6"/>
    <n v="122.5"/>
    <n v="111.4"/>
    <n v="120.3"/>
    <n v="126.6"/>
    <n v="116.6"/>
    <n v="119.1"/>
    <x v="91"/>
    <x v="113"/>
    <x v="112"/>
    <x v="112"/>
    <x v="113"/>
    <n v="3289.5"/>
  </r>
  <r>
    <x v="0"/>
    <x v="3"/>
    <x v="2"/>
    <n v="127.3"/>
    <n v="134.4"/>
    <n v="125.1"/>
    <n v="130.5"/>
    <n v="118.3"/>
    <n v="131.69999999999999"/>
    <n v="130.69999999999999"/>
    <n v="161.19999999999999"/>
    <n v="100.4"/>
    <n v="130.80000000000001"/>
    <n v="124.9"/>
    <n v="137"/>
    <n v="130.4"/>
    <n v="135"/>
    <n v="134.4"/>
    <n v="130.19999999999999"/>
    <n v="133.80000000000001"/>
    <n v="0"/>
    <n v="127"/>
    <n v="127.7"/>
    <n v="124.8"/>
    <n v="113.6"/>
    <n v="122.5"/>
    <n v="127.5"/>
    <n v="117.4"/>
    <n v="121.1"/>
    <x v="92"/>
    <x v="114"/>
    <x v="113"/>
    <x v="113"/>
    <x v="114"/>
    <n v="3197.7000000000003"/>
  </r>
  <r>
    <x v="1"/>
    <x v="3"/>
    <x v="2"/>
    <n v="124.8"/>
    <n v="136.30000000000001"/>
    <n v="123.7"/>
    <n v="129.69999999999999"/>
    <n v="107.9"/>
    <n v="119.9"/>
    <n v="128.1"/>
    <n v="170.3"/>
    <n v="101.8"/>
    <n v="140.1"/>
    <n v="120.7"/>
    <n v="135.4"/>
    <n v="128.9"/>
    <n v="140.6"/>
    <n v="126.4"/>
    <n v="120.3"/>
    <n v="125.5"/>
    <n v="124.9"/>
    <n v="114.8"/>
    <n v="122.3"/>
    <n v="119.7"/>
    <n v="108.5"/>
    <n v="119.1"/>
    <n v="126.4"/>
    <n v="117.1"/>
    <n v="117.3"/>
    <x v="90"/>
    <x v="115"/>
    <x v="114"/>
    <x v="114"/>
    <x v="115"/>
    <n v="3250.5"/>
  </r>
  <r>
    <x v="2"/>
    <x v="3"/>
    <x v="2"/>
    <n v="126.5"/>
    <n v="135.1"/>
    <n v="124.6"/>
    <n v="130.19999999999999"/>
    <n v="114.5"/>
    <n v="126.2"/>
    <n v="129.80000000000001"/>
    <n v="164.3"/>
    <n v="100.9"/>
    <n v="133.9"/>
    <n v="123.1"/>
    <n v="136.30000000000001"/>
    <n v="129.80000000000001"/>
    <n v="136.5"/>
    <n v="131.30000000000001"/>
    <n v="126.1"/>
    <n v="130.5"/>
    <n v="124.9"/>
    <n v="122.4"/>
    <n v="125.1"/>
    <n v="122.9"/>
    <n v="110.9"/>
    <n v="120.6"/>
    <n v="126.9"/>
    <n v="117.3"/>
    <n v="119.3"/>
    <x v="91"/>
    <x v="116"/>
    <x v="115"/>
    <x v="115"/>
    <x v="116"/>
    <n v="3289.8999999999996"/>
  </r>
  <r>
    <x v="0"/>
    <x v="3"/>
    <x v="3"/>
    <n v="127.4"/>
    <n v="135.4"/>
    <n v="123.4"/>
    <n v="131.30000000000001"/>
    <n v="118.2"/>
    <n v="138.1"/>
    <n v="134.1"/>
    <n v="162.69999999999999"/>
    <n v="105"/>
    <n v="131.4"/>
    <n v="125.4"/>
    <n v="137.4"/>
    <n v="131.80000000000001"/>
    <n v="135.5"/>
    <n v="135"/>
    <n v="130.6"/>
    <n v="134.4"/>
    <n v="0"/>
    <n v="127"/>
    <n v="128"/>
    <n v="125.2"/>
    <n v="114.4"/>
    <n v="123.2"/>
    <n v="127.9"/>
    <n v="118.4"/>
    <n v="121.7"/>
    <x v="93"/>
    <x v="117"/>
    <x v="116"/>
    <x v="116"/>
    <x v="117"/>
    <n v="3222.9000000000005"/>
  </r>
  <r>
    <x v="1"/>
    <x v="3"/>
    <x v="3"/>
    <n v="124.9"/>
    <n v="139.30000000000001"/>
    <n v="119.9"/>
    <n v="130.19999999999999"/>
    <n v="108.9"/>
    <n v="131.1"/>
    <n v="136.80000000000001"/>
    <n v="176.9"/>
    <n v="109.1"/>
    <n v="140.4"/>
    <n v="121.1"/>
    <n v="135.9"/>
    <n v="131.80000000000001"/>
    <n v="141.5"/>
    <n v="126.8"/>
    <n v="120.5"/>
    <n v="125.8"/>
    <n v="125.6"/>
    <n v="114.6"/>
    <n v="122.8"/>
    <n v="120"/>
    <n v="110"/>
    <n v="119.5"/>
    <n v="127.6"/>
    <n v="117.6"/>
    <n v="118.2"/>
    <x v="94"/>
    <x v="118"/>
    <x v="117"/>
    <x v="117"/>
    <x v="118"/>
    <n v="3296.8"/>
  </r>
  <r>
    <x v="2"/>
    <x v="3"/>
    <x v="3"/>
    <n v="126.6"/>
    <n v="136.80000000000001"/>
    <n v="122"/>
    <n v="130.9"/>
    <n v="114.8"/>
    <n v="134.80000000000001"/>
    <n v="135"/>
    <n v="167.5"/>
    <n v="106.4"/>
    <n v="134.4"/>
    <n v="123.6"/>
    <n v="136.69999999999999"/>
    <n v="131.80000000000001"/>
    <n v="137.1"/>
    <n v="131.80000000000001"/>
    <n v="126.4"/>
    <n v="131"/>
    <n v="125.6"/>
    <n v="122.3"/>
    <n v="125.5"/>
    <n v="123.2"/>
    <n v="112.1"/>
    <n v="121.1"/>
    <n v="127.7"/>
    <n v="118.1"/>
    <n v="120"/>
    <x v="95"/>
    <x v="119"/>
    <x v="118"/>
    <x v="118"/>
    <x v="119"/>
    <n v="3323.2"/>
  </r>
  <r>
    <x v="0"/>
    <x v="3"/>
    <x v="4"/>
    <n v="127.6"/>
    <n v="137.5"/>
    <n v="124.4"/>
    <n v="132.4"/>
    <n v="118.2"/>
    <n v="138.1"/>
    <n v="141.80000000000001"/>
    <n v="166"/>
    <n v="107.5"/>
    <n v="132.19999999999999"/>
    <n v="126.1"/>
    <n v="138.30000000000001"/>
    <n v="133.6"/>
    <n v="136"/>
    <n v="135.4"/>
    <n v="131.1"/>
    <n v="134.80000000000001"/>
    <n v="0"/>
    <n v="127.4"/>
    <n v="128.5"/>
    <n v="125.8"/>
    <n v="115.1"/>
    <n v="123.6"/>
    <n v="129.1"/>
    <n v="119.7"/>
    <n v="122.5"/>
    <x v="96"/>
    <x v="120"/>
    <x v="119"/>
    <x v="119"/>
    <x v="120"/>
    <n v="3252.7"/>
  </r>
  <r>
    <x v="1"/>
    <x v="3"/>
    <x v="4"/>
    <n v="125"/>
    <n v="142.1"/>
    <n v="127"/>
    <n v="130.4"/>
    <n v="109.6"/>
    <n v="133.5"/>
    <n v="151.4"/>
    <n v="182.8"/>
    <n v="111.1"/>
    <n v="141.5"/>
    <n v="121.5"/>
    <n v="136.30000000000001"/>
    <n v="134.6"/>
    <n v="142.19999999999999"/>
    <n v="127.2"/>
    <n v="120.7"/>
    <n v="126.2"/>
    <n v="126"/>
    <n v="115"/>
    <n v="123.2"/>
    <n v="120.3"/>
    <n v="110.7"/>
    <n v="119.8"/>
    <n v="128"/>
    <n v="118.5"/>
    <n v="118.7"/>
    <x v="85"/>
    <x v="121"/>
    <x v="120"/>
    <x v="120"/>
    <x v="121"/>
    <n v="3343.3"/>
  </r>
  <r>
    <x v="2"/>
    <x v="3"/>
    <x v="4"/>
    <n v="126.8"/>
    <n v="139.1"/>
    <n v="125.4"/>
    <n v="131.69999999999999"/>
    <n v="115"/>
    <n v="136"/>
    <n v="145.1"/>
    <n v="171.7"/>
    <n v="108.7"/>
    <n v="135.30000000000001"/>
    <n v="124.2"/>
    <n v="137.4"/>
    <n v="134"/>
    <n v="137.69999999999999"/>
    <n v="132.19999999999999"/>
    <n v="126.8"/>
    <n v="131.4"/>
    <n v="126"/>
    <n v="122.7"/>
    <n v="126"/>
    <n v="123.7"/>
    <n v="112.8"/>
    <n v="121.5"/>
    <n v="128.5"/>
    <n v="119.2"/>
    <n v="120.7"/>
    <x v="97"/>
    <x v="122"/>
    <x v="121"/>
    <x v="121"/>
    <x v="122"/>
    <n v="3359.6000000000004"/>
  </r>
  <r>
    <x v="0"/>
    <x v="3"/>
    <x v="5"/>
    <n v="128.6"/>
    <n v="138.6"/>
    <n v="126.6"/>
    <n v="133.6"/>
    <n v="118.6"/>
    <n v="137.4"/>
    <n v="152.5"/>
    <n v="169.2"/>
    <n v="108.8"/>
    <n v="133.1"/>
    <n v="126.4"/>
    <n v="139.19999999999999"/>
    <n v="136"/>
    <n v="137.19999999999999"/>
    <n v="136.30000000000001"/>
    <n v="131.6"/>
    <n v="135.6"/>
    <n v="0"/>
    <n v="128"/>
    <n v="129.30000000000001"/>
    <n v="126.2"/>
    <n v="116.3"/>
    <n v="124.1"/>
    <n v="130.19999999999999"/>
    <n v="119.9"/>
    <n v="123.3"/>
    <x v="98"/>
    <x v="123"/>
    <x v="122"/>
    <x v="122"/>
    <x v="123"/>
    <n v="3286.6"/>
  </r>
  <r>
    <x v="1"/>
    <x v="3"/>
    <x v="5"/>
    <n v="125.9"/>
    <n v="143.9"/>
    <n v="130.9"/>
    <n v="131"/>
    <n v="110.2"/>
    <n v="135.5"/>
    <n v="173.7"/>
    <n v="184.4"/>
    <n v="112"/>
    <n v="142.80000000000001"/>
    <n v="121.6"/>
    <n v="136.9"/>
    <n v="138.19999999999999"/>
    <n v="142.69999999999999"/>
    <n v="127.6"/>
    <n v="121.1"/>
    <n v="126.6"/>
    <n v="125.5"/>
    <n v="115.5"/>
    <n v="123.2"/>
    <n v="120.6"/>
    <n v="112.3"/>
    <n v="119.9"/>
    <n v="129.30000000000001"/>
    <n v="118.8"/>
    <n v="119.6"/>
    <x v="88"/>
    <x v="124"/>
    <x v="123"/>
    <x v="123"/>
    <x v="124"/>
    <n v="3389.7000000000003"/>
  </r>
  <r>
    <x v="2"/>
    <x v="3"/>
    <x v="5"/>
    <n v="127.7"/>
    <n v="140.5"/>
    <n v="128.30000000000001"/>
    <n v="132.6"/>
    <n v="115.5"/>
    <n v="136.5"/>
    <n v="159.69999999999999"/>
    <n v="174.3"/>
    <n v="109.9"/>
    <n v="136.30000000000001"/>
    <n v="124.4"/>
    <n v="138.1"/>
    <n v="136.80000000000001"/>
    <n v="138.69999999999999"/>
    <n v="132.9"/>
    <n v="127.2"/>
    <n v="132"/>
    <n v="125.5"/>
    <n v="123.3"/>
    <n v="126.4"/>
    <n v="124.1"/>
    <n v="114.2"/>
    <n v="121.7"/>
    <n v="129.69999999999999"/>
    <n v="119.4"/>
    <n v="121.5"/>
    <x v="99"/>
    <x v="125"/>
    <x v="124"/>
    <x v="124"/>
    <x v="125"/>
    <n v="3397.2000000000003"/>
  </r>
  <r>
    <x v="0"/>
    <x v="3"/>
    <x v="6"/>
    <n v="129.30000000000001"/>
    <n v="139.5"/>
    <n v="129.6"/>
    <n v="134.5"/>
    <n v="119.5"/>
    <n v="138.5"/>
    <n v="158.19999999999999"/>
    <n v="171.8"/>
    <n v="110.3"/>
    <n v="134.30000000000001"/>
    <n v="127.3"/>
    <n v="139.9"/>
    <n v="137.6"/>
    <n v="138"/>
    <n v="137.19999999999999"/>
    <n v="132.19999999999999"/>
    <n v="136.5"/>
    <n v="0"/>
    <n v="128.19999999999999"/>
    <n v="130"/>
    <n v="126.7"/>
    <n v="116.4"/>
    <n v="125.2"/>
    <n v="130.80000000000001"/>
    <n v="120.9"/>
    <n v="123.8"/>
    <x v="100"/>
    <x v="126"/>
    <x v="125"/>
    <x v="125"/>
    <x v="126"/>
    <n v="3316.1999999999994"/>
  </r>
  <r>
    <x v="1"/>
    <x v="3"/>
    <x v="6"/>
    <n v="126.8"/>
    <n v="144.19999999999999"/>
    <n v="136.6"/>
    <n v="131.80000000000001"/>
    <n v="111"/>
    <n v="137"/>
    <n v="179.5"/>
    <n v="188.4"/>
    <n v="113.3"/>
    <n v="143.9"/>
    <n v="121.7"/>
    <n v="137.5"/>
    <n v="139.80000000000001"/>
    <n v="142.9"/>
    <n v="127.9"/>
    <n v="121.1"/>
    <n v="126.9"/>
    <n v="126.4"/>
    <n v="115.5"/>
    <n v="123.5"/>
    <n v="120.9"/>
    <n v="111.7"/>
    <n v="120.3"/>
    <n v="130.80000000000001"/>
    <n v="120"/>
    <n v="119.9"/>
    <x v="93"/>
    <x v="127"/>
    <x v="126"/>
    <x v="126"/>
    <x v="127"/>
    <n v="3419.3"/>
  </r>
  <r>
    <x v="2"/>
    <x v="3"/>
    <x v="6"/>
    <n v="128.5"/>
    <n v="141.19999999999999"/>
    <n v="132.30000000000001"/>
    <n v="133.5"/>
    <n v="116.4"/>
    <n v="137.80000000000001"/>
    <n v="165.4"/>
    <n v="177.4"/>
    <n v="111.3"/>
    <n v="137.5"/>
    <n v="125"/>
    <n v="138.80000000000001"/>
    <n v="138.4"/>
    <n v="139.30000000000001"/>
    <n v="133.5"/>
    <n v="127.6"/>
    <n v="132.69999999999999"/>
    <n v="126.4"/>
    <n v="123.4"/>
    <n v="126.9"/>
    <n v="124.5"/>
    <n v="113.9"/>
    <n v="122.4"/>
    <n v="130.80000000000001"/>
    <n v="120.5"/>
    <n v="121.9"/>
    <x v="101"/>
    <x v="128"/>
    <x v="127"/>
    <x v="127"/>
    <x v="128"/>
    <n v="3427.2999999999997"/>
  </r>
  <r>
    <x v="0"/>
    <x v="3"/>
    <x v="7"/>
    <n v="130.1"/>
    <n v="138.80000000000001"/>
    <n v="130.30000000000001"/>
    <n v="135.30000000000001"/>
    <n v="119.9"/>
    <n v="140.19999999999999"/>
    <n v="156.9"/>
    <n v="172.2"/>
    <n v="112.1"/>
    <n v="134.9"/>
    <n v="128.1"/>
    <n v="140.69999999999999"/>
    <n v="138"/>
    <n v="138.9"/>
    <n v="137.80000000000001"/>
    <n v="133"/>
    <n v="137.1"/>
    <n v="0"/>
    <n v="129.1"/>
    <n v="130.6"/>
    <n v="127"/>
    <n v="116"/>
    <n v="125.5"/>
    <n v="131.9"/>
    <n v="122"/>
    <n v="124.2"/>
    <x v="102"/>
    <x v="129"/>
    <x v="128"/>
    <x v="128"/>
    <x v="129"/>
    <n v="3330.5999999999995"/>
  </r>
  <r>
    <x v="1"/>
    <x v="3"/>
    <x v="7"/>
    <n v="127.6"/>
    <n v="140.30000000000001"/>
    <n v="133.69999999999999"/>
    <n v="132.19999999999999"/>
    <n v="111.8"/>
    <n v="135.80000000000001"/>
    <n v="163.5"/>
    <n v="182.3"/>
    <n v="114.6"/>
    <n v="144.6"/>
    <n v="121.9"/>
    <n v="138.1"/>
    <n v="137.6"/>
    <n v="143.6"/>
    <n v="128.30000000000001"/>
    <n v="121.4"/>
    <n v="127.3"/>
    <n v="127.3"/>
    <n v="114.7"/>
    <n v="123.9"/>
    <n v="121.2"/>
    <n v="110.4"/>
    <n v="120.6"/>
    <n v="131.5"/>
    <n v="120.9"/>
    <n v="119.9"/>
    <x v="103"/>
    <x v="130"/>
    <x v="129"/>
    <x v="129"/>
    <x v="130"/>
    <n v="3394.9999999999991"/>
  </r>
  <r>
    <x v="2"/>
    <x v="3"/>
    <x v="7"/>
    <n v="129.30000000000001"/>
    <n v="139.30000000000001"/>
    <n v="131.6"/>
    <n v="134.1"/>
    <n v="116.9"/>
    <n v="138.1"/>
    <n v="159.1"/>
    <n v="175.6"/>
    <n v="112.9"/>
    <n v="138.1"/>
    <n v="125.5"/>
    <n v="139.5"/>
    <n v="137.9"/>
    <n v="140.19999999999999"/>
    <n v="134.1"/>
    <n v="128.19999999999999"/>
    <n v="133.19999999999999"/>
    <n v="127.3"/>
    <n v="123.6"/>
    <n v="127.4"/>
    <n v="124.8"/>
    <n v="113.1"/>
    <n v="122.7"/>
    <n v="131.69999999999999"/>
    <n v="121.5"/>
    <n v="122.1"/>
    <x v="101"/>
    <x v="131"/>
    <x v="130"/>
    <x v="130"/>
    <x v="131"/>
    <n v="3427.8"/>
  </r>
  <r>
    <x v="0"/>
    <x v="3"/>
    <x v="8"/>
    <n v="130.80000000000001"/>
    <n v="138.19999999999999"/>
    <n v="130.5"/>
    <n v="135.5"/>
    <n v="120.2"/>
    <n v="139.19999999999999"/>
    <n v="149.5"/>
    <n v="170.4"/>
    <n v="113.1"/>
    <n v="135.80000000000001"/>
    <n v="128.80000000000001"/>
    <n v="141.5"/>
    <n v="137.19999999999999"/>
    <n v="139.9"/>
    <n v="138.5"/>
    <n v="133.5"/>
    <n v="137.80000000000001"/>
    <n v="0"/>
    <n v="129.69999999999999"/>
    <n v="131.1"/>
    <n v="127.8"/>
    <n v="117"/>
    <n v="125.7"/>
    <n v="132.19999999999999"/>
    <n v="122.8"/>
    <n v="124.9"/>
    <x v="104"/>
    <x v="132"/>
    <x v="131"/>
    <x v="131"/>
    <x v="132"/>
    <n v="3331.6"/>
  </r>
  <r>
    <x v="1"/>
    <x v="3"/>
    <x v="8"/>
    <n v="128.1"/>
    <n v="137.69999999999999"/>
    <n v="130.6"/>
    <n v="132.6"/>
    <n v="111.9"/>
    <n v="132.5"/>
    <n v="152.9"/>
    <n v="173.6"/>
    <n v="115.1"/>
    <n v="144.80000000000001"/>
    <n v="122.1"/>
    <n v="138.80000000000001"/>
    <n v="135.69999999999999"/>
    <n v="143.9"/>
    <n v="128.69999999999999"/>
    <n v="121.6"/>
    <n v="127.7"/>
    <n v="127.9"/>
    <n v="114.8"/>
    <n v="124.3"/>
    <n v="121.4"/>
    <n v="111.8"/>
    <n v="120.8"/>
    <n v="131.6"/>
    <n v="121.2"/>
    <n v="120.5"/>
    <x v="92"/>
    <x v="133"/>
    <x v="132"/>
    <x v="132"/>
    <x v="133"/>
    <n v="3372.5999999999995"/>
  </r>
  <r>
    <x v="2"/>
    <x v="3"/>
    <x v="8"/>
    <n v="129.9"/>
    <n v="138"/>
    <n v="130.5"/>
    <n v="134.4"/>
    <n v="117.2"/>
    <n v="136.1"/>
    <n v="150.69999999999999"/>
    <n v="171.5"/>
    <n v="113.8"/>
    <n v="138.80000000000001"/>
    <n v="126"/>
    <n v="140.19999999999999"/>
    <n v="136.6"/>
    <n v="141"/>
    <n v="134.6"/>
    <n v="128.6"/>
    <n v="133.80000000000001"/>
    <n v="127.9"/>
    <n v="124.1"/>
    <n v="127.9"/>
    <n v="125.4"/>
    <n v="114.3"/>
    <n v="122.9"/>
    <n v="131.80000000000001"/>
    <n v="122.1"/>
    <n v="122.8"/>
    <x v="105"/>
    <x v="134"/>
    <x v="133"/>
    <x v="133"/>
    <x v="134"/>
    <n v="3420.8999999999996"/>
  </r>
  <r>
    <x v="0"/>
    <x v="3"/>
    <x v="9"/>
    <n v="131.30000000000001"/>
    <n v="137.6"/>
    <n v="130.1"/>
    <n v="136"/>
    <n v="120.8"/>
    <n v="138.4"/>
    <n v="149.19999999999999"/>
    <n v="170.2"/>
    <n v="113.4"/>
    <n v="136.30000000000001"/>
    <n v="128.69999999999999"/>
    <n v="142.4"/>
    <n v="137.4"/>
    <n v="140.9"/>
    <n v="139.6"/>
    <n v="134.30000000000001"/>
    <n v="138.80000000000001"/>
    <n v="0"/>
    <n v="129.80000000000001"/>
    <n v="131.80000000000001"/>
    <n v="128.69999999999999"/>
    <n v="117.8"/>
    <n v="126.5"/>
    <n v="133"/>
    <n v="123"/>
    <n v="125.7"/>
    <x v="106"/>
    <x v="135"/>
    <x v="134"/>
    <x v="134"/>
    <x v="135"/>
    <n v="3341.7000000000007"/>
  </r>
  <r>
    <x v="1"/>
    <x v="3"/>
    <x v="9"/>
    <n v="128.69999999999999"/>
    <n v="138.4"/>
    <n v="130.30000000000001"/>
    <n v="132.69999999999999"/>
    <n v="112.5"/>
    <n v="130.4"/>
    <n v="155.1"/>
    <n v="175.7"/>
    <n v="115.4"/>
    <n v="145.30000000000001"/>
    <n v="122.5"/>
    <n v="139.6"/>
    <n v="136.30000000000001"/>
    <n v="144.30000000000001"/>
    <n v="129.1"/>
    <n v="121.9"/>
    <n v="128"/>
    <n v="128.69999999999999"/>
    <n v="115.2"/>
    <n v="124.5"/>
    <n v="121.8"/>
    <n v="112.8"/>
    <n v="121.2"/>
    <n v="131.9"/>
    <n v="120.8"/>
    <n v="120.9"/>
    <x v="97"/>
    <x v="136"/>
    <x v="135"/>
    <x v="135"/>
    <x v="136"/>
    <n v="3384"/>
  </r>
  <r>
    <x v="2"/>
    <x v="3"/>
    <x v="9"/>
    <n v="130.5"/>
    <n v="137.9"/>
    <n v="130.19999999999999"/>
    <n v="134.80000000000001"/>
    <n v="117.8"/>
    <n v="134.69999999999999"/>
    <n v="151.19999999999999"/>
    <n v="172.1"/>
    <n v="114.1"/>
    <n v="139.30000000000001"/>
    <n v="126.1"/>
    <n v="141.1"/>
    <n v="137"/>
    <n v="141.80000000000001"/>
    <n v="135.5"/>
    <n v="129.1"/>
    <n v="134.5"/>
    <n v="128.69999999999999"/>
    <n v="124.3"/>
    <n v="128.4"/>
    <n v="126.1"/>
    <n v="115.2"/>
    <n v="123.5"/>
    <n v="132.4"/>
    <n v="122.1"/>
    <n v="123.4"/>
    <x v="107"/>
    <x v="137"/>
    <x v="136"/>
    <x v="136"/>
    <x v="137"/>
    <n v="3431.7999999999993"/>
  </r>
  <r>
    <x v="0"/>
    <x v="3"/>
    <x v="11"/>
    <n v="132"/>
    <n v="137.4"/>
    <n v="130.6"/>
    <n v="136.19999999999999"/>
    <n v="121.1"/>
    <n v="136.9"/>
    <n v="141.80000000000001"/>
    <n v="170"/>
    <n v="113.4"/>
    <n v="136.80000000000001"/>
    <n v="128.69999999999999"/>
    <n v="143.1"/>
    <n v="136.6"/>
    <n v="141.19999999999999"/>
    <n v="139.9"/>
    <n v="134.5"/>
    <n v="139.19999999999999"/>
    <n v="0"/>
    <n v="130.30000000000001"/>
    <n v="132.1"/>
    <n v="129.1"/>
    <n v="118.2"/>
    <n v="126.9"/>
    <n v="133.69999999999999"/>
    <n v="123.5"/>
    <n v="126.1"/>
    <x v="108"/>
    <x v="138"/>
    <x v="137"/>
    <x v="137"/>
    <x v="138"/>
    <n v="3339.2999999999993"/>
  </r>
  <r>
    <x v="1"/>
    <x v="3"/>
    <x v="11"/>
    <n v="130.19999999999999"/>
    <n v="138.5"/>
    <n v="134.1"/>
    <n v="132.9"/>
    <n v="112.6"/>
    <n v="130.80000000000001"/>
    <n v="142"/>
    <n v="174.9"/>
    <n v="115.6"/>
    <n v="145.4"/>
    <n v="122.7"/>
    <n v="140.30000000000001"/>
    <n v="135.19999999999999"/>
    <n v="144.30000000000001"/>
    <n v="129.6"/>
    <n v="122.1"/>
    <n v="128.5"/>
    <n v="129.1"/>
    <n v="116.2"/>
    <n v="124.7"/>
    <n v="122.1"/>
    <n v="113.4"/>
    <n v="121.7"/>
    <n v="132.1"/>
    <n v="121.3"/>
    <n v="121.3"/>
    <x v="109"/>
    <x v="139"/>
    <x v="138"/>
    <x v="138"/>
    <x v="139"/>
    <n v="3381.6"/>
  </r>
  <r>
    <x v="2"/>
    <x v="3"/>
    <x v="11"/>
    <n v="131.4"/>
    <n v="137.80000000000001"/>
    <n v="132"/>
    <n v="135"/>
    <n v="118"/>
    <n v="134.1"/>
    <n v="141.9"/>
    <n v="171.7"/>
    <n v="114.1"/>
    <n v="139.69999999999999"/>
    <n v="126.2"/>
    <n v="141.80000000000001"/>
    <n v="136.1"/>
    <n v="142"/>
    <n v="135.80000000000001"/>
    <n v="129.30000000000001"/>
    <n v="135"/>
    <n v="129.1"/>
    <n v="125"/>
    <n v="128.6"/>
    <n v="126.4"/>
    <n v="115.7"/>
    <n v="124"/>
    <n v="132.80000000000001"/>
    <n v="122.6"/>
    <n v="123.8"/>
    <x v="110"/>
    <x v="140"/>
    <x v="139"/>
    <x v="139"/>
    <x v="140"/>
    <n v="3429.9"/>
  </r>
  <r>
    <x v="0"/>
    <x v="3"/>
    <x v="12"/>
    <n v="132.6"/>
    <n v="137.30000000000001"/>
    <n v="131.6"/>
    <n v="136.30000000000001"/>
    <n v="121.6"/>
    <n v="135.6"/>
    <n v="127.5"/>
    <n v="167.9"/>
    <n v="113.8"/>
    <n v="137.5"/>
    <n v="129.1"/>
    <n v="143.6"/>
    <n v="134.69999999999999"/>
    <n v="142.4"/>
    <n v="140.4"/>
    <n v="135.19999999999999"/>
    <n v="139.69999999999999"/>
    <n v="0"/>
    <n v="132"/>
    <n v="132.9"/>
    <n v="129.69999999999999"/>
    <n v="118.6"/>
    <n v="127.3"/>
    <n v="134.19999999999999"/>
    <n v="121.9"/>
    <n v="126.3"/>
    <x v="111"/>
    <x v="141"/>
    <x v="140"/>
    <x v="140"/>
    <x v="141"/>
    <n v="3329.7"/>
  </r>
  <r>
    <x v="1"/>
    <x v="3"/>
    <x v="12"/>
    <n v="131.6"/>
    <n v="138.19999999999999"/>
    <n v="134.9"/>
    <n v="133.1"/>
    <n v="113.5"/>
    <n v="129.30000000000001"/>
    <n v="121.1"/>
    <n v="170.3"/>
    <n v="115.5"/>
    <n v="145.5"/>
    <n v="123.1"/>
    <n v="140.9"/>
    <n v="132.80000000000001"/>
    <n v="145"/>
    <n v="130"/>
    <n v="122.2"/>
    <n v="128.80000000000001"/>
    <n v="128.5"/>
    <n v="117.8"/>
    <n v="125"/>
    <n v="122.3"/>
    <n v="113.7"/>
    <n v="121.8"/>
    <n v="132.30000000000001"/>
    <n v="119.9"/>
    <n v="121.4"/>
    <x v="112"/>
    <x v="142"/>
    <x v="141"/>
    <x v="141"/>
    <x v="142"/>
    <n v="3358.5"/>
  </r>
  <r>
    <x v="2"/>
    <x v="3"/>
    <x v="12"/>
    <n v="132.30000000000001"/>
    <n v="137.6"/>
    <n v="132.9"/>
    <n v="135.1"/>
    <n v="118.6"/>
    <n v="132.69999999999999"/>
    <n v="125.3"/>
    <n v="168.7"/>
    <n v="114.4"/>
    <n v="140.19999999999999"/>
    <n v="126.6"/>
    <n v="142.30000000000001"/>
    <n v="134"/>
    <n v="143.1"/>
    <n v="136.30000000000001"/>
    <n v="129.80000000000001"/>
    <n v="135.4"/>
    <n v="128.5"/>
    <n v="126.6"/>
    <n v="129.19999999999999"/>
    <n v="126.9"/>
    <n v="116"/>
    <n v="124.2"/>
    <n v="133.1"/>
    <n v="121.1"/>
    <n v="123.9"/>
    <x v="113"/>
    <x v="143"/>
    <x v="142"/>
    <x v="142"/>
    <x v="143"/>
    <n v="3414.7999999999997"/>
  </r>
  <r>
    <x v="0"/>
    <x v="4"/>
    <x v="0"/>
    <n v="133.1"/>
    <n v="137.80000000000001"/>
    <n v="131.9"/>
    <n v="136.69999999999999"/>
    <n v="122"/>
    <n v="136"/>
    <n v="119.8"/>
    <n v="161.69999999999999"/>
    <n v="114.8"/>
    <n v="136.9"/>
    <n v="129"/>
    <n v="143.9"/>
    <n v="133.69999999999999"/>
    <n v="143.1"/>
    <n v="140.69999999999999"/>
    <n v="135.80000000000001"/>
    <n v="140"/>
    <n v="0"/>
    <n v="132.1"/>
    <n v="133.19999999999999"/>
    <n v="129.9"/>
    <n v="119.1"/>
    <n v="127"/>
    <n v="134.6"/>
    <n v="122.3"/>
    <n v="126.6"/>
    <x v="114"/>
    <x v="144"/>
    <x v="143"/>
    <x v="143"/>
    <x v="144"/>
    <n v="3321.7"/>
  </r>
  <r>
    <x v="1"/>
    <x v="4"/>
    <x v="0"/>
    <n v="132.19999999999999"/>
    <n v="138.9"/>
    <n v="132.6"/>
    <n v="133.1"/>
    <n v="114"/>
    <n v="129.6"/>
    <n v="118.7"/>
    <n v="155.1"/>
    <n v="117.3"/>
    <n v="144.9"/>
    <n v="123.2"/>
    <n v="141.6"/>
    <n v="132"/>
    <n v="145.6"/>
    <n v="130.19999999999999"/>
    <n v="122.3"/>
    <n v="129"/>
    <n v="129.6"/>
    <n v="118"/>
    <n v="125.1"/>
    <n v="122.6"/>
    <n v="115.2"/>
    <n v="122"/>
    <n v="132.4"/>
    <n v="120.9"/>
    <n v="122.1"/>
    <x v="115"/>
    <x v="145"/>
    <x v="144"/>
    <x v="144"/>
    <x v="145"/>
    <n v="3348.2"/>
  </r>
  <r>
    <x v="2"/>
    <x v="4"/>
    <x v="0"/>
    <n v="132.80000000000001"/>
    <n v="138.19999999999999"/>
    <n v="132.19999999999999"/>
    <n v="135.4"/>
    <n v="119.1"/>
    <n v="133"/>
    <n v="119.4"/>
    <n v="159.5"/>
    <n v="115.6"/>
    <n v="139.6"/>
    <n v="126.6"/>
    <n v="142.80000000000001"/>
    <n v="133.1"/>
    <n v="143.80000000000001"/>
    <n v="136.6"/>
    <n v="130.19999999999999"/>
    <n v="135.6"/>
    <n v="129.6"/>
    <n v="126.8"/>
    <n v="129.4"/>
    <n v="127.1"/>
    <n v="117"/>
    <n v="124.2"/>
    <n v="133.30000000000001"/>
    <n v="121.7"/>
    <n v="124.4"/>
    <x v="96"/>
    <x v="146"/>
    <x v="145"/>
    <x v="145"/>
    <x v="146"/>
    <n v="3406.9999999999991"/>
  </r>
  <r>
    <x v="0"/>
    <x v="4"/>
    <x v="1"/>
    <n v="133.30000000000001"/>
    <n v="138.30000000000001"/>
    <n v="129.30000000000001"/>
    <n v="137.19999999999999"/>
    <n v="122.1"/>
    <n v="138.69999999999999"/>
    <n v="119.1"/>
    <n v="156.9"/>
    <n v="116.2"/>
    <n v="136"/>
    <n v="129.4"/>
    <n v="144.4"/>
    <n v="133.6"/>
    <n v="143.69999999999999"/>
    <n v="140.9"/>
    <n v="135.80000000000001"/>
    <n v="140.19999999999999"/>
    <n v="0"/>
    <n v="133.19999999999999"/>
    <n v="133.6"/>
    <n v="130.1"/>
    <n v="119.5"/>
    <n v="127.7"/>
    <n v="134.9"/>
    <n v="123.2"/>
    <n v="127"/>
    <x v="116"/>
    <x v="147"/>
    <x v="146"/>
    <x v="146"/>
    <x v="147"/>
    <n v="3324.3"/>
  </r>
  <r>
    <x v="1"/>
    <x v="4"/>
    <x v="1"/>
    <n v="132.80000000000001"/>
    <n v="139.80000000000001"/>
    <n v="129.30000000000001"/>
    <n v="133.5"/>
    <n v="114.3"/>
    <n v="131.4"/>
    <n v="120.2"/>
    <n v="143.1"/>
    <n v="119.5"/>
    <n v="144"/>
    <n v="123.4"/>
    <n v="141.9"/>
    <n v="132.1"/>
    <n v="146.30000000000001"/>
    <n v="130.5"/>
    <n v="122.5"/>
    <n v="129.30000000000001"/>
    <n v="130.5"/>
    <n v="119.2"/>
    <n v="125.3"/>
    <n v="122.9"/>
    <n v="115.5"/>
    <n v="122.2"/>
    <n v="132.4"/>
    <n v="121.7"/>
    <n v="122.4"/>
    <x v="117"/>
    <x v="148"/>
    <x v="147"/>
    <x v="147"/>
    <x v="148"/>
    <n v="3346.0000000000005"/>
  </r>
  <r>
    <x v="2"/>
    <x v="4"/>
    <x v="1"/>
    <n v="133.1"/>
    <n v="138.80000000000001"/>
    <n v="129.30000000000001"/>
    <n v="135.80000000000001"/>
    <n v="119.2"/>
    <n v="135.30000000000001"/>
    <n v="119.5"/>
    <n v="152.19999999999999"/>
    <n v="117.3"/>
    <n v="138.69999999999999"/>
    <n v="126.9"/>
    <n v="143.19999999999999"/>
    <n v="133"/>
    <n v="144.4"/>
    <n v="136.80000000000001"/>
    <n v="130.30000000000001"/>
    <n v="135.9"/>
    <n v="130.5"/>
    <n v="127.9"/>
    <n v="129.69999999999999"/>
    <n v="127.4"/>
    <n v="117.4"/>
    <n v="124.6"/>
    <n v="133.4"/>
    <n v="122.6"/>
    <n v="124.8"/>
    <x v="118"/>
    <x v="149"/>
    <x v="148"/>
    <x v="148"/>
    <x v="149"/>
    <n v="3408"/>
  </r>
  <r>
    <x v="0"/>
    <x v="4"/>
    <x v="2"/>
    <n v="133.6"/>
    <n v="138.80000000000001"/>
    <n v="128.80000000000001"/>
    <n v="137.19999999999999"/>
    <n v="121.6"/>
    <n v="139.69999999999999"/>
    <n v="119.7"/>
    <n v="148"/>
    <n v="116.9"/>
    <n v="135.6"/>
    <n v="129.80000000000001"/>
    <n v="145.4"/>
    <n v="133.4"/>
    <n v="144.19999999999999"/>
    <n v="141.6"/>
    <n v="136.19999999999999"/>
    <n v="140.80000000000001"/>
    <n v="0"/>
    <n v="134.19999999999999"/>
    <n v="134.1"/>
    <n v="130.6"/>
    <n v="119.8"/>
    <n v="128.30000000000001"/>
    <n v="135.19999999999999"/>
    <n v="123.3"/>
    <n v="127.4"/>
    <x v="111"/>
    <x v="150"/>
    <x v="149"/>
    <x v="149"/>
    <x v="150"/>
    <n v="3324.2000000000003"/>
  </r>
  <r>
    <x v="1"/>
    <x v="4"/>
    <x v="2"/>
    <n v="132.69999999999999"/>
    <n v="139.4"/>
    <n v="128.4"/>
    <n v="134.9"/>
    <n v="114"/>
    <n v="136.80000000000001"/>
    <n v="122.2"/>
    <n v="135.80000000000001"/>
    <n v="120.3"/>
    <n v="142.6"/>
    <n v="123.6"/>
    <n v="142.4"/>
    <n v="132.6"/>
    <n v="147.5"/>
    <n v="130.80000000000001"/>
    <n v="122.8"/>
    <n v="129.6"/>
    <n v="131.1"/>
    <n v="120.8"/>
    <n v="125.6"/>
    <n v="123.1"/>
    <n v="115.6"/>
    <n v="122.4"/>
    <n v="132.80000000000001"/>
    <n v="121.7"/>
    <n v="122.6"/>
    <x v="119"/>
    <x v="151"/>
    <x v="150"/>
    <x v="150"/>
    <x v="151"/>
    <n v="3352.1"/>
  </r>
  <r>
    <x v="2"/>
    <x v="4"/>
    <x v="2"/>
    <n v="133.30000000000001"/>
    <n v="139"/>
    <n v="128.6"/>
    <n v="136.30000000000001"/>
    <n v="118.8"/>
    <n v="138.30000000000001"/>
    <n v="120.5"/>
    <n v="143.9"/>
    <n v="118"/>
    <n v="137.9"/>
    <n v="127.2"/>
    <n v="144"/>
    <n v="133.1"/>
    <n v="145.1"/>
    <n v="137.30000000000001"/>
    <n v="130.6"/>
    <n v="136.4"/>
    <n v="131.1"/>
    <n v="129.1"/>
    <n v="130.1"/>
    <n v="127.8"/>
    <n v="117.6"/>
    <n v="125"/>
    <n v="133.80000000000001"/>
    <n v="122.6"/>
    <n v="125.1"/>
    <x v="105"/>
    <x v="152"/>
    <x v="151"/>
    <x v="151"/>
    <x v="152"/>
    <n v="3410.5"/>
  </r>
  <r>
    <x v="0"/>
    <x v="4"/>
    <x v="3"/>
    <n v="133.19999999999999"/>
    <n v="138.69999999999999"/>
    <n v="127.1"/>
    <n v="137.69999999999999"/>
    <n v="121.3"/>
    <n v="141.80000000000001"/>
    <n v="121.5"/>
    <n v="144.5"/>
    <n v="117.4"/>
    <n v="134.1"/>
    <n v="130"/>
    <n v="145.5"/>
    <n v="133.5"/>
    <n v="144.4"/>
    <n v="142.4"/>
    <n v="136.80000000000001"/>
    <n v="141.6"/>
    <n v="0"/>
    <n v="135"/>
    <n v="134.30000000000001"/>
    <n v="131"/>
    <n v="119.2"/>
    <n v="128.30000000000001"/>
    <n v="135.69999999999999"/>
    <n v="123.7"/>
    <n v="127.5"/>
    <x v="120"/>
    <x v="153"/>
    <x v="152"/>
    <x v="152"/>
    <x v="153"/>
    <n v="3326.2000000000003"/>
  </r>
  <r>
    <x v="1"/>
    <x v="4"/>
    <x v="3"/>
    <n v="132.69999999999999"/>
    <n v="140.6"/>
    <n v="124.5"/>
    <n v="136.30000000000001"/>
    <n v="113.5"/>
    <n v="137.69999999999999"/>
    <n v="127.1"/>
    <n v="133.80000000000001"/>
    <n v="120.8"/>
    <n v="141.30000000000001"/>
    <n v="123.8"/>
    <n v="142.6"/>
    <n v="133.4"/>
    <n v="148"/>
    <n v="131.19999999999999"/>
    <n v="123"/>
    <n v="130"/>
    <n v="131.69999999999999"/>
    <n v="121.4"/>
    <n v="126"/>
    <n v="123.4"/>
    <n v="114.3"/>
    <n v="122.6"/>
    <n v="133.6"/>
    <n v="122.2"/>
    <n v="122.5"/>
    <x v="121"/>
    <x v="154"/>
    <x v="153"/>
    <x v="153"/>
    <x v="154"/>
    <n v="3358"/>
  </r>
  <r>
    <x v="2"/>
    <x v="4"/>
    <x v="3"/>
    <n v="133"/>
    <n v="139.4"/>
    <n v="126.1"/>
    <n v="137.19999999999999"/>
    <n v="118.4"/>
    <n v="139.9"/>
    <n v="123.4"/>
    <n v="140.9"/>
    <n v="118.5"/>
    <n v="136.5"/>
    <n v="127.4"/>
    <n v="144.19999999999999"/>
    <n v="133.5"/>
    <n v="145.4"/>
    <n v="138"/>
    <n v="131.1"/>
    <n v="137"/>
    <n v="131.69999999999999"/>
    <n v="129.80000000000001"/>
    <n v="130.4"/>
    <n v="128.1"/>
    <n v="116.6"/>
    <n v="125.1"/>
    <n v="134.5"/>
    <n v="123.1"/>
    <n v="125.1"/>
    <x v="101"/>
    <x v="155"/>
    <x v="154"/>
    <x v="154"/>
    <x v="155"/>
    <n v="3414.3"/>
  </r>
  <r>
    <x v="0"/>
    <x v="4"/>
    <x v="4"/>
    <n v="133.1"/>
    <n v="140.30000000000001"/>
    <n v="126.8"/>
    <n v="138.19999999999999"/>
    <n v="120.8"/>
    <n v="140.19999999999999"/>
    <n v="123.8"/>
    <n v="141.80000000000001"/>
    <n v="118.6"/>
    <n v="134"/>
    <n v="130.30000000000001"/>
    <n v="145.80000000000001"/>
    <n v="133.80000000000001"/>
    <n v="145.5"/>
    <n v="142.5"/>
    <n v="137.30000000000001"/>
    <n v="141.80000000000001"/>
    <n v="0"/>
    <n v="135"/>
    <n v="134.9"/>
    <n v="131.4"/>
    <n v="119.4"/>
    <n v="129.4"/>
    <n v="136.30000000000001"/>
    <n v="123.7"/>
    <n v="127.9"/>
    <x v="122"/>
    <x v="156"/>
    <x v="155"/>
    <x v="155"/>
    <x v="156"/>
    <n v="3332.5999999999995"/>
  </r>
  <r>
    <x v="1"/>
    <x v="4"/>
    <x v="4"/>
    <n v="132.6"/>
    <n v="144.1"/>
    <n v="125.6"/>
    <n v="136.80000000000001"/>
    <n v="113.4"/>
    <n v="135.19999999999999"/>
    <n v="129.19999999999999"/>
    <n v="131.5"/>
    <n v="121"/>
    <n v="139.9"/>
    <n v="123.8"/>
    <n v="142.9"/>
    <n v="133.6"/>
    <n v="148.30000000000001"/>
    <n v="131.5"/>
    <n v="123.2"/>
    <n v="130.19999999999999"/>
    <n v="132.1"/>
    <n v="120.1"/>
    <n v="126.5"/>
    <n v="123.6"/>
    <n v="114.3"/>
    <n v="122.8"/>
    <n v="133.80000000000001"/>
    <n v="122"/>
    <n v="122.6"/>
    <x v="123"/>
    <x v="157"/>
    <x v="156"/>
    <x v="156"/>
    <x v="157"/>
    <n v="3360.5999999999995"/>
  </r>
  <r>
    <x v="2"/>
    <x v="4"/>
    <x v="4"/>
    <n v="132.9"/>
    <n v="141.6"/>
    <n v="126.3"/>
    <n v="137.69999999999999"/>
    <n v="118.1"/>
    <n v="137.9"/>
    <n v="125.6"/>
    <n v="138.30000000000001"/>
    <n v="119.4"/>
    <n v="136"/>
    <n v="127.6"/>
    <n v="144.5"/>
    <n v="133.69999999999999"/>
    <n v="146.19999999999999"/>
    <n v="138.19999999999999"/>
    <n v="131.4"/>
    <n v="137.19999999999999"/>
    <n v="132.1"/>
    <n v="129.4"/>
    <n v="130.9"/>
    <n v="128.4"/>
    <n v="116.7"/>
    <n v="125.7"/>
    <n v="134.80000000000001"/>
    <n v="123"/>
    <n v="125.3"/>
    <x v="107"/>
    <x v="158"/>
    <x v="157"/>
    <x v="157"/>
    <x v="158"/>
    <n v="3418.9000000000005"/>
  </r>
  <r>
    <x v="0"/>
    <x v="4"/>
    <x v="5"/>
    <n v="133.5"/>
    <n v="143.69999999999999"/>
    <n v="128"/>
    <n v="138.6"/>
    <n v="120.9"/>
    <n v="140.9"/>
    <n v="128.80000000000001"/>
    <n v="140.19999999999999"/>
    <n v="118.9"/>
    <n v="133.5"/>
    <n v="130.4"/>
    <n v="146.5"/>
    <n v="134.9"/>
    <n v="145.80000000000001"/>
    <n v="143.1"/>
    <n v="137.69999999999999"/>
    <n v="142.30000000000001"/>
    <n v="0"/>
    <n v="134.80000000000001"/>
    <n v="135.19999999999999"/>
    <n v="131.30000000000001"/>
    <n v="119.4"/>
    <n v="129.80000000000001"/>
    <n v="136.9"/>
    <n v="124.1"/>
    <n v="128.1"/>
    <x v="124"/>
    <x v="159"/>
    <x v="158"/>
    <x v="158"/>
    <x v="159"/>
    <n v="3347.3"/>
  </r>
  <r>
    <x v="1"/>
    <x v="4"/>
    <x v="5"/>
    <n v="132.9"/>
    <n v="148.69999999999999"/>
    <n v="128.30000000000001"/>
    <n v="137.30000000000001"/>
    <n v="113.5"/>
    <n v="137.19999999999999"/>
    <n v="142.19999999999999"/>
    <n v="128.19999999999999"/>
    <n v="120.9"/>
    <n v="138.80000000000001"/>
    <n v="124.2"/>
    <n v="143.1"/>
    <n v="135.69999999999999"/>
    <n v="148.6"/>
    <n v="131.5"/>
    <n v="123.2"/>
    <n v="130.19999999999999"/>
    <n v="131.4"/>
    <n v="119"/>
    <n v="126.8"/>
    <n v="123.8"/>
    <n v="113.9"/>
    <n v="122.9"/>
    <n v="134.30000000000001"/>
    <n v="122.5"/>
    <n v="122.7"/>
    <x v="125"/>
    <x v="160"/>
    <x v="159"/>
    <x v="159"/>
    <x v="160"/>
    <n v="3381.7999999999997"/>
  </r>
  <r>
    <x v="2"/>
    <x v="4"/>
    <x v="5"/>
    <n v="133.30000000000001"/>
    <n v="145.5"/>
    <n v="128.1"/>
    <n v="138.1"/>
    <n v="118.2"/>
    <n v="139.19999999999999"/>
    <n v="133.30000000000001"/>
    <n v="136.19999999999999"/>
    <n v="119.6"/>
    <n v="135.30000000000001"/>
    <n v="127.8"/>
    <n v="144.9"/>
    <n v="135.19999999999999"/>
    <n v="146.5"/>
    <n v="138.5"/>
    <n v="131.69999999999999"/>
    <n v="137.5"/>
    <n v="131.4"/>
    <n v="128.80000000000001"/>
    <n v="131.19999999999999"/>
    <n v="128.5"/>
    <n v="116.5"/>
    <n v="125.9"/>
    <n v="135.4"/>
    <n v="123.4"/>
    <n v="125.5"/>
    <x v="126"/>
    <x v="161"/>
    <x v="160"/>
    <x v="160"/>
    <x v="161"/>
    <n v="3435.5"/>
  </r>
  <r>
    <x v="0"/>
    <x v="4"/>
    <x v="6"/>
    <n v="134"/>
    <n v="144.19999999999999"/>
    <n v="129.80000000000001"/>
    <n v="139"/>
    <n v="120.9"/>
    <n v="143.9"/>
    <n v="151.5"/>
    <n v="138.1"/>
    <n v="120"/>
    <n v="133.9"/>
    <n v="131.4"/>
    <n v="147.69999999999999"/>
    <n v="138.5"/>
    <n v="147.4"/>
    <n v="144.30000000000001"/>
    <n v="138.1"/>
    <n v="143.5"/>
    <n v="0"/>
    <n v="135.30000000000001"/>
    <n v="136.1"/>
    <n v="132.1"/>
    <n v="119.1"/>
    <n v="130.6"/>
    <n v="138.6"/>
    <n v="124.4"/>
    <n v="128.6"/>
    <x v="127"/>
    <x v="162"/>
    <x v="161"/>
    <x v="161"/>
    <x v="162"/>
    <n v="3391.0000000000005"/>
  </r>
  <r>
    <x v="1"/>
    <x v="4"/>
    <x v="6"/>
    <n v="132.80000000000001"/>
    <n v="148.4"/>
    <n v="129.4"/>
    <n v="137.69999999999999"/>
    <n v="113.4"/>
    <n v="139.4"/>
    <n v="175.1"/>
    <n v="124.7"/>
    <n v="121.5"/>
    <n v="137.80000000000001"/>
    <n v="124.4"/>
    <n v="143.69999999999999"/>
    <n v="139.80000000000001"/>
    <n v="150.5"/>
    <n v="131.6"/>
    <n v="123.7"/>
    <n v="130.4"/>
    <n v="132.6"/>
    <n v="119.7"/>
    <n v="127.2"/>
    <n v="125"/>
    <n v="113.2"/>
    <n v="123.5"/>
    <n v="135.5"/>
    <n v="122.4"/>
    <n v="123"/>
    <x v="128"/>
    <x v="163"/>
    <x v="162"/>
    <x v="162"/>
    <x v="163"/>
    <n v="3426.3999999999996"/>
  </r>
  <r>
    <x v="2"/>
    <x v="4"/>
    <x v="6"/>
    <n v="133.6"/>
    <n v="145.69999999999999"/>
    <n v="129.6"/>
    <n v="138.5"/>
    <n v="118.1"/>
    <n v="141.80000000000001"/>
    <n v="159.5"/>
    <n v="133.6"/>
    <n v="120.5"/>
    <n v="135.19999999999999"/>
    <n v="128.5"/>
    <n v="145.80000000000001"/>
    <n v="139"/>
    <n v="148.19999999999999"/>
    <n v="139.30000000000001"/>
    <n v="132.1"/>
    <n v="138.30000000000001"/>
    <n v="132.6"/>
    <n v="129.4"/>
    <n v="131.9"/>
    <n v="129.4"/>
    <n v="116"/>
    <n v="126.6"/>
    <n v="136.80000000000001"/>
    <n v="123.6"/>
    <n v="125.9"/>
    <x v="129"/>
    <x v="164"/>
    <x v="163"/>
    <x v="163"/>
    <x v="164"/>
    <n v="3479.5"/>
  </r>
  <r>
    <x v="0"/>
    <x v="4"/>
    <x v="7"/>
    <n v="134.80000000000001"/>
    <n v="143.1"/>
    <n v="130"/>
    <n v="139.4"/>
    <n v="120.5"/>
    <n v="148"/>
    <n v="162.9"/>
    <n v="137.4"/>
    <n v="120.8"/>
    <n v="134.69999999999999"/>
    <n v="131.6"/>
    <n v="148.69999999999999"/>
    <n v="140.6"/>
    <n v="149"/>
    <n v="145.30000000000001"/>
    <n v="139.19999999999999"/>
    <n v="144.5"/>
    <n v="0"/>
    <n v="136.4"/>
    <n v="137.30000000000001"/>
    <n v="133"/>
    <n v="120.3"/>
    <n v="131.5"/>
    <n v="140.19999999999999"/>
    <n v="125.4"/>
    <n v="129.69999999999999"/>
    <x v="130"/>
    <x v="165"/>
    <x v="164"/>
    <x v="164"/>
    <x v="165"/>
    <n v="3424.2999999999997"/>
  </r>
  <r>
    <x v="1"/>
    <x v="4"/>
    <x v="7"/>
    <n v="133.19999999999999"/>
    <n v="143.9"/>
    <n v="128.30000000000001"/>
    <n v="138.30000000000001"/>
    <n v="114.1"/>
    <n v="142.69999999999999"/>
    <n v="179.8"/>
    <n v="123.5"/>
    <n v="122.1"/>
    <n v="137.5"/>
    <n v="124.6"/>
    <n v="144.5"/>
    <n v="140.5"/>
    <n v="152.1"/>
    <n v="132.69999999999999"/>
    <n v="124.3"/>
    <n v="131.4"/>
    <n v="134.4"/>
    <n v="118.9"/>
    <n v="127.7"/>
    <n v="125.7"/>
    <n v="114.6"/>
    <n v="124.1"/>
    <n v="135.69999999999999"/>
    <n v="123.3"/>
    <n v="123.8"/>
    <x v="131"/>
    <x v="166"/>
    <x v="165"/>
    <x v="165"/>
    <x v="166"/>
    <n v="3441.7"/>
  </r>
  <r>
    <x v="2"/>
    <x v="4"/>
    <x v="7"/>
    <n v="134.30000000000001"/>
    <n v="143.4"/>
    <n v="129.30000000000001"/>
    <n v="139"/>
    <n v="118.1"/>
    <n v="145.5"/>
    <n v="168.6"/>
    <n v="132.69999999999999"/>
    <n v="121.2"/>
    <n v="135.6"/>
    <n v="128.69999999999999"/>
    <n v="146.80000000000001"/>
    <n v="140.6"/>
    <n v="149.80000000000001"/>
    <n v="140.30000000000001"/>
    <n v="133"/>
    <n v="139.30000000000001"/>
    <n v="134.4"/>
    <n v="129.80000000000001"/>
    <n v="132.80000000000001"/>
    <n v="130.19999999999999"/>
    <n v="117.3"/>
    <n v="127.3"/>
    <n v="137.6"/>
    <n v="124.5"/>
    <n v="126.8"/>
    <x v="132"/>
    <x v="167"/>
    <x v="166"/>
    <x v="166"/>
    <x v="167"/>
    <n v="3506.9"/>
  </r>
  <r>
    <x v="0"/>
    <x v="4"/>
    <x v="8"/>
    <n v="135.19999999999999"/>
    <n v="142"/>
    <n v="130.5"/>
    <n v="140.19999999999999"/>
    <n v="120.7"/>
    <n v="147.80000000000001"/>
    <n v="154.5"/>
    <n v="137.1"/>
    <n v="121"/>
    <n v="134.69999999999999"/>
    <n v="131.69999999999999"/>
    <n v="149.30000000000001"/>
    <n v="139.6"/>
    <n v="149.80000000000001"/>
    <n v="146.1"/>
    <n v="139.69999999999999"/>
    <n v="145.19999999999999"/>
    <n v="0"/>
    <n v="137.4"/>
    <n v="137.9"/>
    <n v="133.4"/>
    <n v="121.2"/>
    <n v="132.30000000000001"/>
    <n v="139.6"/>
    <n v="126.7"/>
    <n v="130.30000000000001"/>
    <x v="133"/>
    <x v="168"/>
    <x v="167"/>
    <x v="167"/>
    <x v="168"/>
    <n v="3423.8999999999996"/>
  </r>
  <r>
    <x v="1"/>
    <x v="4"/>
    <x v="8"/>
    <n v="133.6"/>
    <n v="143"/>
    <n v="129.69999999999999"/>
    <n v="138.69999999999999"/>
    <n v="114.5"/>
    <n v="137.5"/>
    <n v="160.69999999999999"/>
    <n v="124.5"/>
    <n v="122.4"/>
    <n v="137.30000000000001"/>
    <n v="124.8"/>
    <n v="145"/>
    <n v="138"/>
    <n v="153.6"/>
    <n v="133.30000000000001"/>
    <n v="124.6"/>
    <n v="132"/>
    <n v="135.69999999999999"/>
    <n v="120.6"/>
    <n v="128.1"/>
    <n v="126.1"/>
    <n v="115.7"/>
    <n v="124.5"/>
    <n v="135.9"/>
    <n v="124.4"/>
    <n v="124.5"/>
    <x v="114"/>
    <x v="169"/>
    <x v="127"/>
    <x v="168"/>
    <x v="169"/>
    <n v="3428.7"/>
  </r>
  <r>
    <x v="2"/>
    <x v="4"/>
    <x v="8"/>
    <n v="134.69999999999999"/>
    <n v="142.4"/>
    <n v="130.19999999999999"/>
    <n v="139.6"/>
    <n v="118.4"/>
    <n v="143"/>
    <n v="156.6"/>
    <n v="132.9"/>
    <n v="121.5"/>
    <n v="135.6"/>
    <n v="128.80000000000001"/>
    <n v="147.30000000000001"/>
    <n v="139"/>
    <n v="150.80000000000001"/>
    <n v="141.1"/>
    <n v="133.4"/>
    <n v="140"/>
    <n v="135.69999999999999"/>
    <n v="131"/>
    <n v="133.30000000000001"/>
    <n v="130.6"/>
    <n v="118.3"/>
    <n v="127.9"/>
    <n v="137.4"/>
    <n v="125.7"/>
    <n v="127.5"/>
    <x v="134"/>
    <x v="170"/>
    <x v="168"/>
    <x v="169"/>
    <x v="170"/>
    <n v="3502.7000000000003"/>
  </r>
  <r>
    <x v="0"/>
    <x v="4"/>
    <x v="9"/>
    <n v="135.9"/>
    <n v="141.9"/>
    <n v="131"/>
    <n v="141.5"/>
    <n v="121.4"/>
    <n v="146.69999999999999"/>
    <n v="157.1"/>
    <n v="136.4"/>
    <n v="121.4"/>
    <n v="135.6"/>
    <n v="131.30000000000001"/>
    <n v="150.30000000000001"/>
    <n v="140.4"/>
    <n v="150.5"/>
    <n v="147.19999999999999"/>
    <n v="140.6"/>
    <n v="146.19999999999999"/>
    <n v="0"/>
    <n v="138.1"/>
    <n v="138.4"/>
    <n v="134.19999999999999"/>
    <n v="121"/>
    <n v="133"/>
    <n v="140.1"/>
    <n v="127.4"/>
    <n v="130.69999999999999"/>
    <x v="135"/>
    <x v="171"/>
    <x v="169"/>
    <x v="170"/>
    <x v="171"/>
    <n v="3438.2999999999997"/>
  </r>
  <r>
    <x v="1"/>
    <x v="4"/>
    <x v="9"/>
    <n v="133.9"/>
    <n v="142.80000000000001"/>
    <n v="131.4"/>
    <n v="139.1"/>
    <n v="114.9"/>
    <n v="135.6"/>
    <n v="173.2"/>
    <n v="124.1"/>
    <n v="122.6"/>
    <n v="137.80000000000001"/>
    <n v="125.1"/>
    <n v="145.5"/>
    <n v="139.69999999999999"/>
    <n v="154.6"/>
    <n v="134"/>
    <n v="124.9"/>
    <n v="132.6"/>
    <n v="137.30000000000001"/>
    <n v="122.6"/>
    <n v="128.30000000000001"/>
    <n v="126.6"/>
    <n v="115"/>
    <n v="124.8"/>
    <n v="136.30000000000001"/>
    <n v="124.6"/>
    <n v="124.5"/>
    <x v="102"/>
    <x v="172"/>
    <x v="170"/>
    <x v="171"/>
    <x v="172"/>
    <n v="3451.7999999999993"/>
  </r>
  <r>
    <x v="2"/>
    <x v="4"/>
    <x v="9"/>
    <n v="135.30000000000001"/>
    <n v="142.19999999999999"/>
    <n v="131.19999999999999"/>
    <n v="140.6"/>
    <n v="119"/>
    <n v="141.5"/>
    <n v="162.6"/>
    <n v="132.30000000000001"/>
    <n v="121.8"/>
    <n v="136.30000000000001"/>
    <n v="128.69999999999999"/>
    <n v="148.1"/>
    <n v="140.1"/>
    <n v="151.6"/>
    <n v="142"/>
    <n v="134.1"/>
    <n v="140.80000000000001"/>
    <n v="137.30000000000001"/>
    <n v="132.19999999999999"/>
    <n v="133.6"/>
    <n v="131.30000000000001"/>
    <n v="117.8"/>
    <n v="128.4"/>
    <n v="137.9"/>
    <n v="126.2"/>
    <n v="127.7"/>
    <x v="136"/>
    <x v="173"/>
    <x v="171"/>
    <x v="172"/>
    <x v="173"/>
    <n v="3520.6"/>
  </r>
  <r>
    <x v="0"/>
    <x v="4"/>
    <x v="11"/>
    <n v="136.30000000000001"/>
    <n v="142.5"/>
    <n v="140.5"/>
    <n v="141.5"/>
    <n v="121.6"/>
    <n v="147.30000000000001"/>
    <n v="168"/>
    <n v="135.80000000000001"/>
    <n v="122.5"/>
    <n v="136"/>
    <n v="131.9"/>
    <n v="151.4"/>
    <n v="142.4"/>
    <n v="152.1"/>
    <n v="148.19999999999999"/>
    <n v="141.5"/>
    <n v="147.30000000000001"/>
    <n v="0"/>
    <n v="141.1"/>
    <n v="139.4"/>
    <n v="135.80000000000001"/>
    <n v="121.6"/>
    <n v="133.69999999999999"/>
    <n v="141.5"/>
    <n v="128.1"/>
    <n v="131.69999999999999"/>
    <x v="137"/>
    <x v="174"/>
    <x v="172"/>
    <x v="173"/>
    <x v="174"/>
    <n v="3479.7"/>
  </r>
  <r>
    <x v="1"/>
    <x v="4"/>
    <x v="11"/>
    <n v="134.30000000000001"/>
    <n v="142.1"/>
    <n v="146.69999999999999"/>
    <n v="139.5"/>
    <n v="115.2"/>
    <n v="136.4"/>
    <n v="185.2"/>
    <n v="122.2"/>
    <n v="123.9"/>
    <n v="138.30000000000001"/>
    <n v="125.4"/>
    <n v="146"/>
    <n v="141.5"/>
    <n v="156.19999999999999"/>
    <n v="135"/>
    <n v="125.4"/>
    <n v="133.5"/>
    <n v="138.6"/>
    <n v="125.7"/>
    <n v="128.80000000000001"/>
    <n v="127.4"/>
    <n v="115.3"/>
    <n v="125.1"/>
    <n v="136.6"/>
    <n v="124.9"/>
    <n v="124.9"/>
    <x v="138"/>
    <x v="175"/>
    <x v="173"/>
    <x v="174"/>
    <x v="175"/>
    <n v="3494.1"/>
  </r>
  <r>
    <x v="2"/>
    <x v="4"/>
    <x v="11"/>
    <n v="135.69999999999999"/>
    <n v="142.4"/>
    <n v="142.9"/>
    <n v="140.80000000000001"/>
    <n v="119.2"/>
    <n v="142.19999999999999"/>
    <n v="173.8"/>
    <n v="131.19999999999999"/>
    <n v="123"/>
    <n v="136.80000000000001"/>
    <n v="129.19999999999999"/>
    <n v="148.9"/>
    <n v="142.1"/>
    <n v="153.19999999999999"/>
    <n v="143"/>
    <n v="134.80000000000001"/>
    <n v="141.80000000000001"/>
    <n v="138.6"/>
    <n v="135.30000000000001"/>
    <n v="134.4"/>
    <n v="132.6"/>
    <n v="118.3"/>
    <n v="128.9"/>
    <n v="138.6"/>
    <n v="126.8"/>
    <n v="128.4"/>
    <x v="133"/>
    <x v="176"/>
    <x v="174"/>
    <x v="175"/>
    <x v="176"/>
    <n v="3562.9"/>
  </r>
  <r>
    <x v="0"/>
    <x v="4"/>
    <x v="12"/>
    <n v="136.4"/>
    <n v="143.69999999999999"/>
    <n v="144.80000000000001"/>
    <n v="141.9"/>
    <n v="123.1"/>
    <n v="147.19999999999999"/>
    <n v="161"/>
    <n v="133.80000000000001"/>
    <n v="121.9"/>
    <n v="135.80000000000001"/>
    <n v="131.1"/>
    <n v="151.4"/>
    <n v="141.5"/>
    <n v="153.19999999999999"/>
    <n v="148"/>
    <n v="141.9"/>
    <n v="147.19999999999999"/>
    <n v="0"/>
    <n v="142.6"/>
    <n v="139.5"/>
    <n v="136.1"/>
    <n v="122"/>
    <n v="133.4"/>
    <n v="141.1"/>
    <n v="127.8"/>
    <n v="131.9"/>
    <x v="139"/>
    <x v="177"/>
    <x v="175"/>
    <x v="176"/>
    <x v="177"/>
    <n v="3478.3"/>
  </r>
  <r>
    <x v="1"/>
    <x v="4"/>
    <x v="12"/>
    <n v="134.4"/>
    <n v="142.6"/>
    <n v="145.9"/>
    <n v="139.5"/>
    <n v="115.9"/>
    <n v="135"/>
    <n v="163.19999999999999"/>
    <n v="119.8"/>
    <n v="120.7"/>
    <n v="139.69999999999999"/>
    <n v="125.7"/>
    <n v="146.30000000000001"/>
    <n v="138.80000000000001"/>
    <n v="157"/>
    <n v="135.6"/>
    <n v="125.6"/>
    <n v="134"/>
    <n v="139.1"/>
    <n v="126.8"/>
    <n v="129.30000000000001"/>
    <n v="128.19999999999999"/>
    <n v="115.3"/>
    <n v="125.6"/>
    <n v="136.69999999999999"/>
    <n v="124.6"/>
    <n v="125.1"/>
    <x v="140"/>
    <x v="178"/>
    <x v="176"/>
    <x v="177"/>
    <x v="178"/>
    <n v="3470.4"/>
  </r>
  <r>
    <x v="2"/>
    <x v="4"/>
    <x v="12"/>
    <n v="135.80000000000001"/>
    <n v="143.30000000000001"/>
    <n v="145.19999999999999"/>
    <n v="141"/>
    <n v="120.5"/>
    <n v="141.5"/>
    <n v="161.69999999999999"/>
    <n v="129.1"/>
    <n v="121.5"/>
    <n v="137.1"/>
    <n v="128.80000000000001"/>
    <n v="149"/>
    <n v="140.5"/>
    <n v="154.19999999999999"/>
    <n v="143.1"/>
    <n v="135.1"/>
    <n v="142"/>
    <n v="139.1"/>
    <n v="136.6"/>
    <n v="134.69999999999999"/>
    <n v="133.1"/>
    <n v="118.5"/>
    <n v="129"/>
    <n v="138.5"/>
    <n v="126.5"/>
    <n v="128.6"/>
    <x v="141"/>
    <x v="179"/>
    <x v="177"/>
    <x v="178"/>
    <x v="179"/>
    <n v="3554"/>
  </r>
  <r>
    <x v="0"/>
    <x v="5"/>
    <x v="0"/>
    <n v="136.6"/>
    <n v="144.4"/>
    <n v="143.80000000000001"/>
    <n v="142"/>
    <n v="123.2"/>
    <n v="147.9"/>
    <n v="152.1"/>
    <n v="131.80000000000001"/>
    <n v="119.5"/>
    <n v="136"/>
    <n v="131.19999999999999"/>
    <n v="151.80000000000001"/>
    <n v="140.4"/>
    <n v="153.6"/>
    <n v="148.30000000000001"/>
    <n v="142.30000000000001"/>
    <n v="147.5"/>
    <n v="0"/>
    <n v="142.30000000000001"/>
    <n v="139.80000000000001"/>
    <n v="136"/>
    <n v="122.7"/>
    <n v="134.30000000000001"/>
    <n v="141.6"/>
    <n v="128.6"/>
    <n v="132.30000000000001"/>
    <x v="142"/>
    <x v="180"/>
    <x v="178"/>
    <x v="179"/>
    <x v="180"/>
    <n v="3470"/>
  </r>
  <r>
    <x v="1"/>
    <x v="5"/>
    <x v="0"/>
    <n v="134.6"/>
    <n v="143.69999999999999"/>
    <n v="143.6"/>
    <n v="139.6"/>
    <n v="116.4"/>
    <n v="133.80000000000001"/>
    <n v="150.5"/>
    <n v="118.4"/>
    <n v="117.3"/>
    <n v="140.5"/>
    <n v="125.9"/>
    <n v="146.80000000000001"/>
    <n v="137.19999999999999"/>
    <n v="157.69999999999999"/>
    <n v="136"/>
    <n v="125.9"/>
    <n v="134.4"/>
    <n v="140.4"/>
    <n v="127.3"/>
    <n v="129.5"/>
    <n v="129"/>
    <n v="116.3"/>
    <n v="126.2"/>
    <n v="137.1"/>
    <n v="125.5"/>
    <n v="125.8"/>
    <x v="140"/>
    <x v="181"/>
    <x v="179"/>
    <x v="180"/>
    <x v="181"/>
    <n v="3459.4"/>
  </r>
  <r>
    <x v="2"/>
    <x v="5"/>
    <x v="0"/>
    <n v="136"/>
    <n v="144.19999999999999"/>
    <n v="143.69999999999999"/>
    <n v="141.1"/>
    <n v="120.7"/>
    <n v="141.30000000000001"/>
    <n v="151.6"/>
    <n v="127.3"/>
    <n v="118.8"/>
    <n v="137.5"/>
    <n v="129"/>
    <n v="149.5"/>
    <n v="139.19999999999999"/>
    <n v="154.69999999999999"/>
    <n v="143.5"/>
    <n v="135.5"/>
    <n v="142.30000000000001"/>
    <n v="140.4"/>
    <n v="136.6"/>
    <n v="134.9"/>
    <n v="133.30000000000001"/>
    <n v="119.3"/>
    <n v="129.69999999999999"/>
    <n v="139"/>
    <n v="127.3"/>
    <n v="129.1"/>
    <x v="143"/>
    <x v="182"/>
    <x v="180"/>
    <x v="181"/>
    <x v="182"/>
    <n v="3545.5"/>
  </r>
  <r>
    <x v="0"/>
    <x v="5"/>
    <x v="1"/>
    <n v="136.4"/>
    <n v="143.69999999999999"/>
    <n v="140.6"/>
    <n v="141.5"/>
    <n v="122.9"/>
    <n v="149.4"/>
    <n v="142.4"/>
    <n v="130.19999999999999"/>
    <n v="117.9"/>
    <n v="135.6"/>
    <n v="130.5"/>
    <n v="151.69999999999999"/>
    <n v="138.69999999999999"/>
    <n v="153.30000000000001"/>
    <n v="148.69999999999999"/>
    <n v="142.4"/>
    <n v="147.80000000000001"/>
    <n v="0"/>
    <n v="142.4"/>
    <n v="139.9"/>
    <n v="136.19999999999999"/>
    <n v="123.3"/>
    <n v="134.30000000000001"/>
    <n v="141.5"/>
    <n v="128.80000000000001"/>
    <n v="132.5"/>
    <x v="144"/>
    <x v="183"/>
    <x v="181"/>
    <x v="182"/>
    <x v="183"/>
    <n v="3452.6"/>
  </r>
  <r>
    <x v="1"/>
    <x v="5"/>
    <x v="1"/>
    <n v="134.80000000000001"/>
    <n v="143"/>
    <n v="139.9"/>
    <n v="139.9"/>
    <n v="116.2"/>
    <n v="135.5"/>
    <n v="136.9"/>
    <n v="117"/>
    <n v="115.4"/>
    <n v="140.69999999999999"/>
    <n v="125.9"/>
    <n v="147.1"/>
    <n v="135.6"/>
    <n v="159.30000000000001"/>
    <n v="136.30000000000001"/>
    <n v="126.1"/>
    <n v="134.69999999999999"/>
    <n v="141.30000000000001"/>
    <n v="127.3"/>
    <n v="129.9"/>
    <n v="129.80000000000001"/>
    <n v="117.4"/>
    <n v="126.5"/>
    <n v="137.19999999999999"/>
    <n v="126.2"/>
    <n v="126.5"/>
    <x v="145"/>
    <x v="184"/>
    <x v="182"/>
    <x v="183"/>
    <x v="184"/>
    <n v="3446.4"/>
  </r>
  <r>
    <x v="2"/>
    <x v="5"/>
    <x v="1"/>
    <n v="135.9"/>
    <n v="143.5"/>
    <n v="140.30000000000001"/>
    <n v="140.9"/>
    <n v="120.4"/>
    <n v="142.9"/>
    <n v="140.5"/>
    <n v="125.8"/>
    <n v="117.1"/>
    <n v="137.30000000000001"/>
    <n v="128.6"/>
    <n v="149.6"/>
    <n v="137.6"/>
    <n v="154.9"/>
    <n v="143.80000000000001"/>
    <n v="135.6"/>
    <n v="142.6"/>
    <n v="141.30000000000001"/>
    <n v="136.69999999999999"/>
    <n v="135.19999999999999"/>
    <n v="133.80000000000001"/>
    <n v="120.2"/>
    <n v="129.9"/>
    <n v="139"/>
    <n v="127.7"/>
    <n v="129.6"/>
    <x v="146"/>
    <x v="185"/>
    <x v="183"/>
    <x v="184"/>
    <x v="185"/>
    <n v="3530.7000000000003"/>
  </r>
  <r>
    <x v="0"/>
    <x v="5"/>
    <x v="2"/>
    <n v="136.80000000000001"/>
    <n v="143.80000000000001"/>
    <n v="140"/>
    <n v="142"/>
    <n v="123.2"/>
    <n v="152.9"/>
    <n v="138"/>
    <n v="129.30000000000001"/>
    <n v="117.1"/>
    <n v="136.30000000000001"/>
    <n v="131.19999999999999"/>
    <n v="152.80000000000001"/>
    <n v="138.6"/>
    <n v="155.1"/>
    <n v="149.19999999999999"/>
    <n v="143"/>
    <n v="148.30000000000001"/>
    <n v="0"/>
    <n v="142.6"/>
    <n v="139.9"/>
    <n v="136.69999999999999"/>
    <n v="124.6"/>
    <n v="135.1"/>
    <n v="142.69999999999999"/>
    <n v="129.30000000000001"/>
    <n v="133.30000000000001"/>
    <x v="147"/>
    <x v="186"/>
    <x v="184"/>
    <x v="185"/>
    <x v="186"/>
    <n v="3461.7999999999993"/>
  </r>
  <r>
    <x v="1"/>
    <x v="5"/>
    <x v="2"/>
    <n v="135"/>
    <n v="143.1"/>
    <n v="135.5"/>
    <n v="139.9"/>
    <n v="116.5"/>
    <n v="138.5"/>
    <n v="128"/>
    <n v="115.5"/>
    <n v="114.2"/>
    <n v="140.69999999999999"/>
    <n v="126.2"/>
    <n v="147.6"/>
    <n v="134.80000000000001"/>
    <n v="159.69999999999999"/>
    <n v="136.69999999999999"/>
    <n v="126.7"/>
    <n v="135.19999999999999"/>
    <n v="142"/>
    <n v="126.4"/>
    <n v="130.80000000000001"/>
    <n v="130.5"/>
    <n v="117.8"/>
    <n v="126.8"/>
    <n v="137.80000000000001"/>
    <n v="126.7"/>
    <n v="127.1"/>
    <x v="145"/>
    <x v="187"/>
    <x v="185"/>
    <x v="186"/>
    <x v="187"/>
    <n v="3439.7"/>
  </r>
  <r>
    <x v="2"/>
    <x v="5"/>
    <x v="2"/>
    <n v="136.19999999999999"/>
    <n v="143.6"/>
    <n v="138.30000000000001"/>
    <n v="141.19999999999999"/>
    <n v="120.7"/>
    <n v="146.19999999999999"/>
    <n v="134.6"/>
    <n v="124.6"/>
    <n v="116.1"/>
    <n v="137.80000000000001"/>
    <n v="129.1"/>
    <n v="150.4"/>
    <n v="137.19999999999999"/>
    <n v="156.30000000000001"/>
    <n v="144.30000000000001"/>
    <n v="136.19999999999999"/>
    <n v="143.1"/>
    <n v="142"/>
    <n v="136.5"/>
    <n v="135.6"/>
    <n v="134.30000000000001"/>
    <n v="121"/>
    <n v="130.4"/>
    <n v="139.80000000000001"/>
    <n v="128.19999999999999"/>
    <n v="130.30000000000001"/>
    <x v="148"/>
    <x v="188"/>
    <x v="186"/>
    <x v="187"/>
    <x v="188"/>
    <n v="3534"/>
  </r>
  <r>
    <x v="0"/>
    <x v="5"/>
    <x v="3"/>
    <n v="137.1"/>
    <n v="144.5"/>
    <n v="135.9"/>
    <n v="142.4"/>
    <n v="123.5"/>
    <n v="156.4"/>
    <n v="135.1"/>
    <n v="128.4"/>
    <n v="115.2"/>
    <n v="137.19999999999999"/>
    <n v="131.9"/>
    <n v="153.80000000000001"/>
    <n v="138.6"/>
    <n v="156.1"/>
    <n v="150.1"/>
    <n v="143.30000000000001"/>
    <n v="149.1"/>
    <n v="0"/>
    <n v="143.80000000000001"/>
    <n v="140.9"/>
    <n v="137.6"/>
    <n v="125.3"/>
    <n v="136"/>
    <n v="143.69999999999999"/>
    <n v="130.4"/>
    <n v="134.19999999999999"/>
    <x v="149"/>
    <x v="189"/>
    <x v="187"/>
    <x v="188"/>
    <x v="189"/>
    <n v="3470.5"/>
  </r>
  <r>
    <x v="1"/>
    <x v="5"/>
    <x v="3"/>
    <n v="135"/>
    <n v="144.30000000000001"/>
    <n v="130.80000000000001"/>
    <n v="140.30000000000001"/>
    <n v="116.6"/>
    <n v="150.1"/>
    <n v="127.6"/>
    <n v="114"/>
    <n v="110.6"/>
    <n v="140.19999999999999"/>
    <n v="126.5"/>
    <n v="148.30000000000001"/>
    <n v="135.69999999999999"/>
    <n v="159.19999999999999"/>
    <n v="137.80000000000001"/>
    <n v="127.4"/>
    <n v="136.19999999999999"/>
    <n v="142.9"/>
    <n v="124.6"/>
    <n v="131.80000000000001"/>
    <n v="131.30000000000001"/>
    <n v="118.9"/>
    <n v="127.6"/>
    <n v="139.69999999999999"/>
    <n v="127.6"/>
    <n v="128.19999999999999"/>
    <x v="138"/>
    <x v="190"/>
    <x v="188"/>
    <x v="189"/>
    <x v="190"/>
    <n v="3453.2000000000007"/>
  </r>
  <r>
    <x v="2"/>
    <x v="5"/>
    <x v="3"/>
    <n v="136.4"/>
    <n v="144.4"/>
    <n v="133.9"/>
    <n v="141.6"/>
    <n v="121"/>
    <n v="153.5"/>
    <n v="132.6"/>
    <n v="123.5"/>
    <n v="113.7"/>
    <n v="138.19999999999999"/>
    <n v="129.6"/>
    <n v="151.19999999999999"/>
    <n v="137.5"/>
    <n v="156.9"/>
    <n v="145.30000000000001"/>
    <n v="136.69999999999999"/>
    <n v="144"/>
    <n v="142.9"/>
    <n v="136.5"/>
    <n v="136.6"/>
    <n v="135.19999999999999"/>
    <n v="121.9"/>
    <n v="131.30000000000001"/>
    <n v="141.4"/>
    <n v="129.19999999999999"/>
    <n v="131.30000000000001"/>
    <x v="150"/>
    <x v="191"/>
    <x v="189"/>
    <x v="190"/>
    <x v="191"/>
    <n v="3546.3"/>
  </r>
  <r>
    <x v="0"/>
    <x v="5"/>
    <x v="4"/>
    <n v="137.4"/>
    <n v="145.69999999999999"/>
    <n v="135.5"/>
    <n v="142.9"/>
    <n v="123.6"/>
    <n v="157.5"/>
    <n v="137.80000000000001"/>
    <n v="127.2"/>
    <n v="111.8"/>
    <n v="137.4"/>
    <n v="132.19999999999999"/>
    <n v="154.30000000000001"/>
    <n v="139.1"/>
    <n v="157"/>
    <n v="150.80000000000001"/>
    <n v="144.1"/>
    <n v="149.80000000000001"/>
    <n v="0"/>
    <n v="144.30000000000001"/>
    <n v="141.80000000000001"/>
    <n v="138.4"/>
    <n v="126.4"/>
    <n v="136.80000000000001"/>
    <n v="144.4"/>
    <n v="131.19999999999999"/>
    <n v="135.1"/>
    <x v="139"/>
    <x v="192"/>
    <x v="190"/>
    <x v="191"/>
    <x v="192"/>
    <n v="3482.5"/>
  </r>
  <r>
    <x v="1"/>
    <x v="5"/>
    <x v="4"/>
    <n v="135"/>
    <n v="148.19999999999999"/>
    <n v="130.5"/>
    <n v="140.69999999999999"/>
    <n v="116.4"/>
    <n v="151.30000000000001"/>
    <n v="131.4"/>
    <n v="112.8"/>
    <n v="105.3"/>
    <n v="139.6"/>
    <n v="126.6"/>
    <n v="148.69999999999999"/>
    <n v="136.4"/>
    <n v="160.30000000000001"/>
    <n v="138.6"/>
    <n v="127.9"/>
    <n v="137"/>
    <n v="143.19999999999999"/>
    <n v="124.7"/>
    <n v="132.5"/>
    <n v="132"/>
    <n v="119.8"/>
    <n v="128"/>
    <n v="140.4"/>
    <n v="128.1"/>
    <n v="128.9"/>
    <x v="132"/>
    <x v="193"/>
    <x v="191"/>
    <x v="192"/>
    <x v="193"/>
    <n v="3464.2999999999993"/>
  </r>
  <r>
    <x v="2"/>
    <x v="5"/>
    <x v="4"/>
    <n v="136.6"/>
    <n v="146.6"/>
    <n v="133.6"/>
    <n v="142.1"/>
    <n v="121"/>
    <n v="154.6"/>
    <n v="135.6"/>
    <n v="122.3"/>
    <n v="109.6"/>
    <n v="138.1"/>
    <n v="129.9"/>
    <n v="151.69999999999999"/>
    <n v="138.1"/>
    <n v="157.9"/>
    <n v="146"/>
    <n v="137.4"/>
    <n v="144.69999999999999"/>
    <n v="143.19999999999999"/>
    <n v="136.9"/>
    <n v="137.4"/>
    <n v="136"/>
    <n v="122.9"/>
    <n v="131.80000000000001"/>
    <n v="142.1"/>
    <n v="129.9"/>
    <n v="132.1"/>
    <x v="130"/>
    <x v="194"/>
    <x v="192"/>
    <x v="193"/>
    <x v="194"/>
    <n v="3558.1"/>
  </r>
  <r>
    <x v="0"/>
    <x v="5"/>
    <x v="5"/>
    <n v="137.6"/>
    <n v="148.1"/>
    <n v="136.69999999999999"/>
    <n v="143.19999999999999"/>
    <n v="124"/>
    <n v="154.1"/>
    <n v="143.5"/>
    <n v="126"/>
    <n v="112.4"/>
    <n v="137.6"/>
    <n v="132.80000000000001"/>
    <n v="154.30000000000001"/>
    <n v="140"/>
    <n v="157.30000000000001"/>
    <n v="151.30000000000001"/>
    <n v="144.69999999999999"/>
    <n v="150.30000000000001"/>
    <n v="0"/>
    <n v="145.1"/>
    <n v="142.19999999999999"/>
    <n v="138.4"/>
    <n v="127.4"/>
    <n v="137.80000000000001"/>
    <n v="145.1"/>
    <n v="131.4"/>
    <n v="135.6"/>
    <x v="151"/>
    <x v="195"/>
    <x v="193"/>
    <x v="194"/>
    <x v="195"/>
    <n v="3496.8999999999996"/>
  </r>
  <r>
    <x v="1"/>
    <x v="5"/>
    <x v="5"/>
    <n v="135.30000000000001"/>
    <n v="149.69999999999999"/>
    <n v="133.9"/>
    <n v="140.80000000000001"/>
    <n v="116.6"/>
    <n v="152.19999999999999"/>
    <n v="144"/>
    <n v="112.3"/>
    <n v="108.4"/>
    <n v="140"/>
    <n v="126.7"/>
    <n v="149"/>
    <n v="138.4"/>
    <n v="161"/>
    <n v="138.9"/>
    <n v="128.69999999999999"/>
    <n v="137.4"/>
    <n v="142.5"/>
    <n v="126.5"/>
    <n v="133.1"/>
    <n v="132.6"/>
    <n v="120.4"/>
    <n v="128.5"/>
    <n v="141.19999999999999"/>
    <n v="128.19999999999999"/>
    <n v="129.5"/>
    <x v="127"/>
    <x v="196"/>
    <x v="194"/>
    <x v="195"/>
    <x v="196"/>
    <n v="3495.8"/>
  </r>
  <r>
    <x v="2"/>
    <x v="5"/>
    <x v="5"/>
    <n v="136.9"/>
    <n v="148.69999999999999"/>
    <n v="135.6"/>
    <n v="142.30000000000001"/>
    <n v="121.3"/>
    <n v="153.19999999999999"/>
    <n v="143.69999999999999"/>
    <n v="121.4"/>
    <n v="111.1"/>
    <n v="138.4"/>
    <n v="130.30000000000001"/>
    <n v="151.80000000000001"/>
    <n v="139.4"/>
    <n v="158.30000000000001"/>
    <n v="146.4"/>
    <n v="138.1"/>
    <n v="145.19999999999999"/>
    <n v="142.5"/>
    <n v="138.1"/>
    <n v="137.9"/>
    <n v="136.19999999999999"/>
    <n v="123.7"/>
    <n v="132.6"/>
    <n v="142.80000000000001"/>
    <n v="130.1"/>
    <n v="132.6"/>
    <x v="144"/>
    <x v="197"/>
    <x v="195"/>
    <x v="196"/>
    <x v="197"/>
    <n v="3578.5999999999995"/>
  </r>
  <r>
    <x v="0"/>
    <x v="5"/>
    <x v="6"/>
    <n v="138.4"/>
    <n v="149.30000000000001"/>
    <n v="139.30000000000001"/>
    <n v="143.4"/>
    <n v="124.1"/>
    <n v="153.30000000000001"/>
    <n v="154.19999999999999"/>
    <n v="126.4"/>
    <n v="114.3"/>
    <n v="138.19999999999999"/>
    <n v="132.80000000000001"/>
    <n v="154.80000000000001"/>
    <n v="142"/>
    <n v="156.1"/>
    <n v="151.5"/>
    <n v="145.1"/>
    <n v="150.6"/>
    <n v="0"/>
    <n v="146.80000000000001"/>
    <n v="143.1"/>
    <n v="139"/>
    <n v="127.5"/>
    <n v="138.4"/>
    <n v="145.80000000000001"/>
    <n v="131.4"/>
    <n v="136"/>
    <x v="152"/>
    <x v="198"/>
    <x v="196"/>
    <x v="197"/>
    <x v="198"/>
    <n v="3521.8"/>
  </r>
  <r>
    <x v="1"/>
    <x v="5"/>
    <x v="6"/>
    <n v="135.6"/>
    <n v="148.6"/>
    <n v="139.1"/>
    <n v="141"/>
    <n v="116.7"/>
    <n v="149.69999999999999"/>
    <n v="159.19999999999999"/>
    <n v="112.6"/>
    <n v="111.8"/>
    <n v="140.30000000000001"/>
    <n v="126.8"/>
    <n v="149.4"/>
    <n v="140.30000000000001"/>
    <n v="161.4"/>
    <n v="139.6"/>
    <n v="128.9"/>
    <n v="137.9"/>
    <n v="143.6"/>
    <n v="128.1"/>
    <n v="133.6"/>
    <n v="133.6"/>
    <n v="120.1"/>
    <n v="129"/>
    <n v="144"/>
    <n v="128.19999999999999"/>
    <n v="130.19999999999999"/>
    <x v="153"/>
    <x v="199"/>
    <x v="197"/>
    <x v="198"/>
    <x v="199"/>
    <n v="3529.3"/>
  </r>
  <r>
    <x v="2"/>
    <x v="5"/>
    <x v="6"/>
    <n v="137.5"/>
    <n v="149.1"/>
    <n v="139.19999999999999"/>
    <n v="142.5"/>
    <n v="121.4"/>
    <n v="151.6"/>
    <n v="155.9"/>
    <n v="121.7"/>
    <n v="113.5"/>
    <n v="138.9"/>
    <n v="130.30000000000001"/>
    <n v="152.30000000000001"/>
    <n v="141.4"/>
    <n v="157.5"/>
    <n v="146.80000000000001"/>
    <n v="138.4"/>
    <n v="145.6"/>
    <n v="143.6"/>
    <n v="139.69999999999999"/>
    <n v="138.6"/>
    <n v="137"/>
    <n v="123.6"/>
    <n v="133.1"/>
    <n v="144.69999999999999"/>
    <n v="130.1"/>
    <n v="133.19999999999999"/>
    <x v="139"/>
    <x v="200"/>
    <x v="198"/>
    <x v="199"/>
    <x v="200"/>
    <n v="3607.2"/>
  </r>
  <r>
    <x v="0"/>
    <x v="5"/>
    <x v="7"/>
    <n v="139.19999999999999"/>
    <n v="148.80000000000001"/>
    <n v="139.1"/>
    <n v="143.5"/>
    <n v="125"/>
    <n v="154.4"/>
    <n v="156.30000000000001"/>
    <n v="126.8"/>
    <n v="115.4"/>
    <n v="138.6"/>
    <n v="133.80000000000001"/>
    <n v="155.19999999999999"/>
    <n v="142.69999999999999"/>
    <n v="156.4"/>
    <n v="152.1"/>
    <n v="145.80000000000001"/>
    <n v="151.30000000000001"/>
    <n v="0"/>
    <n v="147.69999999999999"/>
    <n v="143.80000000000001"/>
    <n v="139.4"/>
    <n v="128.30000000000001"/>
    <n v="138.6"/>
    <n v="146.9"/>
    <n v="131.30000000000001"/>
    <n v="136.6"/>
    <x v="154"/>
    <x v="201"/>
    <x v="199"/>
    <x v="200"/>
    <x v="201"/>
    <n v="3537"/>
  </r>
  <r>
    <x v="1"/>
    <x v="5"/>
    <x v="7"/>
    <n v="136.5"/>
    <n v="146.4"/>
    <n v="136.6"/>
    <n v="141.19999999999999"/>
    <n v="117.4"/>
    <n v="146.30000000000001"/>
    <n v="157.30000000000001"/>
    <n v="113.6"/>
    <n v="113.3"/>
    <n v="141.1"/>
    <n v="127.4"/>
    <n v="150.4"/>
    <n v="140.1"/>
    <n v="162.1"/>
    <n v="140"/>
    <n v="129"/>
    <n v="138.30000000000001"/>
    <n v="144.6"/>
    <n v="129.80000000000001"/>
    <n v="134.4"/>
    <n v="134.9"/>
    <n v="120.7"/>
    <n v="129.80000000000001"/>
    <n v="145.30000000000001"/>
    <n v="128.30000000000001"/>
    <n v="131"/>
    <x v="155"/>
    <x v="202"/>
    <x v="200"/>
    <x v="201"/>
    <x v="202"/>
    <n v="3535.7999999999997"/>
  </r>
  <r>
    <x v="2"/>
    <x v="5"/>
    <x v="7"/>
    <n v="138.30000000000001"/>
    <n v="148"/>
    <n v="138.1"/>
    <n v="142.6"/>
    <n v="122.2"/>
    <n v="150.6"/>
    <n v="156.6"/>
    <n v="122.4"/>
    <n v="114.7"/>
    <n v="139.4"/>
    <n v="131.1"/>
    <n v="153"/>
    <n v="141.69999999999999"/>
    <n v="157.9"/>
    <n v="147.30000000000001"/>
    <n v="138.80000000000001"/>
    <n v="146.1"/>
    <n v="144.6"/>
    <n v="140.9"/>
    <n v="139.4"/>
    <n v="137.69999999999999"/>
    <n v="124.3"/>
    <n v="133.6"/>
    <n v="146"/>
    <n v="130.1"/>
    <n v="133.9"/>
    <x v="156"/>
    <x v="203"/>
    <x v="201"/>
    <x v="202"/>
    <x v="203"/>
    <n v="3619.3"/>
  </r>
  <r>
    <x v="0"/>
    <x v="5"/>
    <x v="8"/>
    <n v="139.4"/>
    <n v="147.19999999999999"/>
    <n v="136.6"/>
    <n v="143.69999999999999"/>
    <n v="124.6"/>
    <n v="150.1"/>
    <n v="149.4"/>
    <n v="125.4"/>
    <n v="114.4"/>
    <n v="138.69999999999999"/>
    <n v="133.1"/>
    <n v="155.9"/>
    <n v="141.30000000000001"/>
    <n v="157.69999999999999"/>
    <n v="152.1"/>
    <n v="146.1"/>
    <n v="151.30000000000001"/>
    <n v="0"/>
    <n v="149"/>
    <n v="144"/>
    <n v="140"/>
    <n v="129.9"/>
    <n v="140"/>
    <n v="147.6"/>
    <n v="132"/>
    <n v="137.4"/>
    <x v="157"/>
    <x v="204"/>
    <x v="202"/>
    <x v="203"/>
    <x v="204"/>
    <n v="3526.9"/>
  </r>
  <r>
    <x v="1"/>
    <x v="5"/>
    <x v="8"/>
    <n v="137"/>
    <n v="143.1"/>
    <n v="132.80000000000001"/>
    <n v="141.5"/>
    <n v="117.8"/>
    <n v="140"/>
    <n v="151.30000000000001"/>
    <n v="113.5"/>
    <n v="112.3"/>
    <n v="141.19999999999999"/>
    <n v="127.7"/>
    <n v="151.30000000000001"/>
    <n v="138.9"/>
    <n v="163.30000000000001"/>
    <n v="140.80000000000001"/>
    <n v="129.30000000000001"/>
    <n v="139.1"/>
    <n v="145.30000000000001"/>
    <n v="131.19999999999999"/>
    <n v="134.9"/>
    <n v="135.69999999999999"/>
    <n v="122.5"/>
    <n v="130.19999999999999"/>
    <n v="145.19999999999999"/>
    <n v="129.30000000000001"/>
    <n v="131.9"/>
    <x v="158"/>
    <x v="205"/>
    <x v="203"/>
    <x v="204"/>
    <x v="205"/>
    <n v="3527.1"/>
  </r>
  <r>
    <x v="2"/>
    <x v="5"/>
    <x v="8"/>
    <n v="138.6"/>
    <n v="145.80000000000001"/>
    <n v="135.1"/>
    <n v="142.9"/>
    <n v="122.1"/>
    <n v="145.4"/>
    <n v="150"/>
    <n v="121.4"/>
    <n v="113.7"/>
    <n v="139.5"/>
    <n v="130.80000000000001"/>
    <n v="153.80000000000001"/>
    <n v="140.4"/>
    <n v="159.19999999999999"/>
    <n v="147.69999999999999"/>
    <n v="139.1"/>
    <n v="146.5"/>
    <n v="145.30000000000001"/>
    <n v="142.30000000000001"/>
    <n v="139.69999999999999"/>
    <n v="138.4"/>
    <n v="126"/>
    <n v="134.5"/>
    <n v="146.19999999999999"/>
    <n v="130.9"/>
    <n v="134.69999999999999"/>
    <x v="159"/>
    <x v="206"/>
    <x v="204"/>
    <x v="205"/>
    <x v="206"/>
    <n v="3610"/>
  </r>
  <r>
    <x v="0"/>
    <x v="5"/>
    <x v="9"/>
    <n v="139.30000000000001"/>
    <n v="147.6"/>
    <n v="134.6"/>
    <n v="141.9"/>
    <n v="123.5"/>
    <n v="144.5"/>
    <n v="147.6"/>
    <n v="121.4"/>
    <n v="112.3"/>
    <n v="139.5"/>
    <n v="134.6"/>
    <n v="155.19999999999999"/>
    <n v="140.19999999999999"/>
    <n v="159.6"/>
    <n v="150.69999999999999"/>
    <n v="144.5"/>
    <n v="149.80000000000001"/>
    <n v="0"/>
    <n v="149.69999999999999"/>
    <n v="147.5"/>
    <n v="144.80000000000001"/>
    <n v="130.80000000000001"/>
    <n v="140.1"/>
    <n v="148"/>
    <n v="134.4"/>
    <n v="139.80000000000001"/>
    <x v="160"/>
    <x v="207"/>
    <x v="205"/>
    <x v="206"/>
    <x v="207"/>
    <n v="3521.8999999999996"/>
  </r>
  <r>
    <x v="1"/>
    <x v="5"/>
    <x v="9"/>
    <n v="137.6"/>
    <n v="144.9"/>
    <n v="133.5"/>
    <n v="141.5"/>
    <n v="118"/>
    <n v="139.5"/>
    <n v="153"/>
    <n v="113.2"/>
    <n v="112.8"/>
    <n v="141.1"/>
    <n v="127.6"/>
    <n v="152"/>
    <n v="139.4"/>
    <n v="164"/>
    <n v="141.5"/>
    <n v="129.80000000000001"/>
    <n v="139.69999999999999"/>
    <n v="146.30000000000001"/>
    <n v="133.4"/>
    <n v="135.1"/>
    <n v="136.19999999999999"/>
    <n v="123.3"/>
    <n v="130.69999999999999"/>
    <n v="145.5"/>
    <n v="130.4"/>
    <n v="132.5"/>
    <x v="161"/>
    <x v="208"/>
    <x v="206"/>
    <x v="207"/>
    <x v="208"/>
    <n v="3542.5"/>
  </r>
  <r>
    <x v="2"/>
    <x v="5"/>
    <x v="9"/>
    <n v="137.4"/>
    <n v="149.5"/>
    <n v="137.30000000000001"/>
    <n v="141.9"/>
    <n v="121.1"/>
    <n v="142.5"/>
    <n v="146.69999999999999"/>
    <n v="119.1"/>
    <n v="111.9"/>
    <n v="141"/>
    <n v="133.6"/>
    <n v="154.5"/>
    <n v="139.69999999999999"/>
    <n v="162.6"/>
    <n v="148"/>
    <n v="139.19999999999999"/>
    <n v="146.80000000000001"/>
    <n v="146.9"/>
    <n v="145.30000000000001"/>
    <n v="142.19999999999999"/>
    <n v="142.1"/>
    <n v="125.5"/>
    <n v="136.5"/>
    <n v="147.80000000000001"/>
    <n v="132"/>
    <n v="136.30000000000001"/>
    <x v="162"/>
    <x v="209"/>
    <x v="207"/>
    <x v="208"/>
    <x v="209"/>
    <n v="3627.4000000000005"/>
  </r>
  <r>
    <x v="0"/>
    <x v="5"/>
    <x v="11"/>
    <n v="137.1"/>
    <n v="150.80000000000001"/>
    <n v="136.69999999999999"/>
    <n v="141.9"/>
    <n v="122.8"/>
    <n v="143.9"/>
    <n v="147.5"/>
    <n v="121"/>
    <n v="111.6"/>
    <n v="140.6"/>
    <n v="137.5"/>
    <n v="156.1"/>
    <n v="140"/>
    <n v="161.9"/>
    <n v="151.69999999999999"/>
    <n v="145.5"/>
    <n v="150.80000000000001"/>
    <n v="0"/>
    <n v="150.30000000000001"/>
    <n v="148"/>
    <n v="145.4"/>
    <n v="130.30000000000001"/>
    <n v="143.1"/>
    <n v="150.19999999999999"/>
    <n v="133.1"/>
    <n v="140.1"/>
    <x v="163"/>
    <x v="210"/>
    <x v="208"/>
    <x v="209"/>
    <x v="210"/>
    <n v="3537.8999999999996"/>
  </r>
  <r>
    <x v="1"/>
    <x v="5"/>
    <x v="11"/>
    <n v="138.1"/>
    <n v="146.30000000000001"/>
    <n v="137.80000000000001"/>
    <n v="141.6"/>
    <n v="118.1"/>
    <n v="141.5"/>
    <n v="145.19999999999999"/>
    <n v="115.3"/>
    <n v="112.5"/>
    <n v="141.4"/>
    <n v="128"/>
    <n v="152.6"/>
    <n v="139.1"/>
    <n v="164.4"/>
    <n v="142.4"/>
    <n v="130.19999999999999"/>
    <n v="140.5"/>
    <n v="146.9"/>
    <n v="136.69999999999999"/>
    <n v="135.80000000000001"/>
    <n v="136.80000000000001"/>
    <n v="121.2"/>
    <n v="131.30000000000001"/>
    <n v="146.1"/>
    <n v="130.5"/>
    <n v="132.19999999999999"/>
    <x v="164"/>
    <x v="211"/>
    <x v="209"/>
    <x v="210"/>
    <x v="211"/>
    <n v="3552.5"/>
  </r>
  <r>
    <x v="2"/>
    <x v="5"/>
    <x v="11"/>
    <n v="137.4"/>
    <n v="149.19999999999999"/>
    <n v="137.1"/>
    <n v="141.80000000000001"/>
    <n v="121.1"/>
    <n v="142.80000000000001"/>
    <n v="146.69999999999999"/>
    <n v="119.1"/>
    <n v="111.9"/>
    <n v="140.9"/>
    <n v="133.5"/>
    <n v="154.5"/>
    <n v="139.69999999999999"/>
    <n v="162.6"/>
    <n v="148"/>
    <n v="139.1"/>
    <n v="146.69999999999999"/>
    <n v="146.9"/>
    <n v="145.1"/>
    <n v="142.19999999999999"/>
    <n v="142.1"/>
    <n v="125.5"/>
    <n v="136.5"/>
    <n v="147.80000000000001"/>
    <n v="132"/>
    <n v="136.30000000000001"/>
    <x v="162"/>
    <x v="212"/>
    <x v="210"/>
    <x v="211"/>
    <x v="209"/>
    <n v="3626.5"/>
  </r>
  <r>
    <x v="0"/>
    <x v="5"/>
    <x v="12"/>
    <n v="137.1"/>
    <n v="151.9"/>
    <n v="137.4"/>
    <n v="142.4"/>
    <n v="124.2"/>
    <n v="140.19999999999999"/>
    <n v="136.6"/>
    <n v="120.9"/>
    <n v="109.9"/>
    <n v="140.19999999999999"/>
    <n v="137.80000000000001"/>
    <n v="156"/>
    <n v="138.5"/>
    <n v="162.4"/>
    <n v="151.6"/>
    <n v="145.9"/>
    <n v="150.80000000000001"/>
    <n v="0"/>
    <n v="149"/>
    <n v="149.5"/>
    <n v="149.6"/>
    <n v="128.9"/>
    <n v="143.30000000000001"/>
    <n v="155.1"/>
    <n v="133.19999999999999"/>
    <n v="141.6"/>
    <x v="165"/>
    <x v="213"/>
    <x v="202"/>
    <x v="212"/>
    <x v="212"/>
    <n v="3534"/>
  </r>
  <r>
    <x v="1"/>
    <x v="5"/>
    <x v="12"/>
    <n v="138.5"/>
    <n v="147.80000000000001"/>
    <n v="141.1"/>
    <n v="141.6"/>
    <n v="118.1"/>
    <n v="138.5"/>
    <n v="132.4"/>
    <n v="117.5"/>
    <n v="111"/>
    <n v="141.5"/>
    <n v="128.1"/>
    <n v="152.9"/>
    <n v="137.6"/>
    <n v="164.6"/>
    <n v="142.69999999999999"/>
    <n v="130.30000000000001"/>
    <n v="140.80000000000001"/>
    <n v="146.5"/>
    <n v="132.4"/>
    <n v="136.19999999999999"/>
    <n v="137.30000000000001"/>
    <n v="118.8"/>
    <n v="131.69999999999999"/>
    <n v="146.5"/>
    <n v="130.80000000000001"/>
    <n v="131.69999999999999"/>
    <x v="155"/>
    <x v="214"/>
    <x v="211"/>
    <x v="204"/>
    <x v="213"/>
    <n v="3536.8999999999996"/>
  </r>
  <r>
    <x v="2"/>
    <x v="5"/>
    <x v="12"/>
    <n v="137.5"/>
    <n v="150.5"/>
    <n v="138.80000000000001"/>
    <n v="142.1"/>
    <n v="122"/>
    <n v="139.4"/>
    <n v="135.19999999999999"/>
    <n v="119.8"/>
    <n v="110.3"/>
    <n v="140.6"/>
    <n v="133.80000000000001"/>
    <n v="154.6"/>
    <n v="138.19999999999999"/>
    <n v="163"/>
    <n v="148.1"/>
    <n v="139.4"/>
    <n v="146.80000000000001"/>
    <n v="146.5"/>
    <n v="142.69999999999999"/>
    <n v="143.19999999999999"/>
    <n v="144.9"/>
    <n v="123.6"/>
    <n v="136.80000000000001"/>
    <n v="150.1"/>
    <n v="132.19999999999999"/>
    <n v="136.80000000000001"/>
    <x v="166"/>
    <x v="215"/>
    <x v="212"/>
    <x v="213"/>
    <x v="214"/>
    <n v="3616.8999999999996"/>
  </r>
  <r>
    <x v="0"/>
    <x v="6"/>
    <x v="0"/>
    <n v="136.6"/>
    <n v="152.5"/>
    <n v="138.19999999999999"/>
    <n v="142.4"/>
    <n v="123.9"/>
    <n v="135.5"/>
    <n v="131.69999999999999"/>
    <n v="121.3"/>
    <n v="108.4"/>
    <n v="138.9"/>
    <n v="137"/>
    <n v="155.80000000000001"/>
    <n v="137.4"/>
    <n v="162.69999999999999"/>
    <n v="150.6"/>
    <n v="145.1"/>
    <n v="149.9"/>
    <n v="0"/>
    <n v="146.19999999999999"/>
    <n v="150.1"/>
    <n v="149.6"/>
    <n v="128.6"/>
    <n v="142.9"/>
    <n v="155.19999999999999"/>
    <n v="133.5"/>
    <n v="141.69999999999999"/>
    <x v="167"/>
    <x v="216"/>
    <x v="213"/>
    <x v="214"/>
    <x v="215"/>
    <n v="3515.7000000000003"/>
  </r>
  <r>
    <x v="1"/>
    <x v="6"/>
    <x v="0"/>
    <n v="138.30000000000001"/>
    <n v="149.4"/>
    <n v="143.5"/>
    <n v="141.69999999999999"/>
    <n v="118.1"/>
    <n v="135.19999999999999"/>
    <n v="130.5"/>
    <n v="118.2"/>
    <n v="110.4"/>
    <n v="140.4"/>
    <n v="128.1"/>
    <n v="153.19999999999999"/>
    <n v="137.30000000000001"/>
    <n v="164.7"/>
    <n v="143"/>
    <n v="130.4"/>
    <n v="141.1"/>
    <n v="147.69999999999999"/>
    <n v="128.6"/>
    <n v="136.30000000000001"/>
    <n v="137.80000000000001"/>
    <n v="118.6"/>
    <n v="131.9"/>
    <n v="146.6"/>
    <n v="131.69999999999999"/>
    <n v="131.80000000000001"/>
    <x v="155"/>
    <x v="217"/>
    <x v="214"/>
    <x v="181"/>
    <x v="216"/>
    <n v="3534.5"/>
  </r>
  <r>
    <x v="2"/>
    <x v="6"/>
    <x v="0"/>
    <n v="137.1"/>
    <n v="151.4"/>
    <n v="140.19999999999999"/>
    <n v="142.1"/>
    <n v="121.8"/>
    <n v="135.4"/>
    <n v="131.30000000000001"/>
    <n v="120.3"/>
    <n v="109.1"/>
    <n v="139.4"/>
    <n v="133.30000000000001"/>
    <n v="154.6"/>
    <n v="137.4"/>
    <n v="163.19999999999999"/>
    <n v="147.6"/>
    <n v="139"/>
    <n v="146.4"/>
    <n v="147.69999999999999"/>
    <n v="139.5"/>
    <n v="143.6"/>
    <n v="145.1"/>
    <n v="123.3"/>
    <n v="136.69999999999999"/>
    <n v="150.19999999999999"/>
    <n v="132.80000000000001"/>
    <n v="136.9"/>
    <x v="168"/>
    <x v="218"/>
    <x v="210"/>
    <x v="215"/>
    <x v="217"/>
    <n v="3605.3999999999996"/>
  </r>
  <r>
    <x v="0"/>
    <x v="6"/>
    <x v="1"/>
    <n v="136.80000000000001"/>
    <n v="153"/>
    <n v="139.1"/>
    <n v="142.5"/>
    <n v="124.1"/>
    <n v="135.80000000000001"/>
    <n v="128.69999999999999"/>
    <n v="121.5"/>
    <n v="108.3"/>
    <n v="139.19999999999999"/>
    <n v="137.4"/>
    <n v="156.19999999999999"/>
    <n v="137.19999999999999"/>
    <n v="162.80000000000001"/>
    <n v="150.5"/>
    <n v="146.1"/>
    <n v="149.9"/>
    <n v="0"/>
    <n v="145.30000000000001"/>
    <n v="150.1"/>
    <n v="149.9"/>
    <n v="129.19999999999999"/>
    <n v="143.4"/>
    <n v="155.5"/>
    <n v="134.9"/>
    <n v="142.19999999999999"/>
    <x v="167"/>
    <x v="219"/>
    <x v="215"/>
    <x v="216"/>
    <x v="218"/>
    <n v="3519.6"/>
  </r>
  <r>
    <x v="1"/>
    <x v="6"/>
    <x v="1"/>
    <n v="139.4"/>
    <n v="150.1"/>
    <n v="145.30000000000001"/>
    <n v="141.69999999999999"/>
    <n v="118.4"/>
    <n v="137"/>
    <n v="131.6"/>
    <n v="119.9"/>
    <n v="110.4"/>
    <n v="140.80000000000001"/>
    <n v="128.30000000000001"/>
    <n v="153.5"/>
    <n v="138"/>
    <n v="164.9"/>
    <n v="143.30000000000001"/>
    <n v="130.80000000000001"/>
    <n v="141.4"/>
    <n v="148.5"/>
    <n v="127.1"/>
    <n v="136.6"/>
    <n v="138.5"/>
    <n v="119.2"/>
    <n v="132.19999999999999"/>
    <n v="146.6"/>
    <n v="133"/>
    <n v="132.4"/>
    <x v="169"/>
    <x v="220"/>
    <x v="216"/>
    <x v="217"/>
    <x v="219"/>
    <n v="3548.9"/>
  </r>
  <r>
    <x v="2"/>
    <x v="6"/>
    <x v="1"/>
    <n v="137.6"/>
    <n v="152"/>
    <n v="141.5"/>
    <n v="142.19999999999999"/>
    <n v="122"/>
    <n v="136.4"/>
    <n v="129.69999999999999"/>
    <n v="121"/>
    <n v="109"/>
    <n v="139.69999999999999"/>
    <n v="133.6"/>
    <n v="154.9"/>
    <n v="137.5"/>
    <n v="163.4"/>
    <n v="147.69999999999999"/>
    <n v="139.69999999999999"/>
    <n v="146.5"/>
    <n v="148.5"/>
    <n v="138.4"/>
    <n v="143.69999999999999"/>
    <n v="145.6"/>
    <n v="123.9"/>
    <n v="137.1"/>
    <n v="150.30000000000001"/>
    <n v="134.1"/>
    <n v="137.4"/>
    <x v="170"/>
    <x v="221"/>
    <x v="217"/>
    <x v="218"/>
    <x v="220"/>
    <n v="3613.4"/>
  </r>
  <r>
    <x v="0"/>
    <x v="6"/>
    <x v="2"/>
    <n v="136.9"/>
    <n v="154.1"/>
    <n v="138.69999999999999"/>
    <n v="142.5"/>
    <n v="124.1"/>
    <n v="136.1"/>
    <n v="128.19999999999999"/>
    <n v="122.3"/>
    <n v="108.3"/>
    <n v="138.9"/>
    <n v="137.4"/>
    <n v="156.4"/>
    <n v="137.30000000000001"/>
    <n v="162.9"/>
    <n v="150.80000000000001"/>
    <n v="146.1"/>
    <n v="150.1"/>
    <n v="0"/>
    <n v="146.4"/>
    <n v="150"/>
    <n v="150.4"/>
    <n v="129.9"/>
    <n v="143.80000000000001"/>
    <n v="155.5"/>
    <n v="134"/>
    <n v="142.4"/>
    <x v="171"/>
    <x v="222"/>
    <x v="218"/>
    <x v="219"/>
    <x v="221"/>
    <n v="3523.5000000000005"/>
  </r>
  <r>
    <x v="1"/>
    <x v="6"/>
    <x v="2"/>
    <n v="139.69999999999999"/>
    <n v="151.1"/>
    <n v="142.9"/>
    <n v="141.9"/>
    <n v="118.4"/>
    <n v="139.4"/>
    <n v="141.19999999999999"/>
    <n v="120.7"/>
    <n v="110.4"/>
    <n v="140.69999999999999"/>
    <n v="128.5"/>
    <n v="153.9"/>
    <n v="139.6"/>
    <n v="165.3"/>
    <n v="143.5"/>
    <n v="131.19999999999999"/>
    <n v="141.6"/>
    <n v="149"/>
    <n v="128.80000000000001"/>
    <n v="136.80000000000001"/>
    <n v="139.19999999999999"/>
    <n v="119.9"/>
    <n v="133"/>
    <n v="146.69999999999999"/>
    <n v="132.5"/>
    <n v="132.80000000000001"/>
    <x v="172"/>
    <x v="223"/>
    <x v="219"/>
    <x v="220"/>
    <x v="222"/>
    <n v="3568.7"/>
  </r>
  <r>
    <x v="2"/>
    <x v="6"/>
    <x v="2"/>
    <n v="137.80000000000001"/>
    <n v="153"/>
    <n v="140.30000000000001"/>
    <n v="142.30000000000001"/>
    <n v="122"/>
    <n v="137.6"/>
    <n v="132.6"/>
    <n v="121.8"/>
    <n v="109"/>
    <n v="139.5"/>
    <n v="133.69999999999999"/>
    <n v="155.19999999999999"/>
    <n v="138.1"/>
    <n v="163.5"/>
    <n v="147.9"/>
    <n v="139.9"/>
    <n v="146.69999999999999"/>
    <n v="149"/>
    <n v="139.69999999999999"/>
    <n v="143.80000000000001"/>
    <n v="146.19999999999999"/>
    <n v="124.6"/>
    <n v="137.69999999999999"/>
    <n v="150.30000000000001"/>
    <n v="133.4"/>
    <n v="137.69999999999999"/>
    <x v="156"/>
    <x v="224"/>
    <x v="220"/>
    <x v="221"/>
    <x v="223"/>
    <n v="3623.3"/>
  </r>
  <r>
    <x v="0"/>
    <x v="6"/>
    <x v="4"/>
    <n v="137.4"/>
    <n v="159.5"/>
    <n v="134.5"/>
    <n v="142.6"/>
    <n v="124"/>
    <n v="143.69999999999999"/>
    <n v="133.4"/>
    <n v="125.1"/>
    <n v="109.3"/>
    <n v="139.30000000000001"/>
    <n v="137.69999999999999"/>
    <n v="156.4"/>
    <n v="139.19999999999999"/>
    <n v="163.30000000000001"/>
    <n v="151.30000000000001"/>
    <n v="146.6"/>
    <n v="150.69999999999999"/>
    <n v="0"/>
    <n v="146.9"/>
    <n v="149.5"/>
    <n v="151.30000000000001"/>
    <n v="130.19999999999999"/>
    <n v="145.9"/>
    <n v="156.69999999999999"/>
    <n v="133.9"/>
    <n v="142.9"/>
    <x v="163"/>
    <x v="225"/>
    <x v="221"/>
    <x v="222"/>
    <x v="224"/>
    <n v="3551.3"/>
  </r>
  <r>
    <x v="1"/>
    <x v="6"/>
    <x v="4"/>
    <n v="140.4"/>
    <n v="156.69999999999999"/>
    <n v="138.30000000000001"/>
    <n v="142.4"/>
    <n v="118.6"/>
    <n v="149.69999999999999"/>
    <n v="161.6"/>
    <n v="124.4"/>
    <n v="111.2"/>
    <n v="141"/>
    <n v="128.9"/>
    <n v="154.5"/>
    <n v="143.80000000000001"/>
    <n v="166.2"/>
    <n v="144"/>
    <n v="131.69999999999999"/>
    <n v="142.19999999999999"/>
    <n v="150.1"/>
    <n v="129.4"/>
    <n v="137.19999999999999"/>
    <n v="139.80000000000001"/>
    <n v="120.1"/>
    <n v="134"/>
    <n v="148"/>
    <n v="132.6"/>
    <n v="133.30000000000001"/>
    <x v="173"/>
    <x v="226"/>
    <x v="222"/>
    <x v="223"/>
    <x v="225"/>
    <n v="3620.1"/>
  </r>
  <r>
    <x v="2"/>
    <x v="6"/>
    <x v="4"/>
    <n v="138.30000000000001"/>
    <n v="158.5"/>
    <n v="136"/>
    <n v="142.5"/>
    <n v="122"/>
    <n v="146.5"/>
    <n v="143"/>
    <n v="124.9"/>
    <n v="109.9"/>
    <n v="139.9"/>
    <n v="134"/>
    <n v="155.5"/>
    <n v="140.9"/>
    <n v="164.1"/>
    <n v="148.4"/>
    <n v="140.4"/>
    <n v="147.30000000000001"/>
    <n v="150.1"/>
    <n v="140.30000000000001"/>
    <n v="143.69999999999999"/>
    <n v="146.9"/>
    <n v="124.9"/>
    <n v="139.19999999999999"/>
    <n v="151.6"/>
    <n v="133.4"/>
    <n v="138.19999999999999"/>
    <x v="174"/>
    <x v="227"/>
    <x v="223"/>
    <x v="224"/>
    <x v="226"/>
    <n v="3660.4"/>
  </r>
  <r>
    <x v="0"/>
    <x v="6"/>
    <x v="5"/>
    <n v="137.80000000000001"/>
    <n v="163.5"/>
    <n v="136.19999999999999"/>
    <n v="143.19999999999999"/>
    <n v="124.3"/>
    <n v="143.30000000000001"/>
    <n v="140.6"/>
    <n v="128.69999999999999"/>
    <n v="110.6"/>
    <n v="140.4"/>
    <n v="138"/>
    <n v="156.6"/>
    <n v="141"/>
    <n v="164.2"/>
    <n v="151.4"/>
    <n v="146.5"/>
    <n v="150.69999999999999"/>
    <n v="0"/>
    <n v="147.80000000000001"/>
    <n v="149.6"/>
    <n v="151.69999999999999"/>
    <n v="130.19999999999999"/>
    <n v="146.4"/>
    <n v="157.69999999999999"/>
    <n v="134.80000000000001"/>
    <n v="143.30000000000001"/>
    <x v="175"/>
    <x v="228"/>
    <x v="224"/>
    <x v="225"/>
    <x v="227"/>
    <n v="3578.4999999999995"/>
  </r>
  <r>
    <x v="1"/>
    <x v="6"/>
    <x v="5"/>
    <n v="140.69999999999999"/>
    <n v="159.6"/>
    <n v="140.4"/>
    <n v="143.4"/>
    <n v="118.6"/>
    <n v="150.9"/>
    <n v="169.8"/>
    <n v="127.4"/>
    <n v="111.8"/>
    <n v="141"/>
    <n v="129"/>
    <n v="155.1"/>
    <n v="145.6"/>
    <n v="166.7"/>
    <n v="144.30000000000001"/>
    <n v="131.69999999999999"/>
    <n v="142.4"/>
    <n v="149.4"/>
    <n v="130.5"/>
    <n v="137.4"/>
    <n v="140.30000000000001"/>
    <n v="119.6"/>
    <n v="134.30000000000001"/>
    <n v="148.9"/>
    <n v="133.69999999999999"/>
    <n v="133.6"/>
    <x v="157"/>
    <x v="229"/>
    <x v="225"/>
    <x v="226"/>
    <x v="228"/>
    <n v="3646.0999999999995"/>
  </r>
  <r>
    <x v="2"/>
    <x v="6"/>
    <x v="5"/>
    <n v="138.69999999999999"/>
    <n v="162.1"/>
    <n v="137.80000000000001"/>
    <n v="143.30000000000001"/>
    <n v="122.2"/>
    <n v="146.80000000000001"/>
    <n v="150.5"/>
    <n v="128.30000000000001"/>
    <n v="111"/>
    <n v="140.6"/>
    <n v="134.19999999999999"/>
    <n v="155.9"/>
    <n v="142.69999999999999"/>
    <n v="164.9"/>
    <n v="148.6"/>
    <n v="140.4"/>
    <n v="147.4"/>
    <n v="149.4"/>
    <n v="141.19999999999999"/>
    <n v="143.80000000000001"/>
    <n v="147.4"/>
    <n v="124.6"/>
    <n v="139.6"/>
    <n v="152.5"/>
    <n v="134.30000000000001"/>
    <n v="138.6"/>
    <x v="176"/>
    <x v="230"/>
    <x v="226"/>
    <x v="224"/>
    <x v="229"/>
    <n v="3686.8"/>
  </r>
  <r>
    <x v="0"/>
    <x v="6"/>
    <x v="6"/>
    <n v="138.4"/>
    <n v="164"/>
    <n v="138.4"/>
    <n v="143.9"/>
    <n v="124.4"/>
    <n v="146.4"/>
    <n v="150.1"/>
    <n v="130.6"/>
    <n v="110.8"/>
    <n v="141.69999999999999"/>
    <n v="138.5"/>
    <n v="156.69999999999999"/>
    <n v="143"/>
    <n v="164.5"/>
    <n v="151.6"/>
    <n v="146.6"/>
    <n v="150.9"/>
    <n v="0"/>
    <n v="146.80000000000001"/>
    <n v="150"/>
    <n v="152.19999999999999"/>
    <n v="131.19999999999999"/>
    <n v="147.5"/>
    <n v="159.1"/>
    <n v="136.1"/>
    <n v="144.19999999999999"/>
    <x v="177"/>
    <x v="231"/>
    <x v="227"/>
    <x v="206"/>
    <x v="230"/>
    <n v="3607.6"/>
  </r>
  <r>
    <x v="1"/>
    <x v="6"/>
    <x v="6"/>
    <n v="141.4"/>
    <n v="160.19999999999999"/>
    <n v="142.5"/>
    <n v="144.1"/>
    <n v="119.3"/>
    <n v="154.69999999999999"/>
    <n v="180.1"/>
    <n v="128.9"/>
    <n v="111.8"/>
    <n v="141.6"/>
    <n v="129.5"/>
    <n v="155.6"/>
    <n v="147.69999999999999"/>
    <n v="167.2"/>
    <n v="144.69999999999999"/>
    <n v="131.9"/>
    <n v="142.69999999999999"/>
    <n v="150.6"/>
    <n v="127"/>
    <n v="137.69999999999999"/>
    <n v="140.80000000000001"/>
    <n v="120.6"/>
    <n v="135"/>
    <n v="150.4"/>
    <n v="135.1"/>
    <n v="134.5"/>
    <x v="178"/>
    <x v="232"/>
    <x v="164"/>
    <x v="227"/>
    <x v="231"/>
    <n v="3675.6000000000004"/>
  </r>
  <r>
    <x v="2"/>
    <x v="6"/>
    <x v="6"/>
    <n v="139.30000000000001"/>
    <n v="162.69999999999999"/>
    <n v="140"/>
    <n v="144"/>
    <n v="122.5"/>
    <n v="150.30000000000001"/>
    <n v="160.30000000000001"/>
    <n v="130"/>
    <n v="111.1"/>
    <n v="141.69999999999999"/>
    <n v="134.69999999999999"/>
    <n v="156.19999999999999"/>
    <n v="144.69999999999999"/>
    <n v="165.2"/>
    <n v="148.9"/>
    <n v="140.5"/>
    <n v="147.6"/>
    <n v="150.6"/>
    <n v="139.30000000000001"/>
    <n v="144.19999999999999"/>
    <n v="147.9"/>
    <n v="125.6"/>
    <n v="140.5"/>
    <n v="154"/>
    <n v="135.69999999999999"/>
    <n v="139.5"/>
    <x v="179"/>
    <x v="233"/>
    <x v="228"/>
    <x v="228"/>
    <x v="232"/>
    <n v="3717"/>
  </r>
  <r>
    <x v="0"/>
    <x v="6"/>
    <x v="7"/>
    <n v="139.19999999999999"/>
    <n v="161.9"/>
    <n v="137.1"/>
    <n v="144.6"/>
    <n v="124.7"/>
    <n v="145.5"/>
    <n v="156.19999999999999"/>
    <n v="131.5"/>
    <n v="111.7"/>
    <n v="142.69999999999999"/>
    <n v="138.5"/>
    <n v="156.9"/>
    <n v="144"/>
    <n v="165.1"/>
    <n v="151.80000000000001"/>
    <n v="146.6"/>
    <n v="151.1"/>
    <n v="0"/>
    <n v="146.4"/>
    <n v="150.19999999999999"/>
    <n v="152.69999999999999"/>
    <n v="131.4"/>
    <n v="148"/>
    <n v="159.69999999999999"/>
    <n v="138.80000000000001"/>
    <n v="144.9"/>
    <x v="180"/>
    <x v="234"/>
    <x v="229"/>
    <x v="206"/>
    <x v="233"/>
    <n v="3621.2"/>
  </r>
  <r>
    <x v="1"/>
    <x v="6"/>
    <x v="7"/>
    <n v="142.1"/>
    <n v="158.30000000000001"/>
    <n v="140.80000000000001"/>
    <n v="144.9"/>
    <n v="119.9"/>
    <n v="153.9"/>
    <n v="189.1"/>
    <n v="129.80000000000001"/>
    <n v="112.7"/>
    <n v="142.5"/>
    <n v="129.80000000000001"/>
    <n v="156.19999999999999"/>
    <n v="149.1"/>
    <n v="167.9"/>
    <n v="145"/>
    <n v="132.19999999999999"/>
    <n v="143"/>
    <n v="151.6"/>
    <n v="125.5"/>
    <n v="138.1"/>
    <n v="141.5"/>
    <n v="120.8"/>
    <n v="135.4"/>
    <n v="151.5"/>
    <n v="137.80000000000001"/>
    <n v="135.30000000000001"/>
    <x v="179"/>
    <x v="235"/>
    <x v="192"/>
    <x v="229"/>
    <x v="234"/>
    <n v="3694.7"/>
  </r>
  <r>
    <x v="2"/>
    <x v="6"/>
    <x v="7"/>
    <n v="140.1"/>
    <n v="160.6"/>
    <n v="138.5"/>
    <n v="144.69999999999999"/>
    <n v="122.9"/>
    <n v="149.4"/>
    <n v="167.4"/>
    <n v="130.9"/>
    <n v="112"/>
    <n v="142.6"/>
    <n v="134.9"/>
    <n v="156.6"/>
    <n v="145.9"/>
    <n v="165.8"/>
    <n v="149.1"/>
    <n v="140.6"/>
    <n v="147.9"/>
    <n v="151.6"/>
    <n v="138.5"/>
    <n v="144.5"/>
    <n v="148.5"/>
    <n v="125.8"/>
    <n v="140.9"/>
    <n v="154.9"/>
    <n v="138.4"/>
    <n v="140.19999999999999"/>
    <x v="181"/>
    <x v="236"/>
    <x v="230"/>
    <x v="230"/>
    <x v="235"/>
    <n v="3733.2000000000003"/>
  </r>
  <r>
    <x v="0"/>
    <x v="6"/>
    <x v="8"/>
    <n v="140.1"/>
    <n v="161.9"/>
    <n v="138.30000000000001"/>
    <n v="145.69999999999999"/>
    <n v="125.1"/>
    <n v="143.80000000000001"/>
    <n v="163.4"/>
    <n v="132.19999999999999"/>
    <n v="112.8"/>
    <n v="144.19999999999999"/>
    <n v="138.5"/>
    <n v="157.19999999999999"/>
    <n v="145.5"/>
    <n v="165.7"/>
    <n v="151.69999999999999"/>
    <n v="146.6"/>
    <n v="151"/>
    <n v="0"/>
    <n v="146.9"/>
    <n v="150.30000000000001"/>
    <n v="153.4"/>
    <n v="131.6"/>
    <n v="148.30000000000001"/>
    <n v="160.19999999999999"/>
    <n v="140.19999999999999"/>
    <n v="145.4"/>
    <x v="182"/>
    <x v="237"/>
    <x v="231"/>
    <x v="231"/>
    <x v="236"/>
    <n v="3640.0000000000005"/>
  </r>
  <r>
    <x v="1"/>
    <x v="6"/>
    <x v="8"/>
    <n v="142.69999999999999"/>
    <n v="158.69999999999999"/>
    <n v="141.6"/>
    <n v="144.9"/>
    <n v="120.8"/>
    <n v="149.80000000000001"/>
    <n v="192.4"/>
    <n v="130.30000000000001"/>
    <n v="114"/>
    <n v="143.80000000000001"/>
    <n v="130"/>
    <n v="156.4"/>
    <n v="149.5"/>
    <n v="168.6"/>
    <n v="145.30000000000001"/>
    <n v="132.19999999999999"/>
    <n v="143.30000000000001"/>
    <n v="152.19999999999999"/>
    <n v="126.6"/>
    <n v="138.30000000000001"/>
    <n v="141.9"/>
    <n v="121.2"/>
    <n v="135.9"/>
    <n v="151.6"/>
    <n v="139"/>
    <n v="135.69999999999999"/>
    <x v="183"/>
    <x v="238"/>
    <x v="195"/>
    <x v="232"/>
    <x v="237"/>
    <n v="3706.7000000000003"/>
  </r>
  <r>
    <x v="2"/>
    <x v="6"/>
    <x v="8"/>
    <n v="140.9"/>
    <n v="160.80000000000001"/>
    <n v="139.6"/>
    <n v="145.4"/>
    <n v="123.5"/>
    <n v="146.6"/>
    <n v="173.2"/>
    <n v="131.6"/>
    <n v="113.2"/>
    <n v="144.1"/>
    <n v="135"/>
    <n v="156.80000000000001"/>
    <n v="147"/>
    <n v="166.5"/>
    <n v="149.19999999999999"/>
    <n v="140.6"/>
    <n v="147.9"/>
    <n v="152.19999999999999"/>
    <n v="139.19999999999999"/>
    <n v="144.6"/>
    <n v="149"/>
    <n v="126.1"/>
    <n v="141.30000000000001"/>
    <n v="155.19999999999999"/>
    <n v="139.69999999999999"/>
    <n v="140.69999999999999"/>
    <x v="184"/>
    <x v="239"/>
    <x v="232"/>
    <x v="233"/>
    <x v="238"/>
    <n v="3749.8999999999996"/>
  </r>
  <r>
    <x v="0"/>
    <x v="6"/>
    <x v="9"/>
    <n v="141"/>
    <n v="161.6"/>
    <n v="141.19999999999999"/>
    <n v="146.5"/>
    <n v="125.6"/>
    <n v="145.69999999999999"/>
    <n v="178.8"/>
    <n v="133.1"/>
    <n v="113.6"/>
    <n v="145.5"/>
    <n v="138.6"/>
    <n v="157.4"/>
    <n v="148.30000000000001"/>
    <n v="166.3"/>
    <n v="151.69999999999999"/>
    <n v="146.69999999999999"/>
    <n v="151"/>
    <n v="0"/>
    <n v="147.69999999999999"/>
    <n v="150.6"/>
    <n v="153.69999999999999"/>
    <n v="131.69999999999999"/>
    <n v="148.69999999999999"/>
    <n v="160.69999999999999"/>
    <n v="140.30000000000001"/>
    <n v="145.69999999999999"/>
    <x v="185"/>
    <x v="240"/>
    <x v="233"/>
    <x v="234"/>
    <x v="239"/>
    <n v="3671.7"/>
  </r>
  <r>
    <x v="1"/>
    <x v="6"/>
    <x v="9"/>
    <n v="143.5"/>
    <n v="159.80000000000001"/>
    <n v="144.69999999999999"/>
    <n v="145.6"/>
    <n v="121.1"/>
    <n v="150.6"/>
    <n v="207.2"/>
    <n v="131.19999999999999"/>
    <n v="114.8"/>
    <n v="145.19999999999999"/>
    <n v="130.19999999999999"/>
    <n v="156.80000000000001"/>
    <n v="151.9"/>
    <n v="169.3"/>
    <n v="145.9"/>
    <n v="132.4"/>
    <n v="143.9"/>
    <n v="153"/>
    <n v="128.9"/>
    <n v="138.69999999999999"/>
    <n v="142.4"/>
    <n v="121.5"/>
    <n v="136.19999999999999"/>
    <n v="151.69999999999999"/>
    <n v="139.5"/>
    <n v="136"/>
    <x v="186"/>
    <x v="241"/>
    <x v="234"/>
    <x v="235"/>
    <x v="240"/>
    <n v="3742"/>
  </r>
  <r>
    <x v="2"/>
    <x v="6"/>
    <x v="9"/>
    <n v="141.80000000000001"/>
    <n v="161"/>
    <n v="142.6"/>
    <n v="146.19999999999999"/>
    <n v="123.9"/>
    <n v="148"/>
    <n v="188.4"/>
    <n v="132.5"/>
    <n v="114"/>
    <n v="145.4"/>
    <n v="135.1"/>
    <n v="157.1"/>
    <n v="149.6"/>
    <n v="167.1"/>
    <n v="149.4"/>
    <n v="140.80000000000001"/>
    <n v="148.19999999999999"/>
    <n v="153"/>
    <n v="140.6"/>
    <n v="145"/>
    <n v="149.4"/>
    <n v="126.3"/>
    <n v="141.69999999999999"/>
    <n v="155.4"/>
    <n v="140"/>
    <n v="141"/>
    <x v="187"/>
    <x v="242"/>
    <x v="235"/>
    <x v="236"/>
    <x v="241"/>
    <n v="3783.5"/>
  </r>
  <r>
    <x v="0"/>
    <x v="6"/>
    <x v="11"/>
    <n v="141.80000000000001"/>
    <n v="163.69999999999999"/>
    <n v="143.80000000000001"/>
    <n v="147.1"/>
    <n v="126"/>
    <n v="146.19999999999999"/>
    <n v="191.4"/>
    <n v="136.19999999999999"/>
    <n v="113.8"/>
    <n v="147.30000000000001"/>
    <n v="138.69999999999999"/>
    <n v="157.69999999999999"/>
    <n v="150.9"/>
    <n v="167.2"/>
    <n v="152.30000000000001"/>
    <n v="147"/>
    <n v="151.5"/>
    <n v="0"/>
    <n v="148.4"/>
    <n v="150.9"/>
    <n v="154.30000000000001"/>
    <n v="132.1"/>
    <n v="149.1"/>
    <n v="160.80000000000001"/>
    <n v="140.6"/>
    <n v="146.1"/>
    <x v="188"/>
    <x v="243"/>
    <x v="236"/>
    <x v="237"/>
    <x v="242"/>
    <n v="3704.9000000000005"/>
  </r>
  <r>
    <x v="1"/>
    <x v="6"/>
    <x v="11"/>
    <n v="144.1"/>
    <n v="162.4"/>
    <n v="148.4"/>
    <n v="145.9"/>
    <n v="121.5"/>
    <n v="148.80000000000001"/>
    <n v="215.7"/>
    <n v="134.6"/>
    <n v="115"/>
    <n v="146.30000000000001"/>
    <n v="130.5"/>
    <n v="157.19999999999999"/>
    <n v="153.6"/>
    <n v="169.9"/>
    <n v="146.30000000000001"/>
    <n v="132.6"/>
    <n v="144.19999999999999"/>
    <n v="153.5"/>
    <n v="132.19999999999999"/>
    <n v="139.1"/>
    <n v="142.80000000000001"/>
    <n v="121.7"/>
    <n v="136.69999999999999"/>
    <n v="151.80000000000001"/>
    <n v="139.80000000000001"/>
    <n v="136.30000000000001"/>
    <x v="189"/>
    <x v="244"/>
    <x v="237"/>
    <x v="238"/>
    <x v="243"/>
    <n v="3770.8999999999996"/>
  </r>
  <r>
    <x v="2"/>
    <x v="6"/>
    <x v="11"/>
    <n v="142.5"/>
    <n v="163.19999999999999"/>
    <n v="145.6"/>
    <n v="146.69999999999999"/>
    <n v="124.3"/>
    <n v="147.4"/>
    <n v="199.6"/>
    <n v="135.69999999999999"/>
    <n v="114.2"/>
    <n v="147"/>
    <n v="135.30000000000001"/>
    <n v="157.5"/>
    <n v="151.9"/>
    <n v="167.9"/>
    <n v="149.9"/>
    <n v="141"/>
    <n v="148.6"/>
    <n v="153.5"/>
    <n v="142.30000000000001"/>
    <n v="145.30000000000001"/>
    <n v="149.9"/>
    <n v="126.6"/>
    <n v="142.1"/>
    <n v="155.5"/>
    <n v="140.30000000000001"/>
    <n v="141.30000000000001"/>
    <x v="190"/>
    <x v="245"/>
    <x v="238"/>
    <x v="239"/>
    <x v="244"/>
    <n v="3815.1000000000004"/>
  </r>
  <r>
    <x v="0"/>
    <x v="6"/>
    <x v="12"/>
    <n v="142.80000000000001"/>
    <n v="165.3"/>
    <n v="149.5"/>
    <n v="148.69999999999999"/>
    <n v="127.5"/>
    <n v="144.30000000000001"/>
    <n v="209.5"/>
    <n v="138.80000000000001"/>
    <n v="113.6"/>
    <n v="149.1"/>
    <n v="139.30000000000001"/>
    <n v="158.30000000000001"/>
    <n v="154.30000000000001"/>
    <n v="167.8"/>
    <n v="152.6"/>
    <n v="147.30000000000001"/>
    <n v="151.9"/>
    <n v="0"/>
    <n v="149.9"/>
    <n v="151.19999999999999"/>
    <n v="154.80000000000001"/>
    <n v="135"/>
    <n v="149.5"/>
    <n v="161.1"/>
    <n v="140.6"/>
    <n v="147.1"/>
    <x v="191"/>
    <x v="246"/>
    <x v="239"/>
    <x v="240"/>
    <x v="245"/>
    <n v="3749.7999999999997"/>
  </r>
  <r>
    <x v="1"/>
    <x v="6"/>
    <x v="12"/>
    <n v="144.9"/>
    <n v="164.5"/>
    <n v="153.69999999999999"/>
    <n v="147.5"/>
    <n v="122.7"/>
    <n v="147.19999999999999"/>
    <n v="231.5"/>
    <n v="137.19999999999999"/>
    <n v="114.7"/>
    <n v="148"/>
    <n v="130.80000000000001"/>
    <n v="157.69999999999999"/>
    <n v="156.30000000000001"/>
    <n v="170.4"/>
    <n v="146.80000000000001"/>
    <n v="132.80000000000001"/>
    <n v="144.6"/>
    <n v="152.80000000000001"/>
    <n v="133.6"/>
    <n v="139.80000000000001"/>
    <n v="143.19999999999999"/>
    <n v="125.2"/>
    <n v="136.80000000000001"/>
    <n v="151.9"/>
    <n v="140.19999999999999"/>
    <n v="137.69999999999999"/>
    <x v="185"/>
    <x v="247"/>
    <x v="240"/>
    <x v="241"/>
    <x v="246"/>
    <n v="3812.5"/>
  </r>
  <r>
    <x v="2"/>
    <x v="6"/>
    <x v="12"/>
    <n v="143.5"/>
    <n v="165"/>
    <n v="151.1"/>
    <n v="148.30000000000001"/>
    <n v="125.7"/>
    <n v="145.69999999999999"/>
    <n v="217"/>
    <n v="138.30000000000001"/>
    <n v="114"/>
    <n v="148.69999999999999"/>
    <n v="135.80000000000001"/>
    <n v="158"/>
    <n v="155"/>
    <n v="168.5"/>
    <n v="150.30000000000001"/>
    <n v="141.30000000000001"/>
    <n v="149"/>
    <n v="152.80000000000001"/>
    <n v="143.69999999999999"/>
    <n v="145.80000000000001"/>
    <n v="150.4"/>
    <n v="129.80000000000001"/>
    <n v="142.30000000000001"/>
    <n v="155.69999999999999"/>
    <n v="140.4"/>
    <n v="142.5"/>
    <x v="192"/>
    <x v="248"/>
    <x v="218"/>
    <x v="242"/>
    <x v="247"/>
    <n v="3858.6000000000004"/>
  </r>
  <r>
    <x v="0"/>
    <x v="7"/>
    <x v="0"/>
    <n v="143.69999999999999"/>
    <n v="167.3"/>
    <n v="153.5"/>
    <n v="150.5"/>
    <n v="132"/>
    <n v="142.19999999999999"/>
    <n v="191.5"/>
    <n v="141.1"/>
    <n v="113.8"/>
    <n v="151.6"/>
    <n v="139.69999999999999"/>
    <n v="158.69999999999999"/>
    <n v="153"/>
    <n v="168.6"/>
    <n v="152.80000000000001"/>
    <n v="147.4"/>
    <n v="152.1"/>
    <n v="0"/>
    <n v="150.4"/>
    <n v="151.69999999999999"/>
    <n v="155.69999999999999"/>
    <n v="136.30000000000001"/>
    <n v="150.1"/>
    <n v="161.69999999999999"/>
    <n v="142.5"/>
    <n v="148.1"/>
    <x v="193"/>
    <x v="249"/>
    <x v="241"/>
    <x v="243"/>
    <x v="248"/>
    <n v="3756"/>
  </r>
  <r>
    <x v="1"/>
    <x v="7"/>
    <x v="0"/>
    <n v="145.6"/>
    <n v="167.6"/>
    <n v="157"/>
    <n v="149.30000000000001"/>
    <n v="126.3"/>
    <n v="144.4"/>
    <n v="207.8"/>
    <n v="139.1"/>
    <n v="114.8"/>
    <n v="149.5"/>
    <n v="131.1"/>
    <n v="158.5"/>
    <n v="154.4"/>
    <n v="170.8"/>
    <n v="147"/>
    <n v="133.19999999999999"/>
    <n v="144.9"/>
    <n v="153.9"/>
    <n v="135.1"/>
    <n v="140.1"/>
    <n v="143.80000000000001"/>
    <n v="126.1"/>
    <n v="137.19999999999999"/>
    <n v="152.1"/>
    <n v="142.1"/>
    <n v="138.4"/>
    <x v="194"/>
    <x v="250"/>
    <x v="242"/>
    <x v="244"/>
    <x v="249"/>
    <n v="3810.0999999999995"/>
  </r>
  <r>
    <x v="2"/>
    <x v="7"/>
    <x v="0"/>
    <n v="144.30000000000001"/>
    <n v="167.4"/>
    <n v="154.9"/>
    <n v="150.1"/>
    <n v="129.9"/>
    <n v="143.19999999999999"/>
    <n v="197"/>
    <n v="140.4"/>
    <n v="114.1"/>
    <n v="150.9"/>
    <n v="136.1"/>
    <n v="158.6"/>
    <n v="153.5"/>
    <n v="169.2"/>
    <n v="150.5"/>
    <n v="141.5"/>
    <n v="149.19999999999999"/>
    <n v="153.9"/>
    <n v="144.6"/>
    <n v="146.19999999999999"/>
    <n v="151.19999999999999"/>
    <n v="130.9"/>
    <n v="142.80000000000001"/>
    <n v="156.1"/>
    <n v="142.30000000000001"/>
    <n v="143.4"/>
    <x v="195"/>
    <x v="251"/>
    <x v="243"/>
    <x v="245"/>
    <x v="250"/>
    <n v="3862.2"/>
  </r>
  <r>
    <x v="0"/>
    <x v="7"/>
    <x v="1"/>
    <n v="144.19999999999999"/>
    <n v="167.5"/>
    <n v="150.9"/>
    <n v="150.9"/>
    <n v="133.69999999999999"/>
    <n v="140.69999999999999"/>
    <n v="165.1"/>
    <n v="141.80000000000001"/>
    <n v="113.1"/>
    <n v="152.80000000000001"/>
    <n v="140.1"/>
    <n v="159.19999999999999"/>
    <n v="149.80000000000001"/>
    <n v="169.4"/>
    <n v="153"/>
    <n v="147.5"/>
    <n v="152.30000000000001"/>
    <n v="0"/>
    <n v="152.30000000000001"/>
    <n v="151.80000000000001"/>
    <n v="156.19999999999999"/>
    <n v="136"/>
    <n v="150.4"/>
    <n v="161.9"/>
    <n v="143.4"/>
    <n v="148.4"/>
    <x v="192"/>
    <x v="252"/>
    <x v="244"/>
    <x v="246"/>
    <x v="251"/>
    <n v="3732.3999999999996"/>
  </r>
  <r>
    <x v="1"/>
    <x v="7"/>
    <x v="1"/>
    <n v="146.19999999999999"/>
    <n v="167.6"/>
    <n v="153.1"/>
    <n v="150.69999999999999"/>
    <n v="127.4"/>
    <n v="143.1"/>
    <n v="181.7"/>
    <n v="139.6"/>
    <n v="114.6"/>
    <n v="150.4"/>
    <n v="131.5"/>
    <n v="159"/>
    <n v="151.69999999999999"/>
    <n v="172"/>
    <n v="147.30000000000001"/>
    <n v="133.5"/>
    <n v="145.19999999999999"/>
    <n v="154.80000000000001"/>
    <n v="138.9"/>
    <n v="140.4"/>
    <n v="144.4"/>
    <n v="125.2"/>
    <n v="137.69999999999999"/>
    <n v="152.19999999999999"/>
    <n v="143.5"/>
    <n v="138.4"/>
    <x v="196"/>
    <x v="253"/>
    <x v="223"/>
    <x v="247"/>
    <x v="207"/>
    <n v="3790.1000000000004"/>
  </r>
  <r>
    <x v="2"/>
    <x v="7"/>
    <x v="1"/>
    <n v="144.80000000000001"/>
    <n v="167.5"/>
    <n v="151.80000000000001"/>
    <n v="150.80000000000001"/>
    <n v="131.4"/>
    <n v="141.80000000000001"/>
    <n v="170.7"/>
    <n v="141.1"/>
    <n v="113.6"/>
    <n v="152"/>
    <n v="136.5"/>
    <n v="159.1"/>
    <n v="150.5"/>
    <n v="170.1"/>
    <n v="150.80000000000001"/>
    <n v="141.69999999999999"/>
    <n v="149.5"/>
    <n v="154.80000000000001"/>
    <n v="147.19999999999999"/>
    <n v="146.4"/>
    <n v="151.69999999999999"/>
    <n v="130.30000000000001"/>
    <n v="143.19999999999999"/>
    <n v="156.19999999999999"/>
    <n v="143.4"/>
    <n v="143.6"/>
    <x v="197"/>
    <x v="254"/>
    <x v="245"/>
    <x v="248"/>
    <x v="252"/>
    <n v="3840.5"/>
  </r>
  <r>
    <x v="0"/>
    <x v="7"/>
    <x v="2"/>
    <n v="144.4"/>
    <n v="166.8"/>
    <n v="147.6"/>
    <n v="151.69999999999999"/>
    <n v="133.30000000000001"/>
    <n v="141.80000000000001"/>
    <n v="152.30000000000001"/>
    <n v="141.80000000000001"/>
    <n v="112.6"/>
    <n v="154"/>
    <n v="140.1"/>
    <n v="160"/>
    <n v="148.19999999999999"/>
    <n v="170.5"/>
    <n v="153.4"/>
    <n v="147.6"/>
    <n v="152.5"/>
    <n v="0"/>
    <n v="153.4"/>
    <n v="151.5"/>
    <n v="156.69999999999999"/>
    <n v="135.80000000000001"/>
    <n v="151.19999999999999"/>
    <n v="161.19999999999999"/>
    <n v="145.1"/>
    <n v="148.6"/>
    <x v="198"/>
    <x v="255"/>
    <x v="246"/>
    <x v="249"/>
    <x v="253"/>
    <n v="3722.099999999999"/>
  </r>
  <r>
    <x v="1"/>
    <x v="7"/>
    <x v="2"/>
    <n v="146.5"/>
    <n v="167.5"/>
    <n v="148.9"/>
    <n v="151.1"/>
    <n v="127.5"/>
    <n v="143.30000000000001"/>
    <n v="167"/>
    <n v="139.69999999999999"/>
    <n v="114.4"/>
    <n v="151.5"/>
    <n v="131.9"/>
    <n v="159.1"/>
    <n v="150.1"/>
    <n v="173.3"/>
    <n v="147.69999999999999"/>
    <n v="133.80000000000001"/>
    <n v="145.6"/>
    <n v="154.5"/>
    <n v="141.4"/>
    <n v="140.80000000000001"/>
    <n v="145"/>
    <n v="124.6"/>
    <n v="137.9"/>
    <n v="152.5"/>
    <n v="145.30000000000001"/>
    <n v="138.69999999999999"/>
    <x v="199"/>
    <x v="243"/>
    <x v="247"/>
    <x v="250"/>
    <x v="254"/>
    <n v="3779.6"/>
  </r>
  <r>
    <x v="2"/>
    <x v="7"/>
    <x v="2"/>
    <n v="145.1"/>
    <n v="167"/>
    <n v="148.1"/>
    <n v="151.5"/>
    <n v="131.19999999999999"/>
    <n v="142.5"/>
    <n v="157.30000000000001"/>
    <n v="141.1"/>
    <n v="113.2"/>
    <n v="153.19999999999999"/>
    <n v="136.69999999999999"/>
    <n v="159.6"/>
    <n v="148.9"/>
    <n v="171.2"/>
    <n v="151.19999999999999"/>
    <n v="141.9"/>
    <n v="149.80000000000001"/>
    <n v="154.5"/>
    <n v="148.9"/>
    <n v="146.4"/>
    <n v="152.30000000000001"/>
    <n v="129.9"/>
    <n v="143.69999999999999"/>
    <n v="156.1"/>
    <n v="145.19999999999999"/>
    <n v="143.80000000000001"/>
    <x v="190"/>
    <x v="256"/>
    <x v="248"/>
    <x v="251"/>
    <x v="255"/>
    <n v="3830.2999999999997"/>
  </r>
  <r>
    <x v="0"/>
    <x v="7"/>
    <x v="3"/>
    <n v="147.19999999999999"/>
    <n v="166.8"/>
    <n v="146.9"/>
    <n v="155.6"/>
    <n v="137.1"/>
    <n v="147.30000000000001"/>
    <n v="162.69999999999999"/>
    <n v="150.19999999999999"/>
    <n v="119.8"/>
    <n v="158.69999999999999"/>
    <n v="139.19999999999999"/>
    <n v="160"/>
    <n v="150.1"/>
    <n v="170.5"/>
    <n v="153.4"/>
    <n v="147.6"/>
    <n v="152.5"/>
    <n v="0"/>
    <n v="148.4"/>
    <n v="151.5"/>
    <n v="154.30000000000001"/>
    <n v="135.80000000000001"/>
    <n v="151.19999999999999"/>
    <n v="161.19999999999999"/>
    <n v="145.1"/>
    <n v="148.6"/>
    <x v="198"/>
    <x v="257"/>
    <x v="246"/>
    <x v="252"/>
    <x v="256"/>
    <n v="3761.7"/>
  </r>
  <r>
    <x v="1"/>
    <x v="7"/>
    <x v="3"/>
    <n v="151.80000000000001"/>
    <n v="167.5"/>
    <n v="151.9"/>
    <n v="155.5"/>
    <n v="131.6"/>
    <n v="152.9"/>
    <n v="180"/>
    <n v="150.80000000000001"/>
    <n v="121.2"/>
    <n v="154"/>
    <n v="133.5"/>
    <n v="159.1"/>
    <n v="153.5"/>
    <n v="173.3"/>
    <n v="147.69999999999999"/>
    <n v="133.80000000000001"/>
    <n v="145.6"/>
    <n v="155.6"/>
    <n v="137.1"/>
    <n v="140.80000000000001"/>
    <n v="144.80000000000001"/>
    <n v="124.6"/>
    <n v="137.9"/>
    <n v="152.5"/>
    <n v="145.30000000000001"/>
    <n v="138.69999999999999"/>
    <x v="199"/>
    <x v="258"/>
    <x v="247"/>
    <x v="253"/>
    <x v="257"/>
    <n v="3841"/>
  </r>
  <r>
    <x v="2"/>
    <x v="7"/>
    <x v="3"/>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x v="259"/>
    <x v="248"/>
    <x v="254"/>
    <x v="258"/>
    <n v="3878.8999999999996"/>
  </r>
  <r>
    <x v="0"/>
    <x v="7"/>
    <x v="4"/>
    <n v="147.19999999999999"/>
    <n v="166.8"/>
    <n v="146.9"/>
    <n v="155.6"/>
    <n v="137.1"/>
    <n v="147.30000000000001"/>
    <n v="162.69999999999999"/>
    <n v="150.19999999999999"/>
    <n v="119.8"/>
    <n v="158.69999999999999"/>
    <n v="139.19999999999999"/>
    <n v="160"/>
    <n v="150.1"/>
    <n v="170.5"/>
    <n v="153.4"/>
    <n v="147.6"/>
    <n v="152.5"/>
    <n v="0"/>
    <n v="148.4"/>
    <n v="151.5"/>
    <n v="154.30000000000001"/>
    <n v="135.80000000000001"/>
    <n v="151.19999999999999"/>
    <n v="161.19999999999999"/>
    <n v="145.1"/>
    <n v="148.6"/>
    <x v="198"/>
    <x v="257"/>
    <x v="246"/>
    <x v="252"/>
    <x v="256"/>
    <n v="3761.7"/>
  </r>
  <r>
    <x v="1"/>
    <x v="7"/>
    <x v="4"/>
    <n v="151.80000000000001"/>
    <n v="167.5"/>
    <n v="151.9"/>
    <n v="155.5"/>
    <n v="131.6"/>
    <n v="152.9"/>
    <n v="180"/>
    <n v="150.80000000000001"/>
    <n v="121.2"/>
    <n v="154"/>
    <n v="133.5"/>
    <n v="159.1"/>
    <n v="153.5"/>
    <n v="173.3"/>
    <n v="147.69999999999999"/>
    <n v="133.80000000000001"/>
    <n v="145.6"/>
    <n v="155.6"/>
    <n v="137.1"/>
    <n v="140.80000000000001"/>
    <n v="144.80000000000001"/>
    <n v="124.6"/>
    <n v="137.9"/>
    <n v="152.5"/>
    <n v="145.30000000000001"/>
    <n v="138.69999999999999"/>
    <x v="199"/>
    <x v="258"/>
    <x v="247"/>
    <x v="253"/>
    <x v="257"/>
    <n v="3841"/>
  </r>
  <r>
    <x v="2"/>
    <x v="7"/>
    <x v="4"/>
    <n v="148.69999999999999"/>
    <n v="167"/>
    <n v="148.80000000000001"/>
    <n v="155.6"/>
    <n v="135.1"/>
    <n v="149.9"/>
    <n v="168.6"/>
    <n v="150.4"/>
    <n v="120.3"/>
    <n v="157.1"/>
    <n v="136.80000000000001"/>
    <n v="159.6"/>
    <n v="151.4"/>
    <n v="171.2"/>
    <n v="151.19999999999999"/>
    <n v="141.9"/>
    <n v="149.80000000000001"/>
    <n v="155.6"/>
    <n v="144.1"/>
    <n v="146.4"/>
    <n v="150.69999999999999"/>
    <n v="129.9"/>
    <n v="143.69999999999999"/>
    <n v="156.1"/>
    <n v="145.19999999999999"/>
    <n v="143.80000000000001"/>
    <x v="190"/>
    <x v="259"/>
    <x v="248"/>
    <x v="254"/>
    <x v="258"/>
    <n v="3878.8999999999996"/>
  </r>
  <r>
    <x v="0"/>
    <x v="7"/>
    <x v="5"/>
    <n v="148.19999999999999"/>
    <n v="190.3"/>
    <n v="149.4"/>
    <n v="153.30000000000001"/>
    <n v="138.19999999999999"/>
    <n v="143.19999999999999"/>
    <n v="148.9"/>
    <n v="150.30000000000001"/>
    <n v="113.2"/>
    <n v="159.80000000000001"/>
    <n v="142.1"/>
    <n v="161.80000000000001"/>
    <n v="152.30000000000001"/>
    <n v="182.4"/>
    <n v="154.69999999999999"/>
    <n v="150"/>
    <n v="154.1"/>
    <n v="0"/>
    <n v="144.9"/>
    <n v="151.69999999999999"/>
    <n v="158.19999999999999"/>
    <n v="141.4"/>
    <n v="153.19999999999999"/>
    <n v="161.80000000000001"/>
    <n v="151.19999999999999"/>
    <n v="151.69999999999999"/>
    <x v="200"/>
    <x v="260"/>
    <x v="249"/>
    <x v="255"/>
    <x v="259"/>
    <n v="3806.3"/>
  </r>
  <r>
    <x v="1"/>
    <x v="7"/>
    <x v="5"/>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1"/>
    <x v="261"/>
    <x v="250"/>
    <x v="256"/>
    <x v="260"/>
    <n v="3915.3999999999996"/>
  </r>
  <r>
    <x v="2"/>
    <x v="7"/>
    <x v="5"/>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2"/>
    <x v="262"/>
    <x v="251"/>
    <x v="257"/>
    <x v="261"/>
    <n v="3934.3"/>
  </r>
  <r>
    <x v="0"/>
    <x v="7"/>
    <x v="6"/>
    <n v="148.19999999999999"/>
    <n v="190.3"/>
    <n v="149.4"/>
    <n v="153.30000000000001"/>
    <n v="138.19999999999999"/>
    <n v="143.19999999999999"/>
    <n v="148.9"/>
    <n v="150.30000000000001"/>
    <n v="113.2"/>
    <n v="159.80000000000001"/>
    <n v="142.1"/>
    <n v="161.80000000000001"/>
    <n v="152.30000000000001"/>
    <n v="182.4"/>
    <n v="154.69999999999999"/>
    <n v="150"/>
    <n v="154.1"/>
    <n v="0"/>
    <n v="144.9"/>
    <n v="151.69999999999999"/>
    <n v="158.19999999999999"/>
    <n v="141.4"/>
    <n v="153.19999999999999"/>
    <n v="161.80000000000001"/>
    <n v="151.19999999999999"/>
    <n v="151.69999999999999"/>
    <x v="200"/>
    <x v="260"/>
    <x v="249"/>
    <x v="255"/>
    <x v="259"/>
    <n v="3806.3"/>
  </r>
  <r>
    <x v="1"/>
    <x v="7"/>
    <x v="6"/>
    <n v="152.69999999999999"/>
    <n v="197"/>
    <n v="154.6"/>
    <n v="153.4"/>
    <n v="132.9"/>
    <n v="151.80000000000001"/>
    <n v="171.2"/>
    <n v="152"/>
    <n v="116.3"/>
    <n v="158.80000000000001"/>
    <n v="135.6"/>
    <n v="161.69999999999999"/>
    <n v="157"/>
    <n v="186.7"/>
    <n v="149.1"/>
    <n v="136.6"/>
    <n v="147.19999999999999"/>
    <n v="154.69999999999999"/>
    <n v="137.1"/>
    <n v="140.4"/>
    <n v="148.1"/>
    <n v="129.30000000000001"/>
    <n v="144.5"/>
    <n v="152.5"/>
    <n v="152.19999999999999"/>
    <n v="142"/>
    <x v="201"/>
    <x v="261"/>
    <x v="250"/>
    <x v="256"/>
    <x v="260"/>
    <n v="3915.3999999999996"/>
  </r>
  <r>
    <x v="2"/>
    <x v="7"/>
    <x v="6"/>
    <n v="149.6"/>
    <n v="192.7"/>
    <n v="151.4"/>
    <n v="153.30000000000001"/>
    <n v="136.30000000000001"/>
    <n v="147.19999999999999"/>
    <n v="156.5"/>
    <n v="150.9"/>
    <n v="114.2"/>
    <n v="159.5"/>
    <n v="139.4"/>
    <n v="161.80000000000001"/>
    <n v="154"/>
    <n v="183.5"/>
    <n v="152.5"/>
    <n v="144.4"/>
    <n v="151.4"/>
    <n v="154.69999999999999"/>
    <n v="141.9"/>
    <n v="146.4"/>
    <n v="154.4"/>
    <n v="135"/>
    <n v="148.30000000000001"/>
    <n v="156.4"/>
    <n v="151.6"/>
    <n v="147"/>
    <x v="202"/>
    <x v="262"/>
    <x v="251"/>
    <x v="257"/>
    <x v="261"/>
    <n v="3934.3"/>
  </r>
  <r>
    <x v="0"/>
    <x v="7"/>
    <x v="7"/>
    <n v="147.6"/>
    <n v="187.2"/>
    <n v="148.4"/>
    <n v="153.30000000000001"/>
    <n v="139.80000000000001"/>
    <n v="146.9"/>
    <n v="171"/>
    <n v="149.9"/>
    <n v="114.2"/>
    <n v="160"/>
    <n v="143.5"/>
    <n v="161.5"/>
    <n v="155.30000000000001"/>
    <n v="180.9"/>
    <n v="155.1"/>
    <n v="149.30000000000001"/>
    <n v="154.30000000000001"/>
    <n v="0"/>
    <n v="145.80000000000001"/>
    <n v="151.9"/>
    <n v="158.80000000000001"/>
    <n v="143.6"/>
    <n v="152.19999999999999"/>
    <n v="162.69999999999999"/>
    <n v="153.6"/>
    <n v="153"/>
    <x v="203"/>
    <x v="263"/>
    <x v="252"/>
    <x v="258"/>
    <x v="262"/>
    <n v="3839.8"/>
  </r>
  <r>
    <x v="1"/>
    <x v="7"/>
    <x v="7"/>
    <n v="151.6"/>
    <n v="197.8"/>
    <n v="154.5"/>
    <n v="153.4"/>
    <n v="133.4"/>
    <n v="154.5"/>
    <n v="191.9"/>
    <n v="151.30000000000001"/>
    <n v="116.8"/>
    <n v="160"/>
    <n v="136.5"/>
    <n v="163.30000000000001"/>
    <n v="159.9"/>
    <n v="187.2"/>
    <n v="150"/>
    <n v="135.19999999999999"/>
    <n v="147.80000000000001"/>
    <n v="155.5"/>
    <n v="138.30000000000001"/>
    <n v="144.5"/>
    <n v="148.69999999999999"/>
    <n v="133.9"/>
    <n v="141.19999999999999"/>
    <n v="155.5"/>
    <n v="155.19999999999999"/>
    <n v="144.80000000000001"/>
    <x v="204"/>
    <x v="264"/>
    <x v="253"/>
    <x v="259"/>
    <x v="263"/>
    <n v="3962.7"/>
  </r>
  <r>
    <x v="2"/>
    <x v="7"/>
    <x v="7"/>
    <n v="148.9"/>
    <n v="190.9"/>
    <n v="150.80000000000001"/>
    <n v="153.30000000000001"/>
    <n v="137.4"/>
    <n v="150.4"/>
    <n v="178.1"/>
    <n v="150.4"/>
    <n v="115.1"/>
    <n v="160"/>
    <n v="140.6"/>
    <n v="162.30000000000001"/>
    <n v="157"/>
    <n v="182.6"/>
    <n v="153.1"/>
    <n v="143.4"/>
    <n v="151.69999999999999"/>
    <n v="155.5"/>
    <n v="143"/>
    <n v="148.4"/>
    <n v="155"/>
    <n v="138.5"/>
    <n v="146"/>
    <n v="158.5"/>
    <n v="154.30000000000001"/>
    <n v="149"/>
    <x v="205"/>
    <x v="265"/>
    <x v="254"/>
    <x v="260"/>
    <x v="264"/>
    <n v="3974.2"/>
  </r>
  <r>
    <x v="0"/>
    <x v="7"/>
    <x v="8"/>
    <n v="146.9"/>
    <n v="183.9"/>
    <n v="149.5"/>
    <n v="153.4"/>
    <n v="140.4"/>
    <n v="147"/>
    <n v="178.8"/>
    <n v="149.30000000000001"/>
    <n v="115.1"/>
    <n v="160"/>
    <n v="145.4"/>
    <n v="161.6"/>
    <n v="156.1"/>
    <n v="182.9"/>
    <n v="155.4"/>
    <n v="149.9"/>
    <n v="154.6"/>
    <n v="0"/>
    <n v="146.4"/>
    <n v="151.6"/>
    <n v="159.1"/>
    <n v="144.6"/>
    <n v="152.80000000000001"/>
    <n v="161.1"/>
    <n v="157.4"/>
    <n v="153.69999999999999"/>
    <x v="206"/>
    <x v="266"/>
    <x v="255"/>
    <x v="261"/>
    <x v="262"/>
    <n v="3856.8999999999996"/>
  </r>
  <r>
    <x v="1"/>
    <x v="7"/>
    <x v="8"/>
    <n v="151.5"/>
    <n v="193.1"/>
    <n v="157.30000000000001"/>
    <n v="153.9"/>
    <n v="134.4"/>
    <n v="155.4"/>
    <n v="202"/>
    <n v="150.80000000000001"/>
    <n v="118.9"/>
    <n v="160.9"/>
    <n v="137.69999999999999"/>
    <n v="164.4"/>
    <n v="161.30000000000001"/>
    <n v="188.7"/>
    <n v="150.19999999999999"/>
    <n v="136.30000000000001"/>
    <n v="148.1"/>
    <n v="156.30000000000001"/>
    <n v="137.19999999999999"/>
    <n v="145.4"/>
    <n v="150"/>
    <n v="135.1"/>
    <n v="141.80000000000001"/>
    <n v="154.9"/>
    <n v="159.80000000000001"/>
    <n v="146"/>
    <x v="207"/>
    <x v="267"/>
    <x v="256"/>
    <x v="262"/>
    <x v="265"/>
    <n v="3991.4000000000005"/>
  </r>
  <r>
    <x v="2"/>
    <x v="7"/>
    <x v="8"/>
    <n v="148.4"/>
    <n v="187.1"/>
    <n v="152.5"/>
    <n v="153.6"/>
    <n v="138.19999999999999"/>
    <n v="150.9"/>
    <n v="186.7"/>
    <n v="149.80000000000001"/>
    <n v="116.4"/>
    <n v="160.30000000000001"/>
    <n v="142.19999999999999"/>
    <n v="162.9"/>
    <n v="158"/>
    <n v="184.4"/>
    <n v="153.4"/>
    <n v="144.30000000000001"/>
    <n v="152"/>
    <n v="156.30000000000001"/>
    <n v="142.9"/>
    <n v="148.69999999999999"/>
    <n v="155.6"/>
    <n v="139.6"/>
    <n v="146.6"/>
    <n v="157.5"/>
    <n v="158.4"/>
    <n v="150"/>
    <x v="203"/>
    <x v="268"/>
    <x v="257"/>
    <x v="263"/>
    <x v="266"/>
    <n v="3996.7"/>
  </r>
  <r>
    <x v="0"/>
    <x v="7"/>
    <x v="9"/>
    <n v="146"/>
    <n v="186.3"/>
    <n v="159.19999999999999"/>
    <n v="153.6"/>
    <n v="142.6"/>
    <n v="147.19999999999999"/>
    <n v="200.6"/>
    <n v="150.30000000000001"/>
    <n v="115.3"/>
    <n v="160.9"/>
    <n v="147.4"/>
    <n v="161.9"/>
    <n v="159.6"/>
    <n v="182.7"/>
    <n v="155.69999999999999"/>
    <n v="150.6"/>
    <n v="155"/>
    <n v="0"/>
    <n v="146.80000000000001"/>
    <n v="152"/>
    <n v="159.5"/>
    <n v="146.4"/>
    <n v="152.4"/>
    <n v="162.5"/>
    <n v="156.19999999999999"/>
    <n v="154.30000000000001"/>
    <x v="208"/>
    <x v="269"/>
    <x v="258"/>
    <x v="264"/>
    <x v="267"/>
    <n v="3905"/>
  </r>
  <r>
    <x v="1"/>
    <x v="7"/>
    <x v="9"/>
    <n v="150.6"/>
    <n v="193.7"/>
    <n v="164.8"/>
    <n v="153.69999999999999"/>
    <n v="135.69999999999999"/>
    <n v="155.69999999999999"/>
    <n v="226"/>
    <n v="152.19999999999999"/>
    <n v="118.1"/>
    <n v="161.30000000000001"/>
    <n v="139.19999999999999"/>
    <n v="164.8"/>
    <n v="164.4"/>
    <n v="188.7"/>
    <n v="150.5"/>
    <n v="136.1"/>
    <n v="148.30000000000001"/>
    <n v="156.5"/>
    <n v="137.1"/>
    <n v="145.1"/>
    <n v="151"/>
    <n v="135.4"/>
    <n v="142"/>
    <n v="155.69999999999999"/>
    <n v="158.1"/>
    <n v="146.19999999999999"/>
    <x v="209"/>
    <x v="270"/>
    <x v="259"/>
    <x v="265"/>
    <x v="268"/>
    <n v="4030.8999999999996"/>
  </r>
  <r>
    <x v="2"/>
    <x v="7"/>
    <x v="9"/>
    <n v="147.5"/>
    <n v="188.9"/>
    <n v="161.4"/>
    <n v="153.6"/>
    <n v="140.1"/>
    <n v="151.19999999999999"/>
    <n v="209.2"/>
    <n v="150.9"/>
    <n v="116.2"/>
    <n v="161"/>
    <n v="144"/>
    <n v="163.19999999999999"/>
    <n v="161.4"/>
    <n v="184.3"/>
    <n v="153.69999999999999"/>
    <n v="144.6"/>
    <n v="152.30000000000001"/>
    <n v="156.5"/>
    <n v="143.1"/>
    <n v="148.69999999999999"/>
    <n v="156.30000000000001"/>
    <n v="140.6"/>
    <n v="146.5"/>
    <n v="158.5"/>
    <n v="157"/>
    <n v="150.4"/>
    <x v="210"/>
    <x v="271"/>
    <x v="260"/>
    <x v="266"/>
    <x v="269"/>
    <n v="4041.1000000000004"/>
  </r>
  <r>
    <x v="0"/>
    <x v="7"/>
    <x v="11"/>
    <n v="145.4"/>
    <n v="188.6"/>
    <n v="171.6"/>
    <n v="153.80000000000001"/>
    <n v="145.4"/>
    <n v="146.5"/>
    <n v="222.2"/>
    <n v="155.9"/>
    <n v="114.9"/>
    <n v="162"/>
    <n v="150"/>
    <n v="162.69999999999999"/>
    <n v="163.4"/>
    <n v="183.4"/>
    <n v="156.30000000000001"/>
    <n v="151"/>
    <n v="155.5"/>
    <n v="0"/>
    <n v="147.5"/>
    <n v="152.80000000000001"/>
    <n v="160.4"/>
    <n v="146.1"/>
    <n v="153.6"/>
    <n v="161.6"/>
    <n v="156.19999999999999"/>
    <n v="154.5"/>
    <x v="211"/>
    <x v="272"/>
    <x v="261"/>
    <x v="267"/>
    <x v="270"/>
    <n v="3961.3"/>
  </r>
  <r>
    <x v="1"/>
    <x v="7"/>
    <x v="11"/>
    <n v="149.69999999999999"/>
    <n v="195.5"/>
    <n v="176.9"/>
    <n v="153.9"/>
    <n v="138"/>
    <n v="150.5"/>
    <n v="245.3"/>
    <n v="158.69999999999999"/>
    <n v="117.2"/>
    <n v="161.4"/>
    <n v="141.5"/>
    <n v="165.1"/>
    <n v="167"/>
    <n v="188.8"/>
    <n v="151.1"/>
    <n v="136.4"/>
    <n v="148.80000000000001"/>
    <n v="158"/>
    <n v="137.30000000000001"/>
    <n v="145.1"/>
    <n v="152"/>
    <n v="135.19999999999999"/>
    <n v="144.4"/>
    <n v="156.4"/>
    <n v="157.9"/>
    <n v="146.6"/>
    <x v="212"/>
    <x v="273"/>
    <x v="262"/>
    <x v="268"/>
    <x v="271"/>
    <n v="4078.7"/>
  </r>
  <r>
    <x v="2"/>
    <x v="7"/>
    <x v="11"/>
    <n v="146.80000000000001"/>
    <n v="191"/>
    <n v="173.6"/>
    <n v="153.80000000000001"/>
    <n v="142.69999999999999"/>
    <n v="148.4"/>
    <n v="230"/>
    <n v="156.80000000000001"/>
    <n v="115.7"/>
    <n v="161.80000000000001"/>
    <n v="146.5"/>
    <n v="163.80000000000001"/>
    <n v="164.7"/>
    <n v="184.8"/>
    <n v="154.30000000000001"/>
    <n v="144.9"/>
    <n v="152.80000000000001"/>
    <n v="158"/>
    <n v="143.6"/>
    <n v="149.19999999999999"/>
    <n v="157.19999999999999"/>
    <n v="140.4"/>
    <n v="148.4"/>
    <n v="158.6"/>
    <n v="156.9"/>
    <n v="150.69999999999999"/>
    <x v="213"/>
    <x v="274"/>
    <x v="263"/>
    <x v="269"/>
    <x v="272"/>
    <n v="4095.4"/>
  </r>
  <r>
    <x v="0"/>
    <x v="7"/>
    <x v="12"/>
    <n v="144.6"/>
    <n v="188.5"/>
    <n v="173.4"/>
    <n v="154"/>
    <n v="150"/>
    <n v="145.9"/>
    <n v="225.2"/>
    <n v="159.5"/>
    <n v="114.4"/>
    <n v="163.5"/>
    <n v="153.4"/>
    <n v="163.6"/>
    <n v="164.5"/>
    <n v="183.6"/>
    <n v="157"/>
    <n v="151.6"/>
    <n v="156.30000000000001"/>
    <n v="0"/>
    <n v="148.69999999999999"/>
    <n v="153.4"/>
    <n v="161.6"/>
    <n v="146.4"/>
    <n v="153.9"/>
    <n v="162.9"/>
    <n v="156.6"/>
    <n v="155.19999999999999"/>
    <x v="214"/>
    <x v="275"/>
    <x v="264"/>
    <x v="270"/>
    <x v="273"/>
    <n v="3987.7"/>
  </r>
  <r>
    <x v="1"/>
    <x v="7"/>
    <x v="12"/>
    <n v="149"/>
    <n v="195.7"/>
    <n v="178.3"/>
    <n v="154.19999999999999"/>
    <n v="140.69999999999999"/>
    <n v="149.69999999999999"/>
    <n v="240.9"/>
    <n v="161.5"/>
    <n v="117.1"/>
    <n v="161.9"/>
    <n v="143.30000000000001"/>
    <n v="166.1"/>
    <n v="167"/>
    <n v="190.2"/>
    <n v="151.9"/>
    <n v="136.69999999999999"/>
    <n v="149.6"/>
    <n v="158.4"/>
    <n v="137.9"/>
    <n v="145.5"/>
    <n v="152.9"/>
    <n v="135.5"/>
    <n v="144.30000000000001"/>
    <n v="156.9"/>
    <n v="157.9"/>
    <n v="146.9"/>
    <x v="215"/>
    <x v="276"/>
    <x v="265"/>
    <x v="271"/>
    <x v="274"/>
    <n v="4090"/>
  </r>
  <r>
    <x v="2"/>
    <x v="7"/>
    <x v="12"/>
    <n v="146"/>
    <n v="191"/>
    <n v="175.3"/>
    <n v="154.1"/>
    <n v="146.6"/>
    <n v="147.69999999999999"/>
    <n v="230.5"/>
    <n v="160.19999999999999"/>
    <n v="115.3"/>
    <n v="163"/>
    <n v="149.19999999999999"/>
    <n v="164.8"/>
    <n v="165.4"/>
    <n v="185.4"/>
    <n v="155"/>
    <n v="145.4"/>
    <n v="153.6"/>
    <n v="158.4"/>
    <n v="144.6"/>
    <n v="149.69999999999999"/>
    <n v="158.30000000000001"/>
    <n v="140.69999999999999"/>
    <n v="148.5"/>
    <n v="159.4"/>
    <n v="157.1"/>
    <n v="151.19999999999999"/>
    <x v="216"/>
    <x v="277"/>
    <x v="266"/>
    <x v="272"/>
    <x v="275"/>
    <n v="4116.3999999999996"/>
  </r>
  <r>
    <x v="0"/>
    <x v="8"/>
    <x v="0"/>
    <n v="143.4"/>
    <n v="187.5"/>
    <n v="173.4"/>
    <n v="154"/>
    <n v="154.80000000000001"/>
    <n v="147"/>
    <n v="187.8"/>
    <n v="159.5"/>
    <n v="113.8"/>
    <n v="164.5"/>
    <n v="156.1"/>
    <n v="164.3"/>
    <n v="159.6"/>
    <n v="184.6"/>
    <n v="157.5"/>
    <n v="152.4"/>
    <n v="156.80000000000001"/>
    <n v="0"/>
    <n v="150.9"/>
    <n v="153.9"/>
    <n v="162.5"/>
    <n v="147.5"/>
    <n v="155.1"/>
    <n v="163.5"/>
    <n v="156.19999999999999"/>
    <n v="155.9"/>
    <x v="217"/>
    <x v="278"/>
    <x v="267"/>
    <x v="273"/>
    <x v="276"/>
    <n v="3962.5"/>
  </r>
  <r>
    <x v="1"/>
    <x v="8"/>
    <x v="0"/>
    <n v="148"/>
    <n v="194.8"/>
    <n v="178.4"/>
    <n v="154.4"/>
    <n v="144.1"/>
    <n v="152.6"/>
    <n v="206.8"/>
    <n v="162.1"/>
    <n v="116.3"/>
    <n v="163"/>
    <n v="145.9"/>
    <n v="167.2"/>
    <n v="163.4"/>
    <n v="191.8"/>
    <n v="152.5"/>
    <n v="137.30000000000001"/>
    <n v="150.19999999999999"/>
    <n v="157.69999999999999"/>
    <n v="142.9"/>
    <n v="145.69999999999999"/>
    <n v="154.1"/>
    <n v="136.9"/>
    <n v="145.4"/>
    <n v="156.1"/>
    <n v="157.69999999999999"/>
    <n v="147.6"/>
    <x v="218"/>
    <x v="279"/>
    <x v="268"/>
    <x v="274"/>
    <x v="277"/>
    <n v="4072.8999999999996"/>
  </r>
  <r>
    <x v="2"/>
    <x v="8"/>
    <x v="0"/>
    <n v="144.9"/>
    <n v="190.1"/>
    <n v="175.3"/>
    <n v="154.1"/>
    <n v="150.9"/>
    <n v="149.6"/>
    <n v="194.2"/>
    <n v="160.4"/>
    <n v="114.6"/>
    <n v="164"/>
    <n v="151.80000000000001"/>
    <n v="165.6"/>
    <n v="161"/>
    <n v="186.5"/>
    <n v="155.5"/>
    <n v="146.1"/>
    <n v="154.19999999999999"/>
    <n v="157.69999999999999"/>
    <n v="147.9"/>
    <n v="150"/>
    <n v="159.30000000000001"/>
    <n v="141.9"/>
    <n v="149.6"/>
    <n v="159.19999999999999"/>
    <n v="156.80000000000001"/>
    <n v="151.9"/>
    <x v="219"/>
    <x v="280"/>
    <x v="269"/>
    <x v="275"/>
    <x v="278"/>
    <n v="4093.1"/>
  </r>
  <r>
    <x v="0"/>
    <x v="8"/>
    <x v="1"/>
    <n v="142.80000000000001"/>
    <n v="184"/>
    <n v="168"/>
    <n v="154.4"/>
    <n v="163"/>
    <n v="147.80000000000001"/>
    <n v="149.69999999999999"/>
    <n v="158.30000000000001"/>
    <n v="111.8"/>
    <n v="165"/>
    <n v="160"/>
    <n v="165.8"/>
    <n v="154.69999999999999"/>
    <n v="186.5"/>
    <n v="159.1"/>
    <n v="153.9"/>
    <n v="158.4"/>
    <n v="0"/>
    <n v="154.4"/>
    <n v="154.80000000000001"/>
    <n v="164.3"/>
    <n v="150.19999999999999"/>
    <n v="157"/>
    <n v="163.6"/>
    <n v="155.19999999999999"/>
    <n v="157.19999999999999"/>
    <x v="212"/>
    <x v="281"/>
    <x v="270"/>
    <x v="276"/>
    <x v="279"/>
    <n v="3939.9"/>
  </r>
  <r>
    <x v="1"/>
    <x v="8"/>
    <x v="1"/>
    <n v="147.6"/>
    <n v="191.2"/>
    <n v="169.9"/>
    <n v="155.1"/>
    <n v="151.4"/>
    <n v="154"/>
    <n v="180.2"/>
    <n v="159.80000000000001"/>
    <n v="114.9"/>
    <n v="162.5"/>
    <n v="149.19999999999999"/>
    <n v="169.4"/>
    <n v="160.80000000000001"/>
    <n v="193.3"/>
    <n v="154.19999999999999"/>
    <n v="138.19999999999999"/>
    <n v="151.80000000000001"/>
    <n v="159.80000000000001"/>
    <n v="149.1"/>
    <n v="146.5"/>
    <n v="156.30000000000001"/>
    <n v="140.5"/>
    <n v="147.30000000000001"/>
    <n v="156.6"/>
    <n v="156.69999999999999"/>
    <n v="149.30000000000001"/>
    <x v="220"/>
    <x v="282"/>
    <x v="271"/>
    <x v="277"/>
    <x v="280"/>
    <n v="4065.6000000000004"/>
  </r>
  <r>
    <x v="2"/>
    <x v="8"/>
    <x v="1"/>
    <n v="144.30000000000001"/>
    <n v="186.5"/>
    <n v="168.7"/>
    <n v="154.69999999999999"/>
    <n v="158.69999999999999"/>
    <n v="150.69999999999999"/>
    <n v="160"/>
    <n v="158.80000000000001"/>
    <n v="112.8"/>
    <n v="164.2"/>
    <n v="155.5"/>
    <n v="167.5"/>
    <n v="156.9"/>
    <n v="188.3"/>
    <n v="157.19999999999999"/>
    <n v="147.4"/>
    <n v="155.80000000000001"/>
    <n v="159.80000000000001"/>
    <n v="152.4"/>
    <n v="150.9"/>
    <n v="161.30000000000001"/>
    <n v="145.1"/>
    <n v="151.5"/>
    <n v="159.5"/>
    <n v="155.80000000000001"/>
    <n v="153.4"/>
    <x v="221"/>
    <x v="283"/>
    <x v="272"/>
    <x v="278"/>
    <x v="281"/>
    <n v="4077.7"/>
  </r>
  <r>
    <x v="0"/>
    <x v="8"/>
    <x v="2"/>
    <n v="142.5"/>
    <n v="189.4"/>
    <n v="163.19999999999999"/>
    <n v="154.5"/>
    <n v="168.2"/>
    <n v="150.5"/>
    <n v="141"/>
    <n v="159.19999999999999"/>
    <n v="111.7"/>
    <n v="164"/>
    <n v="160.6"/>
    <n v="166.4"/>
    <n v="154.5"/>
    <n v="186.1"/>
    <n v="159.6"/>
    <n v="154.4"/>
    <n v="158.9"/>
    <n v="0"/>
    <n v="156"/>
    <n v="154.80000000000001"/>
    <n v="164.6"/>
    <n v="151.30000000000001"/>
    <n v="157.80000000000001"/>
    <n v="163.80000000000001"/>
    <n v="153.1"/>
    <n v="157.30000000000001"/>
    <x v="212"/>
    <x v="281"/>
    <x v="273"/>
    <x v="279"/>
    <x v="282"/>
    <n v="3943.4"/>
  </r>
  <r>
    <x v="1"/>
    <x v="8"/>
    <x v="2"/>
    <n v="147.5"/>
    <n v="197.5"/>
    <n v="164.7"/>
    <n v="155.6"/>
    <n v="156.4"/>
    <n v="157.30000000000001"/>
    <n v="166.1"/>
    <n v="161.1"/>
    <n v="114.3"/>
    <n v="162.6"/>
    <n v="150.69999999999999"/>
    <n v="170.3"/>
    <n v="160.4"/>
    <n v="193.5"/>
    <n v="155.1"/>
    <n v="138.69999999999999"/>
    <n v="152.6"/>
    <n v="159.9"/>
    <n v="154.80000000000001"/>
    <n v="147.19999999999999"/>
    <n v="156.9"/>
    <n v="141.69999999999999"/>
    <n v="148.6"/>
    <n v="157.6"/>
    <n v="154.9"/>
    <n v="150"/>
    <x v="215"/>
    <x v="284"/>
    <x v="274"/>
    <x v="280"/>
    <x v="283"/>
    <n v="4075.9999999999991"/>
  </r>
  <r>
    <x v="2"/>
    <x v="8"/>
    <x v="2"/>
    <n v="144.1"/>
    <n v="192.2"/>
    <n v="163.80000000000001"/>
    <n v="154.9"/>
    <n v="163.9"/>
    <n v="153.69999999999999"/>
    <n v="149.5"/>
    <n v="159.80000000000001"/>
    <n v="112.6"/>
    <n v="163.5"/>
    <n v="156.5"/>
    <n v="168.2"/>
    <n v="156.69999999999999"/>
    <n v="188.1"/>
    <n v="157.80000000000001"/>
    <n v="147.9"/>
    <n v="156.4"/>
    <n v="159.9"/>
    <n v="155.5"/>
    <n v="151.19999999999999"/>
    <n v="161.69999999999999"/>
    <n v="146.19999999999999"/>
    <n v="152.6"/>
    <n v="160.19999999999999"/>
    <n v="153.80000000000001"/>
    <n v="153.80000000000001"/>
    <x v="222"/>
    <x v="285"/>
    <x v="275"/>
    <x v="281"/>
    <x v="284"/>
    <n v="4084.5"/>
  </r>
  <r>
    <x v="0"/>
    <x v="8"/>
    <x v="3"/>
    <n v="142.69999999999999"/>
    <n v="195.5"/>
    <n v="163.4"/>
    <n v="155"/>
    <n v="175.2"/>
    <n v="160.6"/>
    <n v="135.1"/>
    <n v="161.1"/>
    <n v="112.2"/>
    <n v="164.4"/>
    <n v="161.9"/>
    <n v="166.8"/>
    <n v="155.6"/>
    <n v="186.8"/>
    <n v="160.69999999999999"/>
    <n v="155.1"/>
    <n v="159.9"/>
    <n v="0"/>
    <n v="156"/>
    <n v="155.5"/>
    <n v="165.3"/>
    <n v="151.69999999999999"/>
    <n v="158.6"/>
    <n v="164.1"/>
    <n v="154.6"/>
    <n v="158"/>
    <x v="223"/>
    <x v="286"/>
    <x v="276"/>
    <x v="76"/>
    <x v="285"/>
    <n v="3975.8"/>
  </r>
  <r>
    <x v="1"/>
    <x v="8"/>
    <x v="3"/>
    <n v="147.6"/>
    <n v="202.5"/>
    <n v="166.4"/>
    <n v="156"/>
    <n v="161.4"/>
    <n v="168.8"/>
    <n v="161.6"/>
    <n v="162.80000000000001"/>
    <n v="114.8"/>
    <n v="162.80000000000001"/>
    <n v="151.5"/>
    <n v="171.4"/>
    <n v="162"/>
    <n v="194.4"/>
    <n v="155.9"/>
    <n v="139.30000000000001"/>
    <n v="153.4"/>
    <n v="161.4"/>
    <n v="154.9"/>
    <n v="147.6"/>
    <n v="157.5"/>
    <n v="142.1"/>
    <n v="149.1"/>
    <n v="157.6"/>
    <n v="156.6"/>
    <n v="150.5"/>
    <x v="224"/>
    <x v="287"/>
    <x v="277"/>
    <x v="282"/>
    <x v="286"/>
    <n v="4109.8999999999996"/>
  </r>
  <r>
    <x v="2"/>
    <x v="8"/>
    <x v="3"/>
    <n v="144.30000000000001"/>
    <n v="198"/>
    <n v="164.6"/>
    <n v="155.4"/>
    <n v="170.1"/>
    <n v="164.4"/>
    <n v="144.1"/>
    <n v="161.69999999999999"/>
    <n v="113.1"/>
    <n v="163.9"/>
    <n v="157.6"/>
    <n v="168.9"/>
    <n v="158"/>
    <n v="188.8"/>
    <n v="158.80000000000001"/>
    <n v="148.5"/>
    <n v="157.30000000000001"/>
    <n v="161.4"/>
    <n v="155.6"/>
    <n v="151.80000000000001"/>
    <n v="162.30000000000001"/>
    <n v="146.6"/>
    <n v="153.19999999999999"/>
    <n v="160.30000000000001"/>
    <n v="155.4"/>
    <n v="154.4"/>
    <x v="225"/>
    <x v="288"/>
    <x v="278"/>
    <x v="283"/>
    <x v="287"/>
    <n v="4118.5"/>
  </r>
  <r>
    <x v="0"/>
    <x v="8"/>
    <x v="4"/>
    <n v="145.1"/>
    <n v="198.5"/>
    <n v="168.6"/>
    <n v="155.80000000000001"/>
    <n v="184.4"/>
    <n v="162.30000000000001"/>
    <n v="138.4"/>
    <n v="165.1"/>
    <n v="114.3"/>
    <n v="169.7"/>
    <n v="164.6"/>
    <n v="169.8"/>
    <n v="158.69999999999999"/>
    <n v="189.6"/>
    <n v="165.3"/>
    <n v="160.6"/>
    <n v="164.5"/>
    <n v="0"/>
    <n v="161.69999999999999"/>
    <n v="158.80000000000001"/>
    <n v="169.1"/>
    <n v="153.19999999999999"/>
    <n v="160"/>
    <n v="167.6"/>
    <n v="159.30000000000001"/>
    <n v="161.1"/>
    <x v="226"/>
    <x v="289"/>
    <x v="279"/>
    <x v="284"/>
    <x v="288"/>
    <n v="4066.0999999999995"/>
  </r>
  <r>
    <x v="1"/>
    <x v="8"/>
    <x v="4"/>
    <n v="148.80000000000001"/>
    <n v="204.3"/>
    <n v="173"/>
    <n v="156.5"/>
    <n v="168.8"/>
    <n v="172.5"/>
    <n v="166.5"/>
    <n v="165.9"/>
    <n v="115.9"/>
    <n v="165.2"/>
    <n v="152"/>
    <n v="171.1"/>
    <n v="164.2"/>
    <n v="198.2"/>
    <n v="156.5"/>
    <n v="140.19999999999999"/>
    <n v="154.1"/>
    <n v="161.6"/>
    <n v="155.5"/>
    <n v="150.1"/>
    <n v="160.4"/>
    <n v="145"/>
    <n v="152.6"/>
    <n v="156.6"/>
    <n v="157.5"/>
    <n v="152.30000000000001"/>
    <x v="227"/>
    <x v="290"/>
    <x v="280"/>
    <x v="285"/>
    <x v="289"/>
    <n v="4165.2999999999993"/>
  </r>
  <r>
    <x v="2"/>
    <x v="8"/>
    <x v="4"/>
    <n v="146.30000000000001"/>
    <n v="200.5"/>
    <n v="170.3"/>
    <n v="156.1"/>
    <n v="178.7"/>
    <n v="167.1"/>
    <n v="147.9"/>
    <n v="165.4"/>
    <n v="114.8"/>
    <n v="168.2"/>
    <n v="159.30000000000001"/>
    <n v="170.4"/>
    <n v="160.69999999999999"/>
    <n v="191.9"/>
    <n v="161.80000000000001"/>
    <n v="152.1"/>
    <n v="160.4"/>
    <n v="161.6"/>
    <n v="159.4"/>
    <n v="154.69999999999999"/>
    <n v="165.8"/>
    <n v="148.9"/>
    <n v="155.80000000000001"/>
    <n v="161.19999999999999"/>
    <n v="158.6"/>
    <n v="156.80000000000001"/>
    <x v="228"/>
    <x v="291"/>
    <x v="281"/>
    <x v="286"/>
    <x v="290"/>
    <n v="4194.7000000000007"/>
  </r>
  <r>
    <x v="0"/>
    <x v="8"/>
    <x v="5"/>
    <n v="145.6"/>
    <n v="200.1"/>
    <n v="179.3"/>
    <n v="156.1"/>
    <n v="190.4"/>
    <n v="158.6"/>
    <n v="144.69999999999999"/>
    <n v="165.5"/>
    <n v="114.6"/>
    <n v="170"/>
    <n v="165.5"/>
    <n v="171.7"/>
    <n v="160.5"/>
    <n v="189.1"/>
    <n v="165.3"/>
    <n v="159.9"/>
    <n v="164.6"/>
    <n v="0"/>
    <n v="162.1"/>
    <n v="159.19999999999999"/>
    <n v="169.7"/>
    <n v="154.19999999999999"/>
    <n v="160.4"/>
    <n v="166.8"/>
    <n v="159.4"/>
    <n v="161.5"/>
    <x v="229"/>
    <x v="292"/>
    <x v="282"/>
    <x v="287"/>
    <x v="291"/>
    <n v="4094.7999999999997"/>
  </r>
  <r>
    <x v="1"/>
    <x v="8"/>
    <x v="5"/>
    <n v="149.19999999999999"/>
    <n v="205.5"/>
    <n v="182.8"/>
    <n v="156.5"/>
    <n v="172.2"/>
    <n v="171.5"/>
    <n v="176.2"/>
    <n v="166.9"/>
    <n v="116.1"/>
    <n v="165.5"/>
    <n v="152.30000000000001"/>
    <n v="173.3"/>
    <n v="166.2"/>
    <n v="195.6"/>
    <n v="157.30000000000001"/>
    <n v="140.5"/>
    <n v="154.80000000000001"/>
    <n v="160.5"/>
    <n v="156.1"/>
    <n v="149.80000000000001"/>
    <n v="160.80000000000001"/>
    <n v="147.5"/>
    <n v="150.69999999999999"/>
    <n v="158.1"/>
    <n v="158"/>
    <n v="153.4"/>
    <x v="228"/>
    <x v="293"/>
    <x v="283"/>
    <x v="288"/>
    <x v="292"/>
    <n v="4197.2999999999993"/>
  </r>
  <r>
    <x v="2"/>
    <x v="8"/>
    <x v="5"/>
    <n v="146.69999999999999"/>
    <n v="202"/>
    <n v="180.7"/>
    <n v="156.19999999999999"/>
    <n v="183.7"/>
    <n v="164.6"/>
    <n v="155.4"/>
    <n v="166"/>
    <n v="115.1"/>
    <n v="168.5"/>
    <n v="160"/>
    <n v="172.4"/>
    <n v="162.6"/>
    <n v="190.8"/>
    <n v="162.19999999999999"/>
    <n v="151.80000000000001"/>
    <n v="160.69999999999999"/>
    <n v="160.5"/>
    <n v="159.80000000000001"/>
    <n v="154.80000000000001"/>
    <n v="166.3"/>
    <n v="150.69999999999999"/>
    <n v="154.9"/>
    <n v="161.69999999999999"/>
    <n v="158.80000000000001"/>
    <n v="157.6"/>
    <x v="230"/>
    <x v="294"/>
    <x v="284"/>
    <x v="289"/>
    <x v="293"/>
    <n v="4224.5"/>
  </r>
  <r>
    <x v="0"/>
    <x v="8"/>
    <x v="6"/>
    <n v="145.1"/>
    <n v="204.5"/>
    <n v="180.4"/>
    <n v="157.1"/>
    <n v="188.7"/>
    <n v="157.69999999999999"/>
    <n v="152.80000000000001"/>
    <n v="163.6"/>
    <n v="113.9"/>
    <n v="169.7"/>
    <n v="166.2"/>
    <n v="171"/>
    <n v="161.69999999999999"/>
    <n v="189.7"/>
    <n v="166"/>
    <n v="161.1"/>
    <n v="165.3"/>
    <n v="0"/>
    <n v="162.5"/>
    <n v="160.30000000000001"/>
    <n v="170.4"/>
    <n v="157.1"/>
    <n v="160.69999999999999"/>
    <n v="167.2"/>
    <n v="160.4"/>
    <n v="162.80000000000001"/>
    <x v="231"/>
    <x v="295"/>
    <x v="285"/>
    <x v="290"/>
    <x v="294"/>
    <n v="4115.9000000000005"/>
  </r>
  <r>
    <x v="1"/>
    <x v="8"/>
    <x v="6"/>
    <n v="149.1"/>
    <n v="210.9"/>
    <n v="185"/>
    <n v="158.19999999999999"/>
    <n v="170.6"/>
    <n v="170.9"/>
    <n v="186.4"/>
    <n v="164.7"/>
    <n v="115.7"/>
    <n v="165.5"/>
    <n v="153.4"/>
    <n v="173.5"/>
    <n v="167.9"/>
    <n v="195.5"/>
    <n v="157.9"/>
    <n v="141.9"/>
    <n v="155.5"/>
    <n v="161.5"/>
    <n v="157.69999999999999"/>
    <n v="150.69999999999999"/>
    <n v="161.5"/>
    <n v="149.5"/>
    <n v="151.19999999999999"/>
    <n v="160.30000000000001"/>
    <n v="159.6"/>
    <n v="155"/>
    <x v="232"/>
    <x v="296"/>
    <x v="286"/>
    <x v="291"/>
    <x v="295"/>
    <n v="4229.6000000000004"/>
  </r>
  <r>
    <x v="2"/>
    <x v="8"/>
    <x v="6"/>
    <n v="146.4"/>
    <n v="206.8"/>
    <n v="182.2"/>
    <n v="157.5"/>
    <n v="182.1"/>
    <n v="163.9"/>
    <n v="164.2"/>
    <n v="164"/>
    <n v="114.5"/>
    <n v="168.3"/>
    <n v="160.9"/>
    <n v="172.2"/>
    <n v="164"/>
    <n v="191.2"/>
    <n v="162.80000000000001"/>
    <n v="153.1"/>
    <n v="161.4"/>
    <n v="161.5"/>
    <n v="160.69999999999999"/>
    <n v="155.80000000000001"/>
    <n v="167"/>
    <n v="153.1"/>
    <n v="155.30000000000001"/>
    <n v="163.19999999999999"/>
    <n v="160.1"/>
    <n v="159"/>
    <x v="233"/>
    <x v="297"/>
    <x v="287"/>
    <x v="292"/>
    <x v="296"/>
    <n v="4251.2"/>
  </r>
  <r>
    <x v="0"/>
    <x v="8"/>
    <x v="7"/>
    <n v="144.9"/>
    <n v="202.3"/>
    <n v="176.5"/>
    <n v="157.5"/>
    <n v="190.9"/>
    <n v="155.69999999999999"/>
    <n v="153.9"/>
    <n v="162.80000000000001"/>
    <n v="115.2"/>
    <n v="169.8"/>
    <n v="167.6"/>
    <n v="171.9"/>
    <n v="161.80000000000001"/>
    <n v="190.2"/>
    <n v="167"/>
    <n v="162.6"/>
    <n v="166.3"/>
    <n v="0"/>
    <n v="163.1"/>
    <n v="160.9"/>
    <n v="171.1"/>
    <n v="157.69999999999999"/>
    <n v="161.1"/>
    <n v="167.5"/>
    <n v="160.30000000000001"/>
    <n v="163.30000000000001"/>
    <x v="234"/>
    <x v="298"/>
    <x v="288"/>
    <x v="293"/>
    <x v="297"/>
    <n v="4121.8999999999996"/>
  </r>
  <r>
    <x v="1"/>
    <x v="8"/>
    <x v="7"/>
    <n v="149.30000000000001"/>
    <n v="207.4"/>
    <n v="174.1"/>
    <n v="159.19999999999999"/>
    <n v="175"/>
    <n v="161.30000000000001"/>
    <n v="183.3"/>
    <n v="164.5"/>
    <n v="120.4"/>
    <n v="166.2"/>
    <n v="154.80000000000001"/>
    <n v="175.1"/>
    <n v="167.3"/>
    <n v="196.5"/>
    <n v="159.80000000000001"/>
    <n v="143.6"/>
    <n v="157.30000000000001"/>
    <n v="162.1"/>
    <n v="160.69999999999999"/>
    <n v="153.19999999999999"/>
    <n v="162.80000000000001"/>
    <n v="150.4"/>
    <n v="153.69999999999999"/>
    <n v="160.4"/>
    <n v="159.6"/>
    <n v="156"/>
    <x v="235"/>
    <x v="299"/>
    <x v="289"/>
    <x v="294"/>
    <x v="298"/>
    <n v="4234"/>
  </r>
  <r>
    <x v="2"/>
    <x v="8"/>
    <x v="7"/>
    <n v="146.6"/>
    <n v="204"/>
    <n v="172.8"/>
    <n v="158.4"/>
    <n v="188"/>
    <n v="156.80000000000001"/>
    <n v="162.19999999999999"/>
    <n v="164.1"/>
    <n v="119.7"/>
    <n v="168.8"/>
    <n v="162.69999999999999"/>
    <n v="173.9"/>
    <n v="164"/>
    <n v="192.1"/>
    <n v="164.5"/>
    <n v="155.30000000000001"/>
    <n v="163.19999999999999"/>
    <n v="162.1"/>
    <n v="162.6"/>
    <n v="157.5"/>
    <n v="168.4"/>
    <n v="154"/>
    <n v="157.6"/>
    <n v="163.80000000000001"/>
    <n v="160"/>
    <n v="160"/>
    <x v="231"/>
    <x v="300"/>
    <x v="290"/>
    <x v="295"/>
    <x v="299"/>
    <n v="4263.1000000000004"/>
  </r>
  <r>
    <x v="0"/>
    <x v="8"/>
    <x v="8"/>
    <n v="145.4"/>
    <n v="202.1"/>
    <n v="172"/>
    <n v="158"/>
    <n v="195.5"/>
    <n v="152.69999999999999"/>
    <n v="151.4"/>
    <n v="163.9"/>
    <n v="119.3"/>
    <n v="170.1"/>
    <n v="168.3"/>
    <n v="172.8"/>
    <n v="162.1"/>
    <n v="190.5"/>
    <n v="167.7"/>
    <n v="163.6"/>
    <n v="167.1"/>
    <n v="0"/>
    <n v="163.69999999999999"/>
    <n v="161.30000000000001"/>
    <n v="171.9"/>
    <n v="157.80000000000001"/>
    <n v="162.69999999999999"/>
    <n v="168.5"/>
    <n v="160.19999999999999"/>
    <n v="163.80000000000001"/>
    <x v="236"/>
    <x v="301"/>
    <x v="291"/>
    <x v="296"/>
    <x v="300"/>
    <n v="4132.3999999999996"/>
  </r>
  <r>
    <x v="1"/>
    <x v="8"/>
    <x v="8"/>
    <n v="149.30000000000001"/>
    <n v="207.4"/>
    <n v="174.1"/>
    <n v="159.1"/>
    <n v="175"/>
    <n v="161.19999999999999"/>
    <n v="183.5"/>
    <n v="164.5"/>
    <n v="120.4"/>
    <n v="166.2"/>
    <n v="154.80000000000001"/>
    <n v="175.1"/>
    <n v="167.3"/>
    <n v="196.5"/>
    <n v="159.80000000000001"/>
    <n v="143.6"/>
    <n v="157.4"/>
    <n v="162.1"/>
    <n v="160.80000000000001"/>
    <n v="153.30000000000001"/>
    <n v="162.80000000000001"/>
    <n v="150.5"/>
    <n v="153.9"/>
    <n v="160.30000000000001"/>
    <n v="159.6"/>
    <n v="156"/>
    <x v="235"/>
    <x v="299"/>
    <x v="292"/>
    <x v="297"/>
    <x v="301"/>
    <n v="4234.5"/>
  </r>
  <r>
    <x v="2"/>
    <x v="8"/>
    <x v="8"/>
    <n v="146.6"/>
    <n v="204"/>
    <n v="172.8"/>
    <n v="158.4"/>
    <n v="188"/>
    <n v="156.69999999999999"/>
    <n v="162.30000000000001"/>
    <n v="164.1"/>
    <n v="119.7"/>
    <n v="168.8"/>
    <n v="162.69999999999999"/>
    <n v="173.9"/>
    <n v="164"/>
    <n v="192.1"/>
    <n v="164.6"/>
    <n v="155.30000000000001"/>
    <n v="163.30000000000001"/>
    <n v="162.1"/>
    <n v="162.6"/>
    <n v="157.5"/>
    <n v="168.4"/>
    <n v="154"/>
    <n v="157.69999999999999"/>
    <n v="163.69999999999999"/>
    <n v="160"/>
    <n v="160"/>
    <x v="231"/>
    <x v="300"/>
    <x v="293"/>
    <x v="295"/>
    <x v="299"/>
    <n v="4263.3"/>
  </r>
  <r>
    <x v="0"/>
    <x v="8"/>
    <x v="9"/>
    <n v="146.1"/>
    <n v="202.5"/>
    <n v="170.1"/>
    <n v="158.4"/>
    <n v="198.8"/>
    <n v="152.6"/>
    <n v="170.4"/>
    <n v="165.2"/>
    <n v="121.6"/>
    <n v="170.6"/>
    <n v="168.8"/>
    <n v="173.6"/>
    <n v="165.5"/>
    <n v="191.2"/>
    <n v="168.9"/>
    <n v="164.8"/>
    <n v="168.3"/>
    <n v="0"/>
    <n v="165.5"/>
    <n v="162"/>
    <n v="172.5"/>
    <n v="159.5"/>
    <n v="163.19999999999999"/>
    <n v="169"/>
    <n v="161.1"/>
    <n v="164.7"/>
    <x v="237"/>
    <x v="302"/>
    <x v="294"/>
    <x v="298"/>
    <x v="302"/>
    <n v="4174.8999999999996"/>
  </r>
  <r>
    <x v="1"/>
    <x v="8"/>
    <x v="9"/>
    <n v="150.1"/>
    <n v="208.4"/>
    <n v="173"/>
    <n v="159.19999999999999"/>
    <n v="176.6"/>
    <n v="159.30000000000001"/>
    <n v="214.4"/>
    <n v="165.3"/>
    <n v="122.5"/>
    <n v="166.8"/>
    <n v="155.4"/>
    <n v="175.9"/>
    <n v="171.5"/>
    <n v="197"/>
    <n v="160.80000000000001"/>
    <n v="144.4"/>
    <n v="158.30000000000001"/>
    <n v="163.6"/>
    <n v="162.19999999999999"/>
    <n v="154.30000000000001"/>
    <n v="163.5"/>
    <n v="152.19999999999999"/>
    <n v="155.1"/>
    <n v="160.30000000000001"/>
    <n v="160.30000000000001"/>
    <n v="157"/>
    <x v="238"/>
    <x v="303"/>
    <x v="295"/>
    <x v="299"/>
    <x v="303"/>
    <n v="4287.4000000000015"/>
  </r>
  <r>
    <x v="2"/>
    <x v="8"/>
    <x v="9"/>
    <n v="147.4"/>
    <n v="204.6"/>
    <n v="171.2"/>
    <n v="158.69999999999999"/>
    <n v="190.6"/>
    <n v="155.69999999999999"/>
    <n v="185.3"/>
    <n v="165.2"/>
    <n v="121.9"/>
    <n v="169.3"/>
    <n v="163.19999999999999"/>
    <n v="174.7"/>
    <n v="167.7"/>
    <n v="192.7"/>
    <n v="165.7"/>
    <n v="156.30000000000001"/>
    <n v="164.3"/>
    <n v="163.6"/>
    <n v="164.2"/>
    <n v="158.4"/>
    <n v="169.1"/>
    <n v="155.69999999999999"/>
    <n v="158.6"/>
    <n v="163.9"/>
    <n v="160.80000000000001"/>
    <n v="161"/>
    <x v="239"/>
    <x v="304"/>
    <x v="296"/>
    <x v="300"/>
    <x v="304"/>
    <n v="4309.8"/>
  </r>
  <r>
    <x v="0"/>
    <x v="8"/>
    <x v="11"/>
    <n v="146.9"/>
    <n v="199.8"/>
    <n v="171.5"/>
    <n v="159.1"/>
    <n v="198.4"/>
    <n v="153.19999999999999"/>
    <n v="183.9"/>
    <n v="165.4"/>
    <n v="122.1"/>
    <n v="170.8"/>
    <n v="169.1"/>
    <n v="174.3"/>
    <n v="167.5"/>
    <n v="191.4"/>
    <n v="170.4"/>
    <n v="166"/>
    <n v="169.8"/>
    <n v="0"/>
    <n v="165.3"/>
    <n v="162.9"/>
    <n v="173.4"/>
    <n v="158.9"/>
    <n v="163.80000000000001"/>
    <n v="169.3"/>
    <n v="162.4"/>
    <n v="165.2"/>
    <x v="240"/>
    <x v="305"/>
    <x v="297"/>
    <x v="301"/>
    <x v="305"/>
    <n v="4200.8"/>
  </r>
  <r>
    <x v="1"/>
    <x v="8"/>
    <x v="11"/>
    <n v="151"/>
    <n v="204.9"/>
    <n v="175.4"/>
    <n v="159.6"/>
    <n v="175.8"/>
    <n v="160.30000000000001"/>
    <n v="229.1"/>
    <n v="165.1"/>
    <n v="123.1"/>
    <n v="167.2"/>
    <n v="156.1"/>
    <n v="176.8"/>
    <n v="173.5"/>
    <n v="197"/>
    <n v="162.30000000000001"/>
    <n v="145.30000000000001"/>
    <n v="159.69999999999999"/>
    <n v="164.2"/>
    <n v="161.6"/>
    <n v="155.19999999999999"/>
    <n v="164.2"/>
    <n v="151.19999999999999"/>
    <n v="156.69999999999999"/>
    <n v="160.80000000000001"/>
    <n v="161.80000000000001"/>
    <n v="157.30000000000001"/>
    <x v="241"/>
    <x v="306"/>
    <x v="298"/>
    <x v="302"/>
    <x v="306"/>
    <n v="4315.1999999999989"/>
  </r>
  <r>
    <x v="2"/>
    <x v="8"/>
    <x v="11"/>
    <n v="148.19999999999999"/>
    <n v="201.6"/>
    <n v="173"/>
    <n v="159.30000000000001"/>
    <n v="190.1"/>
    <n v="156.5"/>
    <n v="199.2"/>
    <n v="165.3"/>
    <n v="122.4"/>
    <n v="169.6"/>
    <n v="163.69999999999999"/>
    <n v="175.5"/>
    <n v="169.7"/>
    <n v="192.9"/>
    <n v="167.2"/>
    <n v="157.4"/>
    <n v="165.8"/>
    <n v="164.2"/>
    <n v="163.9"/>
    <n v="159.30000000000001"/>
    <n v="169.9"/>
    <n v="154.80000000000001"/>
    <n v="159.80000000000001"/>
    <n v="164.3"/>
    <n v="162.19999999999999"/>
    <n v="161.4"/>
    <x v="242"/>
    <x v="307"/>
    <x v="299"/>
    <x v="303"/>
    <x v="307"/>
    <n v="4337.2000000000007"/>
  </r>
  <r>
    <x v="0"/>
    <x v="8"/>
    <x v="12"/>
    <n v="147.4"/>
    <n v="197"/>
    <n v="176.5"/>
    <n v="159.80000000000001"/>
    <n v="195.8"/>
    <n v="152"/>
    <n v="172.3"/>
    <n v="164.5"/>
    <n v="120.6"/>
    <n v="171.7"/>
    <n v="169.7"/>
    <n v="175.1"/>
    <n v="165.8"/>
    <n v="190.8"/>
    <n v="171.8"/>
    <n v="167.3"/>
    <n v="171.2"/>
    <n v="0"/>
    <n v="165.6"/>
    <n v="163.9"/>
    <n v="174"/>
    <n v="160.1"/>
    <n v="164.5"/>
    <n v="169.7"/>
    <n v="162.80000000000001"/>
    <n v="166"/>
    <x v="243"/>
    <x v="308"/>
    <x v="300"/>
    <x v="304"/>
    <x v="308"/>
    <n v="4195.8999999999996"/>
  </r>
  <r>
    <x v="1"/>
    <x v="8"/>
    <x v="12"/>
    <n v="151.6"/>
    <n v="202.2"/>
    <n v="180"/>
    <n v="160"/>
    <n v="173.5"/>
    <n v="158.30000000000001"/>
    <n v="219.5"/>
    <n v="164.2"/>
    <n v="121.9"/>
    <n v="168.2"/>
    <n v="156.5"/>
    <n v="178.2"/>
    <n v="172.2"/>
    <n v="196.8"/>
    <n v="163.30000000000001"/>
    <n v="146.69999999999999"/>
    <n v="160.69999999999999"/>
    <n v="163.4"/>
    <n v="161.69999999999999"/>
    <n v="156"/>
    <n v="165.1"/>
    <n v="151.80000000000001"/>
    <n v="157.6"/>
    <n v="160.6"/>
    <n v="162.4"/>
    <n v="157.80000000000001"/>
    <x v="244"/>
    <x v="309"/>
    <x v="301"/>
    <x v="305"/>
    <x v="309"/>
    <n v="4310.2000000000007"/>
  </r>
  <r>
    <x v="2"/>
    <x v="8"/>
    <x v="12"/>
    <n v="148.69999999999999"/>
    <n v="198.8"/>
    <n v="177.9"/>
    <n v="159.9"/>
    <n v="187.6"/>
    <n v="154.9"/>
    <n v="188.3"/>
    <n v="164.4"/>
    <n v="121"/>
    <n v="170.5"/>
    <n v="164.2"/>
    <n v="176.5"/>
    <n v="168.2"/>
    <n v="192.4"/>
    <n v="168.5"/>
    <n v="158.69999999999999"/>
    <n v="167"/>
    <n v="163.4"/>
    <n v="164.1"/>
    <n v="160.19999999999999"/>
    <n v="170.6"/>
    <n v="155.69999999999999"/>
    <n v="160.6"/>
    <n v="164.4"/>
    <n v="162.6"/>
    <n v="162"/>
    <x v="245"/>
    <x v="310"/>
    <x v="302"/>
    <x v="306"/>
    <x v="310"/>
    <n v="4331.1000000000004"/>
  </r>
  <r>
    <x v="0"/>
    <x v="9"/>
    <x v="0"/>
    <n v="148.30000000000001"/>
    <n v="196.9"/>
    <n v="178"/>
    <n v="160.5"/>
    <n v="192.6"/>
    <n v="151.19999999999999"/>
    <n v="159.19999999999999"/>
    <n v="164"/>
    <n v="119.3"/>
    <n v="173.3"/>
    <n v="169.8"/>
    <n v="175.8"/>
    <n v="164.1"/>
    <n v="190.7"/>
    <n v="173.2"/>
    <n v="169.3"/>
    <n v="172.7"/>
    <n v="0"/>
    <n v="165.8"/>
    <n v="164.9"/>
    <n v="174.7"/>
    <n v="160.80000000000001"/>
    <n v="164.9"/>
    <n v="169.9"/>
    <n v="163.19999999999999"/>
    <n v="166.6"/>
    <x v="246"/>
    <x v="311"/>
    <x v="303"/>
    <x v="307"/>
    <x v="311"/>
    <n v="4189.7"/>
  </r>
  <r>
    <x v="1"/>
    <x v="9"/>
    <x v="0"/>
    <n v="152.19999999999999"/>
    <n v="202.1"/>
    <n v="180.1"/>
    <n v="160.4"/>
    <n v="171"/>
    <n v="156.5"/>
    <n v="203.6"/>
    <n v="163.80000000000001"/>
    <n v="121.3"/>
    <n v="169.8"/>
    <n v="156.6"/>
    <n v="179"/>
    <n v="170.3"/>
    <n v="196.4"/>
    <n v="164.7"/>
    <n v="148.5"/>
    <n v="162.19999999999999"/>
    <n v="164.5"/>
    <n v="161.6"/>
    <n v="156.80000000000001"/>
    <n v="166.1"/>
    <n v="152.69999999999999"/>
    <n v="158.4"/>
    <n v="161"/>
    <n v="162.80000000000001"/>
    <n v="158.6"/>
    <x v="247"/>
    <x v="312"/>
    <x v="304"/>
    <x v="308"/>
    <x v="312"/>
    <n v="4301"/>
  </r>
  <r>
    <x v="2"/>
    <x v="9"/>
    <x v="0"/>
    <n v="149.5"/>
    <n v="198.7"/>
    <n v="178.8"/>
    <n v="160.5"/>
    <n v="184.7"/>
    <n v="153.69999999999999"/>
    <n v="174.3"/>
    <n v="163.9"/>
    <n v="120"/>
    <n v="172.1"/>
    <n v="164.3"/>
    <n v="177.3"/>
    <n v="166.4"/>
    <n v="192.2"/>
    <n v="169.9"/>
    <n v="160.69999999999999"/>
    <n v="168.5"/>
    <n v="164.5"/>
    <n v="164.2"/>
    <n v="161.1"/>
    <n v="171.4"/>
    <n v="156.5"/>
    <n v="161.19999999999999"/>
    <n v="164.7"/>
    <n v="163"/>
    <n v="162.69999999999999"/>
    <x v="248"/>
    <x v="313"/>
    <x v="305"/>
    <x v="309"/>
    <x v="313"/>
    <n v="4324.7999999999993"/>
  </r>
  <r>
    <x v="0"/>
    <x v="9"/>
    <x v="1"/>
    <n v="148.80000000000001"/>
    <n v="198.1"/>
    <n v="175.5"/>
    <n v="160.69999999999999"/>
    <n v="192.6"/>
    <n v="151.4"/>
    <n v="155.19999999999999"/>
    <n v="163.9"/>
    <n v="118.1"/>
    <n v="175.4"/>
    <n v="170.5"/>
    <n v="176.3"/>
    <n v="163.9"/>
    <n v="191.5"/>
    <n v="174.1"/>
    <n v="171"/>
    <n v="173.7"/>
    <n v="0"/>
    <n v="167.4"/>
    <n v="165.7"/>
    <n v="175.3"/>
    <n v="161.19999999999999"/>
    <n v="165.5"/>
    <n v="170.3"/>
    <n v="164.5"/>
    <n v="167.3"/>
    <x v="242"/>
    <x v="314"/>
    <x v="306"/>
    <x v="310"/>
    <x v="314"/>
    <n v="4197.8999999999996"/>
  </r>
  <r>
    <x v="1"/>
    <x v="9"/>
    <x v="1"/>
    <n v="152.5"/>
    <n v="205.2"/>
    <n v="176.4"/>
    <n v="160.6"/>
    <n v="171.5"/>
    <n v="156.4"/>
    <n v="198"/>
    <n v="163.19999999999999"/>
    <n v="120.6"/>
    <n v="172.2"/>
    <n v="156.69999999999999"/>
    <n v="180"/>
    <n v="170.2"/>
    <n v="196.5"/>
    <n v="165.7"/>
    <n v="150.4"/>
    <n v="163.4"/>
    <n v="165.5"/>
    <n v="163"/>
    <n v="157.4"/>
    <n v="167.2"/>
    <n v="153.1"/>
    <n v="159.5"/>
    <n v="162"/>
    <n v="164.2"/>
    <n v="159.4"/>
    <x v="239"/>
    <x v="315"/>
    <x v="307"/>
    <x v="311"/>
    <x v="315"/>
    <n v="4310.8"/>
  </r>
  <r>
    <x v="2"/>
    <x v="9"/>
    <x v="1"/>
    <n v="150"/>
    <n v="200.6"/>
    <n v="175.8"/>
    <n v="160.69999999999999"/>
    <n v="184.9"/>
    <n v="153.69999999999999"/>
    <n v="169.7"/>
    <n v="163.69999999999999"/>
    <n v="118.9"/>
    <n v="174.3"/>
    <n v="164.7"/>
    <n v="178"/>
    <n v="166.2"/>
    <n v="192.8"/>
    <n v="170.8"/>
    <n v="162.4"/>
    <n v="169.6"/>
    <n v="165.5"/>
    <n v="165.7"/>
    <n v="161.80000000000001"/>
    <n v="172.2"/>
    <n v="156.9"/>
    <n v="162.1"/>
    <n v="165.4"/>
    <n v="164.4"/>
    <n v="163.5"/>
    <x v="249"/>
    <x v="316"/>
    <x v="308"/>
    <x v="312"/>
    <x v="316"/>
    <n v="4334.3000000000011"/>
  </r>
  <r>
    <x v="0"/>
    <x v="9"/>
    <x v="2"/>
    <n v="150.19999999999999"/>
    <n v="208"/>
    <n v="167.9"/>
    <n v="162"/>
    <n v="203.1"/>
    <n v="155.9"/>
    <n v="155.80000000000001"/>
    <n v="164.2"/>
    <n v="118.1"/>
    <n v="178.7"/>
    <n v="171.2"/>
    <n v="177.4"/>
    <n v="166.6"/>
    <n v="192.3"/>
    <n v="175.4"/>
    <n v="173.2"/>
    <n v="175.1"/>
    <n v="0"/>
    <n v="168.9"/>
    <n v="166.5"/>
    <n v="176"/>
    <n v="162"/>
    <n v="166.6"/>
    <n v="170.6"/>
    <n v="167.4"/>
    <n v="168.3"/>
    <x v="250"/>
    <x v="317"/>
    <x v="309"/>
    <x v="313"/>
    <x v="317"/>
    <n v="4241.4000000000005"/>
  </r>
  <r>
    <x v="1"/>
    <x v="9"/>
    <x v="2"/>
    <n v="153.69999999999999"/>
    <n v="215.8"/>
    <n v="167.7"/>
    <n v="162.6"/>
    <n v="180"/>
    <n v="159.6"/>
    <n v="188.4"/>
    <n v="163.4"/>
    <n v="120.3"/>
    <n v="174.7"/>
    <n v="157.1"/>
    <n v="181.5"/>
    <n v="171.5"/>
    <n v="197.5"/>
    <n v="167.1"/>
    <n v="152.6"/>
    <n v="164.9"/>
    <n v="165.3"/>
    <n v="164.5"/>
    <n v="158.6"/>
    <n v="168.2"/>
    <n v="154.19999999999999"/>
    <n v="160.80000000000001"/>
    <n v="162.69999999999999"/>
    <n v="166.8"/>
    <n v="160.6"/>
    <x v="251"/>
    <x v="318"/>
    <x v="310"/>
    <x v="314"/>
    <x v="318"/>
    <n v="4340.1000000000004"/>
  </r>
  <r>
    <x v="2"/>
    <x v="9"/>
    <x v="2"/>
    <n v="151.30000000000001"/>
    <n v="210.7"/>
    <n v="167.8"/>
    <n v="162.19999999999999"/>
    <n v="194.6"/>
    <n v="157.6"/>
    <n v="166.9"/>
    <n v="163.9"/>
    <n v="118.8"/>
    <n v="177.4"/>
    <n v="165.3"/>
    <n v="179.3"/>
    <n v="168.4"/>
    <n v="193.7"/>
    <n v="172.1"/>
    <n v="164.6"/>
    <n v="171.1"/>
    <n v="165.3"/>
    <n v="167.2"/>
    <n v="162.80000000000001"/>
    <n v="173"/>
    <n v="157.9"/>
    <n v="163.30000000000001"/>
    <n v="166"/>
    <n v="167.2"/>
    <n v="164.6"/>
    <x v="252"/>
    <x v="319"/>
    <x v="311"/>
    <x v="315"/>
    <x v="319"/>
    <n v="4373"/>
  </r>
  <r>
    <x v="0"/>
    <x v="9"/>
    <x v="3"/>
    <n v="151.80000000000001"/>
    <n v="209.7"/>
    <n v="164.5"/>
    <n v="163.80000000000001"/>
    <n v="207.4"/>
    <n v="169.7"/>
    <n v="153.6"/>
    <n v="165.1"/>
    <n v="118.2"/>
    <n v="182.9"/>
    <n v="172.4"/>
    <n v="178.9"/>
    <n v="168.6"/>
    <n v="192.8"/>
    <n v="177.5"/>
    <n v="175.1"/>
    <n v="177.1"/>
    <n v="0"/>
    <n v="173.3"/>
    <n v="167.7"/>
    <n v="177"/>
    <n v="166.2"/>
    <n v="167.2"/>
    <n v="170.9"/>
    <n v="169"/>
    <n v="170.2"/>
    <x v="253"/>
    <x v="320"/>
    <x v="312"/>
    <x v="316"/>
    <x v="320"/>
    <n v="4290.6000000000004"/>
  </r>
  <r>
    <x v="1"/>
    <x v="9"/>
    <x v="3"/>
    <n v="155.4"/>
    <n v="215.8"/>
    <n v="164.6"/>
    <n v="164.2"/>
    <n v="186"/>
    <n v="175.9"/>
    <n v="190.7"/>
    <n v="164"/>
    <n v="120.5"/>
    <n v="178"/>
    <n v="157.5"/>
    <n v="183.3"/>
    <n v="174.5"/>
    <n v="197.1"/>
    <n v="168.4"/>
    <n v="154.5"/>
    <n v="166.3"/>
    <n v="167"/>
    <n v="170.5"/>
    <n v="159.80000000000001"/>
    <n v="169"/>
    <n v="159.30000000000001"/>
    <n v="162.19999999999999"/>
    <n v="164"/>
    <n v="168.4"/>
    <n v="163.1"/>
    <x v="254"/>
    <x v="321"/>
    <x v="313"/>
    <x v="317"/>
    <x v="321"/>
    <n v="4400"/>
  </r>
  <r>
    <x v="2"/>
    <x v="9"/>
    <x v="3"/>
    <n v="152.9"/>
    <n v="211.8"/>
    <n v="164.5"/>
    <n v="163.9"/>
    <n v="199.5"/>
    <n v="172.6"/>
    <n v="166.2"/>
    <n v="164.7"/>
    <n v="119"/>
    <n v="181.3"/>
    <n v="166.2"/>
    <n v="180.9"/>
    <n v="170.8"/>
    <n v="193.9"/>
    <n v="173.9"/>
    <n v="166.5"/>
    <n v="172.8"/>
    <n v="167"/>
    <n v="172.2"/>
    <n v="164"/>
    <n v="174"/>
    <n v="162.6"/>
    <n v="164.4"/>
    <n v="166.9"/>
    <n v="168.8"/>
    <n v="166.8"/>
    <x v="255"/>
    <x v="322"/>
    <x v="314"/>
    <x v="318"/>
    <x v="322"/>
    <n v="4428.1000000000004"/>
  </r>
  <r>
    <x v="0"/>
    <x v="9"/>
    <x v="4"/>
    <n v="152.9"/>
    <n v="214.7"/>
    <n v="161.4"/>
    <n v="164.6"/>
    <n v="209.9"/>
    <n v="168"/>
    <n v="160.4"/>
    <n v="165"/>
    <n v="118.9"/>
    <n v="186.6"/>
    <n v="173.2"/>
    <n v="180.4"/>
    <n v="170.8"/>
    <n v="192.9"/>
    <n v="179.3"/>
    <n v="177.2"/>
    <n v="179"/>
    <n v="0"/>
    <n v="175.3"/>
    <n v="168.9"/>
    <n v="177.7"/>
    <n v="167.1"/>
    <n v="167.6"/>
    <n v="171.8"/>
    <n v="168.5"/>
    <n v="170.9"/>
    <x v="256"/>
    <x v="323"/>
    <x v="315"/>
    <x v="319"/>
    <x v="323"/>
    <n v="4323"/>
  </r>
  <r>
    <x v="1"/>
    <x v="9"/>
    <x v="4"/>
    <n v="156.69999999999999"/>
    <n v="221.2"/>
    <n v="164.1"/>
    <n v="165.4"/>
    <n v="189.5"/>
    <n v="174.5"/>
    <n v="203.2"/>
    <n v="164.1"/>
    <n v="121.2"/>
    <n v="181.4"/>
    <n v="158.5"/>
    <n v="184.9"/>
    <n v="177.5"/>
    <n v="197.5"/>
    <n v="170"/>
    <n v="155.9"/>
    <n v="167.8"/>
    <n v="167.5"/>
    <n v="173.5"/>
    <n v="161.1"/>
    <n v="170.1"/>
    <n v="159.4"/>
    <n v="163.19999999999999"/>
    <n v="165.2"/>
    <n v="168.2"/>
    <n v="163.80000000000001"/>
    <x v="253"/>
    <x v="324"/>
    <x v="316"/>
    <x v="320"/>
    <x v="324"/>
    <n v="4445.4000000000005"/>
  </r>
  <r>
    <x v="2"/>
    <x v="9"/>
    <x v="4"/>
    <n v="154.1"/>
    <n v="217"/>
    <n v="162.4"/>
    <n v="164.9"/>
    <n v="202.4"/>
    <n v="171"/>
    <n v="174.9"/>
    <n v="164.7"/>
    <n v="119.7"/>
    <n v="184.9"/>
    <n v="167.1"/>
    <n v="182.5"/>
    <n v="173.3"/>
    <n v="194.1"/>
    <n v="175.6"/>
    <n v="168.4"/>
    <n v="174.6"/>
    <n v="167.5"/>
    <n v="174.6"/>
    <n v="165.2"/>
    <n v="174.8"/>
    <n v="163"/>
    <n v="165.1"/>
    <n v="167.9"/>
    <n v="168.4"/>
    <n v="167.5"/>
    <x v="257"/>
    <x v="325"/>
    <x v="317"/>
    <x v="321"/>
    <x v="325"/>
    <n v="4465.6000000000004"/>
  </r>
  <r>
    <x v="0"/>
    <x v="9"/>
    <x v="5"/>
    <n v="153.80000000000001"/>
    <n v="217.2"/>
    <n v="169.6"/>
    <n v="165.4"/>
    <n v="208.1"/>
    <n v="165.8"/>
    <n v="167.3"/>
    <n v="164.6"/>
    <n v="119.1"/>
    <n v="188.9"/>
    <n v="174.2"/>
    <n v="181.9"/>
    <n v="172.4"/>
    <n v="192.9"/>
    <n v="180.7"/>
    <n v="178.7"/>
    <n v="180.4"/>
    <n v="0"/>
    <n v="176.7"/>
    <n v="170.3"/>
    <n v="178.2"/>
    <n v="165.5"/>
    <n v="168"/>
    <n v="172.6"/>
    <n v="169.5"/>
    <n v="171"/>
    <x v="258"/>
    <x v="326"/>
    <x v="318"/>
    <x v="322"/>
    <x v="326"/>
    <n v="4352.8"/>
  </r>
  <r>
    <x v="1"/>
    <x v="9"/>
    <x v="5"/>
    <n v="157.5"/>
    <n v="223.4"/>
    <n v="172.8"/>
    <n v="166.4"/>
    <n v="188.6"/>
    <n v="174.1"/>
    <n v="211.5"/>
    <n v="163.6"/>
    <n v="121.4"/>
    <n v="183.5"/>
    <n v="159.1"/>
    <n v="186.3"/>
    <n v="179.3"/>
    <n v="198.3"/>
    <n v="171.6"/>
    <n v="157.4"/>
    <n v="169.4"/>
    <n v="166.8"/>
    <n v="174.9"/>
    <n v="162.1"/>
    <n v="170.9"/>
    <n v="157.19999999999999"/>
    <n v="164.1"/>
    <n v="166.5"/>
    <n v="169.2"/>
    <n v="163.80000000000001"/>
    <x v="259"/>
    <x v="327"/>
    <x v="319"/>
    <x v="323"/>
    <x v="327"/>
    <n v="4479.7"/>
  </r>
  <r>
    <x v="2"/>
    <x v="9"/>
    <x v="5"/>
    <n v="155"/>
    <n v="219.4"/>
    <n v="170.8"/>
    <n v="165.8"/>
    <n v="200.9"/>
    <n v="169.7"/>
    <n v="182.3"/>
    <n v="164.3"/>
    <n v="119.9"/>
    <n v="187.1"/>
    <n v="167.9"/>
    <n v="183.9"/>
    <n v="174.9"/>
    <n v="194.3"/>
    <n v="177.1"/>
    <n v="169.9"/>
    <n v="176"/>
    <n v="166.8"/>
    <n v="176"/>
    <n v="166.4"/>
    <n v="175.4"/>
    <n v="161.1"/>
    <n v="165.8"/>
    <n v="169"/>
    <n v="169.4"/>
    <n v="167.5"/>
    <x v="260"/>
    <x v="328"/>
    <x v="320"/>
    <x v="324"/>
    <x v="328"/>
    <n v="4496.6000000000004"/>
  </r>
  <r>
    <x v="0"/>
    <x v="9"/>
    <x v="6"/>
    <n v="155.19999999999999"/>
    <n v="210.8"/>
    <n v="174.3"/>
    <n v="166.3"/>
    <n v="202.2"/>
    <n v="169.6"/>
    <n v="168.6"/>
    <n v="164.4"/>
    <n v="119.2"/>
    <n v="191.8"/>
    <n v="174.5"/>
    <n v="183.1"/>
    <n v="172.5"/>
    <n v="193.2"/>
    <n v="182"/>
    <n v="180.3"/>
    <n v="181.7"/>
    <n v="0"/>
    <n v="179.6"/>
    <n v="171.3"/>
    <n v="178.8"/>
    <n v="166.3"/>
    <n v="168.6"/>
    <n v="174.7"/>
    <n v="169.7"/>
    <n v="171.8"/>
    <x v="261"/>
    <x v="329"/>
    <x v="321"/>
    <x v="325"/>
    <x v="329"/>
    <n v="4370.4999999999991"/>
  </r>
  <r>
    <x v="1"/>
    <x v="9"/>
    <x v="6"/>
    <n v="159.30000000000001"/>
    <n v="217.1"/>
    <n v="176.6"/>
    <n v="167.1"/>
    <n v="184.8"/>
    <n v="179.5"/>
    <n v="208.5"/>
    <n v="164"/>
    <n v="121.5"/>
    <n v="186.3"/>
    <n v="159.80000000000001"/>
    <n v="187.7"/>
    <n v="179.4"/>
    <n v="198.6"/>
    <n v="172.7"/>
    <n v="158.69999999999999"/>
    <n v="170.6"/>
    <n v="167.8"/>
    <n v="179.5"/>
    <n v="163.1"/>
    <n v="171.7"/>
    <n v="157.4"/>
    <n v="164.6"/>
    <n v="169.1"/>
    <n v="169.8"/>
    <n v="164.7"/>
    <x v="262"/>
    <x v="330"/>
    <x v="322"/>
    <x v="326"/>
    <x v="330"/>
    <n v="4499.8999999999996"/>
  </r>
  <r>
    <x v="2"/>
    <x v="9"/>
    <x v="6"/>
    <n v="156.5"/>
    <n v="213"/>
    <n v="175.2"/>
    <n v="166.6"/>
    <n v="195.8"/>
    <n v="174.2"/>
    <n v="182.1"/>
    <n v="164.3"/>
    <n v="120"/>
    <n v="190"/>
    <n v="168.4"/>
    <n v="185.2"/>
    <n v="175"/>
    <n v="194.6"/>
    <n v="178.3"/>
    <n v="171.3"/>
    <n v="177.3"/>
    <n v="167.8"/>
    <n v="179.6"/>
    <n v="167.4"/>
    <n v="176.1"/>
    <n v="161.6"/>
    <n v="166.3"/>
    <n v="171.4"/>
    <n v="169.7"/>
    <n v="168.4"/>
    <x v="263"/>
    <x v="331"/>
    <x v="323"/>
    <x v="327"/>
    <x v="331"/>
    <n v="4516.1000000000004"/>
  </r>
  <r>
    <x v="0"/>
    <x v="9"/>
    <x v="7"/>
    <n v="159.5"/>
    <n v="204.1"/>
    <n v="168.3"/>
    <n v="167.9"/>
    <n v="198.1"/>
    <n v="169.2"/>
    <n v="173.1"/>
    <n v="167.1"/>
    <n v="120.2"/>
    <n v="195.6"/>
    <n v="174.8"/>
    <n v="184"/>
    <n v="173.9"/>
    <n v="193.7"/>
    <n v="183.2"/>
    <n v="181.7"/>
    <n v="183"/>
    <n v="0"/>
    <n v="179.1"/>
    <n v="172.3"/>
    <n v="179.4"/>
    <n v="166.6"/>
    <n v="169.3"/>
    <n v="175.7"/>
    <n v="171.1"/>
    <n v="172.6"/>
    <x v="264"/>
    <x v="332"/>
    <x v="324"/>
    <x v="328"/>
    <x v="332"/>
    <n v="4383.5"/>
  </r>
  <r>
    <x v="1"/>
    <x v="9"/>
    <x v="7"/>
    <n v="162.1"/>
    <n v="210.9"/>
    <n v="170.6"/>
    <n v="168.4"/>
    <n v="182.5"/>
    <n v="177.1"/>
    <n v="213.1"/>
    <n v="167.3"/>
    <n v="122.2"/>
    <n v="189.7"/>
    <n v="160.5"/>
    <n v="188.9"/>
    <n v="180.4"/>
    <n v="198.7"/>
    <n v="173.7"/>
    <n v="160"/>
    <n v="171.6"/>
    <n v="169"/>
    <n v="178.4"/>
    <n v="164.2"/>
    <n v="172.6"/>
    <n v="157.69999999999999"/>
    <n v="165.1"/>
    <n v="169.9"/>
    <n v="171.4"/>
    <n v="165.4"/>
    <x v="265"/>
    <x v="333"/>
    <x v="325"/>
    <x v="329"/>
    <x v="333"/>
    <n v="4511.3999999999996"/>
  </r>
  <r>
    <x v="2"/>
    <x v="9"/>
    <x v="7"/>
    <n v="160.30000000000001"/>
    <n v="206.5"/>
    <n v="169.2"/>
    <n v="168.1"/>
    <n v="192.4"/>
    <n v="172.9"/>
    <n v="186.7"/>
    <n v="167.2"/>
    <n v="120.9"/>
    <n v="193.6"/>
    <n v="168.8"/>
    <n v="186.3"/>
    <n v="176.3"/>
    <n v="195"/>
    <n v="179.5"/>
    <n v="172.7"/>
    <n v="178.5"/>
    <n v="169"/>
    <n v="178.8"/>
    <n v="168.5"/>
    <n v="176.8"/>
    <n v="161.9"/>
    <n v="166.9"/>
    <n v="172.3"/>
    <n v="171.2"/>
    <n v="169.1"/>
    <x v="261"/>
    <x v="334"/>
    <x v="326"/>
    <x v="330"/>
    <x v="334"/>
    <n v="4529.4000000000005"/>
  </r>
  <r>
    <x v="0"/>
    <x v="9"/>
    <x v="8"/>
    <n v="162.9"/>
    <n v="206.7"/>
    <n v="169"/>
    <n v="169.5"/>
    <n v="194.1"/>
    <n v="164.1"/>
    <n v="176.9"/>
    <n v="169"/>
    <n v="120.8"/>
    <n v="199.1"/>
    <n v="175.4"/>
    <n v="184.8"/>
    <n v="175.5"/>
    <n v="194.5"/>
    <n v="184.7"/>
    <n v="183.3"/>
    <n v="184.5"/>
    <n v="0"/>
    <n v="179.7"/>
    <n v="173.6"/>
    <n v="180.2"/>
    <n v="166.9"/>
    <n v="170"/>
    <n v="176.2"/>
    <n v="170.8"/>
    <n v="173.1"/>
    <x v="266"/>
    <x v="335"/>
    <x v="327"/>
    <x v="192"/>
    <x v="335"/>
    <n v="4405.3"/>
  </r>
  <r>
    <x v="1"/>
    <x v="9"/>
    <x v="8"/>
    <n v="164.9"/>
    <n v="213.7"/>
    <n v="170.9"/>
    <n v="170.1"/>
    <n v="179.3"/>
    <n v="167.5"/>
    <n v="220.8"/>
    <n v="169.2"/>
    <n v="123.1"/>
    <n v="193.6"/>
    <n v="161.1"/>
    <n v="190.4"/>
    <n v="181.8"/>
    <n v="199.7"/>
    <n v="175"/>
    <n v="161.69999999999999"/>
    <n v="173"/>
    <n v="169.5"/>
    <n v="179.2"/>
    <n v="165"/>
    <n v="173.8"/>
    <n v="158.19999999999999"/>
    <n v="165.8"/>
    <n v="170.9"/>
    <n v="171.1"/>
    <n v="166.1"/>
    <x v="267"/>
    <x v="336"/>
    <x v="328"/>
    <x v="331"/>
    <x v="336"/>
    <n v="4535.3999999999996"/>
  </r>
  <r>
    <x v="2"/>
    <x v="9"/>
    <x v="8"/>
    <n v="163.5"/>
    <n v="209.2"/>
    <n v="169.7"/>
    <n v="169.7"/>
    <n v="188.7"/>
    <n v="165.7"/>
    <n v="191.8"/>
    <n v="169.1"/>
    <n v="121.6"/>
    <n v="197.3"/>
    <n v="169.4"/>
    <n v="187.4"/>
    <n v="177.8"/>
    <n v="195.9"/>
    <n v="180.9"/>
    <n v="174.3"/>
    <n v="179.9"/>
    <n v="169.5"/>
    <n v="179.5"/>
    <n v="169.5"/>
    <n v="177.8"/>
    <n v="162.30000000000001"/>
    <n v="167.6"/>
    <n v="173.1"/>
    <n v="170.9"/>
    <n v="169.7"/>
    <x v="264"/>
    <x v="337"/>
    <x v="329"/>
    <x v="332"/>
    <x v="337"/>
    <n v="4551.8"/>
  </r>
  <r>
    <x v="0"/>
    <x v="9"/>
    <x v="9"/>
    <n v="164.7"/>
    <n v="208.8"/>
    <n v="170.3"/>
    <n v="170.9"/>
    <n v="191.6"/>
    <n v="162.19999999999999"/>
    <n v="184.8"/>
    <n v="169.7"/>
    <n v="121.1"/>
    <n v="201.6"/>
    <n v="175.8"/>
    <n v="185.6"/>
    <n v="177.4"/>
    <n v="194.9"/>
    <n v="186.1"/>
    <n v="184.4"/>
    <n v="185.9"/>
    <n v="0"/>
    <n v="180.8"/>
    <n v="174.4"/>
    <n v="181.2"/>
    <n v="167.4"/>
    <n v="170.6"/>
    <n v="176.5"/>
    <n v="172"/>
    <n v="173.9"/>
    <x v="268"/>
    <x v="338"/>
    <x v="330"/>
    <x v="333"/>
    <x v="338"/>
    <n v="4432.6000000000004"/>
  </r>
  <r>
    <x v="1"/>
    <x v="9"/>
    <x v="9"/>
    <n v="166.4"/>
    <n v="214.9"/>
    <n v="171.9"/>
    <n v="171"/>
    <n v="177.7"/>
    <n v="165.7"/>
    <n v="228.6"/>
    <n v="169.9"/>
    <n v="123.4"/>
    <n v="196.4"/>
    <n v="161.6"/>
    <n v="191.5"/>
    <n v="183.3"/>
    <n v="200.1"/>
    <n v="175.5"/>
    <n v="162.6"/>
    <n v="173.6"/>
    <n v="171.2"/>
    <n v="180"/>
    <n v="166"/>
    <n v="174.7"/>
    <n v="158.80000000000001"/>
    <n v="166.3"/>
    <n v="171.2"/>
    <n v="172.3"/>
    <n v="166.8"/>
    <x v="264"/>
    <x v="339"/>
    <x v="331"/>
    <x v="334"/>
    <x v="339"/>
    <n v="4561.3999999999996"/>
  </r>
  <r>
    <x v="2"/>
    <x v="9"/>
    <x v="9"/>
    <n v="165.2"/>
    <n v="210.9"/>
    <n v="170.9"/>
    <n v="170.9"/>
    <n v="186.5"/>
    <n v="163.80000000000001"/>
    <n v="199.7"/>
    <n v="169.8"/>
    <n v="121.9"/>
    <n v="199.9"/>
    <n v="169.9"/>
    <n v="188.3"/>
    <n v="179.6"/>
    <n v="196.3"/>
    <n v="181.9"/>
    <n v="175.3"/>
    <n v="181"/>
    <n v="171.2"/>
    <n v="180.5"/>
    <n v="170.4"/>
    <n v="178.7"/>
    <n v="162.9"/>
    <n v="168.2"/>
    <n v="173.4"/>
    <n v="172.1"/>
    <n v="170.5"/>
    <x v="269"/>
    <x v="340"/>
    <x v="332"/>
    <x v="335"/>
    <x v="340"/>
    <n v="4579.7000000000007"/>
  </r>
  <r>
    <x v="0"/>
    <x v="9"/>
    <x v="11"/>
    <n v="166.9"/>
    <n v="207.2"/>
    <n v="180.2"/>
    <n v="172.3"/>
    <n v="194"/>
    <n v="159.1"/>
    <n v="171.6"/>
    <n v="170.2"/>
    <n v="121.5"/>
    <n v="204.8"/>
    <n v="176.4"/>
    <n v="186.9"/>
    <n v="176.6"/>
    <n v="195.5"/>
    <n v="187.2"/>
    <n v="185.2"/>
    <n v="186.9"/>
    <n v="0"/>
    <n v="181.9"/>
    <n v="175.5"/>
    <n v="182.3"/>
    <n v="167.5"/>
    <n v="170.8"/>
    <n v="176.9"/>
    <n v="173.4"/>
    <n v="174.6"/>
    <x v="270"/>
    <x v="341"/>
    <x v="333"/>
    <x v="336"/>
    <x v="341"/>
    <n v="4445.3999999999996"/>
  </r>
  <r>
    <x v="1"/>
    <x v="9"/>
    <x v="11"/>
    <n v="168.4"/>
    <n v="213.4"/>
    <n v="183.2"/>
    <n v="172.3"/>
    <n v="180"/>
    <n v="162.6"/>
    <n v="205.5"/>
    <n v="171"/>
    <n v="123.4"/>
    <n v="198.8"/>
    <n v="162.1"/>
    <n v="192.4"/>
    <n v="181.3"/>
    <n v="200.6"/>
    <n v="176.7"/>
    <n v="163.5"/>
    <n v="174.7"/>
    <n v="171.8"/>
    <n v="180.3"/>
    <n v="166.9"/>
    <n v="175.8"/>
    <n v="158.9"/>
    <n v="166.7"/>
    <n v="171.5"/>
    <n v="173.8"/>
    <n v="167.4"/>
    <x v="267"/>
    <x v="342"/>
    <x v="334"/>
    <x v="337"/>
    <x v="342"/>
    <n v="4563"/>
  </r>
  <r>
    <x v="2"/>
    <x v="9"/>
    <x v="11"/>
    <n v="167.4"/>
    <n v="209.4"/>
    <n v="181.4"/>
    <n v="172.3"/>
    <n v="188.9"/>
    <n v="160.69999999999999"/>
    <n v="183.1"/>
    <n v="170.5"/>
    <n v="122.1"/>
    <n v="202.8"/>
    <n v="170.4"/>
    <n v="189.5"/>
    <n v="178.3"/>
    <n v="196.9"/>
    <n v="183.1"/>
    <n v="176.2"/>
    <n v="182.1"/>
    <n v="171.8"/>
    <n v="181.3"/>
    <n v="171.4"/>
    <n v="179.8"/>
    <n v="163"/>
    <n v="168.5"/>
    <n v="173.7"/>
    <n v="173.6"/>
    <n v="171.1"/>
    <x v="271"/>
    <x v="343"/>
    <x v="335"/>
    <x v="338"/>
    <x v="343"/>
    <n v="4589.3"/>
  </r>
  <r>
    <x v="0"/>
    <x v="9"/>
    <x v="12"/>
    <n v="168.8"/>
    <n v="206.9"/>
    <n v="189.1"/>
    <n v="173.4"/>
    <n v="193.9"/>
    <n v="156.69999999999999"/>
    <n v="150.19999999999999"/>
    <n v="170.5"/>
    <n v="121.2"/>
    <n v="207.5"/>
    <n v="176.8"/>
    <n v="187.7"/>
    <n v="174.4"/>
    <n v="195.9"/>
    <n v="188.1"/>
    <n v="185.9"/>
    <n v="187.8"/>
    <n v="0"/>
    <n v="182.8"/>
    <n v="176.4"/>
    <n v="183.5"/>
    <n v="167.8"/>
    <n v="171.2"/>
    <n v="177.3"/>
    <n v="175.7"/>
    <n v="175.5"/>
    <x v="272"/>
    <x v="344"/>
    <x v="336"/>
    <x v="339"/>
    <x v="344"/>
    <n v="4445"/>
  </r>
  <r>
    <x v="1"/>
    <x v="9"/>
    <x v="12"/>
    <n v="170.2"/>
    <n v="212.9"/>
    <n v="191.9"/>
    <n v="173.9"/>
    <n v="179.1"/>
    <n v="159.5"/>
    <n v="178.7"/>
    <n v="171.3"/>
    <n v="123.1"/>
    <n v="200.5"/>
    <n v="162.80000000000001"/>
    <n v="193.3"/>
    <n v="178.6"/>
    <n v="201.1"/>
    <n v="177.7"/>
    <n v="164.5"/>
    <n v="175.7"/>
    <n v="170.7"/>
    <n v="180.6"/>
    <n v="167.3"/>
    <n v="177.2"/>
    <n v="159.4"/>
    <n v="167.1"/>
    <n v="171.8"/>
    <n v="176"/>
    <n v="168.2"/>
    <x v="267"/>
    <x v="345"/>
    <x v="337"/>
    <x v="340"/>
    <x v="345"/>
    <n v="4553.0999999999995"/>
  </r>
  <r>
    <x v="2"/>
    <x v="9"/>
    <x v="12"/>
    <n v="169.2"/>
    <n v="209"/>
    <n v="190.2"/>
    <n v="173.6"/>
    <n v="188.5"/>
    <n v="158"/>
    <n v="159.9"/>
    <n v="170.8"/>
    <n v="121.8"/>
    <n v="205.2"/>
    <n v="171"/>
    <n v="190.3"/>
    <n v="175.9"/>
    <n v="197.3"/>
    <n v="184"/>
    <n v="177"/>
    <n v="183"/>
    <n v="170.7"/>
    <n v="182"/>
    <n v="172.1"/>
    <n v="181.1"/>
    <n v="163.4"/>
    <n v="168.9"/>
    <n v="174.1"/>
    <n v="175.8"/>
    <n v="172"/>
    <x v="273"/>
    <x v="346"/>
    <x v="338"/>
    <x v="341"/>
    <x v="346"/>
    <n v="4584.8"/>
  </r>
  <r>
    <x v="0"/>
    <x v="10"/>
    <x v="0"/>
    <n v="174"/>
    <n v="208.3"/>
    <n v="192.9"/>
    <n v="174.3"/>
    <n v="192.6"/>
    <n v="156.30000000000001"/>
    <n v="142.9"/>
    <n v="170.7"/>
    <n v="120.3"/>
    <n v="210.5"/>
    <n v="176.9"/>
    <n v="188.5"/>
    <n v="175"/>
    <n v="196.9"/>
    <n v="189"/>
    <n v="186.3"/>
    <n v="188.6"/>
    <n v="0"/>
    <n v="183.2"/>
    <n v="177.2"/>
    <n v="184.7"/>
    <n v="168.2"/>
    <n v="171.8"/>
    <n v="177.8"/>
    <n v="178.4"/>
    <n v="176.5"/>
    <x v="270"/>
    <x v="347"/>
    <x v="339"/>
    <x v="342"/>
    <x v="347"/>
    <n v="4461.8"/>
  </r>
  <r>
    <x v="1"/>
    <x v="10"/>
    <x v="0"/>
    <n v="173.3"/>
    <n v="215.2"/>
    <n v="197"/>
    <n v="175.2"/>
    <n v="178"/>
    <n v="160.5"/>
    <n v="175.3"/>
    <n v="171.2"/>
    <n v="122.7"/>
    <n v="204.3"/>
    <n v="163.69999999999999"/>
    <n v="194.3"/>
    <n v="179.5"/>
    <n v="201.6"/>
    <n v="178.7"/>
    <n v="165.3"/>
    <n v="176.6"/>
    <n v="172.1"/>
    <n v="180.1"/>
    <n v="168"/>
    <n v="178.5"/>
    <n v="159.5"/>
    <n v="167.8"/>
    <n v="171.8"/>
    <n v="178.8"/>
    <n v="168.9"/>
    <x v="274"/>
    <x v="348"/>
    <x v="340"/>
    <x v="343"/>
    <x v="348"/>
    <n v="4577.9000000000005"/>
  </r>
  <r>
    <x v="2"/>
    <x v="10"/>
    <x v="0"/>
    <n v="173.8"/>
    <n v="210.7"/>
    <n v="194.5"/>
    <n v="174.6"/>
    <n v="187.2"/>
    <n v="158.30000000000001"/>
    <n v="153.9"/>
    <n v="170.9"/>
    <n v="121.1"/>
    <n v="208.4"/>
    <n v="171.4"/>
    <n v="191.2"/>
    <n v="176.7"/>
    <n v="198.2"/>
    <n v="184.9"/>
    <n v="177.6"/>
    <n v="183.8"/>
    <n v="172.1"/>
    <n v="182"/>
    <n v="172.9"/>
    <n v="182.3"/>
    <n v="163.6"/>
    <n v="169.5"/>
    <n v="174.3"/>
    <n v="178.6"/>
    <n v="172.8"/>
    <x v="271"/>
    <x v="349"/>
    <x v="341"/>
    <x v="344"/>
    <x v="349"/>
    <n v="4605.2999999999993"/>
  </r>
  <r>
    <x v="0"/>
    <x v="10"/>
    <x v="1"/>
    <n v="174.2"/>
    <n v="205.2"/>
    <n v="173.9"/>
    <n v="177"/>
    <n v="183.4"/>
    <n v="167.2"/>
    <n v="140.9"/>
    <n v="170.4"/>
    <n v="119.1"/>
    <n v="212.1"/>
    <n v="177.6"/>
    <n v="189.9"/>
    <n v="174.8"/>
    <n v="198.3"/>
    <n v="190"/>
    <n v="187"/>
    <n v="189.6"/>
    <n v="0"/>
    <n v="181.6"/>
    <n v="178.6"/>
    <n v="186.6"/>
    <n v="169"/>
    <n v="172.8"/>
    <n v="178.5"/>
    <n v="180.7"/>
    <n v="177.9"/>
    <x v="275"/>
    <x v="350"/>
    <x v="342"/>
    <x v="345"/>
    <x v="350"/>
    <n v="4456.3"/>
  </r>
  <r>
    <x v="1"/>
    <x v="10"/>
    <x v="1"/>
    <n v="174.7"/>
    <n v="212.2"/>
    <n v="177.2"/>
    <n v="177.9"/>
    <n v="172.2"/>
    <n v="172.1"/>
    <n v="175.8"/>
    <n v="172.2"/>
    <n v="121.9"/>
    <n v="204.8"/>
    <n v="164.9"/>
    <n v="196.6"/>
    <n v="180.7"/>
    <n v="202.7"/>
    <n v="180.3"/>
    <n v="167"/>
    <n v="178.2"/>
    <n v="173.5"/>
    <n v="182.8"/>
    <n v="169.2"/>
    <n v="180.8"/>
    <n v="159.80000000000001"/>
    <n v="168.4"/>
    <n v="172.5"/>
    <n v="181.4"/>
    <n v="170"/>
    <x v="276"/>
    <x v="351"/>
    <x v="343"/>
    <x v="346"/>
    <x v="351"/>
    <n v="4589.7999999999993"/>
  </r>
  <r>
    <x v="2"/>
    <x v="10"/>
    <x v="1"/>
    <n v="174.4"/>
    <n v="207.7"/>
    <n v="175.2"/>
    <n v="177.3"/>
    <n v="179.3"/>
    <n v="169.5"/>
    <n v="152.69999999999999"/>
    <n v="171"/>
    <n v="120"/>
    <n v="209.7"/>
    <n v="172.3"/>
    <n v="193"/>
    <n v="177"/>
    <n v="199.5"/>
    <n v="186.2"/>
    <n v="178.7"/>
    <n v="185.1"/>
    <n v="173.5"/>
    <n v="182.1"/>
    <n v="174.2"/>
    <n v="184.4"/>
    <n v="164.2"/>
    <n v="170.3"/>
    <n v="175"/>
    <n v="181"/>
    <n v="174.1"/>
    <x v="277"/>
    <x v="352"/>
    <x v="344"/>
    <x v="347"/>
    <x v="352"/>
    <n v="4607.3999999999996"/>
  </r>
  <r>
    <x v="0"/>
    <x v="10"/>
    <x v="2"/>
    <n v="174.3"/>
    <n v="205.2"/>
    <n v="173.9"/>
    <n v="177"/>
    <n v="183.3"/>
    <n v="167.2"/>
    <n v="140.9"/>
    <n v="170.5"/>
    <n v="119.1"/>
    <n v="212.1"/>
    <n v="177.6"/>
    <n v="189.9"/>
    <n v="174.8"/>
    <n v="198.4"/>
    <n v="190"/>
    <n v="187"/>
    <n v="189.6"/>
    <n v="0"/>
    <n v="181.4"/>
    <n v="178.6"/>
    <n v="186.6"/>
    <n v="169"/>
    <n v="172.8"/>
    <n v="178.5"/>
    <n v="180.7"/>
    <n v="177.9"/>
    <x v="275"/>
    <x v="334"/>
    <x v="342"/>
    <x v="348"/>
    <x v="350"/>
    <n v="4456.3"/>
  </r>
  <r>
    <x v="1"/>
    <x v="10"/>
    <x v="2"/>
    <n v="174.7"/>
    <n v="212.2"/>
    <n v="177.2"/>
    <n v="177.9"/>
    <n v="172.2"/>
    <n v="172.1"/>
    <n v="175.9"/>
    <n v="172.2"/>
    <n v="121.9"/>
    <n v="204.8"/>
    <n v="164.9"/>
    <n v="196.6"/>
    <n v="180.8"/>
    <n v="202.7"/>
    <n v="180.2"/>
    <n v="167"/>
    <n v="178.2"/>
    <n v="173.5"/>
    <n v="182.6"/>
    <n v="169.2"/>
    <n v="180.8"/>
    <n v="159.80000000000001"/>
    <n v="168.4"/>
    <n v="172.5"/>
    <n v="181.5"/>
    <n v="170"/>
    <x v="276"/>
    <x v="336"/>
    <x v="343"/>
    <x v="349"/>
    <x v="351"/>
    <n v="4589.8"/>
  </r>
  <r>
    <x v="2"/>
    <x v="10"/>
    <x v="2"/>
    <n v="174.4"/>
    <n v="207.7"/>
    <n v="175.2"/>
    <n v="177.3"/>
    <n v="179.2"/>
    <n v="169.5"/>
    <n v="152.80000000000001"/>
    <n v="171.1"/>
    <n v="120"/>
    <n v="209.7"/>
    <n v="172.3"/>
    <n v="193"/>
    <n v="177"/>
    <n v="199.5"/>
    <n v="186.1"/>
    <n v="178.7"/>
    <n v="185.1"/>
    <n v="173.5"/>
    <n v="181.9"/>
    <n v="174.2"/>
    <n v="184.4"/>
    <n v="164.2"/>
    <n v="170.3"/>
    <n v="175"/>
    <n v="181"/>
    <n v="174.1"/>
    <x v="277"/>
    <x v="353"/>
    <x v="345"/>
    <x v="350"/>
    <x v="352"/>
    <n v="4607.2"/>
  </r>
  <r>
    <x v="0"/>
    <x v="10"/>
    <x v="3"/>
    <n v="173.3"/>
    <n v="206.9"/>
    <n v="167.9"/>
    <n v="178.2"/>
    <n v="178.5"/>
    <n v="173.7"/>
    <n v="142.80000000000001"/>
    <n v="172.8"/>
    <n v="120.4"/>
    <n v="215.5"/>
    <n v="178.2"/>
    <n v="190.5"/>
    <n v="175.5"/>
    <n v="199.5"/>
    <n v="190.7"/>
    <n v="187.3"/>
    <n v="190.2"/>
    <n v="0"/>
    <n v="181.5"/>
    <n v="179.1"/>
    <n v="187.2"/>
    <n v="169.4"/>
    <n v="173.2"/>
    <n v="179.4"/>
    <n v="183.8"/>
    <n v="178.9"/>
    <x v="278"/>
    <x v="354"/>
    <x v="346"/>
    <x v="351"/>
    <x v="353"/>
    <n v="4474.3999999999996"/>
  </r>
  <r>
    <x v="1"/>
    <x v="10"/>
    <x v="3"/>
    <n v="174.8"/>
    <n v="213.7"/>
    <n v="172.4"/>
    <n v="178.8"/>
    <n v="168.7"/>
    <n v="179.2"/>
    <n v="179.9"/>
    <n v="174.7"/>
    <n v="123.1"/>
    <n v="207.8"/>
    <n v="165.5"/>
    <n v="197"/>
    <n v="182.1"/>
    <n v="203.5"/>
    <n v="181"/>
    <n v="167.7"/>
    <n v="178.9"/>
    <n v="175.2"/>
    <n v="182.1"/>
    <n v="169.6"/>
    <n v="181.5"/>
    <n v="160.1"/>
    <n v="168.8"/>
    <n v="174.2"/>
    <n v="184.4"/>
    <n v="170.9"/>
    <x v="279"/>
    <x v="355"/>
    <x v="347"/>
    <x v="352"/>
    <x v="354"/>
    <n v="4615.6000000000004"/>
  </r>
  <r>
    <x v="2"/>
    <x v="10"/>
    <x v="3"/>
    <n v="173.8"/>
    <n v="209.3"/>
    <n v="169.6"/>
    <n v="178.4"/>
    <n v="174.9"/>
    <n v="176.3"/>
    <n v="155.4"/>
    <n v="173.4"/>
    <n v="121.3"/>
    <n v="212.9"/>
    <n v="172.9"/>
    <n v="193.5"/>
    <n v="177.9"/>
    <n v="200.6"/>
    <n v="186.9"/>
    <n v="179.2"/>
    <n v="185.7"/>
    <n v="175.2"/>
    <n v="181.7"/>
    <n v="174.6"/>
    <n v="185"/>
    <n v="164.5"/>
    <n v="170.7"/>
    <n v="176.4"/>
    <n v="184"/>
    <n v="175"/>
    <x v="280"/>
    <x v="356"/>
    <x v="348"/>
    <x v="353"/>
    <x v="355"/>
    <n v="4629.1000000000004"/>
  </r>
  <r>
    <x v="0"/>
    <x v="10"/>
    <x v="4"/>
    <n v="173.2"/>
    <n v="211.5"/>
    <n v="171"/>
    <n v="179.6"/>
    <n v="173.3"/>
    <n v="169"/>
    <n v="148.69999999999999"/>
    <n v="174.9"/>
    <n v="121.9"/>
    <n v="221"/>
    <n v="178.7"/>
    <n v="191.1"/>
    <n v="176.8"/>
    <n v="199.9"/>
    <n v="191.2"/>
    <n v="187.9"/>
    <n v="190.8"/>
    <n v="0"/>
    <n v="182.5"/>
    <n v="179.8"/>
    <n v="187.8"/>
    <n v="169.7"/>
    <n v="173.8"/>
    <n v="180.3"/>
    <n v="184.9"/>
    <n v="179.5"/>
    <x v="281"/>
    <x v="357"/>
    <x v="349"/>
    <x v="354"/>
    <x v="356"/>
    <n v="4498.8000000000011"/>
  </r>
  <r>
    <x v="1"/>
    <x v="10"/>
    <x v="4"/>
    <n v="174.7"/>
    <n v="219.4"/>
    <n v="176.7"/>
    <n v="179.4"/>
    <n v="164.4"/>
    <n v="175.8"/>
    <n v="185"/>
    <n v="176.9"/>
    <n v="124.2"/>
    <n v="211.9"/>
    <n v="165.9"/>
    <n v="197.7"/>
    <n v="183.1"/>
    <n v="204.2"/>
    <n v="181.3"/>
    <n v="168.1"/>
    <n v="179.3"/>
    <n v="175.6"/>
    <n v="183.4"/>
    <n v="170.1"/>
    <n v="182.2"/>
    <n v="160.4"/>
    <n v="169.2"/>
    <n v="174.8"/>
    <n v="185.6"/>
    <n v="171.6"/>
    <x v="282"/>
    <x v="358"/>
    <x v="350"/>
    <x v="355"/>
    <x v="357"/>
    <n v="4640.8999999999996"/>
  </r>
  <r>
    <x v="2"/>
    <x v="10"/>
    <x v="4"/>
    <n v="173.7"/>
    <n v="214.3"/>
    <n v="173.2"/>
    <n v="179.5"/>
    <n v="170"/>
    <n v="172.2"/>
    <n v="161"/>
    <n v="175.6"/>
    <n v="122.7"/>
    <n v="218"/>
    <n v="173.4"/>
    <n v="194.2"/>
    <n v="179.1"/>
    <n v="201"/>
    <n v="187.3"/>
    <n v="179.7"/>
    <n v="186.2"/>
    <n v="175.6"/>
    <n v="182.8"/>
    <n v="175.2"/>
    <n v="185.7"/>
    <n v="164.8"/>
    <n v="171.2"/>
    <n v="177.1"/>
    <n v="185.2"/>
    <n v="175.7"/>
    <x v="283"/>
    <x v="359"/>
    <x v="351"/>
    <x v="356"/>
    <x v="358"/>
    <n v="4654.3999999999996"/>
  </r>
  <r>
    <x v="3"/>
    <x v="11"/>
    <x v="14"/>
    <m/>
    <m/>
    <m/>
    <m/>
    <m/>
    <m/>
    <m/>
    <m/>
    <m/>
    <m/>
    <m/>
    <m/>
    <m/>
    <m/>
    <m/>
    <m/>
    <m/>
    <m/>
    <m/>
    <m/>
    <m/>
    <m/>
    <m/>
    <m/>
    <m/>
    <m/>
    <x v="284"/>
    <x v="360"/>
    <x v="352"/>
    <x v="357"/>
    <x v="359"/>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5F9D11-7BDC-4FD6-8D61-AA879DE21AE9}"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56:B199" firstHeaderRow="1" firstDataRow="1" firstDataCol="1" rowPageCount="1" colPageCount="1"/>
  <pivotFields count="35">
    <pivotField axis="axisPage" showAll="0">
      <items count="5">
        <item x="0"/>
        <item x="2"/>
        <item x="1"/>
        <item x="3"/>
        <item t="default"/>
      </items>
    </pivotField>
    <pivotField axis="axisRow" showAll="0">
      <items count="13">
        <item sd="0" x="0"/>
        <item sd="0" x="1"/>
        <item sd="0" x="2"/>
        <item sd="0" x="3"/>
        <item sd="0" x="4"/>
        <item sd="0" x="5"/>
        <item sd="0" x="6"/>
        <item sd="0" x="7"/>
        <item x="8"/>
        <item x="9"/>
        <item x="10"/>
        <item x="11"/>
        <item t="default"/>
      </items>
    </pivotField>
    <pivotField axis="axisRow" showAll="0">
      <items count="16">
        <item x="0"/>
        <item x="1"/>
        <item x="2"/>
        <item x="3"/>
        <item x="4"/>
        <item x="5"/>
        <item x="6"/>
        <item x="7"/>
        <item x="8"/>
        <item x="9"/>
        <item x="11"/>
        <item x="12"/>
        <item x="13"/>
        <item x="1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x="284"/>
        <item t="default"/>
      </items>
    </pivotField>
    <pivotField showAll="0">
      <items count="362">
        <item x="0"/>
        <item x="2"/>
        <item x="1"/>
        <item x="3"/>
        <item x="6"/>
        <item x="5"/>
        <item x="8"/>
        <item x="9"/>
        <item x="7"/>
        <item x="4"/>
        <item x="11"/>
        <item x="12"/>
        <item x="10"/>
        <item x="14"/>
        <item x="13"/>
        <item x="15"/>
        <item x="17"/>
        <item x="18"/>
        <item x="20"/>
        <item x="21"/>
        <item x="16"/>
        <item x="23"/>
        <item x="40"/>
        <item x="41"/>
        <item x="39"/>
        <item x="43"/>
        <item x="37"/>
        <item x="24"/>
        <item x="38"/>
        <item x="36"/>
        <item x="19"/>
        <item x="44"/>
        <item x="26"/>
        <item x="42"/>
        <item x="25"/>
        <item x="22"/>
        <item x="34"/>
        <item x="45"/>
        <item x="47"/>
        <item x="27"/>
        <item x="35"/>
        <item x="46"/>
        <item x="33"/>
        <item x="29"/>
        <item x="48"/>
        <item x="28"/>
        <item x="50"/>
        <item x="51"/>
        <item x="49"/>
        <item x="30"/>
        <item x="53"/>
        <item x="32"/>
        <item x="31"/>
        <item x="52"/>
        <item x="54"/>
        <item x="72"/>
        <item x="69"/>
        <item x="74"/>
        <item x="77"/>
        <item x="71"/>
        <item x="75"/>
        <item x="80"/>
        <item x="56"/>
        <item x="78"/>
        <item x="79"/>
        <item x="76"/>
        <item x="57"/>
        <item x="63"/>
        <item x="73"/>
        <item x="83"/>
        <item x="60"/>
        <item x="66"/>
        <item x="81"/>
        <item x="70"/>
        <item x="65"/>
        <item x="68"/>
        <item x="82"/>
        <item x="62"/>
        <item x="64"/>
        <item x="67"/>
        <item x="59"/>
        <item x="84"/>
        <item x="61"/>
        <item x="86"/>
        <item x="55"/>
        <item x="85"/>
        <item x="58"/>
        <item x="87"/>
        <item x="89"/>
        <item x="90"/>
        <item x="92"/>
        <item x="88"/>
        <item x="91"/>
        <item x="93"/>
        <item x="95"/>
        <item x="96"/>
        <item x="98"/>
        <item x="94"/>
        <item x="97"/>
        <item x="99"/>
        <item x="115"/>
        <item x="101"/>
        <item x="116"/>
        <item x="113"/>
        <item x="105"/>
        <item x="112"/>
        <item x="111"/>
        <item x="114"/>
        <item x="102"/>
        <item x="107"/>
        <item x="108"/>
        <item x="104"/>
        <item x="110"/>
        <item x="100"/>
        <item x="106"/>
        <item x="117"/>
        <item x="119"/>
        <item x="109"/>
        <item x="103"/>
        <item x="118"/>
        <item x="148"/>
        <item x="151"/>
        <item x="154"/>
        <item x="157"/>
        <item x="145"/>
        <item x="120"/>
        <item x="155"/>
        <item x="152"/>
        <item x="158"/>
        <item x="149"/>
        <item x="122"/>
        <item x="153"/>
        <item x="146"/>
        <item x="150"/>
        <item x="156"/>
        <item x="142"/>
        <item x="187"/>
        <item x="147"/>
        <item x="190"/>
        <item x="160"/>
        <item x="144"/>
        <item x="161"/>
        <item x="193"/>
        <item x="143"/>
        <item x="159"/>
        <item x="123"/>
        <item x="184"/>
        <item x="121"/>
        <item x="141"/>
        <item x="125"/>
        <item x="139"/>
        <item x="133"/>
        <item x="140"/>
        <item x="169"/>
        <item x="134"/>
        <item x="138"/>
        <item x="181"/>
        <item x="136"/>
        <item x="126"/>
        <item x="196"/>
        <item x="137"/>
        <item x="217"/>
        <item x="132"/>
        <item x="214"/>
        <item x="205"/>
        <item x="188"/>
        <item x="135"/>
        <item x="191"/>
        <item x="185"/>
        <item x="129"/>
        <item x="218"/>
        <item x="164"/>
        <item x="194"/>
        <item x="208"/>
        <item x="131"/>
        <item x="163"/>
        <item x="220"/>
        <item x="172"/>
        <item x="162"/>
        <item x="221"/>
        <item x="170"/>
        <item x="211"/>
        <item x="216"/>
        <item x="219"/>
        <item x="128"/>
        <item x="222"/>
        <item x="178"/>
        <item x="166"/>
        <item x="215"/>
        <item x="224"/>
        <item x="130"/>
        <item x="202"/>
        <item x="124"/>
        <item x="173"/>
        <item x="197"/>
        <item x="199"/>
        <item x="167"/>
        <item x="223"/>
        <item x="168"/>
        <item x="182"/>
        <item x="183"/>
        <item x="213"/>
        <item x="189"/>
        <item x="186"/>
        <item x="212"/>
        <item x="206"/>
        <item x="209"/>
        <item x="192"/>
        <item x="171"/>
        <item x="165"/>
        <item x="207"/>
        <item x="225"/>
        <item x="195"/>
        <item x="179"/>
        <item x="210"/>
        <item x="200"/>
        <item x="175"/>
        <item x="180"/>
        <item x="127"/>
        <item x="227"/>
        <item x="203"/>
        <item x="204"/>
        <item x="176"/>
        <item x="198"/>
        <item x="177"/>
        <item x="228"/>
        <item x="174"/>
        <item x="201"/>
        <item x="226"/>
        <item x="230"/>
        <item x="231"/>
        <item x="234"/>
        <item x="229"/>
        <item x="233"/>
        <item x="236"/>
        <item x="237"/>
        <item x="239"/>
        <item x="232"/>
        <item x="235"/>
        <item x="240"/>
        <item x="238"/>
        <item x="242"/>
        <item x="255"/>
        <item x="256"/>
        <item x="243"/>
        <item x="241"/>
        <item x="245"/>
        <item x="252"/>
        <item x="254"/>
        <item x="253"/>
        <item x="244"/>
        <item x="249"/>
        <item x="246"/>
        <item x="251"/>
        <item x="257"/>
        <item x="248"/>
        <item x="250"/>
        <item x="259"/>
        <item x="247"/>
        <item x="260"/>
        <item x="258"/>
        <item x="262"/>
        <item x="263"/>
        <item x="266"/>
        <item x="265"/>
        <item x="261"/>
        <item x="268"/>
        <item x="281"/>
        <item x="264"/>
        <item x="269"/>
        <item x="285"/>
        <item x="283"/>
        <item x="267"/>
        <item x="271"/>
        <item x="286"/>
        <item x="278"/>
        <item x="288"/>
        <item x="284"/>
        <item x="282"/>
        <item x="280"/>
        <item x="272"/>
        <item x="270"/>
        <item x="274"/>
        <item x="287"/>
        <item x="275"/>
        <item x="289"/>
        <item x="279"/>
        <item x="277"/>
        <item x="291"/>
        <item x="273"/>
        <item x="292"/>
        <item x="276"/>
        <item x="298"/>
        <item x="295"/>
        <item x="290"/>
        <item x="301"/>
        <item x="294"/>
        <item x="300"/>
        <item x="297"/>
        <item x="314"/>
        <item x="311"/>
        <item x="293"/>
        <item x="316"/>
        <item x="299"/>
        <item x="302"/>
        <item x="313"/>
        <item x="308"/>
        <item x="296"/>
        <item x="304"/>
        <item x="317"/>
        <item x="310"/>
        <item x="305"/>
        <item x="319"/>
        <item x="315"/>
        <item x="312"/>
        <item x="307"/>
        <item x="318"/>
        <item x="303"/>
        <item x="320"/>
        <item x="309"/>
        <item x="322"/>
        <item x="306"/>
        <item x="323"/>
        <item x="321"/>
        <item x="325"/>
        <item x="326"/>
        <item x="329"/>
        <item x="332"/>
        <item x="328"/>
        <item x="324"/>
        <item x="331"/>
        <item x="335"/>
        <item x="350"/>
        <item x="334"/>
        <item x="344"/>
        <item x="354"/>
        <item x="337"/>
        <item x="352"/>
        <item x="353"/>
        <item x="338"/>
        <item x="347"/>
        <item x="346"/>
        <item x="341"/>
        <item x="327"/>
        <item x="330"/>
        <item x="356"/>
        <item x="357"/>
        <item x="349"/>
        <item x="333"/>
        <item x="340"/>
        <item x="343"/>
        <item x="345"/>
        <item x="351"/>
        <item x="336"/>
        <item x="359"/>
        <item x="348"/>
        <item x="342"/>
        <item x="355"/>
        <item x="339"/>
        <item x="358"/>
        <item x="360"/>
        <item t="default"/>
      </items>
    </pivotField>
    <pivotField showAll="0">
      <items count="354">
        <item x="1"/>
        <item x="2"/>
        <item x="4"/>
        <item x="0"/>
        <item x="5"/>
        <item x="7"/>
        <item x="3"/>
        <item x="9"/>
        <item x="8"/>
        <item x="10"/>
        <item x="12"/>
        <item x="6"/>
        <item x="13"/>
        <item x="11"/>
        <item x="15"/>
        <item x="16"/>
        <item x="18"/>
        <item x="14"/>
        <item x="19"/>
        <item x="17"/>
        <item x="21"/>
        <item x="22"/>
        <item x="20"/>
        <item x="24"/>
        <item x="25"/>
        <item x="27"/>
        <item x="23"/>
        <item x="28"/>
        <item x="30"/>
        <item x="33"/>
        <item x="26"/>
        <item x="31"/>
        <item x="36"/>
        <item x="29"/>
        <item x="39"/>
        <item x="34"/>
        <item x="42"/>
        <item x="37"/>
        <item x="32"/>
        <item x="45"/>
        <item x="40"/>
        <item x="48"/>
        <item x="35"/>
        <item x="43"/>
        <item x="51"/>
        <item x="38"/>
        <item x="46"/>
        <item x="41"/>
        <item x="54"/>
        <item x="49"/>
        <item x="44"/>
        <item x="52"/>
        <item x="57"/>
        <item x="60"/>
        <item x="47"/>
        <item x="63"/>
        <item x="55"/>
        <item x="50"/>
        <item x="66"/>
        <item x="58"/>
        <item x="69"/>
        <item x="61"/>
        <item x="53"/>
        <item x="72"/>
        <item x="56"/>
        <item x="75"/>
        <item x="64"/>
        <item x="78"/>
        <item x="67"/>
        <item x="59"/>
        <item x="81"/>
        <item x="70"/>
        <item x="84"/>
        <item x="62"/>
        <item x="65"/>
        <item x="73"/>
        <item x="87"/>
        <item x="90"/>
        <item x="93"/>
        <item x="68"/>
        <item x="76"/>
        <item x="96"/>
        <item x="79"/>
        <item x="71"/>
        <item x="99"/>
        <item x="82"/>
        <item x="102"/>
        <item x="105"/>
        <item x="85"/>
        <item x="74"/>
        <item x="108"/>
        <item x="77"/>
        <item x="88"/>
        <item x="80"/>
        <item x="91"/>
        <item x="111"/>
        <item x="94"/>
        <item x="114"/>
        <item x="83"/>
        <item x="117"/>
        <item x="97"/>
        <item x="120"/>
        <item x="100"/>
        <item x="123"/>
        <item x="86"/>
        <item x="89"/>
        <item x="126"/>
        <item x="103"/>
        <item x="106"/>
        <item x="92"/>
        <item x="129"/>
        <item x="132"/>
        <item x="109"/>
        <item x="135"/>
        <item x="95"/>
        <item x="141"/>
        <item x="138"/>
        <item x="144"/>
        <item x="98"/>
        <item x="112"/>
        <item x="147"/>
        <item x="150"/>
        <item x="115"/>
        <item x="101"/>
        <item x="153"/>
        <item x="156"/>
        <item x="104"/>
        <item x="118"/>
        <item x="159"/>
        <item x="162"/>
        <item x="121"/>
        <item x="107"/>
        <item x="124"/>
        <item x="165"/>
        <item x="110"/>
        <item x="127"/>
        <item x="113"/>
        <item x="170"/>
        <item x="130"/>
        <item x="116"/>
        <item x="173"/>
        <item x="133"/>
        <item x="176"/>
        <item x="119"/>
        <item x="136"/>
        <item x="179"/>
        <item x="142"/>
        <item x="139"/>
        <item x="182"/>
        <item x="122"/>
        <item x="145"/>
        <item x="185"/>
        <item x="148"/>
        <item x="125"/>
        <item x="151"/>
        <item x="188"/>
        <item x="154"/>
        <item x="157"/>
        <item x="128"/>
        <item x="160"/>
        <item x="191"/>
        <item x="131"/>
        <item x="194"/>
        <item x="163"/>
        <item x="197"/>
        <item x="200"/>
        <item x="134"/>
        <item x="137"/>
        <item x="166"/>
        <item x="140"/>
        <item x="203"/>
        <item x="143"/>
        <item x="146"/>
        <item x="168"/>
        <item x="206"/>
        <item x="149"/>
        <item x="171"/>
        <item x="209"/>
        <item x="152"/>
        <item x="211"/>
        <item x="155"/>
        <item x="214"/>
        <item x="174"/>
        <item x="177"/>
        <item x="158"/>
        <item x="216"/>
        <item x="180"/>
        <item x="219"/>
        <item x="183"/>
        <item x="161"/>
        <item x="222"/>
        <item x="186"/>
        <item x="225"/>
        <item x="164"/>
        <item x="189"/>
        <item x="167"/>
        <item x="192"/>
        <item x="195"/>
        <item x="198"/>
        <item x="169"/>
        <item x="234"/>
        <item x="201"/>
        <item x="237"/>
        <item x="204"/>
        <item x="240"/>
        <item x="175"/>
        <item x="172"/>
        <item x="210"/>
        <item x="207"/>
        <item x="212"/>
        <item x="178"/>
        <item x="242"/>
        <item x="181"/>
        <item x="220"/>
        <item x="217"/>
        <item x="223"/>
        <item x="184"/>
        <item x="226"/>
        <item x="247"/>
        <item x="228"/>
        <item x="187"/>
        <item x="190"/>
        <item x="230"/>
        <item x="232"/>
        <item x="193"/>
        <item x="235"/>
        <item x="196"/>
        <item x="213"/>
        <item x="205"/>
        <item x="238"/>
        <item x="199"/>
        <item x="218"/>
        <item x="208"/>
        <item x="215"/>
        <item x="202"/>
        <item x="221"/>
        <item x="224"/>
        <item x="243"/>
        <item x="250"/>
        <item x="227"/>
        <item x="245"/>
        <item x="248"/>
        <item x="253"/>
        <item x="229"/>
        <item x="231"/>
        <item x="233"/>
        <item x="236"/>
        <item x="239"/>
        <item x="259"/>
        <item x="262"/>
        <item x="256"/>
        <item x="241"/>
        <item x="265"/>
        <item x="244"/>
        <item x="268"/>
        <item x="246"/>
        <item x="251"/>
        <item x="271"/>
        <item x="274"/>
        <item x="254"/>
        <item x="277"/>
        <item x="260"/>
        <item x="257"/>
        <item x="280"/>
        <item x="263"/>
        <item x="249"/>
        <item x="283"/>
        <item x="266"/>
        <item x="252"/>
        <item x="269"/>
        <item x="286"/>
        <item x="275"/>
        <item x="272"/>
        <item x="255"/>
        <item x="258"/>
        <item x="261"/>
        <item x="278"/>
        <item x="289"/>
        <item x="292"/>
        <item x="264"/>
        <item x="267"/>
        <item x="295"/>
        <item x="273"/>
        <item x="270"/>
        <item x="298"/>
        <item x="276"/>
        <item x="281"/>
        <item x="301"/>
        <item x="284"/>
        <item x="287"/>
        <item x="304"/>
        <item x="290"/>
        <item x="293"/>
        <item x="307"/>
        <item x="296"/>
        <item x="282"/>
        <item x="279"/>
        <item x="310"/>
        <item x="299"/>
        <item x="285"/>
        <item x="288"/>
        <item x="302"/>
        <item x="313"/>
        <item x="291"/>
        <item x="316"/>
        <item x="305"/>
        <item x="294"/>
        <item x="308"/>
        <item x="319"/>
        <item x="297"/>
        <item x="322"/>
        <item x="300"/>
        <item x="311"/>
        <item x="325"/>
        <item x="303"/>
        <item x="328"/>
        <item x="314"/>
        <item x="306"/>
        <item x="331"/>
        <item x="317"/>
        <item x="334"/>
        <item x="309"/>
        <item x="320"/>
        <item x="337"/>
        <item x="323"/>
        <item x="312"/>
        <item x="340"/>
        <item x="326"/>
        <item x="315"/>
        <item x="329"/>
        <item x="343"/>
        <item x="318"/>
        <item x="332"/>
        <item x="347"/>
        <item x="321"/>
        <item x="350"/>
        <item x="335"/>
        <item x="324"/>
        <item x="338"/>
        <item x="327"/>
        <item x="341"/>
        <item x="330"/>
        <item x="345"/>
        <item x="344"/>
        <item x="333"/>
        <item x="348"/>
        <item x="336"/>
        <item x="351"/>
        <item x="339"/>
        <item x="342"/>
        <item x="346"/>
        <item x="349"/>
        <item x="352"/>
        <item t="default"/>
      </items>
    </pivotField>
    <pivotField showAll="0">
      <items count="359">
        <item x="0"/>
        <item x="3"/>
        <item x="6"/>
        <item x="9"/>
        <item x="12"/>
        <item x="15"/>
        <item x="18"/>
        <item x="21"/>
        <item x="24"/>
        <item x="27"/>
        <item x="30"/>
        <item x="33"/>
        <item x="36"/>
        <item x="39"/>
        <item x="42"/>
        <item x="45"/>
        <item x="48"/>
        <item x="51"/>
        <item x="54"/>
        <item x="57"/>
        <item x="60"/>
        <item x="63"/>
        <item x="69"/>
        <item x="66"/>
        <item x="71"/>
        <item x="74"/>
        <item x="77"/>
        <item x="80"/>
        <item x="83"/>
        <item x="86"/>
        <item x="89"/>
        <item x="92"/>
        <item x="95"/>
        <item x="98"/>
        <item x="101"/>
        <item x="104"/>
        <item x="107"/>
        <item x="113"/>
        <item x="110"/>
        <item x="116"/>
        <item x="119"/>
        <item x="122"/>
        <item x="125"/>
        <item x="128"/>
        <item x="131"/>
        <item x="134"/>
        <item x="137"/>
        <item x="140"/>
        <item x="143"/>
        <item x="146"/>
        <item x="149"/>
        <item x="152"/>
        <item x="155"/>
        <item x="158"/>
        <item x="161"/>
        <item x="164"/>
        <item x="167"/>
        <item x="170"/>
        <item x="173"/>
        <item x="176"/>
        <item x="179"/>
        <item x="182"/>
        <item x="185"/>
        <item x="188"/>
        <item x="191"/>
        <item x="1"/>
        <item x="2"/>
        <item x="194"/>
        <item x="4"/>
        <item x="5"/>
        <item x="8"/>
        <item x="197"/>
        <item x="7"/>
        <item x="11"/>
        <item x="10"/>
        <item x="13"/>
        <item x="14"/>
        <item x="200"/>
        <item x="203"/>
        <item x="216"/>
        <item x="214"/>
        <item x="219"/>
        <item x="222"/>
        <item x="212"/>
        <item x="16"/>
        <item x="225"/>
        <item x="17"/>
        <item x="206"/>
        <item x="209"/>
        <item x="231"/>
        <item x="234"/>
        <item x="237"/>
        <item x="19"/>
        <item x="20"/>
        <item x="22"/>
        <item x="23"/>
        <item x="252"/>
        <item x="240"/>
        <item x="255"/>
        <item x="243"/>
        <item x="25"/>
        <item x="26"/>
        <item x="28"/>
        <item x="246"/>
        <item x="249"/>
        <item x="29"/>
        <item x="258"/>
        <item x="31"/>
        <item x="34"/>
        <item x="261"/>
        <item x="32"/>
        <item x="35"/>
        <item x="264"/>
        <item x="37"/>
        <item x="267"/>
        <item x="38"/>
        <item x="40"/>
        <item x="270"/>
        <item x="43"/>
        <item x="41"/>
        <item x="46"/>
        <item x="44"/>
        <item x="49"/>
        <item x="52"/>
        <item x="47"/>
        <item x="50"/>
        <item x="273"/>
        <item x="53"/>
        <item x="55"/>
        <item x="61"/>
        <item x="58"/>
        <item x="64"/>
        <item x="72"/>
        <item x="67"/>
        <item x="75"/>
        <item x="56"/>
        <item x="59"/>
        <item x="62"/>
        <item x="78"/>
        <item x="276"/>
        <item x="70"/>
        <item x="65"/>
        <item x="68"/>
        <item x="81"/>
        <item x="73"/>
        <item x="279"/>
        <item x="76"/>
        <item x="84"/>
        <item x="87"/>
        <item x="79"/>
        <item x="93"/>
        <item x="90"/>
        <item x="96"/>
        <item x="99"/>
        <item x="82"/>
        <item x="102"/>
        <item x="105"/>
        <item x="114"/>
        <item x="108"/>
        <item x="85"/>
        <item x="111"/>
        <item x="88"/>
        <item x="117"/>
        <item x="284"/>
        <item x="91"/>
        <item x="120"/>
        <item x="94"/>
        <item x="287"/>
        <item x="97"/>
        <item x="129"/>
        <item x="123"/>
        <item x="126"/>
        <item x="100"/>
        <item x="132"/>
        <item x="103"/>
        <item x="106"/>
        <item x="290"/>
        <item x="135"/>
        <item x="109"/>
        <item x="293"/>
        <item x="296"/>
        <item x="115"/>
        <item x="138"/>
        <item x="112"/>
        <item x="141"/>
        <item x="118"/>
        <item x="298"/>
        <item x="301"/>
        <item x="121"/>
        <item x="144"/>
        <item x="124"/>
        <item x="304"/>
        <item x="147"/>
        <item x="127"/>
        <item x="159"/>
        <item x="130"/>
        <item x="307"/>
        <item x="162"/>
        <item x="156"/>
        <item x="150"/>
        <item x="153"/>
        <item x="133"/>
        <item x="310"/>
        <item x="165"/>
        <item x="136"/>
        <item x="313"/>
        <item x="139"/>
        <item x="168"/>
        <item x="142"/>
        <item x="145"/>
        <item x="171"/>
        <item x="148"/>
        <item x="316"/>
        <item x="151"/>
        <item x="160"/>
        <item x="174"/>
        <item x="154"/>
        <item x="157"/>
        <item x="163"/>
        <item x="177"/>
        <item x="319"/>
        <item x="322"/>
        <item x="180"/>
        <item x="166"/>
        <item x="183"/>
        <item x="186"/>
        <item x="325"/>
        <item x="328"/>
        <item x="189"/>
        <item x="169"/>
        <item x="192"/>
        <item x="172"/>
        <item x="195"/>
        <item x="333"/>
        <item x="336"/>
        <item x="198"/>
        <item x="175"/>
        <item x="339"/>
        <item x="342"/>
        <item x="178"/>
        <item x="348"/>
        <item x="345"/>
        <item x="201"/>
        <item x="351"/>
        <item x="181"/>
        <item x="217"/>
        <item x="354"/>
        <item x="184"/>
        <item x="204"/>
        <item x="220"/>
        <item x="187"/>
        <item x="227"/>
        <item x="229"/>
        <item x="223"/>
        <item x="226"/>
        <item x="190"/>
        <item x="207"/>
        <item x="232"/>
        <item x="193"/>
        <item x="210"/>
        <item x="235"/>
        <item x="196"/>
        <item x="199"/>
        <item x="238"/>
        <item x="202"/>
        <item x="241"/>
        <item x="205"/>
        <item x="215"/>
        <item x="218"/>
        <item x="244"/>
        <item x="213"/>
        <item x="221"/>
        <item x="253"/>
        <item x="224"/>
        <item x="247"/>
        <item x="228"/>
        <item x="211"/>
        <item x="208"/>
        <item x="230"/>
        <item x="250"/>
        <item x="256"/>
        <item x="233"/>
        <item x="236"/>
        <item x="239"/>
        <item x="242"/>
        <item x="259"/>
        <item x="262"/>
        <item x="265"/>
        <item x="268"/>
        <item x="245"/>
        <item x="254"/>
        <item x="271"/>
        <item x="257"/>
        <item x="248"/>
        <item x="251"/>
        <item x="274"/>
        <item x="260"/>
        <item x="263"/>
        <item x="266"/>
        <item x="269"/>
        <item x="272"/>
        <item x="277"/>
        <item x="275"/>
        <item x="280"/>
        <item x="282"/>
        <item x="278"/>
        <item x="285"/>
        <item x="281"/>
        <item x="288"/>
        <item x="283"/>
        <item x="291"/>
        <item x="286"/>
        <item x="289"/>
        <item x="294"/>
        <item x="297"/>
        <item x="292"/>
        <item x="302"/>
        <item x="299"/>
        <item x="305"/>
        <item x="308"/>
        <item x="295"/>
        <item x="311"/>
        <item x="300"/>
        <item x="303"/>
        <item x="314"/>
        <item x="306"/>
        <item x="309"/>
        <item x="312"/>
        <item x="315"/>
        <item x="317"/>
        <item x="323"/>
        <item x="320"/>
        <item x="318"/>
        <item x="326"/>
        <item x="329"/>
        <item x="321"/>
        <item x="324"/>
        <item x="331"/>
        <item x="334"/>
        <item x="327"/>
        <item x="337"/>
        <item x="340"/>
        <item x="330"/>
        <item x="343"/>
        <item x="332"/>
        <item x="335"/>
        <item x="349"/>
        <item x="346"/>
        <item x="352"/>
        <item x="338"/>
        <item x="341"/>
        <item x="355"/>
        <item x="344"/>
        <item x="350"/>
        <item x="347"/>
        <item x="353"/>
        <item x="356"/>
        <item x="357"/>
        <item t="default"/>
      </items>
    </pivotField>
    <pivotField showAll="0">
      <items count="361">
        <item x="1"/>
        <item x="2"/>
        <item x="0"/>
        <item x="4"/>
        <item x="5"/>
        <item x="3"/>
        <item x="8"/>
        <item x="7"/>
        <item x="6"/>
        <item x="9"/>
        <item x="11"/>
        <item x="10"/>
        <item x="12"/>
        <item x="14"/>
        <item x="13"/>
        <item x="15"/>
        <item x="17"/>
        <item x="16"/>
        <item x="18"/>
        <item x="20"/>
        <item x="19"/>
        <item x="21"/>
        <item x="23"/>
        <item x="22"/>
        <item x="24"/>
        <item x="26"/>
        <item x="25"/>
        <item x="27"/>
        <item x="29"/>
        <item x="28"/>
        <item x="31"/>
        <item x="32"/>
        <item x="34"/>
        <item x="30"/>
        <item x="35"/>
        <item x="33"/>
        <item x="37"/>
        <item x="38"/>
        <item x="36"/>
        <item x="40"/>
        <item x="41"/>
        <item x="39"/>
        <item x="43"/>
        <item x="44"/>
        <item x="42"/>
        <item x="46"/>
        <item x="47"/>
        <item x="45"/>
        <item x="49"/>
        <item x="50"/>
        <item x="48"/>
        <item x="52"/>
        <item x="51"/>
        <item x="53"/>
        <item x="54"/>
        <item x="56"/>
        <item x="55"/>
        <item x="57"/>
        <item x="60"/>
        <item x="59"/>
        <item x="58"/>
        <item x="62"/>
        <item x="63"/>
        <item x="61"/>
        <item x="64"/>
        <item x="65"/>
        <item x="66"/>
        <item x="67"/>
        <item x="68"/>
        <item x="69"/>
        <item x="70"/>
        <item x="71"/>
        <item x="73"/>
        <item x="76"/>
        <item x="72"/>
        <item x="74"/>
        <item x="79"/>
        <item x="77"/>
        <item x="82"/>
        <item x="75"/>
        <item x="80"/>
        <item x="85"/>
        <item x="78"/>
        <item x="83"/>
        <item x="81"/>
        <item x="88"/>
        <item x="86"/>
        <item x="84"/>
        <item x="91"/>
        <item x="89"/>
        <item x="94"/>
        <item x="97"/>
        <item x="92"/>
        <item x="87"/>
        <item x="100"/>
        <item x="103"/>
        <item x="95"/>
        <item x="90"/>
        <item x="106"/>
        <item x="109"/>
        <item x="98"/>
        <item x="93"/>
        <item x="112"/>
        <item x="115"/>
        <item x="101"/>
        <item x="96"/>
        <item x="104"/>
        <item x="118"/>
        <item x="107"/>
        <item x="99"/>
        <item x="110"/>
        <item x="121"/>
        <item x="113"/>
        <item x="102"/>
        <item x="124"/>
        <item x="116"/>
        <item x="105"/>
        <item x="108"/>
        <item x="127"/>
        <item x="119"/>
        <item x="130"/>
        <item x="133"/>
        <item x="122"/>
        <item x="111"/>
        <item x="136"/>
        <item x="114"/>
        <item x="125"/>
        <item x="139"/>
        <item x="142"/>
        <item x="117"/>
        <item x="145"/>
        <item x="128"/>
        <item x="148"/>
        <item x="151"/>
        <item x="120"/>
        <item x="131"/>
        <item x="154"/>
        <item x="157"/>
        <item x="134"/>
        <item x="160"/>
        <item x="123"/>
        <item x="137"/>
        <item x="126"/>
        <item x="163"/>
        <item x="140"/>
        <item x="143"/>
        <item x="129"/>
        <item x="146"/>
        <item x="166"/>
        <item x="149"/>
        <item x="132"/>
        <item x="169"/>
        <item x="152"/>
        <item x="172"/>
        <item x="155"/>
        <item x="135"/>
        <item x="175"/>
        <item x="158"/>
        <item x="161"/>
        <item x="178"/>
        <item x="138"/>
        <item x="141"/>
        <item x="181"/>
        <item x="144"/>
        <item x="164"/>
        <item x="147"/>
        <item x="184"/>
        <item x="150"/>
        <item x="167"/>
        <item x="187"/>
        <item x="153"/>
        <item x="170"/>
        <item x="156"/>
        <item x="173"/>
        <item x="159"/>
        <item x="190"/>
        <item x="176"/>
        <item x="179"/>
        <item x="193"/>
        <item x="162"/>
        <item x="182"/>
        <item x="196"/>
        <item x="185"/>
        <item x="165"/>
        <item x="188"/>
        <item x="168"/>
        <item x="199"/>
        <item x="171"/>
        <item x="191"/>
        <item x="202"/>
        <item x="194"/>
        <item x="177"/>
        <item x="174"/>
        <item x="205"/>
        <item x="197"/>
        <item x="180"/>
        <item x="183"/>
        <item x="208"/>
        <item x="211"/>
        <item x="213"/>
        <item x="186"/>
        <item x="200"/>
        <item x="216"/>
        <item x="219"/>
        <item x="203"/>
        <item x="189"/>
        <item x="222"/>
        <item x="206"/>
        <item x="192"/>
        <item x="225"/>
        <item x="195"/>
        <item x="228"/>
        <item x="198"/>
        <item x="231"/>
        <item x="201"/>
        <item x="209"/>
        <item x="234"/>
        <item x="204"/>
        <item x="237"/>
        <item x="240"/>
        <item x="243"/>
        <item x="214"/>
        <item x="217"/>
        <item x="246"/>
        <item x="220"/>
        <item x="249"/>
        <item x="223"/>
        <item x="207"/>
        <item x="257"/>
        <item x="254"/>
        <item x="226"/>
        <item x="229"/>
        <item x="210"/>
        <item x="232"/>
        <item x="235"/>
        <item x="238"/>
        <item x="260"/>
        <item x="241"/>
        <item x="244"/>
        <item x="215"/>
        <item x="212"/>
        <item x="263"/>
        <item x="247"/>
        <item x="218"/>
        <item x="221"/>
        <item x="265"/>
        <item x="250"/>
        <item x="258"/>
        <item x="252"/>
        <item x="268"/>
        <item x="255"/>
        <item x="224"/>
        <item x="227"/>
        <item x="271"/>
        <item x="274"/>
        <item x="230"/>
        <item x="277"/>
        <item x="233"/>
        <item x="261"/>
        <item x="236"/>
        <item x="264"/>
        <item x="239"/>
        <item x="280"/>
        <item x="266"/>
        <item x="242"/>
        <item x="269"/>
        <item x="245"/>
        <item x="283"/>
        <item x="286"/>
        <item x="272"/>
        <item x="256"/>
        <item x="248"/>
        <item x="251"/>
        <item x="275"/>
        <item x="253"/>
        <item x="278"/>
        <item x="289"/>
        <item x="292"/>
        <item x="259"/>
        <item x="281"/>
        <item x="262"/>
        <item x="295"/>
        <item x="284"/>
        <item x="267"/>
        <item x="270"/>
        <item x="287"/>
        <item x="298"/>
        <item x="301"/>
        <item x="273"/>
        <item x="303"/>
        <item x="276"/>
        <item x="306"/>
        <item x="290"/>
        <item x="293"/>
        <item x="309"/>
        <item x="279"/>
        <item x="282"/>
        <item x="312"/>
        <item x="296"/>
        <item x="285"/>
        <item x="315"/>
        <item x="299"/>
        <item x="318"/>
        <item x="304"/>
        <item x="307"/>
        <item x="310"/>
        <item x="288"/>
        <item x="321"/>
        <item x="291"/>
        <item x="313"/>
        <item x="294"/>
        <item x="324"/>
        <item x="297"/>
        <item x="316"/>
        <item x="327"/>
        <item x="319"/>
        <item x="300"/>
        <item x="302"/>
        <item x="330"/>
        <item x="305"/>
        <item x="322"/>
        <item x="333"/>
        <item x="308"/>
        <item x="325"/>
        <item x="311"/>
        <item x="336"/>
        <item x="328"/>
        <item x="314"/>
        <item x="339"/>
        <item x="342"/>
        <item x="317"/>
        <item x="331"/>
        <item x="345"/>
        <item x="334"/>
        <item x="320"/>
        <item x="348"/>
        <item x="323"/>
        <item x="337"/>
        <item x="326"/>
        <item x="340"/>
        <item x="351"/>
        <item x="343"/>
        <item x="329"/>
        <item x="354"/>
        <item x="346"/>
        <item x="332"/>
        <item x="357"/>
        <item x="349"/>
        <item x="335"/>
        <item x="338"/>
        <item x="352"/>
        <item x="341"/>
        <item x="355"/>
        <item x="344"/>
        <item x="358"/>
        <item x="347"/>
        <item x="350"/>
        <item x="353"/>
        <item x="356"/>
        <item x="359"/>
        <item t="default"/>
      </items>
    </pivotField>
    <pivotField showAll="0"/>
  </pivotFields>
  <rowFields count="2">
    <field x="1"/>
    <field x="2"/>
  </rowFields>
  <rowItems count="43">
    <i>
      <x/>
    </i>
    <i>
      <x v="1"/>
    </i>
    <i>
      <x v="2"/>
    </i>
    <i>
      <x v="3"/>
    </i>
    <i>
      <x v="4"/>
    </i>
    <i>
      <x v="5"/>
    </i>
    <i>
      <x v="6"/>
    </i>
    <i>
      <x v="7"/>
    </i>
    <i>
      <x v="8"/>
    </i>
    <i r="1">
      <x/>
    </i>
    <i r="1">
      <x v="1"/>
    </i>
    <i r="1">
      <x v="2"/>
    </i>
    <i r="1">
      <x v="3"/>
    </i>
    <i r="1">
      <x v="4"/>
    </i>
    <i r="1">
      <x v="5"/>
    </i>
    <i r="1">
      <x v="6"/>
    </i>
    <i r="1">
      <x v="7"/>
    </i>
    <i r="1">
      <x v="8"/>
    </i>
    <i r="1">
      <x v="9"/>
    </i>
    <i r="1">
      <x v="10"/>
    </i>
    <i r="1">
      <x v="11"/>
    </i>
    <i>
      <x v="9"/>
    </i>
    <i r="1">
      <x/>
    </i>
    <i r="1">
      <x v="1"/>
    </i>
    <i r="1">
      <x v="2"/>
    </i>
    <i r="1">
      <x v="3"/>
    </i>
    <i r="1">
      <x v="4"/>
    </i>
    <i r="1">
      <x v="5"/>
    </i>
    <i r="1">
      <x v="6"/>
    </i>
    <i r="1">
      <x v="7"/>
    </i>
    <i r="1">
      <x v="8"/>
    </i>
    <i r="1">
      <x v="9"/>
    </i>
    <i r="1">
      <x v="10"/>
    </i>
    <i r="1">
      <x v="11"/>
    </i>
    <i>
      <x v="10"/>
    </i>
    <i r="1">
      <x/>
    </i>
    <i r="1">
      <x v="1"/>
    </i>
    <i r="1">
      <x v="2"/>
    </i>
    <i r="1">
      <x v="3"/>
    </i>
    <i r="1">
      <x v="4"/>
    </i>
    <i>
      <x v="11"/>
    </i>
    <i r="1">
      <x v="14"/>
    </i>
    <i t="grand">
      <x/>
    </i>
  </rowItems>
  <colItems count="1">
    <i/>
  </colItems>
  <pageFields count="1">
    <pageField fld="0" hier="-1"/>
  </pageFields>
  <dataFields count="1">
    <dataField name="Sum of Fuel and light" fld="2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6DE9ED2-1234-4697-8220-F181E762CBD6}"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6:E150" firstHeaderRow="0" firstDataRow="1" firstDataCol="1" rowPageCount="1" colPageCount="1"/>
  <pivotFields count="35">
    <pivotField axis="axisPage" showAll="0">
      <items count="5">
        <item x="0"/>
        <item x="2"/>
        <item x="1"/>
        <item x="3"/>
        <item t="default"/>
      </items>
    </pivotField>
    <pivotField axis="axisRow" showAll="0">
      <items count="13">
        <item sd="0" x="0"/>
        <item sd="0" x="1"/>
        <item sd="0" x="2"/>
        <item sd="0" x="3"/>
        <item sd="0" x="4"/>
        <item sd="0" x="5"/>
        <item x="6"/>
        <item x="7"/>
        <item sd="0" x="8"/>
        <item x="9"/>
        <item x="10"/>
        <item x="11"/>
        <item t="default"/>
      </items>
    </pivotField>
    <pivotField axis="axisRow" showAll="0">
      <items count="16">
        <item x="0"/>
        <item x="1"/>
        <item x="2"/>
        <item x="3"/>
        <item x="4"/>
        <item x="5"/>
        <item x="6"/>
        <item x="7"/>
        <item x="8"/>
        <item x="9"/>
        <item x="11"/>
        <item x="12"/>
        <item x="13"/>
        <item x="1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dataField="1" showAll="0"/>
    <pivotField showAll="0"/>
    <pivotField showAll="0"/>
    <pivotField showAll="0"/>
    <pivotField showAll="0"/>
    <pivotField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x="284"/>
        <item t="default"/>
      </items>
    </pivotField>
    <pivotField dataField="1" showAll="0">
      <items count="362">
        <item x="0"/>
        <item x="2"/>
        <item x="1"/>
        <item x="3"/>
        <item x="6"/>
        <item x="5"/>
        <item x="8"/>
        <item x="9"/>
        <item x="7"/>
        <item x="4"/>
        <item x="11"/>
        <item x="12"/>
        <item x="10"/>
        <item x="14"/>
        <item x="13"/>
        <item x="15"/>
        <item x="17"/>
        <item x="18"/>
        <item x="20"/>
        <item x="21"/>
        <item x="16"/>
        <item x="23"/>
        <item x="40"/>
        <item x="41"/>
        <item x="39"/>
        <item x="43"/>
        <item x="37"/>
        <item x="24"/>
        <item x="38"/>
        <item x="36"/>
        <item x="19"/>
        <item x="44"/>
        <item x="26"/>
        <item x="42"/>
        <item x="25"/>
        <item x="22"/>
        <item x="34"/>
        <item x="45"/>
        <item x="47"/>
        <item x="27"/>
        <item x="35"/>
        <item x="46"/>
        <item x="33"/>
        <item x="29"/>
        <item x="48"/>
        <item x="28"/>
        <item x="50"/>
        <item x="51"/>
        <item x="49"/>
        <item x="30"/>
        <item x="53"/>
        <item x="32"/>
        <item x="31"/>
        <item x="52"/>
        <item x="54"/>
        <item x="72"/>
        <item x="69"/>
        <item x="74"/>
        <item x="77"/>
        <item x="71"/>
        <item x="75"/>
        <item x="80"/>
        <item x="56"/>
        <item x="78"/>
        <item x="79"/>
        <item x="76"/>
        <item x="57"/>
        <item x="63"/>
        <item x="73"/>
        <item x="83"/>
        <item x="60"/>
        <item x="66"/>
        <item x="81"/>
        <item x="70"/>
        <item x="65"/>
        <item x="68"/>
        <item x="82"/>
        <item x="62"/>
        <item x="64"/>
        <item x="67"/>
        <item x="59"/>
        <item x="84"/>
        <item x="61"/>
        <item x="86"/>
        <item x="55"/>
        <item x="85"/>
        <item x="58"/>
        <item x="87"/>
        <item x="89"/>
        <item x="90"/>
        <item x="92"/>
        <item x="88"/>
        <item x="91"/>
        <item x="93"/>
        <item x="95"/>
        <item x="96"/>
        <item x="98"/>
        <item x="94"/>
        <item x="97"/>
        <item x="99"/>
        <item x="115"/>
        <item x="101"/>
        <item x="116"/>
        <item x="113"/>
        <item x="105"/>
        <item x="112"/>
        <item x="111"/>
        <item x="114"/>
        <item x="102"/>
        <item x="107"/>
        <item x="108"/>
        <item x="104"/>
        <item x="110"/>
        <item x="100"/>
        <item x="106"/>
        <item x="117"/>
        <item x="119"/>
        <item x="109"/>
        <item x="103"/>
        <item x="118"/>
        <item x="148"/>
        <item x="151"/>
        <item x="154"/>
        <item x="157"/>
        <item x="145"/>
        <item x="120"/>
        <item x="155"/>
        <item x="152"/>
        <item x="158"/>
        <item x="149"/>
        <item x="122"/>
        <item x="153"/>
        <item x="146"/>
        <item x="150"/>
        <item x="156"/>
        <item x="142"/>
        <item x="187"/>
        <item x="147"/>
        <item x="190"/>
        <item x="160"/>
        <item x="144"/>
        <item x="161"/>
        <item x="193"/>
        <item x="143"/>
        <item x="159"/>
        <item x="123"/>
        <item x="184"/>
        <item x="121"/>
        <item x="141"/>
        <item x="125"/>
        <item x="139"/>
        <item x="133"/>
        <item x="140"/>
        <item x="169"/>
        <item x="134"/>
        <item x="138"/>
        <item x="181"/>
        <item x="136"/>
        <item x="126"/>
        <item x="196"/>
        <item x="137"/>
        <item x="217"/>
        <item x="132"/>
        <item x="214"/>
        <item x="205"/>
        <item x="188"/>
        <item x="135"/>
        <item x="191"/>
        <item x="185"/>
        <item x="129"/>
        <item x="218"/>
        <item x="164"/>
        <item x="194"/>
        <item x="208"/>
        <item x="131"/>
        <item x="163"/>
        <item x="220"/>
        <item x="172"/>
        <item x="162"/>
        <item x="221"/>
        <item x="170"/>
        <item x="211"/>
        <item x="216"/>
        <item x="219"/>
        <item x="128"/>
        <item x="222"/>
        <item x="178"/>
        <item x="166"/>
        <item x="215"/>
        <item x="224"/>
        <item x="130"/>
        <item x="202"/>
        <item x="124"/>
        <item x="173"/>
        <item x="197"/>
        <item x="199"/>
        <item x="167"/>
        <item x="223"/>
        <item x="168"/>
        <item x="182"/>
        <item x="183"/>
        <item x="213"/>
        <item x="189"/>
        <item x="186"/>
        <item x="212"/>
        <item x="206"/>
        <item x="209"/>
        <item x="192"/>
        <item x="171"/>
        <item x="165"/>
        <item x="207"/>
        <item x="225"/>
        <item x="195"/>
        <item x="179"/>
        <item x="210"/>
        <item x="200"/>
        <item x="175"/>
        <item x="180"/>
        <item x="127"/>
        <item x="227"/>
        <item x="203"/>
        <item x="204"/>
        <item x="176"/>
        <item x="198"/>
        <item x="177"/>
        <item x="228"/>
        <item x="174"/>
        <item x="201"/>
        <item x="226"/>
        <item x="230"/>
        <item x="231"/>
        <item x="234"/>
        <item x="229"/>
        <item x="233"/>
        <item x="236"/>
        <item x="237"/>
        <item x="239"/>
        <item x="232"/>
        <item x="235"/>
        <item x="240"/>
        <item x="238"/>
        <item x="242"/>
        <item x="255"/>
        <item x="256"/>
        <item x="243"/>
        <item x="241"/>
        <item x="245"/>
        <item x="252"/>
        <item x="254"/>
        <item x="253"/>
        <item x="244"/>
        <item x="249"/>
        <item x="246"/>
        <item x="251"/>
        <item x="257"/>
        <item x="248"/>
        <item x="250"/>
        <item x="259"/>
        <item x="247"/>
        <item x="260"/>
        <item x="258"/>
        <item x="262"/>
        <item x="263"/>
        <item x="266"/>
        <item x="265"/>
        <item x="261"/>
        <item x="268"/>
        <item x="281"/>
        <item x="264"/>
        <item x="269"/>
        <item x="285"/>
        <item x="283"/>
        <item x="267"/>
        <item x="271"/>
        <item x="286"/>
        <item x="278"/>
        <item x="288"/>
        <item x="284"/>
        <item x="282"/>
        <item x="280"/>
        <item x="272"/>
        <item x="270"/>
        <item x="274"/>
        <item x="287"/>
        <item x="275"/>
        <item x="289"/>
        <item x="279"/>
        <item x="277"/>
        <item x="291"/>
        <item x="273"/>
        <item x="292"/>
        <item x="276"/>
        <item x="298"/>
        <item x="295"/>
        <item x="290"/>
        <item x="301"/>
        <item x="294"/>
        <item x="300"/>
        <item x="297"/>
        <item x="314"/>
        <item x="311"/>
        <item x="293"/>
        <item x="316"/>
        <item x="299"/>
        <item x="302"/>
        <item x="313"/>
        <item x="308"/>
        <item x="296"/>
        <item x="304"/>
        <item x="317"/>
        <item x="310"/>
        <item x="305"/>
        <item x="319"/>
        <item x="315"/>
        <item x="312"/>
        <item x="307"/>
        <item x="318"/>
        <item x="303"/>
        <item x="320"/>
        <item x="309"/>
        <item x="322"/>
        <item x="306"/>
        <item x="323"/>
        <item x="321"/>
        <item x="325"/>
        <item x="326"/>
        <item x="329"/>
        <item x="332"/>
        <item x="328"/>
        <item x="324"/>
        <item x="331"/>
        <item x="335"/>
        <item x="350"/>
        <item x="334"/>
        <item x="344"/>
        <item x="354"/>
        <item x="337"/>
        <item x="352"/>
        <item x="353"/>
        <item x="338"/>
        <item x="347"/>
        <item x="346"/>
        <item x="341"/>
        <item x="327"/>
        <item x="330"/>
        <item x="356"/>
        <item x="357"/>
        <item x="349"/>
        <item x="333"/>
        <item x="340"/>
        <item x="343"/>
        <item x="345"/>
        <item x="351"/>
        <item x="336"/>
        <item x="359"/>
        <item x="348"/>
        <item x="342"/>
        <item x="355"/>
        <item x="339"/>
        <item x="358"/>
        <item x="360"/>
        <item t="default"/>
      </items>
    </pivotField>
    <pivotField showAll="0">
      <items count="354">
        <item x="1"/>
        <item x="2"/>
        <item x="4"/>
        <item x="0"/>
        <item x="5"/>
        <item x="7"/>
        <item x="3"/>
        <item x="9"/>
        <item x="8"/>
        <item x="10"/>
        <item x="12"/>
        <item x="6"/>
        <item x="13"/>
        <item x="11"/>
        <item x="15"/>
        <item x="16"/>
        <item x="18"/>
        <item x="14"/>
        <item x="19"/>
        <item x="17"/>
        <item x="21"/>
        <item x="22"/>
        <item x="20"/>
        <item x="24"/>
        <item x="25"/>
        <item x="27"/>
        <item x="23"/>
        <item x="28"/>
        <item x="30"/>
        <item x="33"/>
        <item x="26"/>
        <item x="31"/>
        <item x="36"/>
        <item x="29"/>
        <item x="39"/>
        <item x="34"/>
        <item x="42"/>
        <item x="37"/>
        <item x="32"/>
        <item x="45"/>
        <item x="40"/>
        <item x="48"/>
        <item x="35"/>
        <item x="43"/>
        <item x="51"/>
        <item x="38"/>
        <item x="46"/>
        <item x="41"/>
        <item x="54"/>
        <item x="49"/>
        <item x="44"/>
        <item x="52"/>
        <item x="57"/>
        <item x="60"/>
        <item x="47"/>
        <item x="63"/>
        <item x="55"/>
        <item x="50"/>
        <item x="66"/>
        <item x="58"/>
        <item x="69"/>
        <item x="61"/>
        <item x="53"/>
        <item x="72"/>
        <item x="56"/>
        <item x="75"/>
        <item x="64"/>
        <item x="78"/>
        <item x="67"/>
        <item x="59"/>
        <item x="81"/>
        <item x="70"/>
        <item x="84"/>
        <item x="62"/>
        <item x="65"/>
        <item x="73"/>
        <item x="87"/>
        <item x="90"/>
        <item x="93"/>
        <item x="68"/>
        <item x="76"/>
        <item x="96"/>
        <item x="79"/>
        <item x="71"/>
        <item x="99"/>
        <item x="82"/>
        <item x="102"/>
        <item x="105"/>
        <item x="85"/>
        <item x="74"/>
        <item x="108"/>
        <item x="77"/>
        <item x="88"/>
        <item x="80"/>
        <item x="91"/>
        <item x="111"/>
        <item x="94"/>
        <item x="114"/>
        <item x="83"/>
        <item x="117"/>
        <item x="97"/>
        <item x="120"/>
        <item x="100"/>
        <item x="123"/>
        <item x="86"/>
        <item x="89"/>
        <item x="126"/>
        <item x="103"/>
        <item x="106"/>
        <item x="92"/>
        <item x="129"/>
        <item x="132"/>
        <item x="109"/>
        <item x="135"/>
        <item x="95"/>
        <item x="141"/>
        <item x="138"/>
        <item x="144"/>
        <item x="98"/>
        <item x="112"/>
        <item x="147"/>
        <item x="150"/>
        <item x="115"/>
        <item x="101"/>
        <item x="153"/>
        <item x="156"/>
        <item x="104"/>
        <item x="118"/>
        <item x="159"/>
        <item x="162"/>
        <item x="121"/>
        <item x="107"/>
        <item x="124"/>
        <item x="165"/>
        <item x="110"/>
        <item x="127"/>
        <item x="113"/>
        <item x="170"/>
        <item x="130"/>
        <item x="116"/>
        <item x="173"/>
        <item x="133"/>
        <item x="176"/>
        <item x="119"/>
        <item x="136"/>
        <item x="179"/>
        <item x="142"/>
        <item x="139"/>
        <item x="182"/>
        <item x="122"/>
        <item x="145"/>
        <item x="185"/>
        <item x="148"/>
        <item x="125"/>
        <item x="151"/>
        <item x="188"/>
        <item x="154"/>
        <item x="157"/>
        <item x="128"/>
        <item x="160"/>
        <item x="191"/>
        <item x="131"/>
        <item x="194"/>
        <item x="163"/>
        <item x="197"/>
        <item x="200"/>
        <item x="134"/>
        <item x="137"/>
        <item x="166"/>
        <item x="140"/>
        <item x="203"/>
        <item x="143"/>
        <item x="146"/>
        <item x="168"/>
        <item x="206"/>
        <item x="149"/>
        <item x="171"/>
        <item x="209"/>
        <item x="152"/>
        <item x="211"/>
        <item x="155"/>
        <item x="214"/>
        <item x="174"/>
        <item x="177"/>
        <item x="158"/>
        <item x="216"/>
        <item x="180"/>
        <item x="219"/>
        <item x="183"/>
        <item x="161"/>
        <item x="222"/>
        <item x="186"/>
        <item x="225"/>
        <item x="164"/>
        <item x="189"/>
        <item x="167"/>
        <item x="192"/>
        <item x="195"/>
        <item x="198"/>
        <item x="169"/>
        <item x="234"/>
        <item x="201"/>
        <item x="237"/>
        <item x="204"/>
        <item x="240"/>
        <item x="175"/>
        <item x="172"/>
        <item x="210"/>
        <item x="207"/>
        <item x="212"/>
        <item x="178"/>
        <item x="242"/>
        <item x="181"/>
        <item x="220"/>
        <item x="217"/>
        <item x="223"/>
        <item x="184"/>
        <item x="226"/>
        <item x="247"/>
        <item x="228"/>
        <item x="187"/>
        <item x="190"/>
        <item x="230"/>
        <item x="232"/>
        <item x="193"/>
        <item x="235"/>
        <item x="196"/>
        <item x="213"/>
        <item x="205"/>
        <item x="238"/>
        <item x="199"/>
        <item x="218"/>
        <item x="208"/>
        <item x="215"/>
        <item x="202"/>
        <item x="221"/>
        <item x="224"/>
        <item x="243"/>
        <item x="250"/>
        <item x="227"/>
        <item x="245"/>
        <item x="248"/>
        <item x="253"/>
        <item x="229"/>
        <item x="231"/>
        <item x="233"/>
        <item x="236"/>
        <item x="239"/>
        <item x="259"/>
        <item x="262"/>
        <item x="256"/>
        <item x="241"/>
        <item x="265"/>
        <item x="244"/>
        <item x="268"/>
        <item x="246"/>
        <item x="251"/>
        <item x="271"/>
        <item x="274"/>
        <item x="254"/>
        <item x="277"/>
        <item x="260"/>
        <item x="257"/>
        <item x="280"/>
        <item x="263"/>
        <item x="249"/>
        <item x="283"/>
        <item x="266"/>
        <item x="252"/>
        <item x="269"/>
        <item x="286"/>
        <item x="275"/>
        <item x="272"/>
        <item x="255"/>
        <item x="258"/>
        <item x="261"/>
        <item x="278"/>
        <item x="289"/>
        <item x="292"/>
        <item x="264"/>
        <item x="267"/>
        <item x="295"/>
        <item x="273"/>
        <item x="270"/>
        <item x="298"/>
        <item x="276"/>
        <item x="281"/>
        <item x="301"/>
        <item x="284"/>
        <item x="287"/>
        <item x="304"/>
        <item x="290"/>
        <item x="293"/>
        <item x="307"/>
        <item x="296"/>
        <item x="282"/>
        <item x="279"/>
        <item x="310"/>
        <item x="299"/>
        <item x="285"/>
        <item x="288"/>
        <item x="302"/>
        <item x="313"/>
        <item x="291"/>
        <item x="316"/>
        <item x="305"/>
        <item x="294"/>
        <item x="308"/>
        <item x="319"/>
        <item x="297"/>
        <item x="322"/>
        <item x="300"/>
        <item x="311"/>
        <item x="325"/>
        <item x="303"/>
        <item x="328"/>
        <item x="314"/>
        <item x="306"/>
        <item x="331"/>
        <item x="317"/>
        <item x="334"/>
        <item x="309"/>
        <item x="320"/>
        <item x="337"/>
        <item x="323"/>
        <item x="312"/>
        <item x="340"/>
        <item x="326"/>
        <item x="315"/>
        <item x="329"/>
        <item x="343"/>
        <item x="318"/>
        <item x="332"/>
        <item x="347"/>
        <item x="321"/>
        <item x="350"/>
        <item x="335"/>
        <item x="324"/>
        <item x="338"/>
        <item x="327"/>
        <item x="341"/>
        <item x="330"/>
        <item x="345"/>
        <item x="344"/>
        <item x="333"/>
        <item x="348"/>
        <item x="336"/>
        <item x="351"/>
        <item x="339"/>
        <item x="342"/>
        <item x="346"/>
        <item x="349"/>
        <item x="352"/>
        <item t="default"/>
      </items>
    </pivotField>
    <pivotField showAll="0">
      <items count="359">
        <item x="0"/>
        <item x="3"/>
        <item x="6"/>
        <item x="9"/>
        <item x="12"/>
        <item x="15"/>
        <item x="18"/>
        <item x="21"/>
        <item x="24"/>
        <item x="27"/>
        <item x="30"/>
        <item x="33"/>
        <item x="36"/>
        <item x="39"/>
        <item x="42"/>
        <item x="45"/>
        <item x="48"/>
        <item x="51"/>
        <item x="54"/>
        <item x="57"/>
        <item x="60"/>
        <item x="63"/>
        <item x="69"/>
        <item x="66"/>
        <item x="71"/>
        <item x="74"/>
        <item x="77"/>
        <item x="80"/>
        <item x="83"/>
        <item x="86"/>
        <item x="89"/>
        <item x="92"/>
        <item x="95"/>
        <item x="98"/>
        <item x="101"/>
        <item x="104"/>
        <item x="107"/>
        <item x="113"/>
        <item x="110"/>
        <item x="116"/>
        <item x="119"/>
        <item x="122"/>
        <item x="125"/>
        <item x="128"/>
        <item x="131"/>
        <item x="134"/>
        <item x="137"/>
        <item x="140"/>
        <item x="143"/>
        <item x="146"/>
        <item x="149"/>
        <item x="152"/>
        <item x="155"/>
        <item x="158"/>
        <item x="161"/>
        <item x="164"/>
        <item x="167"/>
        <item x="170"/>
        <item x="173"/>
        <item x="176"/>
        <item x="179"/>
        <item x="182"/>
        <item x="185"/>
        <item x="188"/>
        <item x="191"/>
        <item x="1"/>
        <item x="2"/>
        <item x="194"/>
        <item x="4"/>
        <item x="5"/>
        <item x="8"/>
        <item x="197"/>
        <item x="7"/>
        <item x="11"/>
        <item x="10"/>
        <item x="13"/>
        <item x="14"/>
        <item x="200"/>
        <item x="203"/>
        <item x="216"/>
        <item x="214"/>
        <item x="219"/>
        <item x="222"/>
        <item x="212"/>
        <item x="16"/>
        <item x="225"/>
        <item x="17"/>
        <item x="206"/>
        <item x="209"/>
        <item x="231"/>
        <item x="234"/>
        <item x="237"/>
        <item x="19"/>
        <item x="20"/>
        <item x="22"/>
        <item x="23"/>
        <item x="252"/>
        <item x="240"/>
        <item x="255"/>
        <item x="243"/>
        <item x="25"/>
        <item x="26"/>
        <item x="28"/>
        <item x="246"/>
        <item x="249"/>
        <item x="29"/>
        <item x="258"/>
        <item x="31"/>
        <item x="34"/>
        <item x="261"/>
        <item x="32"/>
        <item x="35"/>
        <item x="264"/>
        <item x="37"/>
        <item x="267"/>
        <item x="38"/>
        <item x="40"/>
        <item x="270"/>
        <item x="43"/>
        <item x="41"/>
        <item x="46"/>
        <item x="44"/>
        <item x="49"/>
        <item x="52"/>
        <item x="47"/>
        <item x="50"/>
        <item x="273"/>
        <item x="53"/>
        <item x="55"/>
        <item x="61"/>
        <item x="58"/>
        <item x="64"/>
        <item x="72"/>
        <item x="67"/>
        <item x="75"/>
        <item x="56"/>
        <item x="59"/>
        <item x="62"/>
        <item x="78"/>
        <item x="276"/>
        <item x="70"/>
        <item x="65"/>
        <item x="68"/>
        <item x="81"/>
        <item x="73"/>
        <item x="279"/>
        <item x="76"/>
        <item x="84"/>
        <item x="87"/>
        <item x="79"/>
        <item x="93"/>
        <item x="90"/>
        <item x="96"/>
        <item x="99"/>
        <item x="82"/>
        <item x="102"/>
        <item x="105"/>
        <item x="114"/>
        <item x="108"/>
        <item x="85"/>
        <item x="111"/>
        <item x="88"/>
        <item x="117"/>
        <item x="284"/>
        <item x="91"/>
        <item x="120"/>
        <item x="94"/>
        <item x="287"/>
        <item x="97"/>
        <item x="129"/>
        <item x="123"/>
        <item x="126"/>
        <item x="100"/>
        <item x="132"/>
        <item x="103"/>
        <item x="106"/>
        <item x="290"/>
        <item x="135"/>
        <item x="109"/>
        <item x="293"/>
        <item x="296"/>
        <item x="115"/>
        <item x="138"/>
        <item x="112"/>
        <item x="141"/>
        <item x="118"/>
        <item x="298"/>
        <item x="301"/>
        <item x="121"/>
        <item x="144"/>
        <item x="124"/>
        <item x="304"/>
        <item x="147"/>
        <item x="127"/>
        <item x="159"/>
        <item x="130"/>
        <item x="307"/>
        <item x="162"/>
        <item x="156"/>
        <item x="150"/>
        <item x="153"/>
        <item x="133"/>
        <item x="310"/>
        <item x="165"/>
        <item x="136"/>
        <item x="313"/>
        <item x="139"/>
        <item x="168"/>
        <item x="142"/>
        <item x="145"/>
        <item x="171"/>
        <item x="148"/>
        <item x="316"/>
        <item x="151"/>
        <item x="160"/>
        <item x="174"/>
        <item x="154"/>
        <item x="157"/>
        <item x="163"/>
        <item x="177"/>
        <item x="319"/>
        <item x="322"/>
        <item x="180"/>
        <item x="166"/>
        <item x="183"/>
        <item x="186"/>
        <item x="325"/>
        <item x="328"/>
        <item x="189"/>
        <item x="169"/>
        <item x="192"/>
        <item x="172"/>
        <item x="195"/>
        <item x="333"/>
        <item x="336"/>
        <item x="198"/>
        <item x="175"/>
        <item x="339"/>
        <item x="342"/>
        <item x="178"/>
        <item x="348"/>
        <item x="345"/>
        <item x="201"/>
        <item x="351"/>
        <item x="181"/>
        <item x="217"/>
        <item x="354"/>
        <item x="184"/>
        <item x="204"/>
        <item x="220"/>
        <item x="187"/>
        <item x="227"/>
        <item x="229"/>
        <item x="223"/>
        <item x="226"/>
        <item x="190"/>
        <item x="207"/>
        <item x="232"/>
        <item x="193"/>
        <item x="210"/>
        <item x="235"/>
        <item x="196"/>
        <item x="199"/>
        <item x="238"/>
        <item x="202"/>
        <item x="241"/>
        <item x="205"/>
        <item x="215"/>
        <item x="218"/>
        <item x="244"/>
        <item x="213"/>
        <item x="221"/>
        <item x="253"/>
        <item x="224"/>
        <item x="247"/>
        <item x="228"/>
        <item x="211"/>
        <item x="208"/>
        <item x="230"/>
        <item x="250"/>
        <item x="256"/>
        <item x="233"/>
        <item x="236"/>
        <item x="239"/>
        <item x="242"/>
        <item x="259"/>
        <item x="262"/>
        <item x="265"/>
        <item x="268"/>
        <item x="245"/>
        <item x="254"/>
        <item x="271"/>
        <item x="257"/>
        <item x="248"/>
        <item x="251"/>
        <item x="274"/>
        <item x="260"/>
        <item x="263"/>
        <item x="266"/>
        <item x="269"/>
        <item x="272"/>
        <item x="277"/>
        <item x="275"/>
        <item x="280"/>
        <item x="282"/>
        <item x="278"/>
        <item x="285"/>
        <item x="281"/>
        <item x="288"/>
        <item x="283"/>
        <item x="291"/>
        <item x="286"/>
        <item x="289"/>
        <item x="294"/>
        <item x="297"/>
        <item x="292"/>
        <item x="302"/>
        <item x="299"/>
        <item x="305"/>
        <item x="308"/>
        <item x="295"/>
        <item x="311"/>
        <item x="300"/>
        <item x="303"/>
        <item x="314"/>
        <item x="306"/>
        <item x="309"/>
        <item x="312"/>
        <item x="315"/>
        <item x="317"/>
        <item x="323"/>
        <item x="320"/>
        <item x="318"/>
        <item x="326"/>
        <item x="329"/>
        <item x="321"/>
        <item x="324"/>
        <item x="331"/>
        <item x="334"/>
        <item x="327"/>
        <item x="337"/>
        <item x="340"/>
        <item x="330"/>
        <item x="343"/>
        <item x="332"/>
        <item x="335"/>
        <item x="349"/>
        <item x="346"/>
        <item x="352"/>
        <item x="338"/>
        <item x="341"/>
        <item x="355"/>
        <item x="344"/>
        <item x="350"/>
        <item x="347"/>
        <item x="353"/>
        <item x="356"/>
        <item x="357"/>
        <item t="default"/>
      </items>
    </pivotField>
    <pivotField showAll="0">
      <items count="361">
        <item x="1"/>
        <item x="2"/>
        <item x="0"/>
        <item x="4"/>
        <item x="5"/>
        <item x="3"/>
        <item x="8"/>
        <item x="7"/>
        <item x="6"/>
        <item x="9"/>
        <item x="11"/>
        <item x="10"/>
        <item x="12"/>
        <item x="14"/>
        <item x="13"/>
        <item x="15"/>
        <item x="17"/>
        <item x="16"/>
        <item x="18"/>
        <item x="20"/>
        <item x="19"/>
        <item x="21"/>
        <item x="23"/>
        <item x="22"/>
        <item x="24"/>
        <item x="26"/>
        <item x="25"/>
        <item x="27"/>
        <item x="29"/>
        <item x="28"/>
        <item x="31"/>
        <item x="32"/>
        <item x="34"/>
        <item x="30"/>
        <item x="35"/>
        <item x="33"/>
        <item x="37"/>
        <item x="38"/>
        <item x="36"/>
        <item x="40"/>
        <item x="41"/>
        <item x="39"/>
        <item x="43"/>
        <item x="44"/>
        <item x="42"/>
        <item x="46"/>
        <item x="47"/>
        <item x="45"/>
        <item x="49"/>
        <item x="50"/>
        <item x="48"/>
        <item x="52"/>
        <item x="51"/>
        <item x="53"/>
        <item x="54"/>
        <item x="56"/>
        <item x="55"/>
        <item x="57"/>
        <item x="60"/>
        <item x="59"/>
        <item x="58"/>
        <item x="62"/>
        <item x="63"/>
        <item x="61"/>
        <item x="64"/>
        <item x="65"/>
        <item x="66"/>
        <item x="67"/>
        <item x="68"/>
        <item x="69"/>
        <item x="70"/>
        <item x="71"/>
        <item x="73"/>
        <item x="76"/>
        <item x="72"/>
        <item x="74"/>
        <item x="79"/>
        <item x="77"/>
        <item x="82"/>
        <item x="75"/>
        <item x="80"/>
        <item x="85"/>
        <item x="78"/>
        <item x="83"/>
        <item x="81"/>
        <item x="88"/>
        <item x="86"/>
        <item x="84"/>
        <item x="91"/>
        <item x="89"/>
        <item x="94"/>
        <item x="97"/>
        <item x="92"/>
        <item x="87"/>
        <item x="100"/>
        <item x="103"/>
        <item x="95"/>
        <item x="90"/>
        <item x="106"/>
        <item x="109"/>
        <item x="98"/>
        <item x="93"/>
        <item x="112"/>
        <item x="115"/>
        <item x="101"/>
        <item x="96"/>
        <item x="104"/>
        <item x="118"/>
        <item x="107"/>
        <item x="99"/>
        <item x="110"/>
        <item x="121"/>
        <item x="113"/>
        <item x="102"/>
        <item x="124"/>
        <item x="116"/>
        <item x="105"/>
        <item x="108"/>
        <item x="127"/>
        <item x="119"/>
        <item x="130"/>
        <item x="133"/>
        <item x="122"/>
        <item x="111"/>
        <item x="136"/>
        <item x="114"/>
        <item x="125"/>
        <item x="139"/>
        <item x="142"/>
        <item x="117"/>
        <item x="145"/>
        <item x="128"/>
        <item x="148"/>
        <item x="151"/>
        <item x="120"/>
        <item x="131"/>
        <item x="154"/>
        <item x="157"/>
        <item x="134"/>
        <item x="160"/>
        <item x="123"/>
        <item x="137"/>
        <item x="126"/>
        <item x="163"/>
        <item x="140"/>
        <item x="143"/>
        <item x="129"/>
        <item x="146"/>
        <item x="166"/>
        <item x="149"/>
        <item x="132"/>
        <item x="169"/>
        <item x="152"/>
        <item x="172"/>
        <item x="155"/>
        <item x="135"/>
        <item x="175"/>
        <item x="158"/>
        <item x="161"/>
        <item x="178"/>
        <item x="138"/>
        <item x="141"/>
        <item x="181"/>
        <item x="144"/>
        <item x="164"/>
        <item x="147"/>
        <item x="184"/>
        <item x="150"/>
        <item x="167"/>
        <item x="187"/>
        <item x="153"/>
        <item x="170"/>
        <item x="156"/>
        <item x="173"/>
        <item x="159"/>
        <item x="190"/>
        <item x="176"/>
        <item x="179"/>
        <item x="193"/>
        <item x="162"/>
        <item x="182"/>
        <item x="196"/>
        <item x="185"/>
        <item x="165"/>
        <item x="188"/>
        <item x="168"/>
        <item x="199"/>
        <item x="171"/>
        <item x="191"/>
        <item x="202"/>
        <item x="194"/>
        <item x="177"/>
        <item x="174"/>
        <item x="205"/>
        <item x="197"/>
        <item x="180"/>
        <item x="183"/>
        <item x="208"/>
        <item x="211"/>
        <item x="213"/>
        <item x="186"/>
        <item x="200"/>
        <item x="216"/>
        <item x="219"/>
        <item x="203"/>
        <item x="189"/>
        <item x="222"/>
        <item x="206"/>
        <item x="192"/>
        <item x="225"/>
        <item x="195"/>
        <item x="228"/>
        <item x="198"/>
        <item x="231"/>
        <item x="201"/>
        <item x="209"/>
        <item x="234"/>
        <item x="204"/>
        <item x="237"/>
        <item x="240"/>
        <item x="243"/>
        <item x="214"/>
        <item x="217"/>
        <item x="246"/>
        <item x="220"/>
        <item x="249"/>
        <item x="223"/>
        <item x="207"/>
        <item x="257"/>
        <item x="254"/>
        <item x="226"/>
        <item x="229"/>
        <item x="210"/>
        <item x="232"/>
        <item x="235"/>
        <item x="238"/>
        <item x="260"/>
        <item x="241"/>
        <item x="244"/>
        <item x="215"/>
        <item x="212"/>
        <item x="263"/>
        <item x="247"/>
        <item x="218"/>
        <item x="221"/>
        <item x="265"/>
        <item x="250"/>
        <item x="258"/>
        <item x="252"/>
        <item x="268"/>
        <item x="255"/>
        <item x="224"/>
        <item x="227"/>
        <item x="271"/>
        <item x="274"/>
        <item x="230"/>
        <item x="277"/>
        <item x="233"/>
        <item x="261"/>
        <item x="236"/>
        <item x="264"/>
        <item x="239"/>
        <item x="280"/>
        <item x="266"/>
        <item x="242"/>
        <item x="269"/>
        <item x="245"/>
        <item x="283"/>
        <item x="286"/>
        <item x="272"/>
        <item x="256"/>
        <item x="248"/>
        <item x="251"/>
        <item x="275"/>
        <item x="253"/>
        <item x="278"/>
        <item x="289"/>
        <item x="292"/>
        <item x="259"/>
        <item x="281"/>
        <item x="262"/>
        <item x="295"/>
        <item x="284"/>
        <item x="267"/>
        <item x="270"/>
        <item x="287"/>
        <item x="298"/>
        <item x="301"/>
        <item x="273"/>
        <item x="303"/>
        <item x="276"/>
        <item x="306"/>
        <item x="290"/>
        <item x="293"/>
        <item x="309"/>
        <item x="279"/>
        <item x="282"/>
        <item x="312"/>
        <item x="296"/>
        <item x="285"/>
        <item x="315"/>
        <item x="299"/>
        <item x="318"/>
        <item x="304"/>
        <item x="307"/>
        <item x="310"/>
        <item x="288"/>
        <item x="321"/>
        <item x="291"/>
        <item x="313"/>
        <item x="294"/>
        <item x="324"/>
        <item x="297"/>
        <item x="316"/>
        <item x="327"/>
        <item x="319"/>
        <item x="300"/>
        <item x="302"/>
        <item x="330"/>
        <item x="305"/>
        <item x="322"/>
        <item x="333"/>
        <item x="308"/>
        <item x="325"/>
        <item x="311"/>
        <item x="336"/>
        <item x="328"/>
        <item x="314"/>
        <item x="339"/>
        <item x="342"/>
        <item x="317"/>
        <item x="331"/>
        <item x="345"/>
        <item x="334"/>
        <item x="320"/>
        <item x="348"/>
        <item x="323"/>
        <item x="337"/>
        <item x="326"/>
        <item x="340"/>
        <item x="351"/>
        <item x="343"/>
        <item x="329"/>
        <item x="354"/>
        <item x="346"/>
        <item x="332"/>
        <item x="357"/>
        <item x="349"/>
        <item x="335"/>
        <item x="338"/>
        <item x="352"/>
        <item x="341"/>
        <item x="355"/>
        <item x="344"/>
        <item x="358"/>
        <item x="347"/>
        <item x="350"/>
        <item x="353"/>
        <item x="356"/>
        <item x="359"/>
        <item t="default"/>
      </items>
    </pivotField>
    <pivotField showAll="0"/>
  </pivotFields>
  <rowFields count="2">
    <field x="1"/>
    <field x="2"/>
  </rowFields>
  <rowItems count="54">
    <i>
      <x/>
    </i>
    <i>
      <x v="1"/>
    </i>
    <i>
      <x v="2"/>
    </i>
    <i>
      <x v="3"/>
    </i>
    <i>
      <x v="4"/>
    </i>
    <i>
      <x v="5"/>
    </i>
    <i>
      <x v="6"/>
    </i>
    <i r="1">
      <x/>
    </i>
    <i r="1">
      <x v="1"/>
    </i>
    <i r="1">
      <x v="2"/>
    </i>
    <i r="1">
      <x v="4"/>
    </i>
    <i r="1">
      <x v="5"/>
    </i>
    <i r="1">
      <x v="6"/>
    </i>
    <i r="1">
      <x v="7"/>
    </i>
    <i r="1">
      <x v="8"/>
    </i>
    <i r="1">
      <x v="9"/>
    </i>
    <i r="1">
      <x v="10"/>
    </i>
    <i r="1">
      <x v="11"/>
    </i>
    <i>
      <x v="7"/>
    </i>
    <i r="1">
      <x/>
    </i>
    <i r="1">
      <x v="1"/>
    </i>
    <i r="1">
      <x v="2"/>
    </i>
    <i r="1">
      <x v="3"/>
    </i>
    <i r="1">
      <x v="4"/>
    </i>
    <i r="1">
      <x v="5"/>
    </i>
    <i r="1">
      <x v="6"/>
    </i>
    <i r="1">
      <x v="7"/>
    </i>
    <i r="1">
      <x v="8"/>
    </i>
    <i r="1">
      <x v="9"/>
    </i>
    <i r="1">
      <x v="10"/>
    </i>
    <i r="1">
      <x v="11"/>
    </i>
    <i>
      <x v="8"/>
    </i>
    <i>
      <x v="9"/>
    </i>
    <i r="1">
      <x/>
    </i>
    <i r="1">
      <x v="1"/>
    </i>
    <i r="1">
      <x v="2"/>
    </i>
    <i r="1">
      <x v="3"/>
    </i>
    <i r="1">
      <x v="4"/>
    </i>
    <i r="1">
      <x v="5"/>
    </i>
    <i r="1">
      <x v="6"/>
    </i>
    <i r="1">
      <x v="7"/>
    </i>
    <i r="1">
      <x v="8"/>
    </i>
    <i r="1">
      <x v="9"/>
    </i>
    <i r="1">
      <x v="10"/>
    </i>
    <i r="1">
      <x v="11"/>
    </i>
    <i>
      <x v="10"/>
    </i>
    <i r="1">
      <x/>
    </i>
    <i r="1">
      <x v="1"/>
    </i>
    <i r="1">
      <x v="2"/>
    </i>
    <i r="1">
      <x v="3"/>
    </i>
    <i r="1">
      <x v="4"/>
    </i>
    <i>
      <x v="11"/>
    </i>
    <i r="1">
      <x v="14"/>
    </i>
    <i t="grand">
      <x/>
    </i>
  </rowItems>
  <colFields count="1">
    <field x="-2"/>
  </colFields>
  <colItems count="4">
    <i>
      <x/>
    </i>
    <i i="1">
      <x v="1"/>
    </i>
    <i i="2">
      <x v="2"/>
    </i>
    <i i="3">
      <x v="3"/>
    </i>
  </colItems>
  <pageFields count="1">
    <pageField fld="0" hier="-1"/>
  </pageFields>
  <dataFields count="4">
    <dataField name="Sum of Food &amp; related exps" fld="30" baseField="0" baseItem="0"/>
    <dataField name="Sum of Health" fld="23" baseField="0" baseItem="0"/>
    <dataField name="Sum of Fuel and light" fld="21" baseField="0" baseItem="0"/>
    <dataField name="Sum of Transport and communication" fld="24" baseField="0" baseItem="0"/>
  </dataFields>
  <chartFormats count="4">
    <chartFormat chart="0" format="2" series="1">
      <pivotArea type="data" outline="0" fieldPosition="0">
        <references count="1">
          <reference field="4294967294" count="1" selected="0">
            <x v="0"/>
          </reference>
        </references>
      </pivotArea>
    </chartFormat>
    <chartFormat chart="4" format="12" series="1">
      <pivotArea type="data" outline="0" fieldPosition="0">
        <references count="1">
          <reference field="4294967294" count="1" selected="0">
            <x v="0"/>
          </reference>
        </references>
      </pivotArea>
    </chartFormat>
    <chartFormat chart="6" format="22" series="1">
      <pivotArea type="data" outline="0" fieldPosition="0">
        <references count="1">
          <reference field="4294967294" count="1" selected="0">
            <x v="0"/>
          </reference>
        </references>
      </pivotArea>
    </chartFormat>
    <chartFormat chart="8" format="3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1E3FF78-F237-4826-A861-490BC7E4592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9:O90" firstHeaderRow="0" firstDataRow="1" firstDataCol="1"/>
  <pivotFields count="35">
    <pivotField showAll="0">
      <items count="5">
        <item x="0"/>
        <item x="2"/>
        <item x="1"/>
        <item x="3"/>
        <item t="default"/>
      </items>
    </pivotField>
    <pivotField axis="axisRow" showAll="0">
      <items count="13">
        <item sd="0" x="0"/>
        <item sd="0" x="1"/>
        <item sd="0" x="2"/>
        <item sd="0" x="3"/>
        <item sd="0" x="4"/>
        <item sd="0" x="5"/>
        <item sd="0" x="6"/>
        <item sd="0" x="7"/>
        <item sd="0" x="8"/>
        <item x="9"/>
        <item x="10"/>
        <item x="11"/>
        <item t="default"/>
      </items>
    </pivotField>
    <pivotField axis="axisRow" showAll="0">
      <items count="16">
        <item x="0"/>
        <item x="1"/>
        <item x="2"/>
        <item x="3"/>
        <item x="4"/>
        <item x="5"/>
        <item x="6"/>
        <item x="7"/>
        <item x="8"/>
        <item x="9"/>
        <item x="11"/>
        <item x="12"/>
        <item x="13"/>
        <item x="10"/>
        <item x="14"/>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x="284"/>
        <item t="default"/>
      </items>
    </pivotField>
    <pivotField showAll="0">
      <items count="362">
        <item x="0"/>
        <item x="2"/>
        <item x="1"/>
        <item x="3"/>
        <item x="6"/>
        <item x="5"/>
        <item x="8"/>
        <item x="9"/>
        <item x="7"/>
        <item x="4"/>
        <item x="11"/>
        <item x="12"/>
        <item x="10"/>
        <item x="14"/>
        <item x="13"/>
        <item x="15"/>
        <item x="17"/>
        <item x="18"/>
        <item x="20"/>
        <item x="21"/>
        <item x="16"/>
        <item x="23"/>
        <item x="40"/>
        <item x="41"/>
        <item x="39"/>
        <item x="43"/>
        <item x="37"/>
        <item x="24"/>
        <item x="38"/>
        <item x="36"/>
        <item x="19"/>
        <item x="44"/>
        <item x="26"/>
        <item x="42"/>
        <item x="25"/>
        <item x="22"/>
        <item x="34"/>
        <item x="45"/>
        <item x="47"/>
        <item x="27"/>
        <item x="35"/>
        <item x="46"/>
        <item x="33"/>
        <item x="29"/>
        <item x="48"/>
        <item x="28"/>
        <item x="50"/>
        <item x="51"/>
        <item x="49"/>
        <item x="30"/>
        <item x="53"/>
        <item x="32"/>
        <item x="31"/>
        <item x="52"/>
        <item x="54"/>
        <item x="72"/>
        <item x="69"/>
        <item x="74"/>
        <item x="77"/>
        <item x="71"/>
        <item x="75"/>
        <item x="80"/>
        <item x="56"/>
        <item x="78"/>
        <item x="79"/>
        <item x="76"/>
        <item x="57"/>
        <item x="63"/>
        <item x="73"/>
        <item x="83"/>
        <item x="60"/>
        <item x="66"/>
        <item x="81"/>
        <item x="70"/>
        <item x="65"/>
        <item x="68"/>
        <item x="82"/>
        <item x="62"/>
        <item x="64"/>
        <item x="67"/>
        <item x="59"/>
        <item x="84"/>
        <item x="61"/>
        <item x="86"/>
        <item x="55"/>
        <item x="85"/>
        <item x="58"/>
        <item x="87"/>
        <item x="89"/>
        <item x="90"/>
        <item x="92"/>
        <item x="88"/>
        <item x="91"/>
        <item x="93"/>
        <item x="95"/>
        <item x="96"/>
        <item x="98"/>
        <item x="94"/>
        <item x="97"/>
        <item x="99"/>
        <item x="115"/>
        <item x="101"/>
        <item x="116"/>
        <item x="113"/>
        <item x="105"/>
        <item x="112"/>
        <item x="111"/>
        <item x="114"/>
        <item x="102"/>
        <item x="107"/>
        <item x="108"/>
        <item x="104"/>
        <item x="110"/>
        <item x="100"/>
        <item x="106"/>
        <item x="117"/>
        <item x="119"/>
        <item x="109"/>
        <item x="103"/>
        <item x="118"/>
        <item x="148"/>
        <item x="151"/>
        <item x="154"/>
        <item x="157"/>
        <item x="145"/>
        <item x="120"/>
        <item x="155"/>
        <item x="152"/>
        <item x="158"/>
        <item x="149"/>
        <item x="122"/>
        <item x="153"/>
        <item x="146"/>
        <item x="150"/>
        <item x="156"/>
        <item x="142"/>
        <item x="187"/>
        <item x="147"/>
        <item x="190"/>
        <item x="160"/>
        <item x="144"/>
        <item x="161"/>
        <item x="193"/>
        <item x="143"/>
        <item x="159"/>
        <item x="123"/>
        <item x="184"/>
        <item x="121"/>
        <item x="141"/>
        <item x="125"/>
        <item x="139"/>
        <item x="133"/>
        <item x="140"/>
        <item x="169"/>
        <item x="134"/>
        <item x="138"/>
        <item x="181"/>
        <item x="136"/>
        <item x="126"/>
        <item x="196"/>
        <item x="137"/>
        <item x="217"/>
        <item x="132"/>
        <item x="214"/>
        <item x="205"/>
        <item x="188"/>
        <item x="135"/>
        <item x="191"/>
        <item x="185"/>
        <item x="129"/>
        <item x="218"/>
        <item x="164"/>
        <item x="194"/>
        <item x="208"/>
        <item x="131"/>
        <item x="163"/>
        <item x="220"/>
        <item x="172"/>
        <item x="162"/>
        <item x="221"/>
        <item x="170"/>
        <item x="211"/>
        <item x="216"/>
        <item x="219"/>
        <item x="128"/>
        <item x="222"/>
        <item x="178"/>
        <item x="166"/>
        <item x="215"/>
        <item x="224"/>
        <item x="130"/>
        <item x="202"/>
        <item x="124"/>
        <item x="173"/>
        <item x="197"/>
        <item x="199"/>
        <item x="167"/>
        <item x="223"/>
        <item x="168"/>
        <item x="182"/>
        <item x="183"/>
        <item x="213"/>
        <item x="189"/>
        <item x="186"/>
        <item x="212"/>
        <item x="206"/>
        <item x="209"/>
        <item x="192"/>
        <item x="171"/>
        <item x="165"/>
        <item x="207"/>
        <item x="225"/>
        <item x="195"/>
        <item x="179"/>
        <item x="210"/>
        <item x="200"/>
        <item x="175"/>
        <item x="180"/>
        <item x="127"/>
        <item x="227"/>
        <item x="203"/>
        <item x="204"/>
        <item x="176"/>
        <item x="198"/>
        <item x="177"/>
        <item x="228"/>
        <item x="174"/>
        <item x="201"/>
        <item x="226"/>
        <item x="230"/>
        <item x="231"/>
        <item x="234"/>
        <item x="229"/>
        <item x="233"/>
        <item x="236"/>
        <item x="237"/>
        <item x="239"/>
        <item x="232"/>
        <item x="235"/>
        <item x="240"/>
        <item x="238"/>
        <item x="242"/>
        <item x="255"/>
        <item x="256"/>
        <item x="243"/>
        <item x="241"/>
        <item x="245"/>
        <item x="252"/>
        <item x="254"/>
        <item x="253"/>
        <item x="244"/>
        <item x="249"/>
        <item x="246"/>
        <item x="251"/>
        <item x="257"/>
        <item x="248"/>
        <item x="250"/>
        <item x="259"/>
        <item x="247"/>
        <item x="260"/>
        <item x="258"/>
        <item x="262"/>
        <item x="263"/>
        <item x="266"/>
        <item x="265"/>
        <item x="261"/>
        <item x="268"/>
        <item x="281"/>
        <item x="264"/>
        <item x="269"/>
        <item x="285"/>
        <item x="283"/>
        <item x="267"/>
        <item x="271"/>
        <item x="286"/>
        <item x="278"/>
        <item x="288"/>
        <item x="284"/>
        <item x="282"/>
        <item x="280"/>
        <item x="272"/>
        <item x="270"/>
        <item x="274"/>
        <item x="287"/>
        <item x="275"/>
        <item x="289"/>
        <item x="279"/>
        <item x="277"/>
        <item x="291"/>
        <item x="273"/>
        <item x="292"/>
        <item x="276"/>
        <item x="298"/>
        <item x="295"/>
        <item x="290"/>
        <item x="301"/>
        <item x="294"/>
        <item x="300"/>
        <item x="297"/>
        <item x="314"/>
        <item x="311"/>
        <item x="293"/>
        <item x="316"/>
        <item x="299"/>
        <item x="302"/>
        <item x="313"/>
        <item x="308"/>
        <item x="296"/>
        <item x="304"/>
        <item x="317"/>
        <item x="310"/>
        <item x="305"/>
        <item x="319"/>
        <item x="315"/>
        <item x="312"/>
        <item x="307"/>
        <item x="318"/>
        <item x="303"/>
        <item x="320"/>
        <item x="309"/>
        <item x="322"/>
        <item x="306"/>
        <item x="323"/>
        <item x="321"/>
        <item x="325"/>
        <item x="326"/>
        <item x="329"/>
        <item x="332"/>
        <item x="328"/>
        <item x="324"/>
        <item x="331"/>
        <item x="335"/>
        <item x="350"/>
        <item x="334"/>
        <item x="344"/>
        <item x="354"/>
        <item x="337"/>
        <item x="352"/>
        <item x="353"/>
        <item x="338"/>
        <item x="347"/>
        <item x="346"/>
        <item x="341"/>
        <item x="327"/>
        <item x="330"/>
        <item x="356"/>
        <item x="357"/>
        <item x="349"/>
        <item x="333"/>
        <item x="340"/>
        <item x="343"/>
        <item x="345"/>
        <item x="351"/>
        <item x="336"/>
        <item x="359"/>
        <item x="348"/>
        <item x="342"/>
        <item x="355"/>
        <item x="339"/>
        <item x="358"/>
        <item x="360"/>
        <item t="default"/>
      </items>
    </pivotField>
    <pivotField showAll="0">
      <items count="354">
        <item x="1"/>
        <item x="2"/>
        <item x="4"/>
        <item x="0"/>
        <item x="5"/>
        <item x="7"/>
        <item x="3"/>
        <item x="9"/>
        <item x="8"/>
        <item x="10"/>
        <item x="12"/>
        <item x="6"/>
        <item x="13"/>
        <item x="11"/>
        <item x="15"/>
        <item x="16"/>
        <item x="18"/>
        <item x="14"/>
        <item x="19"/>
        <item x="17"/>
        <item x="21"/>
        <item x="22"/>
        <item x="20"/>
        <item x="24"/>
        <item x="25"/>
        <item x="27"/>
        <item x="23"/>
        <item x="28"/>
        <item x="30"/>
        <item x="33"/>
        <item x="26"/>
        <item x="31"/>
        <item x="36"/>
        <item x="29"/>
        <item x="39"/>
        <item x="34"/>
        <item x="42"/>
        <item x="37"/>
        <item x="32"/>
        <item x="45"/>
        <item x="40"/>
        <item x="48"/>
        <item x="35"/>
        <item x="43"/>
        <item x="51"/>
        <item x="38"/>
        <item x="46"/>
        <item x="41"/>
        <item x="54"/>
        <item x="49"/>
        <item x="44"/>
        <item x="52"/>
        <item x="57"/>
        <item x="60"/>
        <item x="47"/>
        <item x="63"/>
        <item x="55"/>
        <item x="50"/>
        <item x="66"/>
        <item x="58"/>
        <item x="69"/>
        <item x="61"/>
        <item x="53"/>
        <item x="72"/>
        <item x="56"/>
        <item x="75"/>
        <item x="64"/>
        <item x="78"/>
        <item x="67"/>
        <item x="59"/>
        <item x="81"/>
        <item x="70"/>
        <item x="84"/>
        <item x="62"/>
        <item x="65"/>
        <item x="73"/>
        <item x="87"/>
        <item x="90"/>
        <item x="93"/>
        <item x="68"/>
        <item x="76"/>
        <item x="96"/>
        <item x="79"/>
        <item x="71"/>
        <item x="99"/>
        <item x="82"/>
        <item x="102"/>
        <item x="105"/>
        <item x="85"/>
        <item x="74"/>
        <item x="108"/>
        <item x="77"/>
        <item x="88"/>
        <item x="80"/>
        <item x="91"/>
        <item x="111"/>
        <item x="94"/>
        <item x="114"/>
        <item x="83"/>
        <item x="117"/>
        <item x="97"/>
        <item x="120"/>
        <item x="100"/>
        <item x="123"/>
        <item x="86"/>
        <item x="89"/>
        <item x="126"/>
        <item x="103"/>
        <item x="106"/>
        <item x="92"/>
        <item x="129"/>
        <item x="132"/>
        <item x="109"/>
        <item x="135"/>
        <item x="95"/>
        <item x="141"/>
        <item x="138"/>
        <item x="144"/>
        <item x="98"/>
        <item x="112"/>
        <item x="147"/>
        <item x="150"/>
        <item x="115"/>
        <item x="101"/>
        <item x="153"/>
        <item x="156"/>
        <item x="104"/>
        <item x="118"/>
        <item x="159"/>
        <item x="162"/>
        <item x="121"/>
        <item x="107"/>
        <item x="124"/>
        <item x="165"/>
        <item x="110"/>
        <item x="127"/>
        <item x="113"/>
        <item x="170"/>
        <item x="130"/>
        <item x="116"/>
        <item x="173"/>
        <item x="133"/>
        <item x="176"/>
        <item x="119"/>
        <item x="136"/>
        <item x="179"/>
        <item x="142"/>
        <item x="139"/>
        <item x="182"/>
        <item x="122"/>
        <item x="145"/>
        <item x="185"/>
        <item x="148"/>
        <item x="125"/>
        <item x="151"/>
        <item x="188"/>
        <item x="154"/>
        <item x="157"/>
        <item x="128"/>
        <item x="160"/>
        <item x="191"/>
        <item x="131"/>
        <item x="194"/>
        <item x="163"/>
        <item x="197"/>
        <item x="200"/>
        <item x="134"/>
        <item x="137"/>
        <item x="166"/>
        <item x="140"/>
        <item x="203"/>
        <item x="143"/>
        <item x="146"/>
        <item x="168"/>
        <item x="206"/>
        <item x="149"/>
        <item x="171"/>
        <item x="209"/>
        <item x="152"/>
        <item x="211"/>
        <item x="155"/>
        <item x="214"/>
        <item x="174"/>
        <item x="177"/>
        <item x="158"/>
        <item x="216"/>
        <item x="180"/>
        <item x="219"/>
        <item x="183"/>
        <item x="161"/>
        <item x="222"/>
        <item x="186"/>
        <item x="225"/>
        <item x="164"/>
        <item x="189"/>
        <item x="167"/>
        <item x="192"/>
        <item x="195"/>
        <item x="198"/>
        <item x="169"/>
        <item x="234"/>
        <item x="201"/>
        <item x="237"/>
        <item x="204"/>
        <item x="240"/>
        <item x="175"/>
        <item x="172"/>
        <item x="210"/>
        <item x="207"/>
        <item x="212"/>
        <item x="178"/>
        <item x="242"/>
        <item x="181"/>
        <item x="220"/>
        <item x="217"/>
        <item x="223"/>
        <item x="184"/>
        <item x="226"/>
        <item x="247"/>
        <item x="228"/>
        <item x="187"/>
        <item x="190"/>
        <item x="230"/>
        <item x="232"/>
        <item x="193"/>
        <item x="235"/>
        <item x="196"/>
        <item x="213"/>
        <item x="205"/>
        <item x="238"/>
        <item x="199"/>
        <item x="218"/>
        <item x="208"/>
        <item x="215"/>
        <item x="202"/>
        <item x="221"/>
        <item x="224"/>
        <item x="243"/>
        <item x="250"/>
        <item x="227"/>
        <item x="245"/>
        <item x="248"/>
        <item x="253"/>
        <item x="229"/>
        <item x="231"/>
        <item x="233"/>
        <item x="236"/>
        <item x="239"/>
        <item x="259"/>
        <item x="262"/>
        <item x="256"/>
        <item x="241"/>
        <item x="265"/>
        <item x="244"/>
        <item x="268"/>
        <item x="246"/>
        <item x="251"/>
        <item x="271"/>
        <item x="274"/>
        <item x="254"/>
        <item x="277"/>
        <item x="260"/>
        <item x="257"/>
        <item x="280"/>
        <item x="263"/>
        <item x="249"/>
        <item x="283"/>
        <item x="266"/>
        <item x="252"/>
        <item x="269"/>
        <item x="286"/>
        <item x="275"/>
        <item x="272"/>
        <item x="255"/>
        <item x="258"/>
        <item x="261"/>
        <item x="278"/>
        <item x="289"/>
        <item x="292"/>
        <item x="264"/>
        <item x="267"/>
        <item x="295"/>
        <item x="273"/>
        <item x="270"/>
        <item x="298"/>
        <item x="276"/>
        <item x="281"/>
        <item x="301"/>
        <item x="284"/>
        <item x="287"/>
        <item x="304"/>
        <item x="290"/>
        <item x="293"/>
        <item x="307"/>
        <item x="296"/>
        <item x="282"/>
        <item x="279"/>
        <item x="310"/>
        <item x="299"/>
        <item x="285"/>
        <item x="288"/>
        <item x="302"/>
        <item x="313"/>
        <item x="291"/>
        <item x="316"/>
        <item x="305"/>
        <item x="294"/>
        <item x="308"/>
        <item x="319"/>
        <item x="297"/>
        <item x="322"/>
        <item x="300"/>
        <item x="311"/>
        <item x="325"/>
        <item x="303"/>
        <item x="328"/>
        <item x="314"/>
        <item x="306"/>
        <item x="331"/>
        <item x="317"/>
        <item x="334"/>
        <item x="309"/>
        <item x="320"/>
        <item x="337"/>
        <item x="323"/>
        <item x="312"/>
        <item x="340"/>
        <item x="326"/>
        <item x="315"/>
        <item x="329"/>
        <item x="343"/>
        <item x="318"/>
        <item x="332"/>
        <item x="347"/>
        <item x="321"/>
        <item x="350"/>
        <item x="335"/>
        <item x="324"/>
        <item x="338"/>
        <item x="327"/>
        <item x="341"/>
        <item x="330"/>
        <item x="345"/>
        <item x="344"/>
        <item x="333"/>
        <item x="348"/>
        <item x="336"/>
        <item x="351"/>
        <item x="339"/>
        <item x="342"/>
        <item x="346"/>
        <item x="349"/>
        <item x="352"/>
        <item t="default"/>
      </items>
    </pivotField>
    <pivotField showAll="0">
      <items count="359">
        <item x="0"/>
        <item x="3"/>
        <item x="6"/>
        <item x="9"/>
        <item x="12"/>
        <item x="15"/>
        <item x="18"/>
        <item x="21"/>
        <item x="24"/>
        <item x="27"/>
        <item x="30"/>
        <item x="33"/>
        <item x="36"/>
        <item x="39"/>
        <item x="42"/>
        <item x="45"/>
        <item x="48"/>
        <item x="51"/>
        <item x="54"/>
        <item x="57"/>
        <item x="60"/>
        <item x="63"/>
        <item x="69"/>
        <item x="66"/>
        <item x="71"/>
        <item x="74"/>
        <item x="77"/>
        <item x="80"/>
        <item x="83"/>
        <item x="86"/>
        <item x="89"/>
        <item x="92"/>
        <item x="95"/>
        <item x="98"/>
        <item x="101"/>
        <item x="104"/>
        <item x="107"/>
        <item x="113"/>
        <item x="110"/>
        <item x="116"/>
        <item x="119"/>
        <item x="122"/>
        <item x="125"/>
        <item x="128"/>
        <item x="131"/>
        <item x="134"/>
        <item x="137"/>
        <item x="140"/>
        <item x="143"/>
        <item x="146"/>
        <item x="149"/>
        <item x="152"/>
        <item x="155"/>
        <item x="158"/>
        <item x="161"/>
        <item x="164"/>
        <item x="167"/>
        <item x="170"/>
        <item x="173"/>
        <item x="176"/>
        <item x="179"/>
        <item x="182"/>
        <item x="185"/>
        <item x="188"/>
        <item x="191"/>
        <item x="1"/>
        <item x="2"/>
        <item x="194"/>
        <item x="4"/>
        <item x="5"/>
        <item x="8"/>
        <item x="197"/>
        <item x="7"/>
        <item x="11"/>
        <item x="10"/>
        <item x="13"/>
        <item x="14"/>
        <item x="200"/>
        <item x="203"/>
        <item x="216"/>
        <item x="214"/>
        <item x="219"/>
        <item x="222"/>
        <item x="212"/>
        <item x="16"/>
        <item x="225"/>
        <item x="17"/>
        <item x="206"/>
        <item x="209"/>
        <item x="231"/>
        <item x="234"/>
        <item x="237"/>
        <item x="19"/>
        <item x="20"/>
        <item x="22"/>
        <item x="23"/>
        <item x="252"/>
        <item x="240"/>
        <item x="255"/>
        <item x="243"/>
        <item x="25"/>
        <item x="26"/>
        <item x="28"/>
        <item x="246"/>
        <item x="249"/>
        <item x="29"/>
        <item x="258"/>
        <item x="31"/>
        <item x="34"/>
        <item x="261"/>
        <item x="32"/>
        <item x="35"/>
        <item x="264"/>
        <item x="37"/>
        <item x="267"/>
        <item x="38"/>
        <item x="40"/>
        <item x="270"/>
        <item x="43"/>
        <item x="41"/>
        <item x="46"/>
        <item x="44"/>
        <item x="49"/>
        <item x="52"/>
        <item x="47"/>
        <item x="50"/>
        <item x="273"/>
        <item x="53"/>
        <item x="55"/>
        <item x="61"/>
        <item x="58"/>
        <item x="64"/>
        <item x="72"/>
        <item x="67"/>
        <item x="75"/>
        <item x="56"/>
        <item x="59"/>
        <item x="62"/>
        <item x="78"/>
        <item x="276"/>
        <item x="70"/>
        <item x="65"/>
        <item x="68"/>
        <item x="81"/>
        <item x="73"/>
        <item x="279"/>
        <item x="76"/>
        <item x="84"/>
        <item x="87"/>
        <item x="79"/>
        <item x="93"/>
        <item x="90"/>
        <item x="96"/>
        <item x="99"/>
        <item x="82"/>
        <item x="102"/>
        <item x="105"/>
        <item x="114"/>
        <item x="108"/>
        <item x="85"/>
        <item x="111"/>
        <item x="88"/>
        <item x="117"/>
        <item x="284"/>
        <item x="91"/>
        <item x="120"/>
        <item x="94"/>
        <item x="287"/>
        <item x="97"/>
        <item x="129"/>
        <item x="123"/>
        <item x="126"/>
        <item x="100"/>
        <item x="132"/>
        <item x="103"/>
        <item x="106"/>
        <item x="290"/>
        <item x="135"/>
        <item x="109"/>
        <item x="293"/>
        <item x="296"/>
        <item x="115"/>
        <item x="138"/>
        <item x="112"/>
        <item x="141"/>
        <item x="118"/>
        <item x="298"/>
        <item x="301"/>
        <item x="121"/>
        <item x="144"/>
        <item x="124"/>
        <item x="304"/>
        <item x="147"/>
        <item x="127"/>
        <item x="159"/>
        <item x="130"/>
        <item x="307"/>
        <item x="162"/>
        <item x="156"/>
        <item x="150"/>
        <item x="153"/>
        <item x="133"/>
        <item x="310"/>
        <item x="165"/>
        <item x="136"/>
        <item x="313"/>
        <item x="139"/>
        <item x="168"/>
        <item x="142"/>
        <item x="145"/>
        <item x="171"/>
        <item x="148"/>
        <item x="316"/>
        <item x="151"/>
        <item x="160"/>
        <item x="174"/>
        <item x="154"/>
        <item x="157"/>
        <item x="163"/>
        <item x="177"/>
        <item x="319"/>
        <item x="322"/>
        <item x="180"/>
        <item x="166"/>
        <item x="183"/>
        <item x="186"/>
        <item x="325"/>
        <item x="328"/>
        <item x="189"/>
        <item x="169"/>
        <item x="192"/>
        <item x="172"/>
        <item x="195"/>
        <item x="333"/>
        <item x="336"/>
        <item x="198"/>
        <item x="175"/>
        <item x="339"/>
        <item x="342"/>
        <item x="178"/>
        <item x="348"/>
        <item x="345"/>
        <item x="201"/>
        <item x="351"/>
        <item x="181"/>
        <item x="217"/>
        <item x="354"/>
        <item x="184"/>
        <item x="204"/>
        <item x="220"/>
        <item x="187"/>
        <item x="227"/>
        <item x="229"/>
        <item x="223"/>
        <item x="226"/>
        <item x="190"/>
        <item x="207"/>
        <item x="232"/>
        <item x="193"/>
        <item x="210"/>
        <item x="235"/>
        <item x="196"/>
        <item x="199"/>
        <item x="238"/>
        <item x="202"/>
        <item x="241"/>
        <item x="205"/>
        <item x="215"/>
        <item x="218"/>
        <item x="244"/>
        <item x="213"/>
        <item x="221"/>
        <item x="253"/>
        <item x="224"/>
        <item x="247"/>
        <item x="228"/>
        <item x="211"/>
        <item x="208"/>
        <item x="230"/>
        <item x="250"/>
        <item x="256"/>
        <item x="233"/>
        <item x="236"/>
        <item x="239"/>
        <item x="242"/>
        <item x="259"/>
        <item x="262"/>
        <item x="265"/>
        <item x="268"/>
        <item x="245"/>
        <item x="254"/>
        <item x="271"/>
        <item x="257"/>
        <item x="248"/>
        <item x="251"/>
        <item x="274"/>
        <item x="260"/>
        <item x="263"/>
        <item x="266"/>
        <item x="269"/>
        <item x="272"/>
        <item x="277"/>
        <item x="275"/>
        <item x="280"/>
        <item x="282"/>
        <item x="278"/>
        <item x="285"/>
        <item x="281"/>
        <item x="288"/>
        <item x="283"/>
        <item x="291"/>
        <item x="286"/>
        <item x="289"/>
        <item x="294"/>
        <item x="297"/>
        <item x="292"/>
        <item x="302"/>
        <item x="299"/>
        <item x="305"/>
        <item x="308"/>
        <item x="295"/>
        <item x="311"/>
        <item x="300"/>
        <item x="303"/>
        <item x="314"/>
        <item x="306"/>
        <item x="309"/>
        <item x="312"/>
        <item x="315"/>
        <item x="317"/>
        <item x="323"/>
        <item x="320"/>
        <item x="318"/>
        <item x="326"/>
        <item x="329"/>
        <item x="321"/>
        <item x="324"/>
        <item x="331"/>
        <item x="334"/>
        <item x="327"/>
        <item x="337"/>
        <item x="340"/>
        <item x="330"/>
        <item x="343"/>
        <item x="332"/>
        <item x="335"/>
        <item x="349"/>
        <item x="346"/>
        <item x="352"/>
        <item x="338"/>
        <item x="341"/>
        <item x="355"/>
        <item x="344"/>
        <item x="350"/>
        <item x="347"/>
        <item x="353"/>
        <item x="356"/>
        <item x="357"/>
        <item t="default"/>
      </items>
    </pivotField>
    <pivotField showAll="0">
      <items count="361">
        <item x="1"/>
        <item x="2"/>
        <item x="0"/>
        <item x="4"/>
        <item x="5"/>
        <item x="3"/>
        <item x="8"/>
        <item x="7"/>
        <item x="6"/>
        <item x="9"/>
        <item x="11"/>
        <item x="10"/>
        <item x="12"/>
        <item x="14"/>
        <item x="13"/>
        <item x="15"/>
        <item x="17"/>
        <item x="16"/>
        <item x="18"/>
        <item x="20"/>
        <item x="19"/>
        <item x="21"/>
        <item x="23"/>
        <item x="22"/>
        <item x="24"/>
        <item x="26"/>
        <item x="25"/>
        <item x="27"/>
        <item x="29"/>
        <item x="28"/>
        <item x="31"/>
        <item x="32"/>
        <item x="34"/>
        <item x="30"/>
        <item x="35"/>
        <item x="33"/>
        <item x="37"/>
        <item x="38"/>
        <item x="36"/>
        <item x="40"/>
        <item x="41"/>
        <item x="39"/>
        <item x="43"/>
        <item x="44"/>
        <item x="42"/>
        <item x="46"/>
        <item x="47"/>
        <item x="45"/>
        <item x="49"/>
        <item x="50"/>
        <item x="48"/>
        <item x="52"/>
        <item x="51"/>
        <item x="53"/>
        <item x="54"/>
        <item x="56"/>
        <item x="55"/>
        <item x="57"/>
        <item x="60"/>
        <item x="59"/>
        <item x="58"/>
        <item x="62"/>
        <item x="63"/>
        <item x="61"/>
        <item x="64"/>
        <item x="65"/>
        <item x="66"/>
        <item x="67"/>
        <item x="68"/>
        <item x="69"/>
        <item x="70"/>
        <item x="71"/>
        <item x="73"/>
        <item x="76"/>
        <item x="72"/>
        <item x="74"/>
        <item x="79"/>
        <item x="77"/>
        <item x="82"/>
        <item x="75"/>
        <item x="80"/>
        <item x="85"/>
        <item x="78"/>
        <item x="83"/>
        <item x="81"/>
        <item x="88"/>
        <item x="86"/>
        <item x="84"/>
        <item x="91"/>
        <item x="89"/>
        <item x="94"/>
        <item x="97"/>
        <item x="92"/>
        <item x="87"/>
        <item x="100"/>
        <item x="103"/>
        <item x="95"/>
        <item x="90"/>
        <item x="106"/>
        <item x="109"/>
        <item x="98"/>
        <item x="93"/>
        <item x="112"/>
        <item x="115"/>
        <item x="101"/>
        <item x="96"/>
        <item x="104"/>
        <item x="118"/>
        <item x="107"/>
        <item x="99"/>
        <item x="110"/>
        <item x="121"/>
        <item x="113"/>
        <item x="102"/>
        <item x="124"/>
        <item x="116"/>
        <item x="105"/>
        <item x="108"/>
        <item x="127"/>
        <item x="119"/>
        <item x="130"/>
        <item x="133"/>
        <item x="122"/>
        <item x="111"/>
        <item x="136"/>
        <item x="114"/>
        <item x="125"/>
        <item x="139"/>
        <item x="142"/>
        <item x="117"/>
        <item x="145"/>
        <item x="128"/>
        <item x="148"/>
        <item x="151"/>
        <item x="120"/>
        <item x="131"/>
        <item x="154"/>
        <item x="157"/>
        <item x="134"/>
        <item x="160"/>
        <item x="123"/>
        <item x="137"/>
        <item x="126"/>
        <item x="163"/>
        <item x="140"/>
        <item x="143"/>
        <item x="129"/>
        <item x="146"/>
        <item x="166"/>
        <item x="149"/>
        <item x="132"/>
        <item x="169"/>
        <item x="152"/>
        <item x="172"/>
        <item x="155"/>
        <item x="135"/>
        <item x="175"/>
        <item x="158"/>
        <item x="161"/>
        <item x="178"/>
        <item x="138"/>
        <item x="141"/>
        <item x="181"/>
        <item x="144"/>
        <item x="164"/>
        <item x="147"/>
        <item x="184"/>
        <item x="150"/>
        <item x="167"/>
        <item x="187"/>
        <item x="153"/>
        <item x="170"/>
        <item x="156"/>
        <item x="173"/>
        <item x="159"/>
        <item x="190"/>
        <item x="176"/>
        <item x="179"/>
        <item x="193"/>
        <item x="162"/>
        <item x="182"/>
        <item x="196"/>
        <item x="185"/>
        <item x="165"/>
        <item x="188"/>
        <item x="168"/>
        <item x="199"/>
        <item x="171"/>
        <item x="191"/>
        <item x="202"/>
        <item x="194"/>
        <item x="177"/>
        <item x="174"/>
        <item x="205"/>
        <item x="197"/>
        <item x="180"/>
        <item x="183"/>
        <item x="208"/>
        <item x="211"/>
        <item x="213"/>
        <item x="186"/>
        <item x="200"/>
        <item x="216"/>
        <item x="219"/>
        <item x="203"/>
        <item x="189"/>
        <item x="222"/>
        <item x="206"/>
        <item x="192"/>
        <item x="225"/>
        <item x="195"/>
        <item x="228"/>
        <item x="198"/>
        <item x="231"/>
        <item x="201"/>
        <item x="209"/>
        <item x="234"/>
        <item x="204"/>
        <item x="237"/>
        <item x="240"/>
        <item x="243"/>
        <item x="214"/>
        <item x="217"/>
        <item x="246"/>
        <item x="220"/>
        <item x="249"/>
        <item x="223"/>
        <item x="207"/>
        <item x="257"/>
        <item x="254"/>
        <item x="226"/>
        <item x="229"/>
        <item x="210"/>
        <item x="232"/>
        <item x="235"/>
        <item x="238"/>
        <item x="260"/>
        <item x="241"/>
        <item x="244"/>
        <item x="215"/>
        <item x="212"/>
        <item x="263"/>
        <item x="247"/>
        <item x="218"/>
        <item x="221"/>
        <item x="265"/>
        <item x="250"/>
        <item x="258"/>
        <item x="252"/>
        <item x="268"/>
        <item x="255"/>
        <item x="224"/>
        <item x="227"/>
        <item x="271"/>
        <item x="274"/>
        <item x="230"/>
        <item x="277"/>
        <item x="233"/>
        <item x="261"/>
        <item x="236"/>
        <item x="264"/>
        <item x="239"/>
        <item x="280"/>
        <item x="266"/>
        <item x="242"/>
        <item x="269"/>
        <item x="245"/>
        <item x="283"/>
        <item x="286"/>
        <item x="272"/>
        <item x="256"/>
        <item x="248"/>
        <item x="251"/>
        <item x="275"/>
        <item x="253"/>
        <item x="278"/>
        <item x="289"/>
        <item x="292"/>
        <item x="259"/>
        <item x="281"/>
        <item x="262"/>
        <item x="295"/>
        <item x="284"/>
        <item x="267"/>
        <item x="270"/>
        <item x="287"/>
        <item x="298"/>
        <item x="301"/>
        <item x="273"/>
        <item x="303"/>
        <item x="276"/>
        <item x="306"/>
        <item x="290"/>
        <item x="293"/>
        <item x="309"/>
        <item x="279"/>
        <item x="282"/>
        <item x="312"/>
        <item x="296"/>
        <item x="285"/>
        <item x="315"/>
        <item x="299"/>
        <item x="318"/>
        <item x="304"/>
        <item x="307"/>
        <item x="310"/>
        <item x="288"/>
        <item x="321"/>
        <item x="291"/>
        <item x="313"/>
        <item x="294"/>
        <item x="324"/>
        <item x="297"/>
        <item x="316"/>
        <item x="327"/>
        <item x="319"/>
        <item x="300"/>
        <item x="302"/>
        <item x="330"/>
        <item x="305"/>
        <item x="322"/>
        <item x="333"/>
        <item x="308"/>
        <item x="325"/>
        <item x="311"/>
        <item x="336"/>
        <item x="328"/>
        <item x="314"/>
        <item x="339"/>
        <item x="342"/>
        <item x="317"/>
        <item x="331"/>
        <item x="345"/>
        <item x="334"/>
        <item x="320"/>
        <item x="348"/>
        <item x="323"/>
        <item x="337"/>
        <item x="326"/>
        <item x="340"/>
        <item x="351"/>
        <item x="343"/>
        <item x="329"/>
        <item x="354"/>
        <item x="346"/>
        <item x="332"/>
        <item x="357"/>
        <item x="349"/>
        <item x="335"/>
        <item x="338"/>
        <item x="352"/>
        <item x="341"/>
        <item x="355"/>
        <item x="344"/>
        <item x="358"/>
        <item x="347"/>
        <item x="350"/>
        <item x="353"/>
        <item x="356"/>
        <item x="359"/>
        <item t="default"/>
      </items>
    </pivotField>
    <pivotField showAll="0"/>
  </pivotFields>
  <rowFields count="2">
    <field x="1"/>
    <field x="2"/>
  </rowFields>
  <rowItems count="31">
    <i>
      <x/>
    </i>
    <i>
      <x v="1"/>
    </i>
    <i>
      <x v="2"/>
    </i>
    <i>
      <x v="3"/>
    </i>
    <i>
      <x v="4"/>
    </i>
    <i>
      <x v="5"/>
    </i>
    <i>
      <x v="6"/>
    </i>
    <i>
      <x v="7"/>
    </i>
    <i>
      <x v="8"/>
    </i>
    <i>
      <x v="9"/>
    </i>
    <i r="1">
      <x/>
    </i>
    <i r="1">
      <x v="1"/>
    </i>
    <i r="1">
      <x v="2"/>
    </i>
    <i r="1">
      <x v="3"/>
    </i>
    <i r="1">
      <x v="4"/>
    </i>
    <i r="1">
      <x v="5"/>
    </i>
    <i r="1">
      <x v="6"/>
    </i>
    <i r="1">
      <x v="7"/>
    </i>
    <i r="1">
      <x v="8"/>
    </i>
    <i r="1">
      <x v="9"/>
    </i>
    <i r="1">
      <x v="10"/>
    </i>
    <i r="1">
      <x v="11"/>
    </i>
    <i>
      <x v="10"/>
    </i>
    <i r="1">
      <x/>
    </i>
    <i r="1">
      <x v="1"/>
    </i>
    <i r="1">
      <x v="2"/>
    </i>
    <i r="1">
      <x v="3"/>
    </i>
    <i r="1">
      <x v="4"/>
    </i>
    <i>
      <x v="11"/>
    </i>
    <i r="1">
      <x v="14"/>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Sum of Cereals and products" fld="3" baseField="0" baseItem="0"/>
    <dataField name="Sum of Pan, tobacco and intoxicants" fld="16" baseField="0" baseItem="0"/>
    <dataField name="Sum of Food and beverages" fld="15" baseField="0" baseItem="0"/>
    <dataField name="Sum of Prepared meals, snacks, sweets etc." fld="14" baseField="0" baseItem="0"/>
    <dataField name="Sum of Fruits" fld="8" baseField="0" baseItem="0"/>
    <dataField name="Sum of Non-alcoholic beverages" fld="13" baseField="0" baseItem="0"/>
    <dataField name="Sum of Oils and fats" fld="7" baseField="0" baseItem="0"/>
    <dataField name="Sum of Sugar and Confectionery" fld="11" baseField="0" baseItem="0"/>
    <dataField name="Sum of Milk and products" fld="6" baseField="0" baseItem="0"/>
    <dataField name="Sum of Meat and fish" fld="4" baseField="0" baseItem="0"/>
    <dataField name="Sum of Vegetables" fld="9" baseField="0" baseItem="0"/>
    <dataField name="Sum of Pulses and products" fld="10" baseField="0" baseItem="0"/>
    <dataField name="Sum of Spices" fld="12" baseField="0" baseItem="0"/>
    <dataField name="Sum of Egg"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BF5FCB7-CA89-415C-B183-AF6043778342}"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F54" firstHeaderRow="0" firstDataRow="1" firstDataCol="1" rowPageCount="1" colPageCount="1"/>
  <pivotFields count="35">
    <pivotField axis="axisPage" showAll="0">
      <items count="5">
        <item x="0"/>
        <item x="2"/>
        <item x="1"/>
        <item x="3"/>
        <item t="default"/>
      </items>
    </pivotField>
    <pivotField axis="axisRow" showAll="0">
      <items count="13">
        <item sd="0" x="0"/>
        <item sd="0" x="1"/>
        <item sd="0" x="2"/>
        <item sd="0" x="3"/>
        <item sd="0" x="4"/>
        <item sd="0" x="5"/>
        <item sd="0" x="6"/>
        <item sd="0" x="7"/>
        <item sd="0" x="8"/>
        <item x="9"/>
        <item x="10"/>
        <item x="11"/>
        <item t="default"/>
      </items>
    </pivotField>
    <pivotField axis="axisRow" showAll="0">
      <items count="16">
        <item x="0"/>
        <item x="1"/>
        <item x="2"/>
        <item x="3"/>
        <item x="4"/>
        <item x="5"/>
        <item x="6"/>
        <item x="7"/>
        <item x="8"/>
        <item x="9"/>
        <item x="11"/>
        <item x="12"/>
        <item x="13"/>
        <item x="1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x="284"/>
        <item t="default"/>
      </items>
    </pivotField>
    <pivotField dataField="1" showAll="0">
      <items count="362">
        <item x="0"/>
        <item x="2"/>
        <item x="1"/>
        <item x="3"/>
        <item x="6"/>
        <item x="5"/>
        <item x="8"/>
        <item x="9"/>
        <item x="7"/>
        <item x="4"/>
        <item x="11"/>
        <item x="12"/>
        <item x="10"/>
        <item x="14"/>
        <item x="13"/>
        <item x="15"/>
        <item x="17"/>
        <item x="18"/>
        <item x="20"/>
        <item x="21"/>
        <item x="16"/>
        <item x="23"/>
        <item x="40"/>
        <item x="41"/>
        <item x="39"/>
        <item x="43"/>
        <item x="37"/>
        <item x="24"/>
        <item x="38"/>
        <item x="36"/>
        <item x="19"/>
        <item x="44"/>
        <item x="26"/>
        <item x="42"/>
        <item x="25"/>
        <item x="22"/>
        <item x="34"/>
        <item x="45"/>
        <item x="47"/>
        <item x="27"/>
        <item x="35"/>
        <item x="46"/>
        <item x="33"/>
        <item x="29"/>
        <item x="48"/>
        <item x="28"/>
        <item x="50"/>
        <item x="51"/>
        <item x="49"/>
        <item x="30"/>
        <item x="53"/>
        <item x="32"/>
        <item x="31"/>
        <item x="52"/>
        <item x="54"/>
        <item x="72"/>
        <item x="69"/>
        <item x="74"/>
        <item x="77"/>
        <item x="71"/>
        <item x="75"/>
        <item x="80"/>
        <item x="56"/>
        <item x="78"/>
        <item x="79"/>
        <item x="76"/>
        <item x="57"/>
        <item x="63"/>
        <item x="73"/>
        <item x="83"/>
        <item x="60"/>
        <item x="66"/>
        <item x="81"/>
        <item x="70"/>
        <item x="65"/>
        <item x="68"/>
        <item x="82"/>
        <item x="62"/>
        <item x="64"/>
        <item x="67"/>
        <item x="59"/>
        <item x="84"/>
        <item x="61"/>
        <item x="86"/>
        <item x="55"/>
        <item x="85"/>
        <item x="58"/>
        <item x="87"/>
        <item x="89"/>
        <item x="90"/>
        <item x="92"/>
        <item x="88"/>
        <item x="91"/>
        <item x="93"/>
        <item x="95"/>
        <item x="96"/>
        <item x="98"/>
        <item x="94"/>
        <item x="97"/>
        <item x="99"/>
        <item x="115"/>
        <item x="101"/>
        <item x="116"/>
        <item x="113"/>
        <item x="105"/>
        <item x="112"/>
        <item x="111"/>
        <item x="114"/>
        <item x="102"/>
        <item x="107"/>
        <item x="108"/>
        <item x="104"/>
        <item x="110"/>
        <item x="100"/>
        <item x="106"/>
        <item x="117"/>
        <item x="119"/>
        <item x="109"/>
        <item x="103"/>
        <item x="118"/>
        <item x="148"/>
        <item x="151"/>
        <item x="154"/>
        <item x="157"/>
        <item x="145"/>
        <item x="120"/>
        <item x="155"/>
        <item x="152"/>
        <item x="158"/>
        <item x="149"/>
        <item x="122"/>
        <item x="153"/>
        <item x="146"/>
        <item x="150"/>
        <item x="156"/>
        <item x="142"/>
        <item x="187"/>
        <item x="147"/>
        <item x="190"/>
        <item x="160"/>
        <item x="144"/>
        <item x="161"/>
        <item x="193"/>
        <item x="143"/>
        <item x="159"/>
        <item x="123"/>
        <item x="184"/>
        <item x="121"/>
        <item x="141"/>
        <item x="125"/>
        <item x="139"/>
        <item x="133"/>
        <item x="140"/>
        <item x="169"/>
        <item x="134"/>
        <item x="138"/>
        <item x="181"/>
        <item x="136"/>
        <item x="126"/>
        <item x="196"/>
        <item x="137"/>
        <item x="217"/>
        <item x="132"/>
        <item x="214"/>
        <item x="205"/>
        <item x="188"/>
        <item x="135"/>
        <item x="191"/>
        <item x="185"/>
        <item x="129"/>
        <item x="218"/>
        <item x="164"/>
        <item x="194"/>
        <item x="208"/>
        <item x="131"/>
        <item x="163"/>
        <item x="220"/>
        <item x="172"/>
        <item x="162"/>
        <item x="221"/>
        <item x="170"/>
        <item x="211"/>
        <item x="216"/>
        <item x="219"/>
        <item x="128"/>
        <item x="222"/>
        <item x="178"/>
        <item x="166"/>
        <item x="215"/>
        <item x="224"/>
        <item x="130"/>
        <item x="202"/>
        <item x="124"/>
        <item x="173"/>
        <item x="197"/>
        <item x="199"/>
        <item x="167"/>
        <item x="223"/>
        <item x="168"/>
        <item x="182"/>
        <item x="183"/>
        <item x="213"/>
        <item x="189"/>
        <item x="186"/>
        <item x="212"/>
        <item x="206"/>
        <item x="209"/>
        <item x="192"/>
        <item x="171"/>
        <item x="165"/>
        <item x="207"/>
        <item x="225"/>
        <item x="195"/>
        <item x="179"/>
        <item x="210"/>
        <item x="200"/>
        <item x="175"/>
        <item x="180"/>
        <item x="127"/>
        <item x="227"/>
        <item x="203"/>
        <item x="204"/>
        <item x="176"/>
        <item x="198"/>
        <item x="177"/>
        <item x="228"/>
        <item x="174"/>
        <item x="201"/>
        <item x="226"/>
        <item x="230"/>
        <item x="231"/>
        <item x="234"/>
        <item x="229"/>
        <item x="233"/>
        <item x="236"/>
        <item x="237"/>
        <item x="239"/>
        <item x="232"/>
        <item x="235"/>
        <item x="240"/>
        <item x="238"/>
        <item x="242"/>
        <item x="255"/>
        <item x="256"/>
        <item x="243"/>
        <item x="241"/>
        <item x="245"/>
        <item x="252"/>
        <item x="254"/>
        <item x="253"/>
        <item x="244"/>
        <item x="249"/>
        <item x="246"/>
        <item x="251"/>
        <item x="257"/>
        <item x="248"/>
        <item x="250"/>
        <item x="259"/>
        <item x="247"/>
        <item x="260"/>
        <item x="258"/>
        <item x="262"/>
        <item x="263"/>
        <item x="266"/>
        <item x="265"/>
        <item x="261"/>
        <item x="268"/>
        <item x="281"/>
        <item x="264"/>
        <item x="269"/>
        <item x="285"/>
        <item x="283"/>
        <item x="267"/>
        <item x="271"/>
        <item x="286"/>
        <item x="278"/>
        <item x="288"/>
        <item x="284"/>
        <item x="282"/>
        <item x="280"/>
        <item x="272"/>
        <item x="270"/>
        <item x="274"/>
        <item x="287"/>
        <item x="275"/>
        <item x="289"/>
        <item x="279"/>
        <item x="277"/>
        <item x="291"/>
        <item x="273"/>
        <item x="292"/>
        <item x="276"/>
        <item x="298"/>
        <item x="295"/>
        <item x="290"/>
        <item x="301"/>
        <item x="294"/>
        <item x="300"/>
        <item x="297"/>
        <item x="314"/>
        <item x="311"/>
        <item x="293"/>
        <item x="316"/>
        <item x="299"/>
        <item x="302"/>
        <item x="313"/>
        <item x="308"/>
        <item x="296"/>
        <item x="304"/>
        <item x="317"/>
        <item x="310"/>
        <item x="305"/>
        <item x="319"/>
        <item x="315"/>
        <item x="312"/>
        <item x="307"/>
        <item x="318"/>
        <item x="303"/>
        <item x="320"/>
        <item x="309"/>
        <item x="322"/>
        <item x="306"/>
        <item x="323"/>
        <item x="321"/>
        <item x="325"/>
        <item x="326"/>
        <item x="329"/>
        <item x="332"/>
        <item x="328"/>
        <item x="324"/>
        <item x="331"/>
        <item x="335"/>
        <item x="350"/>
        <item x="334"/>
        <item x="344"/>
        <item x="354"/>
        <item x="337"/>
        <item x="352"/>
        <item x="353"/>
        <item x="338"/>
        <item x="347"/>
        <item x="346"/>
        <item x="341"/>
        <item x="327"/>
        <item x="330"/>
        <item x="356"/>
        <item x="357"/>
        <item x="349"/>
        <item x="333"/>
        <item x="340"/>
        <item x="343"/>
        <item x="345"/>
        <item x="351"/>
        <item x="336"/>
        <item x="359"/>
        <item x="348"/>
        <item x="342"/>
        <item x="355"/>
        <item x="339"/>
        <item x="358"/>
        <item x="360"/>
        <item t="default"/>
      </items>
    </pivotField>
    <pivotField dataField="1" showAll="0">
      <items count="354">
        <item x="1"/>
        <item x="2"/>
        <item x="4"/>
        <item x="0"/>
        <item x="5"/>
        <item x="7"/>
        <item x="3"/>
        <item x="9"/>
        <item x="8"/>
        <item x="10"/>
        <item x="12"/>
        <item x="6"/>
        <item x="13"/>
        <item x="11"/>
        <item x="15"/>
        <item x="16"/>
        <item x="18"/>
        <item x="14"/>
        <item x="19"/>
        <item x="17"/>
        <item x="21"/>
        <item x="22"/>
        <item x="20"/>
        <item x="24"/>
        <item x="25"/>
        <item x="27"/>
        <item x="23"/>
        <item x="28"/>
        <item x="30"/>
        <item x="33"/>
        <item x="26"/>
        <item x="31"/>
        <item x="36"/>
        <item x="29"/>
        <item x="39"/>
        <item x="34"/>
        <item x="42"/>
        <item x="37"/>
        <item x="32"/>
        <item x="45"/>
        <item x="40"/>
        <item x="48"/>
        <item x="35"/>
        <item x="43"/>
        <item x="51"/>
        <item x="38"/>
        <item x="46"/>
        <item x="41"/>
        <item x="54"/>
        <item x="49"/>
        <item x="44"/>
        <item x="52"/>
        <item x="57"/>
        <item x="60"/>
        <item x="47"/>
        <item x="63"/>
        <item x="55"/>
        <item x="50"/>
        <item x="66"/>
        <item x="58"/>
        <item x="69"/>
        <item x="61"/>
        <item x="53"/>
        <item x="72"/>
        <item x="56"/>
        <item x="75"/>
        <item x="64"/>
        <item x="78"/>
        <item x="67"/>
        <item x="59"/>
        <item x="81"/>
        <item x="70"/>
        <item x="84"/>
        <item x="62"/>
        <item x="65"/>
        <item x="73"/>
        <item x="87"/>
        <item x="90"/>
        <item x="93"/>
        <item x="68"/>
        <item x="76"/>
        <item x="96"/>
        <item x="79"/>
        <item x="71"/>
        <item x="99"/>
        <item x="82"/>
        <item x="102"/>
        <item x="105"/>
        <item x="85"/>
        <item x="74"/>
        <item x="108"/>
        <item x="77"/>
        <item x="88"/>
        <item x="80"/>
        <item x="91"/>
        <item x="111"/>
        <item x="94"/>
        <item x="114"/>
        <item x="83"/>
        <item x="117"/>
        <item x="97"/>
        <item x="120"/>
        <item x="100"/>
        <item x="123"/>
        <item x="86"/>
        <item x="89"/>
        <item x="126"/>
        <item x="103"/>
        <item x="106"/>
        <item x="92"/>
        <item x="129"/>
        <item x="132"/>
        <item x="109"/>
        <item x="135"/>
        <item x="95"/>
        <item x="141"/>
        <item x="138"/>
        <item x="144"/>
        <item x="98"/>
        <item x="112"/>
        <item x="147"/>
        <item x="150"/>
        <item x="115"/>
        <item x="101"/>
        <item x="153"/>
        <item x="156"/>
        <item x="104"/>
        <item x="118"/>
        <item x="159"/>
        <item x="162"/>
        <item x="121"/>
        <item x="107"/>
        <item x="124"/>
        <item x="165"/>
        <item x="110"/>
        <item x="127"/>
        <item x="113"/>
        <item x="170"/>
        <item x="130"/>
        <item x="116"/>
        <item x="173"/>
        <item x="133"/>
        <item x="176"/>
        <item x="119"/>
        <item x="136"/>
        <item x="179"/>
        <item x="142"/>
        <item x="139"/>
        <item x="182"/>
        <item x="122"/>
        <item x="145"/>
        <item x="185"/>
        <item x="148"/>
        <item x="125"/>
        <item x="151"/>
        <item x="188"/>
        <item x="154"/>
        <item x="157"/>
        <item x="128"/>
        <item x="160"/>
        <item x="191"/>
        <item x="131"/>
        <item x="194"/>
        <item x="163"/>
        <item x="197"/>
        <item x="200"/>
        <item x="134"/>
        <item x="137"/>
        <item x="166"/>
        <item x="140"/>
        <item x="203"/>
        <item x="143"/>
        <item x="146"/>
        <item x="168"/>
        <item x="206"/>
        <item x="149"/>
        <item x="171"/>
        <item x="209"/>
        <item x="152"/>
        <item x="211"/>
        <item x="155"/>
        <item x="214"/>
        <item x="174"/>
        <item x="177"/>
        <item x="158"/>
        <item x="216"/>
        <item x="180"/>
        <item x="219"/>
        <item x="183"/>
        <item x="161"/>
        <item x="222"/>
        <item x="186"/>
        <item x="225"/>
        <item x="164"/>
        <item x="189"/>
        <item x="167"/>
        <item x="192"/>
        <item x="195"/>
        <item x="198"/>
        <item x="169"/>
        <item x="234"/>
        <item x="201"/>
        <item x="237"/>
        <item x="204"/>
        <item x="240"/>
        <item x="175"/>
        <item x="172"/>
        <item x="210"/>
        <item x="207"/>
        <item x="212"/>
        <item x="178"/>
        <item x="242"/>
        <item x="181"/>
        <item x="220"/>
        <item x="217"/>
        <item x="223"/>
        <item x="184"/>
        <item x="226"/>
        <item x="247"/>
        <item x="228"/>
        <item x="187"/>
        <item x="190"/>
        <item x="230"/>
        <item x="232"/>
        <item x="193"/>
        <item x="235"/>
        <item x="196"/>
        <item x="213"/>
        <item x="205"/>
        <item x="238"/>
        <item x="199"/>
        <item x="218"/>
        <item x="208"/>
        <item x="215"/>
        <item x="202"/>
        <item x="221"/>
        <item x="224"/>
        <item x="243"/>
        <item x="250"/>
        <item x="227"/>
        <item x="245"/>
        <item x="248"/>
        <item x="253"/>
        <item x="229"/>
        <item x="231"/>
        <item x="233"/>
        <item x="236"/>
        <item x="239"/>
        <item x="259"/>
        <item x="262"/>
        <item x="256"/>
        <item x="241"/>
        <item x="265"/>
        <item x="244"/>
        <item x="268"/>
        <item x="246"/>
        <item x="251"/>
        <item x="271"/>
        <item x="274"/>
        <item x="254"/>
        <item x="277"/>
        <item x="260"/>
        <item x="257"/>
        <item x="280"/>
        <item x="263"/>
        <item x="249"/>
        <item x="283"/>
        <item x="266"/>
        <item x="252"/>
        <item x="269"/>
        <item x="286"/>
        <item x="275"/>
        <item x="272"/>
        <item x="255"/>
        <item x="258"/>
        <item x="261"/>
        <item x="278"/>
        <item x="289"/>
        <item x="292"/>
        <item x="264"/>
        <item x="267"/>
        <item x="295"/>
        <item x="273"/>
        <item x="270"/>
        <item x="298"/>
        <item x="276"/>
        <item x="281"/>
        <item x="301"/>
        <item x="284"/>
        <item x="287"/>
        <item x="304"/>
        <item x="290"/>
        <item x="293"/>
        <item x="307"/>
        <item x="296"/>
        <item x="282"/>
        <item x="279"/>
        <item x="310"/>
        <item x="299"/>
        <item x="285"/>
        <item x="288"/>
        <item x="302"/>
        <item x="313"/>
        <item x="291"/>
        <item x="316"/>
        <item x="305"/>
        <item x="294"/>
        <item x="308"/>
        <item x="319"/>
        <item x="297"/>
        <item x="322"/>
        <item x="300"/>
        <item x="311"/>
        <item x="325"/>
        <item x="303"/>
        <item x="328"/>
        <item x="314"/>
        <item x="306"/>
        <item x="331"/>
        <item x="317"/>
        <item x="334"/>
        <item x="309"/>
        <item x="320"/>
        <item x="337"/>
        <item x="323"/>
        <item x="312"/>
        <item x="340"/>
        <item x="326"/>
        <item x="315"/>
        <item x="329"/>
        <item x="343"/>
        <item x="318"/>
        <item x="332"/>
        <item x="347"/>
        <item x="321"/>
        <item x="350"/>
        <item x="335"/>
        <item x="324"/>
        <item x="338"/>
        <item x="327"/>
        <item x="341"/>
        <item x="330"/>
        <item x="345"/>
        <item x="344"/>
        <item x="333"/>
        <item x="348"/>
        <item x="336"/>
        <item x="351"/>
        <item x="339"/>
        <item x="342"/>
        <item x="346"/>
        <item x="349"/>
        <item x="352"/>
        <item t="default"/>
      </items>
    </pivotField>
    <pivotField dataField="1" showAll="0">
      <items count="359">
        <item x="0"/>
        <item x="3"/>
        <item x="6"/>
        <item x="9"/>
        <item x="12"/>
        <item x="15"/>
        <item x="18"/>
        <item x="21"/>
        <item x="24"/>
        <item x="27"/>
        <item x="30"/>
        <item x="33"/>
        <item x="36"/>
        <item x="39"/>
        <item x="42"/>
        <item x="45"/>
        <item x="48"/>
        <item x="51"/>
        <item x="54"/>
        <item x="57"/>
        <item x="60"/>
        <item x="63"/>
        <item x="69"/>
        <item x="66"/>
        <item x="71"/>
        <item x="74"/>
        <item x="77"/>
        <item x="80"/>
        <item x="83"/>
        <item x="86"/>
        <item x="89"/>
        <item x="92"/>
        <item x="95"/>
        <item x="98"/>
        <item x="101"/>
        <item x="104"/>
        <item x="107"/>
        <item x="113"/>
        <item x="110"/>
        <item x="116"/>
        <item x="119"/>
        <item x="122"/>
        <item x="125"/>
        <item x="128"/>
        <item x="131"/>
        <item x="134"/>
        <item x="137"/>
        <item x="140"/>
        <item x="143"/>
        <item x="146"/>
        <item x="149"/>
        <item x="152"/>
        <item x="155"/>
        <item x="158"/>
        <item x="161"/>
        <item x="164"/>
        <item x="167"/>
        <item x="170"/>
        <item x="173"/>
        <item x="176"/>
        <item x="179"/>
        <item x="182"/>
        <item x="185"/>
        <item x="188"/>
        <item x="191"/>
        <item x="1"/>
        <item x="2"/>
        <item x="194"/>
        <item x="4"/>
        <item x="5"/>
        <item x="8"/>
        <item x="197"/>
        <item x="7"/>
        <item x="11"/>
        <item x="10"/>
        <item x="13"/>
        <item x="14"/>
        <item x="200"/>
        <item x="203"/>
        <item x="216"/>
        <item x="214"/>
        <item x="219"/>
        <item x="222"/>
        <item x="212"/>
        <item x="16"/>
        <item x="225"/>
        <item x="17"/>
        <item x="206"/>
        <item x="209"/>
        <item x="231"/>
        <item x="234"/>
        <item x="237"/>
        <item x="19"/>
        <item x="20"/>
        <item x="22"/>
        <item x="23"/>
        <item x="252"/>
        <item x="240"/>
        <item x="255"/>
        <item x="243"/>
        <item x="25"/>
        <item x="26"/>
        <item x="28"/>
        <item x="246"/>
        <item x="249"/>
        <item x="29"/>
        <item x="258"/>
        <item x="31"/>
        <item x="34"/>
        <item x="261"/>
        <item x="32"/>
        <item x="35"/>
        <item x="264"/>
        <item x="37"/>
        <item x="267"/>
        <item x="38"/>
        <item x="40"/>
        <item x="270"/>
        <item x="43"/>
        <item x="41"/>
        <item x="46"/>
        <item x="44"/>
        <item x="49"/>
        <item x="52"/>
        <item x="47"/>
        <item x="50"/>
        <item x="273"/>
        <item x="53"/>
        <item x="55"/>
        <item x="61"/>
        <item x="58"/>
        <item x="64"/>
        <item x="72"/>
        <item x="67"/>
        <item x="75"/>
        <item x="56"/>
        <item x="59"/>
        <item x="62"/>
        <item x="78"/>
        <item x="276"/>
        <item x="70"/>
        <item x="65"/>
        <item x="68"/>
        <item x="81"/>
        <item x="73"/>
        <item x="279"/>
        <item x="76"/>
        <item x="84"/>
        <item x="87"/>
        <item x="79"/>
        <item x="93"/>
        <item x="90"/>
        <item x="96"/>
        <item x="99"/>
        <item x="82"/>
        <item x="102"/>
        <item x="105"/>
        <item x="114"/>
        <item x="108"/>
        <item x="85"/>
        <item x="111"/>
        <item x="88"/>
        <item x="117"/>
        <item x="284"/>
        <item x="91"/>
        <item x="120"/>
        <item x="94"/>
        <item x="287"/>
        <item x="97"/>
        <item x="129"/>
        <item x="123"/>
        <item x="126"/>
        <item x="100"/>
        <item x="132"/>
        <item x="103"/>
        <item x="106"/>
        <item x="290"/>
        <item x="135"/>
        <item x="109"/>
        <item x="293"/>
        <item x="296"/>
        <item x="115"/>
        <item x="138"/>
        <item x="112"/>
        <item x="141"/>
        <item x="118"/>
        <item x="298"/>
        <item x="301"/>
        <item x="121"/>
        <item x="144"/>
        <item x="124"/>
        <item x="304"/>
        <item x="147"/>
        <item x="127"/>
        <item x="159"/>
        <item x="130"/>
        <item x="307"/>
        <item x="162"/>
        <item x="156"/>
        <item x="150"/>
        <item x="153"/>
        <item x="133"/>
        <item x="310"/>
        <item x="165"/>
        <item x="136"/>
        <item x="313"/>
        <item x="139"/>
        <item x="168"/>
        <item x="142"/>
        <item x="145"/>
        <item x="171"/>
        <item x="148"/>
        <item x="316"/>
        <item x="151"/>
        <item x="160"/>
        <item x="174"/>
        <item x="154"/>
        <item x="157"/>
        <item x="163"/>
        <item x="177"/>
        <item x="319"/>
        <item x="322"/>
        <item x="180"/>
        <item x="166"/>
        <item x="183"/>
        <item x="186"/>
        <item x="325"/>
        <item x="328"/>
        <item x="189"/>
        <item x="169"/>
        <item x="192"/>
        <item x="172"/>
        <item x="195"/>
        <item x="333"/>
        <item x="336"/>
        <item x="198"/>
        <item x="175"/>
        <item x="339"/>
        <item x="342"/>
        <item x="178"/>
        <item x="348"/>
        <item x="345"/>
        <item x="201"/>
        <item x="351"/>
        <item x="181"/>
        <item x="217"/>
        <item x="354"/>
        <item x="184"/>
        <item x="204"/>
        <item x="220"/>
        <item x="187"/>
        <item x="227"/>
        <item x="229"/>
        <item x="223"/>
        <item x="226"/>
        <item x="190"/>
        <item x="207"/>
        <item x="232"/>
        <item x="193"/>
        <item x="210"/>
        <item x="235"/>
        <item x="196"/>
        <item x="199"/>
        <item x="238"/>
        <item x="202"/>
        <item x="241"/>
        <item x="205"/>
        <item x="215"/>
        <item x="218"/>
        <item x="244"/>
        <item x="213"/>
        <item x="221"/>
        <item x="253"/>
        <item x="224"/>
        <item x="247"/>
        <item x="228"/>
        <item x="211"/>
        <item x="208"/>
        <item x="230"/>
        <item x="250"/>
        <item x="256"/>
        <item x="233"/>
        <item x="236"/>
        <item x="239"/>
        <item x="242"/>
        <item x="259"/>
        <item x="262"/>
        <item x="265"/>
        <item x="268"/>
        <item x="245"/>
        <item x="254"/>
        <item x="271"/>
        <item x="257"/>
        <item x="248"/>
        <item x="251"/>
        <item x="274"/>
        <item x="260"/>
        <item x="263"/>
        <item x="266"/>
        <item x="269"/>
        <item x="272"/>
        <item x="277"/>
        <item x="275"/>
        <item x="280"/>
        <item x="282"/>
        <item x="278"/>
        <item x="285"/>
        <item x="281"/>
        <item x="288"/>
        <item x="283"/>
        <item x="291"/>
        <item x="286"/>
        <item x="289"/>
        <item x="294"/>
        <item x="297"/>
        <item x="292"/>
        <item x="302"/>
        <item x="299"/>
        <item x="305"/>
        <item x="308"/>
        <item x="295"/>
        <item x="311"/>
        <item x="300"/>
        <item x="303"/>
        <item x="314"/>
        <item x="306"/>
        <item x="309"/>
        <item x="312"/>
        <item x="315"/>
        <item x="317"/>
        <item x="323"/>
        <item x="320"/>
        <item x="318"/>
        <item x="326"/>
        <item x="329"/>
        <item x="321"/>
        <item x="324"/>
        <item x="331"/>
        <item x="334"/>
        <item x="327"/>
        <item x="337"/>
        <item x="340"/>
        <item x="330"/>
        <item x="343"/>
        <item x="332"/>
        <item x="335"/>
        <item x="349"/>
        <item x="346"/>
        <item x="352"/>
        <item x="338"/>
        <item x="341"/>
        <item x="355"/>
        <item x="344"/>
        <item x="350"/>
        <item x="347"/>
        <item x="353"/>
        <item x="356"/>
        <item x="357"/>
        <item t="default"/>
      </items>
    </pivotField>
    <pivotField dataField="1" showAll="0">
      <items count="361">
        <item x="1"/>
        <item x="2"/>
        <item x="0"/>
        <item x="4"/>
        <item x="5"/>
        <item x="3"/>
        <item x="8"/>
        <item x="7"/>
        <item x="6"/>
        <item x="9"/>
        <item x="11"/>
        <item x="10"/>
        <item x="12"/>
        <item x="14"/>
        <item x="13"/>
        <item x="15"/>
        <item x="17"/>
        <item x="16"/>
        <item x="18"/>
        <item x="20"/>
        <item x="19"/>
        <item x="21"/>
        <item x="23"/>
        <item x="22"/>
        <item x="24"/>
        <item x="26"/>
        <item x="25"/>
        <item x="27"/>
        <item x="29"/>
        <item x="28"/>
        <item x="31"/>
        <item x="32"/>
        <item x="34"/>
        <item x="30"/>
        <item x="35"/>
        <item x="33"/>
        <item x="37"/>
        <item x="38"/>
        <item x="36"/>
        <item x="40"/>
        <item x="41"/>
        <item x="39"/>
        <item x="43"/>
        <item x="44"/>
        <item x="42"/>
        <item x="46"/>
        <item x="47"/>
        <item x="45"/>
        <item x="49"/>
        <item x="50"/>
        <item x="48"/>
        <item x="52"/>
        <item x="51"/>
        <item x="53"/>
        <item x="54"/>
        <item x="56"/>
        <item x="55"/>
        <item x="57"/>
        <item x="60"/>
        <item x="59"/>
        <item x="58"/>
        <item x="62"/>
        <item x="63"/>
        <item x="61"/>
        <item x="64"/>
        <item x="65"/>
        <item x="66"/>
        <item x="67"/>
        <item x="68"/>
        <item x="69"/>
        <item x="70"/>
        <item x="71"/>
        <item x="73"/>
        <item x="76"/>
        <item x="72"/>
        <item x="74"/>
        <item x="79"/>
        <item x="77"/>
        <item x="82"/>
        <item x="75"/>
        <item x="80"/>
        <item x="85"/>
        <item x="78"/>
        <item x="83"/>
        <item x="81"/>
        <item x="88"/>
        <item x="86"/>
        <item x="84"/>
        <item x="91"/>
        <item x="89"/>
        <item x="94"/>
        <item x="97"/>
        <item x="92"/>
        <item x="87"/>
        <item x="100"/>
        <item x="103"/>
        <item x="95"/>
        <item x="90"/>
        <item x="106"/>
        <item x="109"/>
        <item x="98"/>
        <item x="93"/>
        <item x="112"/>
        <item x="115"/>
        <item x="101"/>
        <item x="96"/>
        <item x="104"/>
        <item x="118"/>
        <item x="107"/>
        <item x="99"/>
        <item x="110"/>
        <item x="121"/>
        <item x="113"/>
        <item x="102"/>
        <item x="124"/>
        <item x="116"/>
        <item x="105"/>
        <item x="108"/>
        <item x="127"/>
        <item x="119"/>
        <item x="130"/>
        <item x="133"/>
        <item x="122"/>
        <item x="111"/>
        <item x="136"/>
        <item x="114"/>
        <item x="125"/>
        <item x="139"/>
        <item x="142"/>
        <item x="117"/>
        <item x="145"/>
        <item x="128"/>
        <item x="148"/>
        <item x="151"/>
        <item x="120"/>
        <item x="131"/>
        <item x="154"/>
        <item x="157"/>
        <item x="134"/>
        <item x="160"/>
        <item x="123"/>
        <item x="137"/>
        <item x="126"/>
        <item x="163"/>
        <item x="140"/>
        <item x="143"/>
        <item x="129"/>
        <item x="146"/>
        <item x="166"/>
        <item x="149"/>
        <item x="132"/>
        <item x="169"/>
        <item x="152"/>
        <item x="172"/>
        <item x="155"/>
        <item x="135"/>
        <item x="175"/>
        <item x="158"/>
        <item x="161"/>
        <item x="178"/>
        <item x="138"/>
        <item x="141"/>
        <item x="181"/>
        <item x="144"/>
        <item x="164"/>
        <item x="147"/>
        <item x="184"/>
        <item x="150"/>
        <item x="167"/>
        <item x="187"/>
        <item x="153"/>
        <item x="170"/>
        <item x="156"/>
        <item x="173"/>
        <item x="159"/>
        <item x="190"/>
        <item x="176"/>
        <item x="179"/>
        <item x="193"/>
        <item x="162"/>
        <item x="182"/>
        <item x="196"/>
        <item x="185"/>
        <item x="165"/>
        <item x="188"/>
        <item x="168"/>
        <item x="199"/>
        <item x="171"/>
        <item x="191"/>
        <item x="202"/>
        <item x="194"/>
        <item x="177"/>
        <item x="174"/>
        <item x="205"/>
        <item x="197"/>
        <item x="180"/>
        <item x="183"/>
        <item x="208"/>
        <item x="211"/>
        <item x="213"/>
        <item x="186"/>
        <item x="200"/>
        <item x="216"/>
        <item x="219"/>
        <item x="203"/>
        <item x="189"/>
        <item x="222"/>
        <item x="206"/>
        <item x="192"/>
        <item x="225"/>
        <item x="195"/>
        <item x="228"/>
        <item x="198"/>
        <item x="231"/>
        <item x="201"/>
        <item x="209"/>
        <item x="234"/>
        <item x="204"/>
        <item x="237"/>
        <item x="240"/>
        <item x="243"/>
        <item x="214"/>
        <item x="217"/>
        <item x="246"/>
        <item x="220"/>
        <item x="249"/>
        <item x="223"/>
        <item x="207"/>
        <item x="257"/>
        <item x="254"/>
        <item x="226"/>
        <item x="229"/>
        <item x="210"/>
        <item x="232"/>
        <item x="235"/>
        <item x="238"/>
        <item x="260"/>
        <item x="241"/>
        <item x="244"/>
        <item x="215"/>
        <item x="212"/>
        <item x="263"/>
        <item x="247"/>
        <item x="218"/>
        <item x="221"/>
        <item x="265"/>
        <item x="250"/>
        <item x="258"/>
        <item x="252"/>
        <item x="268"/>
        <item x="255"/>
        <item x="224"/>
        <item x="227"/>
        <item x="271"/>
        <item x="274"/>
        <item x="230"/>
        <item x="277"/>
        <item x="233"/>
        <item x="261"/>
        <item x="236"/>
        <item x="264"/>
        <item x="239"/>
        <item x="280"/>
        <item x="266"/>
        <item x="242"/>
        <item x="269"/>
        <item x="245"/>
        <item x="283"/>
        <item x="286"/>
        <item x="272"/>
        <item x="256"/>
        <item x="248"/>
        <item x="251"/>
        <item x="275"/>
        <item x="253"/>
        <item x="278"/>
        <item x="289"/>
        <item x="292"/>
        <item x="259"/>
        <item x="281"/>
        <item x="262"/>
        <item x="295"/>
        <item x="284"/>
        <item x="267"/>
        <item x="270"/>
        <item x="287"/>
        <item x="298"/>
        <item x="301"/>
        <item x="273"/>
        <item x="303"/>
        <item x="276"/>
        <item x="306"/>
        <item x="290"/>
        <item x="293"/>
        <item x="309"/>
        <item x="279"/>
        <item x="282"/>
        <item x="312"/>
        <item x="296"/>
        <item x="285"/>
        <item x="315"/>
        <item x="299"/>
        <item x="318"/>
        <item x="304"/>
        <item x="307"/>
        <item x="310"/>
        <item x="288"/>
        <item x="321"/>
        <item x="291"/>
        <item x="313"/>
        <item x="294"/>
        <item x="324"/>
        <item x="297"/>
        <item x="316"/>
        <item x="327"/>
        <item x="319"/>
        <item x="300"/>
        <item x="302"/>
        <item x="330"/>
        <item x="305"/>
        <item x="322"/>
        <item x="333"/>
        <item x="308"/>
        <item x="325"/>
        <item x="311"/>
        <item x="336"/>
        <item x="328"/>
        <item x="314"/>
        <item x="339"/>
        <item x="342"/>
        <item x="317"/>
        <item x="331"/>
        <item x="345"/>
        <item x="334"/>
        <item x="320"/>
        <item x="348"/>
        <item x="323"/>
        <item x="337"/>
        <item x="326"/>
        <item x="340"/>
        <item x="351"/>
        <item x="343"/>
        <item x="329"/>
        <item x="354"/>
        <item x="346"/>
        <item x="332"/>
        <item x="357"/>
        <item x="349"/>
        <item x="335"/>
        <item x="338"/>
        <item x="352"/>
        <item x="341"/>
        <item x="355"/>
        <item x="344"/>
        <item x="358"/>
        <item x="347"/>
        <item x="350"/>
        <item x="353"/>
        <item x="356"/>
        <item x="359"/>
        <item t="default"/>
      </items>
    </pivotField>
    <pivotField dataField="1" showAll="0"/>
  </pivotFields>
  <rowFields count="2">
    <field x="1"/>
    <field x="2"/>
  </rowFields>
  <rowItems count="31">
    <i>
      <x/>
    </i>
    <i>
      <x v="1"/>
    </i>
    <i>
      <x v="2"/>
    </i>
    <i>
      <x v="3"/>
    </i>
    <i>
      <x v="4"/>
    </i>
    <i>
      <x v="5"/>
    </i>
    <i>
      <x v="6"/>
    </i>
    <i>
      <x v="7"/>
    </i>
    <i>
      <x v="8"/>
    </i>
    <i>
      <x v="9"/>
    </i>
    <i r="1">
      <x/>
    </i>
    <i r="1">
      <x v="1"/>
    </i>
    <i r="1">
      <x v="2"/>
    </i>
    <i r="1">
      <x v="3"/>
    </i>
    <i r="1">
      <x v="4"/>
    </i>
    <i r="1">
      <x v="5"/>
    </i>
    <i r="1">
      <x v="6"/>
    </i>
    <i r="1">
      <x v="7"/>
    </i>
    <i r="1">
      <x v="8"/>
    </i>
    <i r="1">
      <x v="9"/>
    </i>
    <i r="1">
      <x v="10"/>
    </i>
    <i r="1">
      <x v="11"/>
    </i>
    <i>
      <x v="10"/>
    </i>
    <i r="1">
      <x/>
    </i>
    <i r="1">
      <x v="1"/>
    </i>
    <i r="1">
      <x v="2"/>
    </i>
    <i r="1">
      <x v="3"/>
    </i>
    <i r="1">
      <x v="4"/>
    </i>
    <i>
      <x v="11"/>
    </i>
    <i r="1">
      <x v="14"/>
    </i>
    <i t="grand">
      <x/>
    </i>
  </rowItems>
  <colFields count="1">
    <field x="-2"/>
  </colFields>
  <colItems count="5">
    <i>
      <x/>
    </i>
    <i i="1">
      <x v="1"/>
    </i>
    <i i="2">
      <x v="2"/>
    </i>
    <i i="3">
      <x v="3"/>
    </i>
    <i i="4">
      <x v="4"/>
    </i>
  </colItems>
  <pageFields count="1">
    <pageField fld="0" hier="-1"/>
  </pageFields>
  <dataFields count="5">
    <dataField name="Sum of Housing &amp; Transport related exps" fld="32" baseField="0" baseItem="0"/>
    <dataField name="Sum of Personal Exps" fld="31" baseField="0" baseItem="0"/>
    <dataField name="Sum of Food &amp; related exps" fld="30" baseField="0" baseItem="0"/>
    <dataField name="Sum of Health, education, recreation, misc" fld="33" baseField="0" baseItem="0"/>
    <dataField name="Sum of Total Expenses" fld="34" baseField="0" baseItem="0"/>
  </dataField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series="1">
      <pivotArea type="data" outline="0" fieldPosition="0">
        <references count="1">
          <reference field="4294967294" count="1" selected="0">
            <x v="3"/>
          </reference>
        </references>
      </pivotArea>
    </chartFormat>
    <chartFormat chart="0" format="4" series="1">
      <pivotArea type="data" outline="0" fieldPosition="0">
        <references count="1">
          <reference field="4294967294" count="1" selected="0">
            <x v="4"/>
          </reference>
        </references>
      </pivotArea>
    </chartFormat>
    <chartFormat chart="4" format="10" series="1">
      <pivotArea type="data" outline="0" fieldPosition="0">
        <references count="1">
          <reference field="4294967294" count="1" selected="0">
            <x v="0"/>
          </reference>
        </references>
      </pivotArea>
    </chartFormat>
    <chartFormat chart="4" format="11" series="1">
      <pivotArea type="data" outline="0" fieldPosition="0">
        <references count="1">
          <reference field="4294967294" count="1" selected="0">
            <x v="1"/>
          </reference>
        </references>
      </pivotArea>
    </chartFormat>
    <chartFormat chart="4" format="12" series="1">
      <pivotArea type="data" outline="0" fieldPosition="0">
        <references count="1">
          <reference field="4294967294" count="1" selected="0">
            <x v="2"/>
          </reference>
        </references>
      </pivotArea>
    </chartFormat>
    <chartFormat chart="4" format="13" series="1">
      <pivotArea type="data" outline="0" fieldPosition="0">
        <references count="1">
          <reference field="4294967294" count="1" selected="0">
            <x v="3"/>
          </reference>
        </references>
      </pivotArea>
    </chartFormat>
    <chartFormat chart="4" format="14" series="1">
      <pivotArea type="data" outline="0" fieldPosition="0">
        <references count="1">
          <reference field="4294967294" count="1" selected="0">
            <x v="4"/>
          </reference>
        </references>
      </pivotArea>
    </chartFormat>
    <chartFormat chart="6" format="20" series="1">
      <pivotArea type="data" outline="0" fieldPosition="0">
        <references count="1">
          <reference field="4294967294" count="1" selected="0">
            <x v="0"/>
          </reference>
        </references>
      </pivotArea>
    </chartFormat>
    <chartFormat chart="6" format="21" series="1">
      <pivotArea type="data" outline="0" fieldPosition="0">
        <references count="1">
          <reference field="4294967294" count="1" selected="0">
            <x v="1"/>
          </reference>
        </references>
      </pivotArea>
    </chartFormat>
    <chartFormat chart="6" format="22" series="1">
      <pivotArea type="data" outline="0" fieldPosition="0">
        <references count="1">
          <reference field="4294967294" count="1" selected="0">
            <x v="2"/>
          </reference>
        </references>
      </pivotArea>
    </chartFormat>
    <chartFormat chart="6" format="23" series="1">
      <pivotArea type="data" outline="0" fieldPosition="0">
        <references count="1">
          <reference field="4294967294" count="1" selected="0">
            <x v="3"/>
          </reference>
        </references>
      </pivotArea>
    </chartFormat>
    <chartFormat chart="6" format="24" series="1">
      <pivotArea type="data" outline="0" fieldPosition="0">
        <references count="1">
          <reference field="4294967294" count="1" selected="0">
            <x v="4"/>
          </reference>
        </references>
      </pivotArea>
    </chartFormat>
    <chartFormat chart="8" format="30"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1"/>
          </reference>
        </references>
      </pivotArea>
    </chartFormat>
    <chartFormat chart="8" format="32" series="1">
      <pivotArea type="data" outline="0" fieldPosition="0">
        <references count="1">
          <reference field="4294967294" count="1" selected="0">
            <x v="2"/>
          </reference>
        </references>
      </pivotArea>
    </chartFormat>
    <chartFormat chart="8" format="33" series="1">
      <pivotArea type="data" outline="0" fieldPosition="0">
        <references count="1">
          <reference field="4294967294" count="1" selected="0">
            <x v="3"/>
          </reference>
        </references>
      </pivotArea>
    </chartFormat>
    <chartFormat chart="8" format="3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616F3B4-1307-4747-BAE1-7130B2E0B93A}"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F17" firstHeaderRow="0" firstDataRow="1" firstDataCol="1" rowPageCount="1" colPageCount="1"/>
  <pivotFields count="35">
    <pivotField axis="axisPage" showAll="0">
      <items count="5">
        <item x="0"/>
        <item x="2"/>
        <item x="1"/>
        <item x="3"/>
        <item t="default"/>
      </items>
    </pivotField>
    <pivotField axis="axisRow" showAll="0">
      <items count="13">
        <item sd="0" x="0"/>
        <item sd="0" x="1"/>
        <item sd="0" x="2"/>
        <item sd="0" x="3"/>
        <item sd="0" x="4"/>
        <item sd="0" x="5"/>
        <item x="6"/>
        <item x="7"/>
        <item x="8"/>
        <item x="9"/>
        <item x="10"/>
        <item x="11"/>
        <item t="default"/>
      </items>
    </pivotField>
    <pivotField showAll="0">
      <items count="16">
        <item x="0"/>
        <item x="1"/>
        <item x="2"/>
        <item x="3"/>
        <item x="4"/>
        <item x="5"/>
        <item x="6"/>
        <item x="7"/>
        <item x="8"/>
        <item x="9"/>
        <item x="11"/>
        <item x="12"/>
        <item x="13"/>
        <item x="10"/>
        <item x="1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286">
        <item x="1"/>
        <item x="2"/>
        <item x="4"/>
        <item x="7"/>
        <item x="0"/>
        <item x="5"/>
        <item x="8"/>
        <item x="10"/>
        <item x="3"/>
        <item x="6"/>
        <item x="11"/>
        <item x="9"/>
        <item x="13"/>
        <item x="14"/>
        <item x="12"/>
        <item x="15"/>
        <item x="17"/>
        <item x="16"/>
        <item x="18"/>
        <item x="20"/>
        <item x="19"/>
        <item x="21"/>
        <item x="23"/>
        <item x="22"/>
        <item x="35"/>
        <item x="37"/>
        <item x="25"/>
        <item x="33"/>
        <item x="36"/>
        <item x="26"/>
        <item x="28"/>
        <item x="24"/>
        <item x="34"/>
        <item x="38"/>
        <item x="40"/>
        <item x="29"/>
        <item x="31"/>
        <item x="41"/>
        <item x="39"/>
        <item x="27"/>
        <item x="43"/>
        <item x="44"/>
        <item x="42"/>
        <item x="32"/>
        <item x="46"/>
        <item x="47"/>
        <item x="45"/>
        <item x="30"/>
        <item x="60"/>
        <item x="62"/>
        <item x="64"/>
        <item x="49"/>
        <item x="59"/>
        <item x="57"/>
        <item x="50"/>
        <item x="61"/>
        <item x="48"/>
        <item x="65"/>
        <item x="52"/>
        <item x="55"/>
        <item x="66"/>
        <item x="53"/>
        <item x="63"/>
        <item x="51"/>
        <item x="54"/>
        <item x="56"/>
        <item x="58"/>
        <item x="67"/>
        <item x="69"/>
        <item x="71"/>
        <item x="68"/>
        <item x="72"/>
        <item x="76"/>
        <item x="79"/>
        <item x="74"/>
        <item x="90"/>
        <item x="87"/>
        <item x="70"/>
        <item x="82"/>
        <item x="84"/>
        <item x="73"/>
        <item x="77"/>
        <item x="94"/>
        <item x="80"/>
        <item x="91"/>
        <item x="75"/>
        <item x="89"/>
        <item x="85"/>
        <item x="78"/>
        <item x="95"/>
        <item x="112"/>
        <item x="81"/>
        <item x="115"/>
        <item x="86"/>
        <item x="92"/>
        <item x="88"/>
        <item x="117"/>
        <item x="83"/>
        <item x="103"/>
        <item x="109"/>
        <item x="97"/>
        <item x="119"/>
        <item x="93"/>
        <item x="121"/>
        <item x="123"/>
        <item x="125"/>
        <item x="99"/>
        <item x="96"/>
        <item x="113"/>
        <item x="118"/>
        <item x="105"/>
        <item x="101"/>
        <item x="110"/>
        <item x="107"/>
        <item x="128"/>
        <item x="98"/>
        <item x="126"/>
        <item x="114"/>
        <item x="116"/>
        <item x="131"/>
        <item x="111"/>
        <item x="120"/>
        <item x="100"/>
        <item x="122"/>
        <item x="104"/>
        <item x="102"/>
        <item x="108"/>
        <item x="106"/>
        <item x="124"/>
        <item x="145"/>
        <item x="140"/>
        <item x="129"/>
        <item x="138"/>
        <item x="134"/>
        <item x="132"/>
        <item x="136"/>
        <item x="127"/>
        <item x="146"/>
        <item x="148"/>
        <item x="143"/>
        <item x="150"/>
        <item x="141"/>
        <item x="153"/>
        <item x="133"/>
        <item x="130"/>
        <item x="155"/>
        <item x="158"/>
        <item x="135"/>
        <item x="144"/>
        <item x="169"/>
        <item x="147"/>
        <item x="161"/>
        <item x="164"/>
        <item x="149"/>
        <item x="142"/>
        <item x="172"/>
        <item x="168"/>
        <item x="139"/>
        <item x="170"/>
        <item x="137"/>
        <item x="166"/>
        <item x="159"/>
        <item x="156"/>
        <item x="151"/>
        <item x="162"/>
        <item x="167"/>
        <item x="171"/>
        <item x="173"/>
        <item x="152"/>
        <item x="165"/>
        <item x="174"/>
        <item x="157"/>
        <item x="160"/>
        <item x="163"/>
        <item x="154"/>
        <item x="176"/>
        <item x="178"/>
        <item x="175"/>
        <item x="179"/>
        <item x="183"/>
        <item x="177"/>
        <item x="181"/>
        <item x="180"/>
        <item x="184"/>
        <item x="186"/>
        <item x="182"/>
        <item x="189"/>
        <item x="187"/>
        <item x="199"/>
        <item x="196"/>
        <item x="194"/>
        <item x="185"/>
        <item x="190"/>
        <item x="197"/>
        <item x="198"/>
        <item x="188"/>
        <item x="195"/>
        <item x="192"/>
        <item x="201"/>
        <item x="202"/>
        <item x="193"/>
        <item x="191"/>
        <item x="200"/>
        <item x="204"/>
        <item x="205"/>
        <item x="207"/>
        <item x="203"/>
        <item x="209"/>
        <item x="206"/>
        <item x="218"/>
        <item x="210"/>
        <item x="220"/>
        <item x="221"/>
        <item x="212"/>
        <item x="222"/>
        <item x="215"/>
        <item x="219"/>
        <item x="208"/>
        <item x="223"/>
        <item x="225"/>
        <item x="224"/>
        <item x="213"/>
        <item x="217"/>
        <item x="216"/>
        <item x="227"/>
        <item x="211"/>
        <item x="228"/>
        <item x="214"/>
        <item x="226"/>
        <item x="230"/>
        <item x="232"/>
        <item x="229"/>
        <item x="235"/>
        <item x="233"/>
        <item x="231"/>
        <item x="234"/>
        <item x="236"/>
        <item x="238"/>
        <item x="247"/>
        <item x="244"/>
        <item x="239"/>
        <item x="241"/>
        <item x="248"/>
        <item x="249"/>
        <item x="245"/>
        <item x="237"/>
        <item x="246"/>
        <item x="251"/>
        <item x="242"/>
        <item x="243"/>
        <item x="240"/>
        <item x="252"/>
        <item x="250"/>
        <item x="254"/>
        <item x="255"/>
        <item x="253"/>
        <item x="259"/>
        <item x="257"/>
        <item x="262"/>
        <item x="256"/>
        <item x="260"/>
        <item x="265"/>
        <item x="263"/>
        <item x="258"/>
        <item x="267"/>
        <item x="261"/>
        <item x="274"/>
        <item x="264"/>
        <item x="273"/>
        <item x="276"/>
        <item x="266"/>
        <item x="271"/>
        <item x="269"/>
        <item x="272"/>
        <item x="277"/>
        <item x="279"/>
        <item x="270"/>
        <item x="268"/>
        <item x="275"/>
        <item x="280"/>
        <item x="282"/>
        <item x="278"/>
        <item x="283"/>
        <item x="281"/>
        <item x="284"/>
        <item t="default"/>
      </items>
    </pivotField>
    <pivotField dataField="1" showAll="0">
      <items count="362">
        <item x="0"/>
        <item x="2"/>
        <item x="1"/>
        <item x="3"/>
        <item x="6"/>
        <item x="5"/>
        <item x="8"/>
        <item x="9"/>
        <item x="7"/>
        <item x="4"/>
        <item x="11"/>
        <item x="12"/>
        <item x="10"/>
        <item x="14"/>
        <item x="13"/>
        <item x="15"/>
        <item x="17"/>
        <item x="18"/>
        <item x="20"/>
        <item x="21"/>
        <item x="16"/>
        <item x="23"/>
        <item x="40"/>
        <item x="41"/>
        <item x="39"/>
        <item x="43"/>
        <item x="37"/>
        <item x="24"/>
        <item x="38"/>
        <item x="36"/>
        <item x="19"/>
        <item x="44"/>
        <item x="26"/>
        <item x="42"/>
        <item x="25"/>
        <item x="22"/>
        <item x="34"/>
        <item x="45"/>
        <item x="47"/>
        <item x="27"/>
        <item x="35"/>
        <item x="46"/>
        <item x="33"/>
        <item x="29"/>
        <item x="48"/>
        <item x="28"/>
        <item x="50"/>
        <item x="51"/>
        <item x="49"/>
        <item x="30"/>
        <item x="53"/>
        <item x="32"/>
        <item x="31"/>
        <item x="52"/>
        <item x="54"/>
        <item x="72"/>
        <item x="69"/>
        <item x="74"/>
        <item x="77"/>
        <item x="71"/>
        <item x="75"/>
        <item x="80"/>
        <item x="56"/>
        <item x="78"/>
        <item x="79"/>
        <item x="76"/>
        <item x="57"/>
        <item x="63"/>
        <item x="73"/>
        <item x="83"/>
        <item x="60"/>
        <item x="66"/>
        <item x="81"/>
        <item x="70"/>
        <item x="65"/>
        <item x="68"/>
        <item x="82"/>
        <item x="62"/>
        <item x="64"/>
        <item x="67"/>
        <item x="59"/>
        <item x="84"/>
        <item x="61"/>
        <item x="86"/>
        <item x="55"/>
        <item x="85"/>
        <item x="58"/>
        <item x="87"/>
        <item x="89"/>
        <item x="90"/>
        <item x="92"/>
        <item x="88"/>
        <item x="91"/>
        <item x="93"/>
        <item x="95"/>
        <item x="96"/>
        <item x="98"/>
        <item x="94"/>
        <item x="97"/>
        <item x="99"/>
        <item x="115"/>
        <item x="101"/>
        <item x="116"/>
        <item x="113"/>
        <item x="105"/>
        <item x="112"/>
        <item x="111"/>
        <item x="114"/>
        <item x="102"/>
        <item x="107"/>
        <item x="108"/>
        <item x="104"/>
        <item x="110"/>
        <item x="100"/>
        <item x="106"/>
        <item x="117"/>
        <item x="119"/>
        <item x="109"/>
        <item x="103"/>
        <item x="118"/>
        <item x="148"/>
        <item x="151"/>
        <item x="154"/>
        <item x="157"/>
        <item x="145"/>
        <item x="120"/>
        <item x="155"/>
        <item x="152"/>
        <item x="158"/>
        <item x="149"/>
        <item x="122"/>
        <item x="153"/>
        <item x="146"/>
        <item x="150"/>
        <item x="156"/>
        <item x="142"/>
        <item x="187"/>
        <item x="147"/>
        <item x="190"/>
        <item x="160"/>
        <item x="144"/>
        <item x="161"/>
        <item x="193"/>
        <item x="143"/>
        <item x="159"/>
        <item x="123"/>
        <item x="184"/>
        <item x="121"/>
        <item x="141"/>
        <item x="125"/>
        <item x="139"/>
        <item x="133"/>
        <item x="140"/>
        <item x="169"/>
        <item x="134"/>
        <item x="138"/>
        <item x="181"/>
        <item x="136"/>
        <item x="126"/>
        <item x="196"/>
        <item x="137"/>
        <item x="217"/>
        <item x="132"/>
        <item x="214"/>
        <item x="205"/>
        <item x="188"/>
        <item x="135"/>
        <item x="191"/>
        <item x="185"/>
        <item x="129"/>
        <item x="218"/>
        <item x="164"/>
        <item x="194"/>
        <item x="208"/>
        <item x="131"/>
        <item x="163"/>
        <item x="220"/>
        <item x="172"/>
        <item x="162"/>
        <item x="221"/>
        <item x="170"/>
        <item x="211"/>
        <item x="216"/>
        <item x="219"/>
        <item x="128"/>
        <item x="222"/>
        <item x="178"/>
        <item x="166"/>
        <item x="215"/>
        <item x="224"/>
        <item x="130"/>
        <item x="202"/>
        <item x="124"/>
        <item x="173"/>
        <item x="197"/>
        <item x="199"/>
        <item x="167"/>
        <item x="223"/>
        <item x="168"/>
        <item x="182"/>
        <item x="183"/>
        <item x="213"/>
        <item x="189"/>
        <item x="186"/>
        <item x="212"/>
        <item x="206"/>
        <item x="209"/>
        <item x="192"/>
        <item x="171"/>
        <item x="165"/>
        <item x="207"/>
        <item x="225"/>
        <item x="195"/>
        <item x="179"/>
        <item x="210"/>
        <item x="200"/>
        <item x="175"/>
        <item x="180"/>
        <item x="127"/>
        <item x="227"/>
        <item x="203"/>
        <item x="204"/>
        <item x="176"/>
        <item x="198"/>
        <item x="177"/>
        <item x="228"/>
        <item x="174"/>
        <item x="201"/>
        <item x="226"/>
        <item x="230"/>
        <item x="231"/>
        <item x="234"/>
        <item x="229"/>
        <item x="233"/>
        <item x="236"/>
        <item x="237"/>
        <item x="239"/>
        <item x="232"/>
        <item x="235"/>
        <item x="240"/>
        <item x="238"/>
        <item x="242"/>
        <item x="255"/>
        <item x="256"/>
        <item x="243"/>
        <item x="241"/>
        <item x="245"/>
        <item x="252"/>
        <item x="254"/>
        <item x="253"/>
        <item x="244"/>
        <item x="249"/>
        <item x="246"/>
        <item x="251"/>
        <item x="257"/>
        <item x="248"/>
        <item x="250"/>
        <item x="259"/>
        <item x="247"/>
        <item x="260"/>
        <item x="258"/>
        <item x="262"/>
        <item x="263"/>
        <item x="266"/>
        <item x="265"/>
        <item x="261"/>
        <item x="268"/>
        <item x="281"/>
        <item x="264"/>
        <item x="269"/>
        <item x="285"/>
        <item x="283"/>
        <item x="267"/>
        <item x="271"/>
        <item x="286"/>
        <item x="278"/>
        <item x="288"/>
        <item x="284"/>
        <item x="282"/>
        <item x="280"/>
        <item x="272"/>
        <item x="270"/>
        <item x="274"/>
        <item x="287"/>
        <item x="275"/>
        <item x="289"/>
        <item x="279"/>
        <item x="277"/>
        <item x="291"/>
        <item x="273"/>
        <item x="292"/>
        <item x="276"/>
        <item x="298"/>
        <item x="295"/>
        <item x="290"/>
        <item x="301"/>
        <item x="294"/>
        <item x="300"/>
        <item x="297"/>
        <item x="314"/>
        <item x="311"/>
        <item x="293"/>
        <item x="316"/>
        <item x="299"/>
        <item x="302"/>
        <item x="313"/>
        <item x="308"/>
        <item x="296"/>
        <item x="304"/>
        <item x="317"/>
        <item x="310"/>
        <item x="305"/>
        <item x="319"/>
        <item x="315"/>
        <item x="312"/>
        <item x="307"/>
        <item x="318"/>
        <item x="303"/>
        <item x="320"/>
        <item x="309"/>
        <item x="322"/>
        <item x="306"/>
        <item x="323"/>
        <item x="321"/>
        <item x="325"/>
        <item x="326"/>
        <item x="329"/>
        <item x="332"/>
        <item x="328"/>
        <item x="324"/>
        <item x="331"/>
        <item x="335"/>
        <item x="350"/>
        <item x="334"/>
        <item x="344"/>
        <item x="354"/>
        <item x="337"/>
        <item x="352"/>
        <item x="353"/>
        <item x="338"/>
        <item x="347"/>
        <item x="346"/>
        <item x="341"/>
        <item x="327"/>
        <item x="330"/>
        <item x="356"/>
        <item x="357"/>
        <item x="349"/>
        <item x="333"/>
        <item x="340"/>
        <item x="343"/>
        <item x="345"/>
        <item x="351"/>
        <item x="336"/>
        <item x="359"/>
        <item x="348"/>
        <item x="342"/>
        <item x="355"/>
        <item x="339"/>
        <item x="358"/>
        <item x="360"/>
        <item t="default"/>
      </items>
    </pivotField>
    <pivotField dataField="1" showAll="0">
      <items count="354">
        <item x="1"/>
        <item x="2"/>
        <item x="4"/>
        <item x="0"/>
        <item x="5"/>
        <item x="7"/>
        <item x="3"/>
        <item x="9"/>
        <item x="8"/>
        <item x="10"/>
        <item x="12"/>
        <item x="6"/>
        <item x="13"/>
        <item x="11"/>
        <item x="15"/>
        <item x="16"/>
        <item x="18"/>
        <item x="14"/>
        <item x="19"/>
        <item x="17"/>
        <item x="21"/>
        <item x="22"/>
        <item x="20"/>
        <item x="24"/>
        <item x="25"/>
        <item x="27"/>
        <item x="23"/>
        <item x="28"/>
        <item x="30"/>
        <item x="33"/>
        <item x="26"/>
        <item x="31"/>
        <item x="36"/>
        <item x="29"/>
        <item x="39"/>
        <item x="34"/>
        <item x="42"/>
        <item x="37"/>
        <item x="32"/>
        <item x="45"/>
        <item x="40"/>
        <item x="48"/>
        <item x="35"/>
        <item x="43"/>
        <item x="51"/>
        <item x="38"/>
        <item x="46"/>
        <item x="41"/>
        <item x="54"/>
        <item x="49"/>
        <item x="44"/>
        <item x="52"/>
        <item x="57"/>
        <item x="60"/>
        <item x="47"/>
        <item x="63"/>
        <item x="55"/>
        <item x="50"/>
        <item x="66"/>
        <item x="58"/>
        <item x="69"/>
        <item x="61"/>
        <item x="53"/>
        <item x="72"/>
        <item x="56"/>
        <item x="75"/>
        <item x="64"/>
        <item x="78"/>
        <item x="67"/>
        <item x="59"/>
        <item x="81"/>
        <item x="70"/>
        <item x="84"/>
        <item x="62"/>
        <item x="65"/>
        <item x="73"/>
        <item x="87"/>
        <item x="90"/>
        <item x="93"/>
        <item x="68"/>
        <item x="76"/>
        <item x="96"/>
        <item x="79"/>
        <item x="71"/>
        <item x="99"/>
        <item x="82"/>
        <item x="102"/>
        <item x="105"/>
        <item x="85"/>
        <item x="74"/>
        <item x="108"/>
        <item x="77"/>
        <item x="88"/>
        <item x="80"/>
        <item x="91"/>
        <item x="111"/>
        <item x="94"/>
        <item x="114"/>
        <item x="83"/>
        <item x="117"/>
        <item x="97"/>
        <item x="120"/>
        <item x="100"/>
        <item x="123"/>
        <item x="86"/>
        <item x="89"/>
        <item x="126"/>
        <item x="103"/>
        <item x="106"/>
        <item x="92"/>
        <item x="129"/>
        <item x="132"/>
        <item x="109"/>
        <item x="135"/>
        <item x="95"/>
        <item x="141"/>
        <item x="138"/>
        <item x="144"/>
        <item x="98"/>
        <item x="112"/>
        <item x="147"/>
        <item x="150"/>
        <item x="115"/>
        <item x="101"/>
        <item x="153"/>
        <item x="156"/>
        <item x="104"/>
        <item x="118"/>
        <item x="159"/>
        <item x="162"/>
        <item x="121"/>
        <item x="107"/>
        <item x="124"/>
        <item x="165"/>
        <item x="110"/>
        <item x="127"/>
        <item x="113"/>
        <item x="170"/>
        <item x="130"/>
        <item x="116"/>
        <item x="173"/>
        <item x="133"/>
        <item x="176"/>
        <item x="119"/>
        <item x="136"/>
        <item x="179"/>
        <item x="142"/>
        <item x="139"/>
        <item x="182"/>
        <item x="122"/>
        <item x="145"/>
        <item x="185"/>
        <item x="148"/>
        <item x="125"/>
        <item x="151"/>
        <item x="188"/>
        <item x="154"/>
        <item x="157"/>
        <item x="128"/>
        <item x="160"/>
        <item x="191"/>
        <item x="131"/>
        <item x="194"/>
        <item x="163"/>
        <item x="197"/>
        <item x="200"/>
        <item x="134"/>
        <item x="137"/>
        <item x="166"/>
        <item x="140"/>
        <item x="203"/>
        <item x="143"/>
        <item x="146"/>
        <item x="168"/>
        <item x="206"/>
        <item x="149"/>
        <item x="171"/>
        <item x="209"/>
        <item x="152"/>
        <item x="211"/>
        <item x="155"/>
        <item x="214"/>
        <item x="174"/>
        <item x="177"/>
        <item x="158"/>
        <item x="216"/>
        <item x="180"/>
        <item x="219"/>
        <item x="183"/>
        <item x="161"/>
        <item x="222"/>
        <item x="186"/>
        <item x="225"/>
        <item x="164"/>
        <item x="189"/>
        <item x="167"/>
        <item x="192"/>
        <item x="195"/>
        <item x="198"/>
        <item x="169"/>
        <item x="234"/>
        <item x="201"/>
        <item x="237"/>
        <item x="204"/>
        <item x="240"/>
        <item x="175"/>
        <item x="172"/>
        <item x="210"/>
        <item x="207"/>
        <item x="212"/>
        <item x="178"/>
        <item x="242"/>
        <item x="181"/>
        <item x="220"/>
        <item x="217"/>
        <item x="223"/>
        <item x="184"/>
        <item x="226"/>
        <item x="247"/>
        <item x="228"/>
        <item x="187"/>
        <item x="190"/>
        <item x="230"/>
        <item x="232"/>
        <item x="193"/>
        <item x="235"/>
        <item x="196"/>
        <item x="213"/>
        <item x="205"/>
        <item x="238"/>
        <item x="199"/>
        <item x="218"/>
        <item x="208"/>
        <item x="215"/>
        <item x="202"/>
        <item x="221"/>
        <item x="224"/>
        <item x="243"/>
        <item x="250"/>
        <item x="227"/>
        <item x="245"/>
        <item x="248"/>
        <item x="253"/>
        <item x="229"/>
        <item x="231"/>
        <item x="233"/>
        <item x="236"/>
        <item x="239"/>
        <item x="259"/>
        <item x="262"/>
        <item x="256"/>
        <item x="241"/>
        <item x="265"/>
        <item x="244"/>
        <item x="268"/>
        <item x="246"/>
        <item x="251"/>
        <item x="271"/>
        <item x="274"/>
        <item x="254"/>
        <item x="277"/>
        <item x="260"/>
        <item x="257"/>
        <item x="280"/>
        <item x="263"/>
        <item x="249"/>
        <item x="283"/>
        <item x="266"/>
        <item x="252"/>
        <item x="269"/>
        <item x="286"/>
        <item x="275"/>
        <item x="272"/>
        <item x="255"/>
        <item x="258"/>
        <item x="261"/>
        <item x="278"/>
        <item x="289"/>
        <item x="292"/>
        <item x="264"/>
        <item x="267"/>
        <item x="295"/>
        <item x="273"/>
        <item x="270"/>
        <item x="298"/>
        <item x="276"/>
        <item x="281"/>
        <item x="301"/>
        <item x="284"/>
        <item x="287"/>
        <item x="304"/>
        <item x="290"/>
        <item x="293"/>
        <item x="307"/>
        <item x="296"/>
        <item x="282"/>
        <item x="279"/>
        <item x="310"/>
        <item x="299"/>
        <item x="285"/>
        <item x="288"/>
        <item x="302"/>
        <item x="313"/>
        <item x="291"/>
        <item x="316"/>
        <item x="305"/>
        <item x="294"/>
        <item x="308"/>
        <item x="319"/>
        <item x="297"/>
        <item x="322"/>
        <item x="300"/>
        <item x="311"/>
        <item x="325"/>
        <item x="303"/>
        <item x="328"/>
        <item x="314"/>
        <item x="306"/>
        <item x="331"/>
        <item x="317"/>
        <item x="334"/>
        <item x="309"/>
        <item x="320"/>
        <item x="337"/>
        <item x="323"/>
        <item x="312"/>
        <item x="340"/>
        <item x="326"/>
        <item x="315"/>
        <item x="329"/>
        <item x="343"/>
        <item x="318"/>
        <item x="332"/>
        <item x="347"/>
        <item x="321"/>
        <item x="350"/>
        <item x="335"/>
        <item x="324"/>
        <item x="338"/>
        <item x="327"/>
        <item x="341"/>
        <item x="330"/>
        <item x="345"/>
        <item x="344"/>
        <item x="333"/>
        <item x="348"/>
        <item x="336"/>
        <item x="351"/>
        <item x="339"/>
        <item x="342"/>
        <item x="346"/>
        <item x="349"/>
        <item x="352"/>
        <item t="default"/>
      </items>
    </pivotField>
    <pivotField dataField="1" showAll="0">
      <items count="359">
        <item x="0"/>
        <item x="3"/>
        <item x="6"/>
        <item x="9"/>
        <item x="12"/>
        <item x="15"/>
        <item x="18"/>
        <item x="21"/>
        <item x="24"/>
        <item x="27"/>
        <item x="30"/>
        <item x="33"/>
        <item x="36"/>
        <item x="39"/>
        <item x="42"/>
        <item x="45"/>
        <item x="48"/>
        <item x="51"/>
        <item x="54"/>
        <item x="57"/>
        <item x="60"/>
        <item x="63"/>
        <item x="69"/>
        <item x="66"/>
        <item x="71"/>
        <item x="74"/>
        <item x="77"/>
        <item x="80"/>
        <item x="83"/>
        <item x="86"/>
        <item x="89"/>
        <item x="92"/>
        <item x="95"/>
        <item x="98"/>
        <item x="101"/>
        <item x="104"/>
        <item x="107"/>
        <item x="113"/>
        <item x="110"/>
        <item x="116"/>
        <item x="119"/>
        <item x="122"/>
        <item x="125"/>
        <item x="128"/>
        <item x="131"/>
        <item x="134"/>
        <item x="137"/>
        <item x="140"/>
        <item x="143"/>
        <item x="146"/>
        <item x="149"/>
        <item x="152"/>
        <item x="155"/>
        <item x="158"/>
        <item x="161"/>
        <item x="164"/>
        <item x="167"/>
        <item x="170"/>
        <item x="173"/>
        <item x="176"/>
        <item x="179"/>
        <item x="182"/>
        <item x="185"/>
        <item x="188"/>
        <item x="191"/>
        <item x="1"/>
        <item x="2"/>
        <item x="194"/>
        <item x="4"/>
        <item x="5"/>
        <item x="8"/>
        <item x="197"/>
        <item x="7"/>
        <item x="11"/>
        <item x="10"/>
        <item x="13"/>
        <item x="14"/>
        <item x="200"/>
        <item x="203"/>
        <item x="216"/>
        <item x="214"/>
        <item x="219"/>
        <item x="222"/>
        <item x="212"/>
        <item x="16"/>
        <item x="225"/>
        <item x="17"/>
        <item x="206"/>
        <item x="209"/>
        <item x="231"/>
        <item x="234"/>
        <item x="237"/>
        <item x="19"/>
        <item x="20"/>
        <item x="22"/>
        <item x="23"/>
        <item x="252"/>
        <item x="240"/>
        <item x="255"/>
        <item x="243"/>
        <item x="25"/>
        <item x="26"/>
        <item x="28"/>
        <item x="246"/>
        <item x="249"/>
        <item x="29"/>
        <item x="258"/>
        <item x="31"/>
        <item x="34"/>
        <item x="261"/>
        <item x="32"/>
        <item x="35"/>
        <item x="264"/>
        <item x="37"/>
        <item x="267"/>
        <item x="38"/>
        <item x="40"/>
        <item x="270"/>
        <item x="43"/>
        <item x="41"/>
        <item x="46"/>
        <item x="44"/>
        <item x="49"/>
        <item x="52"/>
        <item x="47"/>
        <item x="50"/>
        <item x="273"/>
        <item x="53"/>
        <item x="55"/>
        <item x="61"/>
        <item x="58"/>
        <item x="64"/>
        <item x="72"/>
        <item x="67"/>
        <item x="75"/>
        <item x="56"/>
        <item x="59"/>
        <item x="62"/>
        <item x="78"/>
        <item x="276"/>
        <item x="70"/>
        <item x="65"/>
        <item x="68"/>
        <item x="81"/>
        <item x="73"/>
        <item x="279"/>
        <item x="76"/>
        <item x="84"/>
        <item x="87"/>
        <item x="79"/>
        <item x="93"/>
        <item x="90"/>
        <item x="96"/>
        <item x="99"/>
        <item x="82"/>
        <item x="102"/>
        <item x="105"/>
        <item x="114"/>
        <item x="108"/>
        <item x="85"/>
        <item x="111"/>
        <item x="88"/>
        <item x="117"/>
        <item x="284"/>
        <item x="91"/>
        <item x="120"/>
        <item x="94"/>
        <item x="287"/>
        <item x="97"/>
        <item x="129"/>
        <item x="123"/>
        <item x="126"/>
        <item x="100"/>
        <item x="132"/>
        <item x="103"/>
        <item x="106"/>
        <item x="290"/>
        <item x="135"/>
        <item x="109"/>
        <item x="293"/>
        <item x="296"/>
        <item x="115"/>
        <item x="138"/>
        <item x="112"/>
        <item x="141"/>
        <item x="118"/>
        <item x="298"/>
        <item x="301"/>
        <item x="121"/>
        <item x="144"/>
        <item x="124"/>
        <item x="304"/>
        <item x="147"/>
        <item x="127"/>
        <item x="159"/>
        <item x="130"/>
        <item x="307"/>
        <item x="162"/>
        <item x="156"/>
        <item x="150"/>
        <item x="153"/>
        <item x="133"/>
        <item x="310"/>
        <item x="165"/>
        <item x="136"/>
        <item x="313"/>
        <item x="139"/>
        <item x="168"/>
        <item x="142"/>
        <item x="145"/>
        <item x="171"/>
        <item x="148"/>
        <item x="316"/>
        <item x="151"/>
        <item x="160"/>
        <item x="174"/>
        <item x="154"/>
        <item x="157"/>
        <item x="163"/>
        <item x="177"/>
        <item x="319"/>
        <item x="322"/>
        <item x="180"/>
        <item x="166"/>
        <item x="183"/>
        <item x="186"/>
        <item x="325"/>
        <item x="328"/>
        <item x="189"/>
        <item x="169"/>
        <item x="192"/>
        <item x="172"/>
        <item x="195"/>
        <item x="333"/>
        <item x="336"/>
        <item x="198"/>
        <item x="175"/>
        <item x="339"/>
        <item x="342"/>
        <item x="178"/>
        <item x="348"/>
        <item x="345"/>
        <item x="201"/>
        <item x="351"/>
        <item x="181"/>
        <item x="217"/>
        <item x="354"/>
        <item x="184"/>
        <item x="204"/>
        <item x="220"/>
        <item x="187"/>
        <item x="227"/>
        <item x="229"/>
        <item x="223"/>
        <item x="226"/>
        <item x="190"/>
        <item x="207"/>
        <item x="232"/>
        <item x="193"/>
        <item x="210"/>
        <item x="235"/>
        <item x="196"/>
        <item x="199"/>
        <item x="238"/>
        <item x="202"/>
        <item x="241"/>
        <item x="205"/>
        <item x="215"/>
        <item x="218"/>
        <item x="244"/>
        <item x="213"/>
        <item x="221"/>
        <item x="253"/>
        <item x="224"/>
        <item x="247"/>
        <item x="228"/>
        <item x="211"/>
        <item x="208"/>
        <item x="230"/>
        <item x="250"/>
        <item x="256"/>
        <item x="233"/>
        <item x="236"/>
        <item x="239"/>
        <item x="242"/>
        <item x="259"/>
        <item x="262"/>
        <item x="265"/>
        <item x="268"/>
        <item x="245"/>
        <item x="254"/>
        <item x="271"/>
        <item x="257"/>
        <item x="248"/>
        <item x="251"/>
        <item x="274"/>
        <item x="260"/>
        <item x="263"/>
        <item x="266"/>
        <item x="269"/>
        <item x="272"/>
        <item x="277"/>
        <item x="275"/>
        <item x="280"/>
        <item x="282"/>
        <item x="278"/>
        <item x="285"/>
        <item x="281"/>
        <item x="288"/>
        <item x="283"/>
        <item x="291"/>
        <item x="286"/>
        <item x="289"/>
        <item x="294"/>
        <item x="297"/>
        <item x="292"/>
        <item x="302"/>
        <item x="299"/>
        <item x="305"/>
        <item x="308"/>
        <item x="295"/>
        <item x="311"/>
        <item x="300"/>
        <item x="303"/>
        <item x="314"/>
        <item x="306"/>
        <item x="309"/>
        <item x="312"/>
        <item x="315"/>
        <item x="317"/>
        <item x="323"/>
        <item x="320"/>
        <item x="318"/>
        <item x="326"/>
        <item x="329"/>
        <item x="321"/>
        <item x="324"/>
        <item x="331"/>
        <item x="334"/>
        <item x="327"/>
        <item x="337"/>
        <item x="340"/>
        <item x="330"/>
        <item x="343"/>
        <item x="332"/>
        <item x="335"/>
        <item x="349"/>
        <item x="346"/>
        <item x="352"/>
        <item x="338"/>
        <item x="341"/>
        <item x="355"/>
        <item x="344"/>
        <item x="350"/>
        <item x="347"/>
        <item x="353"/>
        <item x="356"/>
        <item x="357"/>
        <item t="default"/>
      </items>
    </pivotField>
    <pivotField dataField="1" showAll="0">
      <items count="361">
        <item x="1"/>
        <item x="2"/>
        <item x="0"/>
        <item x="4"/>
        <item x="5"/>
        <item x="3"/>
        <item x="8"/>
        <item x="7"/>
        <item x="6"/>
        <item x="9"/>
        <item x="11"/>
        <item x="10"/>
        <item x="12"/>
        <item x="14"/>
        <item x="13"/>
        <item x="15"/>
        <item x="17"/>
        <item x="16"/>
        <item x="18"/>
        <item x="20"/>
        <item x="19"/>
        <item x="21"/>
        <item x="23"/>
        <item x="22"/>
        <item x="24"/>
        <item x="26"/>
        <item x="25"/>
        <item x="27"/>
        <item x="29"/>
        <item x="28"/>
        <item x="31"/>
        <item x="32"/>
        <item x="34"/>
        <item x="30"/>
        <item x="35"/>
        <item x="33"/>
        <item x="37"/>
        <item x="38"/>
        <item x="36"/>
        <item x="40"/>
        <item x="41"/>
        <item x="39"/>
        <item x="43"/>
        <item x="44"/>
        <item x="42"/>
        <item x="46"/>
        <item x="47"/>
        <item x="45"/>
        <item x="49"/>
        <item x="50"/>
        <item x="48"/>
        <item x="52"/>
        <item x="51"/>
        <item x="53"/>
        <item x="54"/>
        <item x="56"/>
        <item x="55"/>
        <item x="57"/>
        <item x="60"/>
        <item x="59"/>
        <item x="58"/>
        <item x="62"/>
        <item x="63"/>
        <item x="61"/>
        <item x="64"/>
        <item x="65"/>
        <item x="66"/>
        <item x="67"/>
        <item x="68"/>
        <item x="69"/>
        <item x="70"/>
        <item x="71"/>
        <item x="73"/>
        <item x="76"/>
        <item x="72"/>
        <item x="74"/>
        <item x="79"/>
        <item x="77"/>
        <item x="82"/>
        <item x="75"/>
        <item x="80"/>
        <item x="85"/>
        <item x="78"/>
        <item x="83"/>
        <item x="81"/>
        <item x="88"/>
        <item x="86"/>
        <item x="84"/>
        <item x="91"/>
        <item x="89"/>
        <item x="94"/>
        <item x="97"/>
        <item x="92"/>
        <item x="87"/>
        <item x="100"/>
        <item x="103"/>
        <item x="95"/>
        <item x="90"/>
        <item x="106"/>
        <item x="109"/>
        <item x="98"/>
        <item x="93"/>
        <item x="112"/>
        <item x="115"/>
        <item x="101"/>
        <item x="96"/>
        <item x="104"/>
        <item x="118"/>
        <item x="107"/>
        <item x="99"/>
        <item x="110"/>
        <item x="121"/>
        <item x="113"/>
        <item x="102"/>
        <item x="124"/>
        <item x="116"/>
        <item x="105"/>
        <item x="108"/>
        <item x="127"/>
        <item x="119"/>
        <item x="130"/>
        <item x="133"/>
        <item x="122"/>
        <item x="111"/>
        <item x="136"/>
        <item x="114"/>
        <item x="125"/>
        <item x="139"/>
        <item x="142"/>
        <item x="117"/>
        <item x="145"/>
        <item x="128"/>
        <item x="148"/>
        <item x="151"/>
        <item x="120"/>
        <item x="131"/>
        <item x="154"/>
        <item x="157"/>
        <item x="134"/>
        <item x="160"/>
        <item x="123"/>
        <item x="137"/>
        <item x="126"/>
        <item x="163"/>
        <item x="140"/>
        <item x="143"/>
        <item x="129"/>
        <item x="146"/>
        <item x="166"/>
        <item x="149"/>
        <item x="132"/>
        <item x="169"/>
        <item x="152"/>
        <item x="172"/>
        <item x="155"/>
        <item x="135"/>
        <item x="175"/>
        <item x="158"/>
        <item x="161"/>
        <item x="178"/>
        <item x="138"/>
        <item x="141"/>
        <item x="181"/>
        <item x="144"/>
        <item x="164"/>
        <item x="147"/>
        <item x="184"/>
        <item x="150"/>
        <item x="167"/>
        <item x="187"/>
        <item x="153"/>
        <item x="170"/>
        <item x="156"/>
        <item x="173"/>
        <item x="159"/>
        <item x="190"/>
        <item x="176"/>
        <item x="179"/>
        <item x="193"/>
        <item x="162"/>
        <item x="182"/>
        <item x="196"/>
        <item x="185"/>
        <item x="165"/>
        <item x="188"/>
        <item x="168"/>
        <item x="199"/>
        <item x="171"/>
        <item x="191"/>
        <item x="202"/>
        <item x="194"/>
        <item x="177"/>
        <item x="174"/>
        <item x="205"/>
        <item x="197"/>
        <item x="180"/>
        <item x="183"/>
        <item x="208"/>
        <item x="211"/>
        <item x="213"/>
        <item x="186"/>
        <item x="200"/>
        <item x="216"/>
        <item x="219"/>
        <item x="203"/>
        <item x="189"/>
        <item x="222"/>
        <item x="206"/>
        <item x="192"/>
        <item x="225"/>
        <item x="195"/>
        <item x="228"/>
        <item x="198"/>
        <item x="231"/>
        <item x="201"/>
        <item x="209"/>
        <item x="234"/>
        <item x="204"/>
        <item x="237"/>
        <item x="240"/>
        <item x="243"/>
        <item x="214"/>
        <item x="217"/>
        <item x="246"/>
        <item x="220"/>
        <item x="249"/>
        <item x="223"/>
        <item x="207"/>
        <item x="257"/>
        <item x="254"/>
        <item x="226"/>
        <item x="229"/>
        <item x="210"/>
        <item x="232"/>
        <item x="235"/>
        <item x="238"/>
        <item x="260"/>
        <item x="241"/>
        <item x="244"/>
        <item x="215"/>
        <item x="212"/>
        <item x="263"/>
        <item x="247"/>
        <item x="218"/>
        <item x="221"/>
        <item x="265"/>
        <item x="250"/>
        <item x="258"/>
        <item x="252"/>
        <item x="268"/>
        <item x="255"/>
        <item x="224"/>
        <item x="227"/>
        <item x="271"/>
        <item x="274"/>
        <item x="230"/>
        <item x="277"/>
        <item x="233"/>
        <item x="261"/>
        <item x="236"/>
        <item x="264"/>
        <item x="239"/>
        <item x="280"/>
        <item x="266"/>
        <item x="242"/>
        <item x="269"/>
        <item x="245"/>
        <item x="283"/>
        <item x="286"/>
        <item x="272"/>
        <item x="256"/>
        <item x="248"/>
        <item x="251"/>
        <item x="275"/>
        <item x="253"/>
        <item x="278"/>
        <item x="289"/>
        <item x="292"/>
        <item x="259"/>
        <item x="281"/>
        <item x="262"/>
        <item x="295"/>
        <item x="284"/>
        <item x="267"/>
        <item x="270"/>
        <item x="287"/>
        <item x="298"/>
        <item x="301"/>
        <item x="273"/>
        <item x="303"/>
        <item x="276"/>
        <item x="306"/>
        <item x="290"/>
        <item x="293"/>
        <item x="309"/>
        <item x="279"/>
        <item x="282"/>
        <item x="312"/>
        <item x="296"/>
        <item x="285"/>
        <item x="315"/>
        <item x="299"/>
        <item x="318"/>
        <item x="304"/>
        <item x="307"/>
        <item x="310"/>
        <item x="288"/>
        <item x="321"/>
        <item x="291"/>
        <item x="313"/>
        <item x="294"/>
        <item x="324"/>
        <item x="297"/>
        <item x="316"/>
        <item x="327"/>
        <item x="319"/>
        <item x="300"/>
        <item x="302"/>
        <item x="330"/>
        <item x="305"/>
        <item x="322"/>
        <item x="333"/>
        <item x="308"/>
        <item x="325"/>
        <item x="311"/>
        <item x="336"/>
        <item x="328"/>
        <item x="314"/>
        <item x="339"/>
        <item x="342"/>
        <item x="317"/>
        <item x="331"/>
        <item x="345"/>
        <item x="334"/>
        <item x="320"/>
        <item x="348"/>
        <item x="323"/>
        <item x="337"/>
        <item x="326"/>
        <item x="340"/>
        <item x="351"/>
        <item x="343"/>
        <item x="329"/>
        <item x="354"/>
        <item x="346"/>
        <item x="332"/>
        <item x="357"/>
        <item x="349"/>
        <item x="335"/>
        <item x="338"/>
        <item x="352"/>
        <item x="341"/>
        <item x="355"/>
        <item x="344"/>
        <item x="358"/>
        <item x="347"/>
        <item x="350"/>
        <item x="353"/>
        <item x="356"/>
        <item x="359"/>
        <item t="default"/>
      </items>
    </pivotField>
    <pivotField dataField="1" showAll="0"/>
  </pivotFields>
  <rowFields count="1">
    <field x="1"/>
  </rowFields>
  <rowItems count="12">
    <i>
      <x/>
    </i>
    <i>
      <x v="1"/>
    </i>
    <i>
      <x v="2"/>
    </i>
    <i>
      <x v="3"/>
    </i>
    <i>
      <x v="4"/>
    </i>
    <i>
      <x v="5"/>
    </i>
    <i>
      <x v="6"/>
    </i>
    <i>
      <x v="7"/>
    </i>
    <i>
      <x v="8"/>
    </i>
    <i>
      <x v="9"/>
    </i>
    <i>
      <x v="10"/>
    </i>
    <i t="grand">
      <x/>
    </i>
  </rowItems>
  <colFields count="1">
    <field x="-2"/>
  </colFields>
  <colItems count="5">
    <i>
      <x/>
    </i>
    <i i="1">
      <x v="1"/>
    </i>
    <i i="2">
      <x v="2"/>
    </i>
    <i i="3">
      <x v="3"/>
    </i>
    <i i="4">
      <x v="4"/>
    </i>
  </colItems>
  <pageFields count="1">
    <pageField fld="0" item="1" hier="-1"/>
  </pageFields>
  <dataFields count="5">
    <dataField name="Sum of Housing &amp; Transport related exps" fld="32" baseField="0" baseItem="0"/>
    <dataField name="Sum of Personal Exps" fld="31" baseField="0" baseItem="0"/>
    <dataField name="Sum of Food &amp; related exps" fld="30" baseField="0" baseItem="0"/>
    <dataField name="Sum of Health, education, recreation, misc" fld="33" baseField="0" baseItem="0"/>
    <dataField name="Sum of Total Expenses" fld="34" baseField="0" baseItem="0"/>
  </dataFields>
  <chartFormats count="5">
    <chartFormat chart="8" format="30" series="1">
      <pivotArea type="data" outline="0" fieldPosition="0">
        <references count="1">
          <reference field="4294967294" count="1" selected="0">
            <x v="0"/>
          </reference>
        </references>
      </pivotArea>
    </chartFormat>
    <chartFormat chart="8" format="31" series="1">
      <pivotArea type="data" outline="0" fieldPosition="0">
        <references count="1">
          <reference field="4294967294" count="1" selected="0">
            <x v="1"/>
          </reference>
        </references>
      </pivotArea>
    </chartFormat>
    <chartFormat chart="8" format="32" series="1">
      <pivotArea type="data" outline="0" fieldPosition="0">
        <references count="1">
          <reference field="4294967294" count="1" selected="0">
            <x v="2"/>
          </reference>
        </references>
      </pivotArea>
    </chartFormat>
    <chartFormat chart="8" format="33" series="1">
      <pivotArea type="data" outline="0" fieldPosition="0">
        <references count="1">
          <reference field="4294967294" count="1" selected="0">
            <x v="3"/>
          </reference>
        </references>
      </pivotArea>
    </chartFormat>
    <chartFormat chart="8" format="34" series="1">
      <pivotArea type="data" outline="0" fieldPosition="0">
        <references count="1">
          <reference field="429496729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D1E96CD-8FE3-4E98-BBA2-77E46F1EEE31}" autoFormatId="16" applyNumberFormats="0" applyBorderFormats="0" applyFontFormats="0" applyPatternFormats="0" applyAlignmentFormats="0" applyWidthHeightFormats="0">
  <queryTableRefresh nextId="31">
    <queryTableFields count="30">
      <queryTableField id="1" name="Sector" tableColumnId="1"/>
      <queryTableField id="2" name="Year" tableColumnId="2"/>
      <queryTableField id="3" name="Month" tableColumnId="3"/>
      <queryTableField id="4" name="Cereals and products" tableColumnId="4"/>
      <queryTableField id="5" name="Meat and fish" tableColumnId="5"/>
      <queryTableField id="6" name="Egg" tableColumnId="6"/>
      <queryTableField id="7" name="Milk and products" tableColumnId="7"/>
      <queryTableField id="8" name="Oils and fats" tableColumnId="8"/>
      <queryTableField id="9" name="Fruits" tableColumnId="9"/>
      <queryTableField id="10" name="Vegetables" tableColumnId="10"/>
      <queryTableField id="11" name="Pulses and products" tableColumnId="11"/>
      <queryTableField id="12" name="Sugar and Confectionery" tableColumnId="12"/>
      <queryTableField id="13" name="Spices" tableColumnId="13"/>
      <queryTableField id="14" name="Non-alcoholic beverages" tableColumnId="14"/>
      <queryTableField id="15" name="Prepared meals, snacks, sweets etc." tableColumnId="15"/>
      <queryTableField id="16" name="Food and beverages" tableColumnId="16"/>
      <queryTableField id="17" name="Pan, tobacco and intoxicants" tableColumnId="17"/>
      <queryTableField id="18" name="Clothing" tableColumnId="18"/>
      <queryTableField id="19" name="Footwear" tableColumnId="19"/>
      <queryTableField id="20" name="Clothing and footwear" tableColumnId="20"/>
      <queryTableField id="21" name="Housing" tableColumnId="21"/>
      <queryTableField id="22" name="Fuel and light" tableColumnId="22"/>
      <queryTableField id="23" name="Household goods and services" tableColumnId="23"/>
      <queryTableField id="24" name="Health" tableColumnId="24"/>
      <queryTableField id="25" name="Transport and communication" tableColumnId="25"/>
      <queryTableField id="26" name="Recreation and amusement" tableColumnId="26"/>
      <queryTableField id="27" name="Education" tableColumnId="27"/>
      <queryTableField id="28" name="Personal care and effects" tableColumnId="28"/>
      <queryTableField id="29" name="Miscellaneous" tableColumnId="29"/>
      <queryTableField id="30" name="General index" tableColumnId="3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68773C-9659-4A7C-BD1B-DAF04C65DC52}" name="All_India_Index_Upto_April23__1" displayName="All_India_Index_Upto_April23__1" ref="A1:AD373" tableType="queryTable" totalsRowShown="0">
  <autoFilter ref="A1:AD373" xr:uid="{6E68773C-9659-4A7C-BD1B-DAF04C65DC52}"/>
  <tableColumns count="30">
    <tableColumn id="1" xr3:uid="{0270A32F-5F0A-43C6-B16D-15398A67502D}" uniqueName="1" name="Sector" queryTableFieldId="1" dataDxfId="2"/>
    <tableColumn id="2" xr3:uid="{EF8C3AC7-E92B-4E27-B884-4E9DB2ECEC86}" uniqueName="2" name="Year" queryTableFieldId="2"/>
    <tableColumn id="3" xr3:uid="{1854D018-9840-4E6F-8BE7-4DDE8B4ECC00}" uniqueName="3" name="Month" queryTableFieldId="3" dataDxfId="1"/>
    <tableColumn id="4" xr3:uid="{9A91FF46-CB55-4216-8A5D-BF79456B40DF}" uniqueName="4" name="Cereals and products" queryTableFieldId="4"/>
    <tableColumn id="5" xr3:uid="{438581F8-F30C-4A59-B31C-829C0696130D}" uniqueName="5" name="Meat and fish" queryTableFieldId="5"/>
    <tableColumn id="6" xr3:uid="{87888014-AF54-400E-8740-0F3CCD9A437E}" uniqueName="6" name="Egg" queryTableFieldId="6"/>
    <tableColumn id="7" xr3:uid="{1B0A221B-9478-4BC9-999E-623C33CE5AC5}" uniqueName="7" name="Milk and products" queryTableFieldId="7"/>
    <tableColumn id="8" xr3:uid="{3A9D9EB9-86A8-495D-9234-9D7380A47322}" uniqueName="8" name="Oils and fats" queryTableFieldId="8"/>
    <tableColumn id="9" xr3:uid="{3113F4A8-B66F-4D9D-A291-4C1B9C0699B9}" uniqueName="9" name="Fruits" queryTableFieldId="9"/>
    <tableColumn id="10" xr3:uid="{A0F62C70-58CD-4E8C-86BF-0D113E69FE08}" uniqueName="10" name="Vegetables" queryTableFieldId="10"/>
    <tableColumn id="11" xr3:uid="{AA559794-D386-4A25-A7B6-73C902842D45}" uniqueName="11" name="Pulses and products" queryTableFieldId="11"/>
    <tableColumn id="12" xr3:uid="{6D0EF94F-D5A2-4064-8941-066A0026DE7A}" uniqueName="12" name="Sugar and Confectionery" queryTableFieldId="12"/>
    <tableColumn id="13" xr3:uid="{45DBFD64-48BF-4684-B1E4-58862A73ADD0}" uniqueName="13" name="Spices" queryTableFieldId="13"/>
    <tableColumn id="14" xr3:uid="{288E9E60-C6C2-4861-8522-67E462F3F2CD}" uniqueName="14" name="Non-alcoholic beverages" queryTableFieldId="14"/>
    <tableColumn id="15" xr3:uid="{B743BA4C-ACE2-40AD-94B4-C5D0F2EC8D73}" uniqueName="15" name="Prepared meals, snacks, sweets etc." queryTableFieldId="15"/>
    <tableColumn id="16" xr3:uid="{E6980DEB-C705-41FE-A05B-0E84F4E3F501}" uniqueName="16" name="Food and beverages" queryTableFieldId="16"/>
    <tableColumn id="17" xr3:uid="{DFFA711B-5EF6-44B9-B9F8-13690F2CFB19}" uniqueName="17" name="Pan, tobacco and intoxicants" queryTableFieldId="17"/>
    <tableColumn id="18" xr3:uid="{45CF51DB-1E57-44C6-89BC-979E780B1B6D}" uniqueName="18" name="Clothing" queryTableFieldId="18"/>
    <tableColumn id="19" xr3:uid="{C75AD7CE-14E0-407B-ACA7-22F62611E953}" uniqueName="19" name="Footwear" queryTableFieldId="19"/>
    <tableColumn id="20" xr3:uid="{19B3F91A-C960-4C05-9887-BB27B9709E92}" uniqueName="20" name="Clothing and footwear" queryTableFieldId="20"/>
    <tableColumn id="21" xr3:uid="{2E33CC18-7F66-4638-833A-9E932D7C2E5A}" uniqueName="21" name="Housing" queryTableFieldId="21" dataDxfId="0"/>
    <tableColumn id="22" xr3:uid="{BED4E632-5571-4FBB-9AE8-F741D6ACA5ED}" uniqueName="22" name="Fuel and light" queryTableFieldId="22"/>
    <tableColumn id="23" xr3:uid="{A05D51A0-3D7C-4964-AFE9-40A95FEBC7A0}" uniqueName="23" name="Household goods and services" queryTableFieldId="23"/>
    <tableColumn id="24" xr3:uid="{2A04865D-CEE0-4BAA-8682-66284B7C9E41}" uniqueName="24" name="Health" queryTableFieldId="24"/>
    <tableColumn id="25" xr3:uid="{356BE60A-A6F1-4A6A-B749-69E5520828E6}" uniqueName="25" name="Transport and communication" queryTableFieldId="25"/>
    <tableColumn id="26" xr3:uid="{88EC1B0B-3412-4A84-B189-1D369E8B4B7E}" uniqueName="26" name="Recreation and amusement" queryTableFieldId="26"/>
    <tableColumn id="27" xr3:uid="{2096FE08-8230-4F8F-9C37-7F0CA59B0854}" uniqueName="27" name="Education" queryTableFieldId="27"/>
    <tableColumn id="28" xr3:uid="{FFA9529B-AE42-4277-B898-0F786283286B}" uniqueName="28" name="Personal care and effects" queryTableFieldId="28"/>
    <tableColumn id="29" xr3:uid="{60DF322E-999C-4A67-895A-D9ED2CB8DE1C}" uniqueName="29" name="Miscellaneous" queryTableFieldId="29"/>
    <tableColumn id="30" xr3:uid="{7680E7B1-BC6A-43C6-B6C3-F5ED384BBB9D}" uniqueName="30" name="General index" queryTableFieldId="3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99CC2-AA7E-4750-BE6D-97F0D0A57CAD}">
  <dimension ref="A1:BI373"/>
  <sheetViews>
    <sheetView workbookViewId="0">
      <selection sqref="A1:AD373"/>
    </sheetView>
  </sheetViews>
  <sheetFormatPr defaultRowHeight="14.4" x14ac:dyDescent="0.3"/>
  <cols>
    <col min="1" max="1" width="11.33203125" bestFit="1" customWidth="1"/>
    <col min="2" max="2" width="6.88671875" bestFit="1" customWidth="1"/>
    <col min="3" max="3" width="10.109375" bestFit="1" customWidth="1"/>
    <col min="4" max="4" width="21" bestFit="1" customWidth="1"/>
    <col min="5" max="5" width="14.77734375" bestFit="1" customWidth="1"/>
    <col min="6" max="6" width="6.21875" bestFit="1" customWidth="1"/>
    <col min="7" max="7" width="18.5546875" bestFit="1" customWidth="1"/>
    <col min="8" max="8" width="13.44140625" bestFit="1" customWidth="1"/>
    <col min="9" max="9" width="7.77734375" bestFit="1" customWidth="1"/>
    <col min="10" max="10" width="12.44140625" bestFit="1" customWidth="1"/>
    <col min="11" max="11" width="20.21875" bestFit="1" customWidth="1"/>
    <col min="12" max="12" width="24.33203125" bestFit="1" customWidth="1"/>
    <col min="13" max="13" width="8.44140625" bestFit="1" customWidth="1"/>
    <col min="14" max="14" width="24.21875" bestFit="1" customWidth="1"/>
    <col min="15" max="15" width="33.5546875" bestFit="1" customWidth="1"/>
    <col min="16" max="16" width="20.33203125" bestFit="1" customWidth="1"/>
    <col min="17" max="17" width="27.88671875" bestFit="1" customWidth="1"/>
    <col min="18" max="18" width="10.21875" bestFit="1" customWidth="1"/>
    <col min="19" max="19" width="11.109375" bestFit="1" customWidth="1"/>
    <col min="20" max="20" width="22.21875" bestFit="1" customWidth="1"/>
    <col min="21" max="21" width="10" bestFit="1" customWidth="1"/>
    <col min="22" max="22" width="14.44140625" bestFit="1" customWidth="1"/>
    <col min="23" max="23" width="28.88671875" bestFit="1" customWidth="1"/>
    <col min="24" max="24" width="8.6640625" bestFit="1" customWidth="1"/>
    <col min="25" max="25" width="29.109375" bestFit="1" customWidth="1"/>
    <col min="26" max="26" width="26.6640625" bestFit="1" customWidth="1"/>
    <col min="27" max="27" width="11.6640625" bestFit="1" customWidth="1"/>
    <col min="28" max="28" width="24.5546875" bestFit="1" customWidth="1"/>
    <col min="29" max="29" width="15.109375" bestFit="1" customWidth="1"/>
    <col min="30" max="30" width="14.6640625" bestFit="1" customWidth="1"/>
  </cols>
  <sheetData>
    <row r="1" spans="1:61"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F1" s="1" t="s">
        <v>0</v>
      </c>
      <c r="AG1" s="2" t="s">
        <v>1</v>
      </c>
      <c r="AH1" s="2" t="s">
        <v>2</v>
      </c>
      <c r="AI1" s="2" t="s">
        <v>3</v>
      </c>
      <c r="AJ1" s="2" t="s">
        <v>4</v>
      </c>
      <c r="AK1" s="2" t="s">
        <v>5</v>
      </c>
      <c r="AL1" s="2" t="s">
        <v>6</v>
      </c>
      <c r="AM1" s="2" t="s">
        <v>7</v>
      </c>
      <c r="AN1" s="2" t="s">
        <v>8</v>
      </c>
      <c r="AO1" s="2" t="s">
        <v>9</v>
      </c>
      <c r="AP1" s="2" t="s">
        <v>10</v>
      </c>
      <c r="AQ1" s="2" t="s">
        <v>11</v>
      </c>
      <c r="AR1" s="2" t="s">
        <v>12</v>
      </c>
      <c r="AS1" s="2" t="s">
        <v>13</v>
      </c>
      <c r="AT1" s="2" t="s">
        <v>14</v>
      </c>
      <c r="AU1" s="2" t="s">
        <v>15</v>
      </c>
      <c r="AV1" s="2" t="s">
        <v>16</v>
      </c>
      <c r="AW1" s="2" t="s">
        <v>17</v>
      </c>
      <c r="AX1" s="2" t="s">
        <v>18</v>
      </c>
      <c r="AY1" s="2" t="s">
        <v>19</v>
      </c>
      <c r="AZ1" s="2" t="s">
        <v>20</v>
      </c>
      <c r="BA1" s="2" t="s">
        <v>21</v>
      </c>
      <c r="BB1" s="2" t="s">
        <v>22</v>
      </c>
      <c r="BC1" s="2" t="s">
        <v>23</v>
      </c>
      <c r="BD1" s="2" t="s">
        <v>24</v>
      </c>
      <c r="BE1" s="2" t="s">
        <v>25</v>
      </c>
      <c r="BF1" s="2" t="s">
        <v>26</v>
      </c>
      <c r="BG1" s="2" t="s">
        <v>27</v>
      </c>
      <c r="BH1" s="2" t="s">
        <v>28</v>
      </c>
      <c r="BI1" s="3" t="s">
        <v>29</v>
      </c>
    </row>
    <row r="2" spans="1:61" x14ac:dyDescent="0.3">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v>0</v>
      </c>
      <c r="V2">
        <v>105.5</v>
      </c>
      <c r="W2">
        <v>104.8</v>
      </c>
      <c r="X2">
        <v>104</v>
      </c>
      <c r="Y2">
        <v>103.3</v>
      </c>
      <c r="Z2">
        <v>103.4</v>
      </c>
      <c r="AA2">
        <v>103.8</v>
      </c>
      <c r="AB2">
        <v>104.7</v>
      </c>
      <c r="AC2">
        <v>104</v>
      </c>
      <c r="AD2">
        <v>105.1</v>
      </c>
      <c r="AF2">
        <f>TYPE(All_India_Index_Upto_April23__1[[#This Row],[Sector]])</f>
        <v>2</v>
      </c>
      <c r="AG2">
        <f>TYPE(All_India_Index_Upto_April23__1[[#This Row],[Year]])</f>
        <v>1</v>
      </c>
      <c r="AH2">
        <f>TYPE(All_India_Index_Upto_April23__1[[#This Row],[Month]])</f>
        <v>2</v>
      </c>
      <c r="AI2">
        <f>TYPE(All_India_Index_Upto_April23__1[[#This Row],[Cereals and products]])</f>
        <v>1</v>
      </c>
      <c r="AJ2">
        <f>TYPE(All_India_Index_Upto_April23__1[[#This Row],[Meat and fish]])</f>
        <v>1</v>
      </c>
      <c r="AK2">
        <f>TYPE(All_India_Index_Upto_April23__1[[#This Row],[Egg]])</f>
        <v>1</v>
      </c>
      <c r="AL2">
        <f>TYPE(All_India_Index_Upto_April23__1[[#This Row],[Milk and products]])</f>
        <v>1</v>
      </c>
      <c r="AM2">
        <f>TYPE(All_India_Index_Upto_April23__1[[#This Row],[Oils and fats]])</f>
        <v>1</v>
      </c>
      <c r="AN2">
        <f>TYPE(All_India_Index_Upto_April23__1[[#This Row],[Fruits]])</f>
        <v>1</v>
      </c>
      <c r="AO2">
        <f>TYPE(All_India_Index_Upto_April23__1[[#This Row],[Vegetables]])</f>
        <v>1</v>
      </c>
      <c r="AP2">
        <f>TYPE(All_India_Index_Upto_April23__1[[#This Row],[Pulses and products]])</f>
        <v>1</v>
      </c>
      <c r="AQ2">
        <f>TYPE(All_India_Index_Upto_April23__1[[#This Row],[Sugar and Confectionery]])</f>
        <v>1</v>
      </c>
      <c r="AR2">
        <f>TYPE(All_India_Index_Upto_April23__1[[#This Row],[Spices]])</f>
        <v>1</v>
      </c>
      <c r="AS2">
        <f>TYPE(All_India_Index_Upto_April23__1[[#This Row],[Non-alcoholic beverages]])</f>
        <v>1</v>
      </c>
      <c r="AT2">
        <f>TYPE(All_India_Index_Upto_April23__1[[#This Row],[Prepared meals, snacks, sweets etc.]])</f>
        <v>1</v>
      </c>
      <c r="AU2">
        <f>TYPE(All_India_Index_Upto_April23__1[[#This Row],[Food and beverages]])</f>
        <v>1</v>
      </c>
      <c r="AV2">
        <f>TYPE(All_India_Index_Upto_April23__1[[#This Row],[Pan, tobacco and intoxicants]])</f>
        <v>1</v>
      </c>
      <c r="AW2">
        <f>TYPE(All_India_Index_Upto_April23__1[[#This Row],[Clothing]])</f>
        <v>1</v>
      </c>
      <c r="AX2">
        <f>TYPE(All_India_Index_Upto_April23__1[[#This Row],[Footwear]])</f>
        <v>1</v>
      </c>
      <c r="AY2">
        <f>TYPE(All_India_Index_Upto_April23__1[[#This Row],[Clothing and footwear]])</f>
        <v>1</v>
      </c>
      <c r="AZ2">
        <f>TYPE(All_India_Index_Upto_April23__1[[#This Row],[Housing]])</f>
        <v>1</v>
      </c>
      <c r="BA2">
        <f>TYPE(All_India_Index_Upto_April23__1[[#This Row],[Fuel and light]])</f>
        <v>1</v>
      </c>
      <c r="BB2">
        <f>TYPE(All_India_Index_Upto_April23__1[[#This Row],[Household goods and services]])</f>
        <v>1</v>
      </c>
      <c r="BC2">
        <f>TYPE(All_India_Index_Upto_April23__1[[#This Row],[Health]])</f>
        <v>1</v>
      </c>
      <c r="BD2">
        <f>TYPE(All_India_Index_Upto_April23__1[[#This Row],[Transport and communication]])</f>
        <v>1</v>
      </c>
      <c r="BE2">
        <f>TYPE(All_India_Index_Upto_April23__1[[#This Row],[Recreation and amusement]])</f>
        <v>1</v>
      </c>
      <c r="BF2">
        <f>TYPE(All_India_Index_Upto_April23__1[[#This Row],[Education]])</f>
        <v>1</v>
      </c>
      <c r="BG2">
        <f>TYPE(All_India_Index_Upto_April23__1[[#This Row],[Personal care and effects]])</f>
        <v>1</v>
      </c>
      <c r="BH2">
        <f>TYPE(All_India_Index_Upto_April23__1[[#This Row],[Miscellaneous]])</f>
        <v>1</v>
      </c>
      <c r="BI2">
        <f>TYPE(All_India_Index_Upto_April23__1[[#This Row],[General index]])</f>
        <v>1</v>
      </c>
    </row>
    <row r="3" spans="1:61" x14ac:dyDescent="0.3">
      <c r="A3" t="s">
        <v>32</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c r="AF3">
        <f>TYPE(All_India_Index_Upto_April23__1[[#This Row],[Sector]])</f>
        <v>2</v>
      </c>
      <c r="AG3">
        <f>TYPE(All_India_Index_Upto_April23__1[[#This Row],[Year]])</f>
        <v>1</v>
      </c>
      <c r="AH3">
        <f>TYPE(All_India_Index_Upto_April23__1[[#This Row],[Month]])</f>
        <v>2</v>
      </c>
      <c r="AI3">
        <f>TYPE(All_India_Index_Upto_April23__1[[#This Row],[Cereals and products]])</f>
        <v>1</v>
      </c>
      <c r="AJ3">
        <f>TYPE(All_India_Index_Upto_April23__1[[#This Row],[Meat and fish]])</f>
        <v>1</v>
      </c>
      <c r="AK3">
        <f>TYPE(All_India_Index_Upto_April23__1[[#This Row],[Egg]])</f>
        <v>1</v>
      </c>
      <c r="AL3">
        <f>TYPE(All_India_Index_Upto_April23__1[[#This Row],[Milk and products]])</f>
        <v>1</v>
      </c>
      <c r="AM3">
        <f>TYPE(All_India_Index_Upto_April23__1[[#This Row],[Oils and fats]])</f>
        <v>1</v>
      </c>
      <c r="AN3">
        <f>TYPE(All_India_Index_Upto_April23__1[[#This Row],[Fruits]])</f>
        <v>1</v>
      </c>
      <c r="AO3">
        <f>TYPE(All_India_Index_Upto_April23__1[[#This Row],[Vegetables]])</f>
        <v>1</v>
      </c>
      <c r="AP3">
        <f>TYPE(All_India_Index_Upto_April23__1[[#This Row],[Pulses and products]])</f>
        <v>1</v>
      </c>
      <c r="AQ3">
        <f>TYPE(All_India_Index_Upto_April23__1[[#This Row],[Sugar and Confectionery]])</f>
        <v>1</v>
      </c>
      <c r="AR3">
        <f>TYPE(All_India_Index_Upto_April23__1[[#This Row],[Spices]])</f>
        <v>1</v>
      </c>
      <c r="AS3">
        <f>TYPE(All_India_Index_Upto_April23__1[[#This Row],[Non-alcoholic beverages]])</f>
        <v>1</v>
      </c>
      <c r="AT3">
        <f>TYPE(All_India_Index_Upto_April23__1[[#This Row],[Prepared meals, snacks, sweets etc.]])</f>
        <v>1</v>
      </c>
      <c r="AU3">
        <f>TYPE(All_India_Index_Upto_April23__1[[#This Row],[Food and beverages]])</f>
        <v>1</v>
      </c>
      <c r="AV3">
        <f>TYPE(All_India_Index_Upto_April23__1[[#This Row],[Pan, tobacco and intoxicants]])</f>
        <v>1</v>
      </c>
      <c r="AW3">
        <f>TYPE(All_India_Index_Upto_April23__1[[#This Row],[Clothing]])</f>
        <v>1</v>
      </c>
      <c r="AX3">
        <f>TYPE(All_India_Index_Upto_April23__1[[#This Row],[Footwear]])</f>
        <v>1</v>
      </c>
      <c r="AY3">
        <f>TYPE(All_India_Index_Upto_April23__1[[#This Row],[Clothing and footwear]])</f>
        <v>1</v>
      </c>
      <c r="AZ3">
        <f>TYPE(All_India_Index_Upto_April23__1[[#This Row],[Housing]])</f>
        <v>1</v>
      </c>
      <c r="BA3">
        <f>TYPE(All_India_Index_Upto_April23__1[[#This Row],[Fuel and light]])</f>
        <v>1</v>
      </c>
      <c r="BB3">
        <f>TYPE(All_India_Index_Upto_April23__1[[#This Row],[Household goods and services]])</f>
        <v>1</v>
      </c>
      <c r="BC3">
        <f>TYPE(All_India_Index_Upto_April23__1[[#This Row],[Health]])</f>
        <v>1</v>
      </c>
      <c r="BD3">
        <f>TYPE(All_India_Index_Upto_April23__1[[#This Row],[Transport and communication]])</f>
        <v>1</v>
      </c>
      <c r="BE3">
        <f>TYPE(All_India_Index_Upto_April23__1[[#This Row],[Recreation and amusement]])</f>
        <v>1</v>
      </c>
      <c r="BF3">
        <f>TYPE(All_India_Index_Upto_April23__1[[#This Row],[Education]])</f>
        <v>1</v>
      </c>
      <c r="BG3">
        <f>TYPE(All_India_Index_Upto_April23__1[[#This Row],[Personal care and effects]])</f>
        <v>1</v>
      </c>
      <c r="BH3">
        <f>TYPE(All_India_Index_Upto_April23__1[[#This Row],[Miscellaneous]])</f>
        <v>1</v>
      </c>
      <c r="BI3">
        <f>TYPE(All_India_Index_Upto_April23__1[[#This Row],[General index]])</f>
        <v>1</v>
      </c>
    </row>
    <row r="4" spans="1:61" x14ac:dyDescent="0.3">
      <c r="A4" t="s">
        <v>33</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c r="AF4">
        <f>TYPE(All_India_Index_Upto_April23__1[[#This Row],[Sector]])</f>
        <v>2</v>
      </c>
      <c r="AG4">
        <f>TYPE(All_India_Index_Upto_April23__1[[#This Row],[Year]])</f>
        <v>1</v>
      </c>
      <c r="AH4">
        <f>TYPE(All_India_Index_Upto_April23__1[[#This Row],[Month]])</f>
        <v>2</v>
      </c>
      <c r="AI4">
        <f>TYPE(All_India_Index_Upto_April23__1[[#This Row],[Cereals and products]])</f>
        <v>1</v>
      </c>
      <c r="AJ4">
        <f>TYPE(All_India_Index_Upto_April23__1[[#This Row],[Meat and fish]])</f>
        <v>1</v>
      </c>
      <c r="AK4">
        <f>TYPE(All_India_Index_Upto_April23__1[[#This Row],[Egg]])</f>
        <v>1</v>
      </c>
      <c r="AL4">
        <f>TYPE(All_India_Index_Upto_April23__1[[#This Row],[Milk and products]])</f>
        <v>1</v>
      </c>
      <c r="AM4">
        <f>TYPE(All_India_Index_Upto_April23__1[[#This Row],[Oils and fats]])</f>
        <v>1</v>
      </c>
      <c r="AN4">
        <f>TYPE(All_India_Index_Upto_April23__1[[#This Row],[Fruits]])</f>
        <v>1</v>
      </c>
      <c r="AO4">
        <f>TYPE(All_India_Index_Upto_April23__1[[#This Row],[Vegetables]])</f>
        <v>1</v>
      </c>
      <c r="AP4">
        <f>TYPE(All_India_Index_Upto_April23__1[[#This Row],[Pulses and products]])</f>
        <v>1</v>
      </c>
      <c r="AQ4">
        <f>TYPE(All_India_Index_Upto_April23__1[[#This Row],[Sugar and Confectionery]])</f>
        <v>1</v>
      </c>
      <c r="AR4">
        <f>TYPE(All_India_Index_Upto_April23__1[[#This Row],[Spices]])</f>
        <v>1</v>
      </c>
      <c r="AS4">
        <f>TYPE(All_India_Index_Upto_April23__1[[#This Row],[Non-alcoholic beverages]])</f>
        <v>1</v>
      </c>
      <c r="AT4">
        <f>TYPE(All_India_Index_Upto_April23__1[[#This Row],[Prepared meals, snacks, sweets etc.]])</f>
        <v>1</v>
      </c>
      <c r="AU4">
        <f>TYPE(All_India_Index_Upto_April23__1[[#This Row],[Food and beverages]])</f>
        <v>1</v>
      </c>
      <c r="AV4">
        <f>TYPE(All_India_Index_Upto_April23__1[[#This Row],[Pan, tobacco and intoxicants]])</f>
        <v>1</v>
      </c>
      <c r="AW4">
        <f>TYPE(All_India_Index_Upto_April23__1[[#This Row],[Clothing]])</f>
        <v>1</v>
      </c>
      <c r="AX4">
        <f>TYPE(All_India_Index_Upto_April23__1[[#This Row],[Footwear]])</f>
        <v>1</v>
      </c>
      <c r="AY4">
        <f>TYPE(All_India_Index_Upto_April23__1[[#This Row],[Clothing and footwear]])</f>
        <v>1</v>
      </c>
      <c r="AZ4">
        <f>TYPE(All_India_Index_Upto_April23__1[[#This Row],[Housing]])</f>
        <v>1</v>
      </c>
      <c r="BA4">
        <f>TYPE(All_India_Index_Upto_April23__1[[#This Row],[Fuel and light]])</f>
        <v>1</v>
      </c>
      <c r="BB4">
        <f>TYPE(All_India_Index_Upto_April23__1[[#This Row],[Household goods and services]])</f>
        <v>1</v>
      </c>
      <c r="BC4">
        <f>TYPE(All_India_Index_Upto_April23__1[[#This Row],[Health]])</f>
        <v>1</v>
      </c>
      <c r="BD4">
        <f>TYPE(All_India_Index_Upto_April23__1[[#This Row],[Transport and communication]])</f>
        <v>1</v>
      </c>
      <c r="BE4">
        <f>TYPE(All_India_Index_Upto_April23__1[[#This Row],[Recreation and amusement]])</f>
        <v>1</v>
      </c>
      <c r="BF4">
        <f>TYPE(All_India_Index_Upto_April23__1[[#This Row],[Education]])</f>
        <v>1</v>
      </c>
      <c r="BG4">
        <f>TYPE(All_India_Index_Upto_April23__1[[#This Row],[Personal care and effects]])</f>
        <v>1</v>
      </c>
      <c r="BH4">
        <f>TYPE(All_India_Index_Upto_April23__1[[#This Row],[Miscellaneous]])</f>
        <v>1</v>
      </c>
      <c r="BI4">
        <f>TYPE(All_India_Index_Upto_April23__1[[#This Row],[General index]])</f>
        <v>1</v>
      </c>
    </row>
    <row r="5" spans="1:61" x14ac:dyDescent="0.3">
      <c r="A5" t="s">
        <v>30</v>
      </c>
      <c r="B5">
        <v>2013</v>
      </c>
      <c r="C5" t="s">
        <v>34</v>
      </c>
      <c r="D5">
        <v>109.2</v>
      </c>
      <c r="E5">
        <v>108.7</v>
      </c>
      <c r="F5">
        <v>110.2</v>
      </c>
      <c r="G5">
        <v>105.4</v>
      </c>
      <c r="H5">
        <v>106.7</v>
      </c>
      <c r="I5">
        <v>104</v>
      </c>
      <c r="J5">
        <v>102.4</v>
      </c>
      <c r="K5">
        <v>105.9</v>
      </c>
      <c r="L5">
        <v>105.7</v>
      </c>
      <c r="M5">
        <v>103.1</v>
      </c>
      <c r="N5">
        <v>105.1</v>
      </c>
      <c r="O5">
        <v>107.7</v>
      </c>
      <c r="P5">
        <v>106.3</v>
      </c>
      <c r="Q5">
        <v>105.6</v>
      </c>
      <c r="R5">
        <v>107.1</v>
      </c>
      <c r="S5">
        <v>106.3</v>
      </c>
      <c r="T5">
        <v>107</v>
      </c>
      <c r="U5">
        <v>0</v>
      </c>
      <c r="V5">
        <v>106.2</v>
      </c>
      <c r="W5">
        <v>105.2</v>
      </c>
      <c r="X5">
        <v>104.4</v>
      </c>
      <c r="Y5">
        <v>103.9</v>
      </c>
      <c r="Z5">
        <v>104</v>
      </c>
      <c r="AA5">
        <v>104.1</v>
      </c>
      <c r="AB5">
        <v>104.6</v>
      </c>
      <c r="AC5">
        <v>104.4</v>
      </c>
      <c r="AD5">
        <v>105.8</v>
      </c>
      <c r="AF5">
        <f>TYPE(All_India_Index_Upto_April23__1[[#This Row],[Sector]])</f>
        <v>2</v>
      </c>
      <c r="AG5">
        <f>TYPE(All_India_Index_Upto_April23__1[[#This Row],[Year]])</f>
        <v>1</v>
      </c>
      <c r="AH5">
        <f>TYPE(All_India_Index_Upto_April23__1[[#This Row],[Month]])</f>
        <v>2</v>
      </c>
      <c r="AI5">
        <f>TYPE(All_India_Index_Upto_April23__1[[#This Row],[Cereals and products]])</f>
        <v>1</v>
      </c>
      <c r="AJ5">
        <f>TYPE(All_India_Index_Upto_April23__1[[#This Row],[Meat and fish]])</f>
        <v>1</v>
      </c>
      <c r="AK5">
        <f>TYPE(All_India_Index_Upto_April23__1[[#This Row],[Egg]])</f>
        <v>1</v>
      </c>
      <c r="AL5">
        <f>TYPE(All_India_Index_Upto_April23__1[[#This Row],[Milk and products]])</f>
        <v>1</v>
      </c>
      <c r="AM5">
        <f>TYPE(All_India_Index_Upto_April23__1[[#This Row],[Oils and fats]])</f>
        <v>1</v>
      </c>
      <c r="AN5">
        <f>TYPE(All_India_Index_Upto_April23__1[[#This Row],[Fruits]])</f>
        <v>1</v>
      </c>
      <c r="AO5">
        <f>TYPE(All_India_Index_Upto_April23__1[[#This Row],[Vegetables]])</f>
        <v>1</v>
      </c>
      <c r="AP5">
        <f>TYPE(All_India_Index_Upto_April23__1[[#This Row],[Pulses and products]])</f>
        <v>1</v>
      </c>
      <c r="AQ5">
        <f>TYPE(All_India_Index_Upto_April23__1[[#This Row],[Sugar and Confectionery]])</f>
        <v>1</v>
      </c>
      <c r="AR5">
        <f>TYPE(All_India_Index_Upto_April23__1[[#This Row],[Spices]])</f>
        <v>1</v>
      </c>
      <c r="AS5">
        <f>TYPE(All_India_Index_Upto_April23__1[[#This Row],[Non-alcoholic beverages]])</f>
        <v>1</v>
      </c>
      <c r="AT5">
        <f>TYPE(All_India_Index_Upto_April23__1[[#This Row],[Prepared meals, snacks, sweets etc.]])</f>
        <v>1</v>
      </c>
      <c r="AU5">
        <f>TYPE(All_India_Index_Upto_April23__1[[#This Row],[Food and beverages]])</f>
        <v>1</v>
      </c>
      <c r="AV5">
        <f>TYPE(All_India_Index_Upto_April23__1[[#This Row],[Pan, tobacco and intoxicants]])</f>
        <v>1</v>
      </c>
      <c r="AW5">
        <f>TYPE(All_India_Index_Upto_April23__1[[#This Row],[Clothing]])</f>
        <v>1</v>
      </c>
      <c r="AX5">
        <f>TYPE(All_India_Index_Upto_April23__1[[#This Row],[Footwear]])</f>
        <v>1</v>
      </c>
      <c r="AY5">
        <f>TYPE(All_India_Index_Upto_April23__1[[#This Row],[Clothing and footwear]])</f>
        <v>1</v>
      </c>
      <c r="AZ5">
        <f>TYPE(All_India_Index_Upto_April23__1[[#This Row],[Housing]])</f>
        <v>1</v>
      </c>
      <c r="BA5">
        <f>TYPE(All_India_Index_Upto_April23__1[[#This Row],[Fuel and light]])</f>
        <v>1</v>
      </c>
      <c r="BB5">
        <f>TYPE(All_India_Index_Upto_April23__1[[#This Row],[Household goods and services]])</f>
        <v>1</v>
      </c>
      <c r="BC5">
        <f>TYPE(All_India_Index_Upto_April23__1[[#This Row],[Health]])</f>
        <v>1</v>
      </c>
      <c r="BD5">
        <f>TYPE(All_India_Index_Upto_April23__1[[#This Row],[Transport and communication]])</f>
        <v>1</v>
      </c>
      <c r="BE5">
        <f>TYPE(All_India_Index_Upto_April23__1[[#This Row],[Recreation and amusement]])</f>
        <v>1</v>
      </c>
      <c r="BF5">
        <f>TYPE(All_India_Index_Upto_April23__1[[#This Row],[Education]])</f>
        <v>1</v>
      </c>
      <c r="BG5">
        <f>TYPE(All_India_Index_Upto_April23__1[[#This Row],[Personal care and effects]])</f>
        <v>1</v>
      </c>
      <c r="BH5">
        <f>TYPE(All_India_Index_Upto_April23__1[[#This Row],[Miscellaneous]])</f>
        <v>1</v>
      </c>
      <c r="BI5">
        <f>TYPE(All_India_Index_Upto_April23__1[[#This Row],[General index]])</f>
        <v>1</v>
      </c>
    </row>
    <row r="6" spans="1:61" x14ac:dyDescent="0.3">
      <c r="A6" t="s">
        <v>32</v>
      </c>
      <c r="B6">
        <v>2013</v>
      </c>
      <c r="C6" t="s">
        <v>34</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c r="AF6">
        <f>TYPE(All_India_Index_Upto_April23__1[[#This Row],[Sector]])</f>
        <v>2</v>
      </c>
      <c r="AG6">
        <f>TYPE(All_India_Index_Upto_April23__1[[#This Row],[Year]])</f>
        <v>1</v>
      </c>
      <c r="AH6">
        <f>TYPE(All_India_Index_Upto_April23__1[[#This Row],[Month]])</f>
        <v>2</v>
      </c>
      <c r="AI6">
        <f>TYPE(All_India_Index_Upto_April23__1[[#This Row],[Cereals and products]])</f>
        <v>1</v>
      </c>
      <c r="AJ6">
        <f>TYPE(All_India_Index_Upto_April23__1[[#This Row],[Meat and fish]])</f>
        <v>1</v>
      </c>
      <c r="AK6">
        <f>TYPE(All_India_Index_Upto_April23__1[[#This Row],[Egg]])</f>
        <v>1</v>
      </c>
      <c r="AL6">
        <f>TYPE(All_India_Index_Upto_April23__1[[#This Row],[Milk and products]])</f>
        <v>1</v>
      </c>
      <c r="AM6">
        <f>TYPE(All_India_Index_Upto_April23__1[[#This Row],[Oils and fats]])</f>
        <v>1</v>
      </c>
      <c r="AN6">
        <f>TYPE(All_India_Index_Upto_April23__1[[#This Row],[Fruits]])</f>
        <v>1</v>
      </c>
      <c r="AO6">
        <f>TYPE(All_India_Index_Upto_April23__1[[#This Row],[Vegetables]])</f>
        <v>1</v>
      </c>
      <c r="AP6">
        <f>TYPE(All_India_Index_Upto_April23__1[[#This Row],[Pulses and products]])</f>
        <v>1</v>
      </c>
      <c r="AQ6">
        <f>TYPE(All_India_Index_Upto_April23__1[[#This Row],[Sugar and Confectionery]])</f>
        <v>1</v>
      </c>
      <c r="AR6">
        <f>TYPE(All_India_Index_Upto_April23__1[[#This Row],[Spices]])</f>
        <v>1</v>
      </c>
      <c r="AS6">
        <f>TYPE(All_India_Index_Upto_April23__1[[#This Row],[Non-alcoholic beverages]])</f>
        <v>1</v>
      </c>
      <c r="AT6">
        <f>TYPE(All_India_Index_Upto_April23__1[[#This Row],[Prepared meals, snacks, sweets etc.]])</f>
        <v>1</v>
      </c>
      <c r="AU6">
        <f>TYPE(All_India_Index_Upto_April23__1[[#This Row],[Food and beverages]])</f>
        <v>1</v>
      </c>
      <c r="AV6">
        <f>TYPE(All_India_Index_Upto_April23__1[[#This Row],[Pan, tobacco and intoxicants]])</f>
        <v>1</v>
      </c>
      <c r="AW6">
        <f>TYPE(All_India_Index_Upto_April23__1[[#This Row],[Clothing]])</f>
        <v>1</v>
      </c>
      <c r="AX6">
        <f>TYPE(All_India_Index_Upto_April23__1[[#This Row],[Footwear]])</f>
        <v>1</v>
      </c>
      <c r="AY6">
        <f>TYPE(All_India_Index_Upto_April23__1[[#This Row],[Clothing and footwear]])</f>
        <v>1</v>
      </c>
      <c r="AZ6">
        <f>TYPE(All_India_Index_Upto_April23__1[[#This Row],[Housing]])</f>
        <v>1</v>
      </c>
      <c r="BA6">
        <f>TYPE(All_India_Index_Upto_April23__1[[#This Row],[Fuel and light]])</f>
        <v>1</v>
      </c>
      <c r="BB6">
        <f>TYPE(All_India_Index_Upto_April23__1[[#This Row],[Household goods and services]])</f>
        <v>1</v>
      </c>
      <c r="BC6">
        <f>TYPE(All_India_Index_Upto_April23__1[[#This Row],[Health]])</f>
        <v>1</v>
      </c>
      <c r="BD6">
        <f>TYPE(All_India_Index_Upto_April23__1[[#This Row],[Transport and communication]])</f>
        <v>1</v>
      </c>
      <c r="BE6">
        <f>TYPE(All_India_Index_Upto_April23__1[[#This Row],[Recreation and amusement]])</f>
        <v>1</v>
      </c>
      <c r="BF6">
        <f>TYPE(All_India_Index_Upto_April23__1[[#This Row],[Education]])</f>
        <v>1</v>
      </c>
      <c r="BG6">
        <f>TYPE(All_India_Index_Upto_April23__1[[#This Row],[Personal care and effects]])</f>
        <v>1</v>
      </c>
      <c r="BH6">
        <f>TYPE(All_India_Index_Upto_April23__1[[#This Row],[Miscellaneous]])</f>
        <v>1</v>
      </c>
      <c r="BI6">
        <f>TYPE(All_India_Index_Upto_April23__1[[#This Row],[General index]])</f>
        <v>1</v>
      </c>
    </row>
    <row r="7" spans="1:61" x14ac:dyDescent="0.3">
      <c r="A7" t="s">
        <v>33</v>
      </c>
      <c r="B7">
        <v>2013</v>
      </c>
      <c r="C7" t="s">
        <v>34</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c r="AF7">
        <f>TYPE(All_India_Index_Upto_April23__1[[#This Row],[Sector]])</f>
        <v>2</v>
      </c>
      <c r="AG7">
        <f>TYPE(All_India_Index_Upto_April23__1[[#This Row],[Year]])</f>
        <v>1</v>
      </c>
      <c r="AH7">
        <f>TYPE(All_India_Index_Upto_April23__1[[#This Row],[Month]])</f>
        <v>2</v>
      </c>
      <c r="AI7">
        <f>TYPE(All_India_Index_Upto_April23__1[[#This Row],[Cereals and products]])</f>
        <v>1</v>
      </c>
      <c r="AJ7">
        <f>TYPE(All_India_Index_Upto_April23__1[[#This Row],[Meat and fish]])</f>
        <v>1</v>
      </c>
      <c r="AK7">
        <f>TYPE(All_India_Index_Upto_April23__1[[#This Row],[Egg]])</f>
        <v>1</v>
      </c>
      <c r="AL7">
        <f>TYPE(All_India_Index_Upto_April23__1[[#This Row],[Milk and products]])</f>
        <v>1</v>
      </c>
      <c r="AM7">
        <f>TYPE(All_India_Index_Upto_April23__1[[#This Row],[Oils and fats]])</f>
        <v>1</v>
      </c>
      <c r="AN7">
        <f>TYPE(All_India_Index_Upto_April23__1[[#This Row],[Fruits]])</f>
        <v>1</v>
      </c>
      <c r="AO7">
        <f>TYPE(All_India_Index_Upto_April23__1[[#This Row],[Vegetables]])</f>
        <v>1</v>
      </c>
      <c r="AP7">
        <f>TYPE(All_India_Index_Upto_April23__1[[#This Row],[Pulses and products]])</f>
        <v>1</v>
      </c>
      <c r="AQ7">
        <f>TYPE(All_India_Index_Upto_April23__1[[#This Row],[Sugar and Confectionery]])</f>
        <v>1</v>
      </c>
      <c r="AR7">
        <f>TYPE(All_India_Index_Upto_April23__1[[#This Row],[Spices]])</f>
        <v>1</v>
      </c>
      <c r="AS7">
        <f>TYPE(All_India_Index_Upto_April23__1[[#This Row],[Non-alcoholic beverages]])</f>
        <v>1</v>
      </c>
      <c r="AT7">
        <f>TYPE(All_India_Index_Upto_April23__1[[#This Row],[Prepared meals, snacks, sweets etc.]])</f>
        <v>1</v>
      </c>
      <c r="AU7">
        <f>TYPE(All_India_Index_Upto_April23__1[[#This Row],[Food and beverages]])</f>
        <v>1</v>
      </c>
      <c r="AV7">
        <f>TYPE(All_India_Index_Upto_April23__1[[#This Row],[Pan, tobacco and intoxicants]])</f>
        <v>1</v>
      </c>
      <c r="AW7">
        <f>TYPE(All_India_Index_Upto_April23__1[[#This Row],[Clothing]])</f>
        <v>1</v>
      </c>
      <c r="AX7">
        <f>TYPE(All_India_Index_Upto_April23__1[[#This Row],[Footwear]])</f>
        <v>1</v>
      </c>
      <c r="AY7">
        <f>TYPE(All_India_Index_Upto_April23__1[[#This Row],[Clothing and footwear]])</f>
        <v>1</v>
      </c>
      <c r="AZ7">
        <f>TYPE(All_India_Index_Upto_April23__1[[#This Row],[Housing]])</f>
        <v>1</v>
      </c>
      <c r="BA7">
        <f>TYPE(All_India_Index_Upto_April23__1[[#This Row],[Fuel and light]])</f>
        <v>1</v>
      </c>
      <c r="BB7">
        <f>TYPE(All_India_Index_Upto_April23__1[[#This Row],[Household goods and services]])</f>
        <v>1</v>
      </c>
      <c r="BC7">
        <f>TYPE(All_India_Index_Upto_April23__1[[#This Row],[Health]])</f>
        <v>1</v>
      </c>
      <c r="BD7">
        <f>TYPE(All_India_Index_Upto_April23__1[[#This Row],[Transport and communication]])</f>
        <v>1</v>
      </c>
      <c r="BE7">
        <f>TYPE(All_India_Index_Upto_April23__1[[#This Row],[Recreation and amusement]])</f>
        <v>1</v>
      </c>
      <c r="BF7">
        <f>TYPE(All_India_Index_Upto_April23__1[[#This Row],[Education]])</f>
        <v>1</v>
      </c>
      <c r="BG7">
        <f>TYPE(All_India_Index_Upto_April23__1[[#This Row],[Personal care and effects]])</f>
        <v>1</v>
      </c>
      <c r="BH7">
        <f>TYPE(All_India_Index_Upto_April23__1[[#This Row],[Miscellaneous]])</f>
        <v>1</v>
      </c>
      <c r="BI7">
        <f>TYPE(All_India_Index_Upto_April23__1[[#This Row],[General index]])</f>
        <v>1</v>
      </c>
    </row>
    <row r="8" spans="1:61" x14ac:dyDescent="0.3">
      <c r="A8" t="s">
        <v>30</v>
      </c>
      <c r="B8">
        <v>2013</v>
      </c>
      <c r="C8" t="s">
        <v>35</v>
      </c>
      <c r="D8">
        <v>110.2</v>
      </c>
      <c r="E8">
        <v>108.8</v>
      </c>
      <c r="F8">
        <v>109.9</v>
      </c>
      <c r="G8">
        <v>105.6</v>
      </c>
      <c r="H8">
        <v>106.2</v>
      </c>
      <c r="I8">
        <v>105.7</v>
      </c>
      <c r="J8">
        <v>101.4</v>
      </c>
      <c r="K8">
        <v>105.7</v>
      </c>
      <c r="L8">
        <v>105</v>
      </c>
      <c r="M8">
        <v>103.3</v>
      </c>
      <c r="N8">
        <v>105.6</v>
      </c>
      <c r="O8">
        <v>108.2</v>
      </c>
      <c r="P8">
        <v>106.6</v>
      </c>
      <c r="Q8">
        <v>106.5</v>
      </c>
      <c r="R8">
        <v>107.6</v>
      </c>
      <c r="S8">
        <v>106.8</v>
      </c>
      <c r="T8">
        <v>107.5</v>
      </c>
      <c r="U8">
        <v>0</v>
      </c>
      <c r="V8">
        <v>106.1</v>
      </c>
      <c r="W8">
        <v>105.6</v>
      </c>
      <c r="X8">
        <v>104.7</v>
      </c>
      <c r="Y8">
        <v>104.6</v>
      </c>
      <c r="Z8">
        <v>104</v>
      </c>
      <c r="AA8">
        <v>104.3</v>
      </c>
      <c r="AB8">
        <v>104.3</v>
      </c>
      <c r="AC8">
        <v>104.6</v>
      </c>
      <c r="AD8">
        <v>106</v>
      </c>
      <c r="AF8">
        <f>TYPE(All_India_Index_Upto_April23__1[[#This Row],[Sector]])</f>
        <v>2</v>
      </c>
      <c r="AG8">
        <f>TYPE(All_India_Index_Upto_April23__1[[#This Row],[Year]])</f>
        <v>1</v>
      </c>
      <c r="AH8">
        <f>TYPE(All_India_Index_Upto_April23__1[[#This Row],[Month]])</f>
        <v>2</v>
      </c>
      <c r="AI8">
        <f>TYPE(All_India_Index_Upto_April23__1[[#This Row],[Cereals and products]])</f>
        <v>1</v>
      </c>
      <c r="AJ8">
        <f>TYPE(All_India_Index_Upto_April23__1[[#This Row],[Meat and fish]])</f>
        <v>1</v>
      </c>
      <c r="AK8">
        <f>TYPE(All_India_Index_Upto_April23__1[[#This Row],[Egg]])</f>
        <v>1</v>
      </c>
      <c r="AL8">
        <f>TYPE(All_India_Index_Upto_April23__1[[#This Row],[Milk and products]])</f>
        <v>1</v>
      </c>
      <c r="AM8">
        <f>TYPE(All_India_Index_Upto_April23__1[[#This Row],[Oils and fats]])</f>
        <v>1</v>
      </c>
      <c r="AN8">
        <f>TYPE(All_India_Index_Upto_April23__1[[#This Row],[Fruits]])</f>
        <v>1</v>
      </c>
      <c r="AO8">
        <f>TYPE(All_India_Index_Upto_April23__1[[#This Row],[Vegetables]])</f>
        <v>1</v>
      </c>
      <c r="AP8">
        <f>TYPE(All_India_Index_Upto_April23__1[[#This Row],[Pulses and products]])</f>
        <v>1</v>
      </c>
      <c r="AQ8">
        <f>TYPE(All_India_Index_Upto_April23__1[[#This Row],[Sugar and Confectionery]])</f>
        <v>1</v>
      </c>
      <c r="AR8">
        <f>TYPE(All_India_Index_Upto_April23__1[[#This Row],[Spices]])</f>
        <v>1</v>
      </c>
      <c r="AS8">
        <f>TYPE(All_India_Index_Upto_April23__1[[#This Row],[Non-alcoholic beverages]])</f>
        <v>1</v>
      </c>
      <c r="AT8">
        <f>TYPE(All_India_Index_Upto_April23__1[[#This Row],[Prepared meals, snacks, sweets etc.]])</f>
        <v>1</v>
      </c>
      <c r="AU8">
        <f>TYPE(All_India_Index_Upto_April23__1[[#This Row],[Food and beverages]])</f>
        <v>1</v>
      </c>
      <c r="AV8">
        <f>TYPE(All_India_Index_Upto_April23__1[[#This Row],[Pan, tobacco and intoxicants]])</f>
        <v>1</v>
      </c>
      <c r="AW8">
        <f>TYPE(All_India_Index_Upto_April23__1[[#This Row],[Clothing]])</f>
        <v>1</v>
      </c>
      <c r="AX8">
        <f>TYPE(All_India_Index_Upto_April23__1[[#This Row],[Footwear]])</f>
        <v>1</v>
      </c>
      <c r="AY8">
        <f>TYPE(All_India_Index_Upto_April23__1[[#This Row],[Clothing and footwear]])</f>
        <v>1</v>
      </c>
      <c r="AZ8">
        <f>TYPE(All_India_Index_Upto_April23__1[[#This Row],[Housing]])</f>
        <v>1</v>
      </c>
      <c r="BA8">
        <f>TYPE(All_India_Index_Upto_April23__1[[#This Row],[Fuel and light]])</f>
        <v>1</v>
      </c>
      <c r="BB8">
        <f>TYPE(All_India_Index_Upto_April23__1[[#This Row],[Household goods and services]])</f>
        <v>1</v>
      </c>
      <c r="BC8">
        <f>TYPE(All_India_Index_Upto_April23__1[[#This Row],[Health]])</f>
        <v>1</v>
      </c>
      <c r="BD8">
        <f>TYPE(All_India_Index_Upto_April23__1[[#This Row],[Transport and communication]])</f>
        <v>1</v>
      </c>
      <c r="BE8">
        <f>TYPE(All_India_Index_Upto_April23__1[[#This Row],[Recreation and amusement]])</f>
        <v>1</v>
      </c>
      <c r="BF8">
        <f>TYPE(All_India_Index_Upto_April23__1[[#This Row],[Education]])</f>
        <v>1</v>
      </c>
      <c r="BG8">
        <f>TYPE(All_India_Index_Upto_April23__1[[#This Row],[Personal care and effects]])</f>
        <v>1</v>
      </c>
      <c r="BH8">
        <f>TYPE(All_India_Index_Upto_April23__1[[#This Row],[Miscellaneous]])</f>
        <v>1</v>
      </c>
      <c r="BI8">
        <f>TYPE(All_India_Index_Upto_April23__1[[#This Row],[General index]])</f>
        <v>1</v>
      </c>
    </row>
    <row r="9" spans="1:61" x14ac:dyDescent="0.3">
      <c r="A9" t="s">
        <v>32</v>
      </c>
      <c r="B9">
        <v>2013</v>
      </c>
      <c r="C9" t="s">
        <v>35</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c r="AF9">
        <f>TYPE(All_India_Index_Upto_April23__1[[#This Row],[Sector]])</f>
        <v>2</v>
      </c>
      <c r="AG9">
        <f>TYPE(All_India_Index_Upto_April23__1[[#This Row],[Year]])</f>
        <v>1</v>
      </c>
      <c r="AH9">
        <f>TYPE(All_India_Index_Upto_April23__1[[#This Row],[Month]])</f>
        <v>2</v>
      </c>
      <c r="AI9">
        <f>TYPE(All_India_Index_Upto_April23__1[[#This Row],[Cereals and products]])</f>
        <v>1</v>
      </c>
      <c r="AJ9">
        <f>TYPE(All_India_Index_Upto_April23__1[[#This Row],[Meat and fish]])</f>
        <v>1</v>
      </c>
      <c r="AK9">
        <f>TYPE(All_India_Index_Upto_April23__1[[#This Row],[Egg]])</f>
        <v>1</v>
      </c>
      <c r="AL9">
        <f>TYPE(All_India_Index_Upto_April23__1[[#This Row],[Milk and products]])</f>
        <v>1</v>
      </c>
      <c r="AM9">
        <f>TYPE(All_India_Index_Upto_April23__1[[#This Row],[Oils and fats]])</f>
        <v>1</v>
      </c>
      <c r="AN9">
        <f>TYPE(All_India_Index_Upto_April23__1[[#This Row],[Fruits]])</f>
        <v>1</v>
      </c>
      <c r="AO9">
        <f>TYPE(All_India_Index_Upto_April23__1[[#This Row],[Vegetables]])</f>
        <v>1</v>
      </c>
      <c r="AP9">
        <f>TYPE(All_India_Index_Upto_April23__1[[#This Row],[Pulses and products]])</f>
        <v>1</v>
      </c>
      <c r="AQ9">
        <f>TYPE(All_India_Index_Upto_April23__1[[#This Row],[Sugar and Confectionery]])</f>
        <v>1</v>
      </c>
      <c r="AR9">
        <f>TYPE(All_India_Index_Upto_April23__1[[#This Row],[Spices]])</f>
        <v>1</v>
      </c>
      <c r="AS9">
        <f>TYPE(All_India_Index_Upto_April23__1[[#This Row],[Non-alcoholic beverages]])</f>
        <v>1</v>
      </c>
      <c r="AT9">
        <f>TYPE(All_India_Index_Upto_April23__1[[#This Row],[Prepared meals, snacks, sweets etc.]])</f>
        <v>1</v>
      </c>
      <c r="AU9">
        <f>TYPE(All_India_Index_Upto_April23__1[[#This Row],[Food and beverages]])</f>
        <v>1</v>
      </c>
      <c r="AV9">
        <f>TYPE(All_India_Index_Upto_April23__1[[#This Row],[Pan, tobacco and intoxicants]])</f>
        <v>1</v>
      </c>
      <c r="AW9">
        <f>TYPE(All_India_Index_Upto_April23__1[[#This Row],[Clothing]])</f>
        <v>1</v>
      </c>
      <c r="AX9">
        <f>TYPE(All_India_Index_Upto_April23__1[[#This Row],[Footwear]])</f>
        <v>1</v>
      </c>
      <c r="AY9">
        <f>TYPE(All_India_Index_Upto_April23__1[[#This Row],[Clothing and footwear]])</f>
        <v>1</v>
      </c>
      <c r="AZ9">
        <f>TYPE(All_India_Index_Upto_April23__1[[#This Row],[Housing]])</f>
        <v>1</v>
      </c>
      <c r="BA9">
        <f>TYPE(All_India_Index_Upto_April23__1[[#This Row],[Fuel and light]])</f>
        <v>1</v>
      </c>
      <c r="BB9">
        <f>TYPE(All_India_Index_Upto_April23__1[[#This Row],[Household goods and services]])</f>
        <v>1</v>
      </c>
      <c r="BC9">
        <f>TYPE(All_India_Index_Upto_April23__1[[#This Row],[Health]])</f>
        <v>1</v>
      </c>
      <c r="BD9">
        <f>TYPE(All_India_Index_Upto_April23__1[[#This Row],[Transport and communication]])</f>
        <v>1</v>
      </c>
      <c r="BE9">
        <f>TYPE(All_India_Index_Upto_April23__1[[#This Row],[Recreation and amusement]])</f>
        <v>1</v>
      </c>
      <c r="BF9">
        <f>TYPE(All_India_Index_Upto_April23__1[[#This Row],[Education]])</f>
        <v>1</v>
      </c>
      <c r="BG9">
        <f>TYPE(All_India_Index_Upto_April23__1[[#This Row],[Personal care and effects]])</f>
        <v>1</v>
      </c>
      <c r="BH9">
        <f>TYPE(All_India_Index_Upto_April23__1[[#This Row],[Miscellaneous]])</f>
        <v>1</v>
      </c>
      <c r="BI9">
        <f>TYPE(All_India_Index_Upto_April23__1[[#This Row],[General index]])</f>
        <v>1</v>
      </c>
    </row>
    <row r="10" spans="1:61" x14ac:dyDescent="0.3">
      <c r="A10" t="s">
        <v>33</v>
      </c>
      <c r="B10">
        <v>2013</v>
      </c>
      <c r="C10" t="s">
        <v>35</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c r="AF10">
        <f>TYPE(All_India_Index_Upto_April23__1[[#This Row],[Sector]])</f>
        <v>2</v>
      </c>
      <c r="AG10">
        <f>TYPE(All_India_Index_Upto_April23__1[[#This Row],[Year]])</f>
        <v>1</v>
      </c>
      <c r="AH10">
        <f>TYPE(All_India_Index_Upto_April23__1[[#This Row],[Month]])</f>
        <v>2</v>
      </c>
      <c r="AI10">
        <f>TYPE(All_India_Index_Upto_April23__1[[#This Row],[Cereals and products]])</f>
        <v>1</v>
      </c>
      <c r="AJ10">
        <f>TYPE(All_India_Index_Upto_April23__1[[#This Row],[Meat and fish]])</f>
        <v>1</v>
      </c>
      <c r="AK10">
        <f>TYPE(All_India_Index_Upto_April23__1[[#This Row],[Egg]])</f>
        <v>1</v>
      </c>
      <c r="AL10">
        <f>TYPE(All_India_Index_Upto_April23__1[[#This Row],[Milk and products]])</f>
        <v>1</v>
      </c>
      <c r="AM10">
        <f>TYPE(All_India_Index_Upto_April23__1[[#This Row],[Oils and fats]])</f>
        <v>1</v>
      </c>
      <c r="AN10">
        <f>TYPE(All_India_Index_Upto_April23__1[[#This Row],[Fruits]])</f>
        <v>1</v>
      </c>
      <c r="AO10">
        <f>TYPE(All_India_Index_Upto_April23__1[[#This Row],[Vegetables]])</f>
        <v>1</v>
      </c>
      <c r="AP10">
        <f>TYPE(All_India_Index_Upto_April23__1[[#This Row],[Pulses and products]])</f>
        <v>1</v>
      </c>
      <c r="AQ10">
        <f>TYPE(All_India_Index_Upto_April23__1[[#This Row],[Sugar and Confectionery]])</f>
        <v>1</v>
      </c>
      <c r="AR10">
        <f>TYPE(All_India_Index_Upto_April23__1[[#This Row],[Spices]])</f>
        <v>1</v>
      </c>
      <c r="AS10">
        <f>TYPE(All_India_Index_Upto_April23__1[[#This Row],[Non-alcoholic beverages]])</f>
        <v>1</v>
      </c>
      <c r="AT10">
        <f>TYPE(All_India_Index_Upto_April23__1[[#This Row],[Prepared meals, snacks, sweets etc.]])</f>
        <v>1</v>
      </c>
      <c r="AU10">
        <f>TYPE(All_India_Index_Upto_April23__1[[#This Row],[Food and beverages]])</f>
        <v>1</v>
      </c>
      <c r="AV10">
        <f>TYPE(All_India_Index_Upto_April23__1[[#This Row],[Pan, tobacco and intoxicants]])</f>
        <v>1</v>
      </c>
      <c r="AW10">
        <f>TYPE(All_India_Index_Upto_April23__1[[#This Row],[Clothing]])</f>
        <v>1</v>
      </c>
      <c r="AX10">
        <f>TYPE(All_India_Index_Upto_April23__1[[#This Row],[Footwear]])</f>
        <v>1</v>
      </c>
      <c r="AY10">
        <f>TYPE(All_India_Index_Upto_April23__1[[#This Row],[Clothing and footwear]])</f>
        <v>1</v>
      </c>
      <c r="AZ10">
        <f>TYPE(All_India_Index_Upto_April23__1[[#This Row],[Housing]])</f>
        <v>1</v>
      </c>
      <c r="BA10">
        <f>TYPE(All_India_Index_Upto_April23__1[[#This Row],[Fuel and light]])</f>
        <v>1</v>
      </c>
      <c r="BB10">
        <f>TYPE(All_India_Index_Upto_April23__1[[#This Row],[Household goods and services]])</f>
        <v>1</v>
      </c>
      <c r="BC10">
        <f>TYPE(All_India_Index_Upto_April23__1[[#This Row],[Health]])</f>
        <v>1</v>
      </c>
      <c r="BD10">
        <f>TYPE(All_India_Index_Upto_April23__1[[#This Row],[Transport and communication]])</f>
        <v>1</v>
      </c>
      <c r="BE10">
        <f>TYPE(All_India_Index_Upto_April23__1[[#This Row],[Recreation and amusement]])</f>
        <v>1</v>
      </c>
      <c r="BF10">
        <f>TYPE(All_India_Index_Upto_April23__1[[#This Row],[Education]])</f>
        <v>1</v>
      </c>
      <c r="BG10">
        <f>TYPE(All_India_Index_Upto_April23__1[[#This Row],[Personal care and effects]])</f>
        <v>1</v>
      </c>
      <c r="BH10">
        <f>TYPE(All_India_Index_Upto_April23__1[[#This Row],[Miscellaneous]])</f>
        <v>1</v>
      </c>
      <c r="BI10">
        <f>TYPE(All_India_Index_Upto_April23__1[[#This Row],[General index]])</f>
        <v>1</v>
      </c>
    </row>
    <row r="11" spans="1:61" x14ac:dyDescent="0.3">
      <c r="A11" t="s">
        <v>30</v>
      </c>
      <c r="B11">
        <v>2013</v>
      </c>
      <c r="C11" t="s">
        <v>36</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v>0</v>
      </c>
      <c r="V11">
        <v>106.5</v>
      </c>
      <c r="W11">
        <v>106.1</v>
      </c>
      <c r="X11">
        <v>105.1</v>
      </c>
      <c r="Y11">
        <v>104.4</v>
      </c>
      <c r="Z11">
        <v>104.5</v>
      </c>
      <c r="AA11">
        <v>104.8</v>
      </c>
      <c r="AB11">
        <v>102.7</v>
      </c>
      <c r="AC11">
        <v>104.6</v>
      </c>
      <c r="AD11">
        <v>106.4</v>
      </c>
      <c r="AF11">
        <f>TYPE(All_India_Index_Upto_April23__1[[#This Row],[Sector]])</f>
        <v>2</v>
      </c>
      <c r="AG11">
        <f>TYPE(All_India_Index_Upto_April23__1[[#This Row],[Year]])</f>
        <v>1</v>
      </c>
      <c r="AH11">
        <f>TYPE(All_India_Index_Upto_April23__1[[#This Row],[Month]])</f>
        <v>2</v>
      </c>
      <c r="AI11">
        <f>TYPE(All_India_Index_Upto_April23__1[[#This Row],[Cereals and products]])</f>
        <v>1</v>
      </c>
      <c r="AJ11">
        <f>TYPE(All_India_Index_Upto_April23__1[[#This Row],[Meat and fish]])</f>
        <v>1</v>
      </c>
      <c r="AK11">
        <f>TYPE(All_India_Index_Upto_April23__1[[#This Row],[Egg]])</f>
        <v>1</v>
      </c>
      <c r="AL11">
        <f>TYPE(All_India_Index_Upto_April23__1[[#This Row],[Milk and products]])</f>
        <v>1</v>
      </c>
      <c r="AM11">
        <f>TYPE(All_India_Index_Upto_April23__1[[#This Row],[Oils and fats]])</f>
        <v>1</v>
      </c>
      <c r="AN11">
        <f>TYPE(All_India_Index_Upto_April23__1[[#This Row],[Fruits]])</f>
        <v>1</v>
      </c>
      <c r="AO11">
        <f>TYPE(All_India_Index_Upto_April23__1[[#This Row],[Vegetables]])</f>
        <v>1</v>
      </c>
      <c r="AP11">
        <f>TYPE(All_India_Index_Upto_April23__1[[#This Row],[Pulses and products]])</f>
        <v>1</v>
      </c>
      <c r="AQ11">
        <f>TYPE(All_India_Index_Upto_April23__1[[#This Row],[Sugar and Confectionery]])</f>
        <v>1</v>
      </c>
      <c r="AR11">
        <f>TYPE(All_India_Index_Upto_April23__1[[#This Row],[Spices]])</f>
        <v>1</v>
      </c>
      <c r="AS11">
        <f>TYPE(All_India_Index_Upto_April23__1[[#This Row],[Non-alcoholic beverages]])</f>
        <v>1</v>
      </c>
      <c r="AT11">
        <f>TYPE(All_India_Index_Upto_April23__1[[#This Row],[Prepared meals, snacks, sweets etc.]])</f>
        <v>1</v>
      </c>
      <c r="AU11">
        <f>TYPE(All_India_Index_Upto_April23__1[[#This Row],[Food and beverages]])</f>
        <v>1</v>
      </c>
      <c r="AV11">
        <f>TYPE(All_India_Index_Upto_April23__1[[#This Row],[Pan, tobacco and intoxicants]])</f>
        <v>1</v>
      </c>
      <c r="AW11">
        <f>TYPE(All_India_Index_Upto_April23__1[[#This Row],[Clothing]])</f>
        <v>1</v>
      </c>
      <c r="AX11">
        <f>TYPE(All_India_Index_Upto_April23__1[[#This Row],[Footwear]])</f>
        <v>1</v>
      </c>
      <c r="AY11">
        <f>TYPE(All_India_Index_Upto_April23__1[[#This Row],[Clothing and footwear]])</f>
        <v>1</v>
      </c>
      <c r="AZ11">
        <f>TYPE(All_India_Index_Upto_April23__1[[#This Row],[Housing]])</f>
        <v>1</v>
      </c>
      <c r="BA11">
        <f>TYPE(All_India_Index_Upto_April23__1[[#This Row],[Fuel and light]])</f>
        <v>1</v>
      </c>
      <c r="BB11">
        <f>TYPE(All_India_Index_Upto_April23__1[[#This Row],[Household goods and services]])</f>
        <v>1</v>
      </c>
      <c r="BC11">
        <f>TYPE(All_India_Index_Upto_April23__1[[#This Row],[Health]])</f>
        <v>1</v>
      </c>
      <c r="BD11">
        <f>TYPE(All_India_Index_Upto_April23__1[[#This Row],[Transport and communication]])</f>
        <v>1</v>
      </c>
      <c r="BE11">
        <f>TYPE(All_India_Index_Upto_April23__1[[#This Row],[Recreation and amusement]])</f>
        <v>1</v>
      </c>
      <c r="BF11">
        <f>TYPE(All_India_Index_Upto_April23__1[[#This Row],[Education]])</f>
        <v>1</v>
      </c>
      <c r="BG11">
        <f>TYPE(All_India_Index_Upto_April23__1[[#This Row],[Personal care and effects]])</f>
        <v>1</v>
      </c>
      <c r="BH11">
        <f>TYPE(All_India_Index_Upto_April23__1[[#This Row],[Miscellaneous]])</f>
        <v>1</v>
      </c>
      <c r="BI11">
        <f>TYPE(All_India_Index_Upto_April23__1[[#This Row],[General index]])</f>
        <v>1</v>
      </c>
    </row>
    <row r="12" spans="1:61" x14ac:dyDescent="0.3">
      <c r="A12" t="s">
        <v>32</v>
      </c>
      <c r="B12">
        <v>2013</v>
      </c>
      <c r="C12" t="s">
        <v>36</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c r="AF12">
        <f>TYPE(All_India_Index_Upto_April23__1[[#This Row],[Sector]])</f>
        <v>2</v>
      </c>
      <c r="AG12">
        <f>TYPE(All_India_Index_Upto_April23__1[[#This Row],[Year]])</f>
        <v>1</v>
      </c>
      <c r="AH12">
        <f>TYPE(All_India_Index_Upto_April23__1[[#This Row],[Month]])</f>
        <v>2</v>
      </c>
      <c r="AI12">
        <f>TYPE(All_India_Index_Upto_April23__1[[#This Row],[Cereals and products]])</f>
        <v>1</v>
      </c>
      <c r="AJ12">
        <f>TYPE(All_India_Index_Upto_April23__1[[#This Row],[Meat and fish]])</f>
        <v>1</v>
      </c>
      <c r="AK12">
        <f>TYPE(All_India_Index_Upto_April23__1[[#This Row],[Egg]])</f>
        <v>1</v>
      </c>
      <c r="AL12">
        <f>TYPE(All_India_Index_Upto_April23__1[[#This Row],[Milk and products]])</f>
        <v>1</v>
      </c>
      <c r="AM12">
        <f>TYPE(All_India_Index_Upto_April23__1[[#This Row],[Oils and fats]])</f>
        <v>1</v>
      </c>
      <c r="AN12">
        <f>TYPE(All_India_Index_Upto_April23__1[[#This Row],[Fruits]])</f>
        <v>1</v>
      </c>
      <c r="AO12">
        <f>TYPE(All_India_Index_Upto_April23__1[[#This Row],[Vegetables]])</f>
        <v>1</v>
      </c>
      <c r="AP12">
        <f>TYPE(All_India_Index_Upto_April23__1[[#This Row],[Pulses and products]])</f>
        <v>1</v>
      </c>
      <c r="AQ12">
        <f>TYPE(All_India_Index_Upto_April23__1[[#This Row],[Sugar and Confectionery]])</f>
        <v>1</v>
      </c>
      <c r="AR12">
        <f>TYPE(All_India_Index_Upto_April23__1[[#This Row],[Spices]])</f>
        <v>1</v>
      </c>
      <c r="AS12">
        <f>TYPE(All_India_Index_Upto_April23__1[[#This Row],[Non-alcoholic beverages]])</f>
        <v>1</v>
      </c>
      <c r="AT12">
        <f>TYPE(All_India_Index_Upto_April23__1[[#This Row],[Prepared meals, snacks, sweets etc.]])</f>
        <v>1</v>
      </c>
      <c r="AU12">
        <f>TYPE(All_India_Index_Upto_April23__1[[#This Row],[Food and beverages]])</f>
        <v>1</v>
      </c>
      <c r="AV12">
        <f>TYPE(All_India_Index_Upto_April23__1[[#This Row],[Pan, tobacco and intoxicants]])</f>
        <v>1</v>
      </c>
      <c r="AW12">
        <f>TYPE(All_India_Index_Upto_April23__1[[#This Row],[Clothing]])</f>
        <v>1</v>
      </c>
      <c r="AX12">
        <f>TYPE(All_India_Index_Upto_April23__1[[#This Row],[Footwear]])</f>
        <v>1</v>
      </c>
      <c r="AY12">
        <f>TYPE(All_India_Index_Upto_April23__1[[#This Row],[Clothing and footwear]])</f>
        <v>1</v>
      </c>
      <c r="AZ12">
        <f>TYPE(All_India_Index_Upto_April23__1[[#This Row],[Housing]])</f>
        <v>1</v>
      </c>
      <c r="BA12">
        <f>TYPE(All_India_Index_Upto_April23__1[[#This Row],[Fuel and light]])</f>
        <v>1</v>
      </c>
      <c r="BB12">
        <f>TYPE(All_India_Index_Upto_April23__1[[#This Row],[Household goods and services]])</f>
        <v>1</v>
      </c>
      <c r="BC12">
        <f>TYPE(All_India_Index_Upto_April23__1[[#This Row],[Health]])</f>
        <v>1</v>
      </c>
      <c r="BD12">
        <f>TYPE(All_India_Index_Upto_April23__1[[#This Row],[Transport and communication]])</f>
        <v>1</v>
      </c>
      <c r="BE12">
        <f>TYPE(All_India_Index_Upto_April23__1[[#This Row],[Recreation and amusement]])</f>
        <v>1</v>
      </c>
      <c r="BF12">
        <f>TYPE(All_India_Index_Upto_April23__1[[#This Row],[Education]])</f>
        <v>1</v>
      </c>
      <c r="BG12">
        <f>TYPE(All_India_Index_Upto_April23__1[[#This Row],[Personal care and effects]])</f>
        <v>1</v>
      </c>
      <c r="BH12">
        <f>TYPE(All_India_Index_Upto_April23__1[[#This Row],[Miscellaneous]])</f>
        <v>1</v>
      </c>
      <c r="BI12">
        <f>TYPE(All_India_Index_Upto_April23__1[[#This Row],[General index]])</f>
        <v>1</v>
      </c>
    </row>
    <row r="13" spans="1:61" x14ac:dyDescent="0.3">
      <c r="A13" t="s">
        <v>33</v>
      </c>
      <c r="B13">
        <v>2013</v>
      </c>
      <c r="C13" t="s">
        <v>36</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c r="AF13">
        <f>TYPE(All_India_Index_Upto_April23__1[[#This Row],[Sector]])</f>
        <v>2</v>
      </c>
      <c r="AG13">
        <f>TYPE(All_India_Index_Upto_April23__1[[#This Row],[Year]])</f>
        <v>1</v>
      </c>
      <c r="AH13">
        <f>TYPE(All_India_Index_Upto_April23__1[[#This Row],[Month]])</f>
        <v>2</v>
      </c>
      <c r="AI13">
        <f>TYPE(All_India_Index_Upto_April23__1[[#This Row],[Cereals and products]])</f>
        <v>1</v>
      </c>
      <c r="AJ13">
        <f>TYPE(All_India_Index_Upto_April23__1[[#This Row],[Meat and fish]])</f>
        <v>1</v>
      </c>
      <c r="AK13">
        <f>TYPE(All_India_Index_Upto_April23__1[[#This Row],[Egg]])</f>
        <v>1</v>
      </c>
      <c r="AL13">
        <f>TYPE(All_India_Index_Upto_April23__1[[#This Row],[Milk and products]])</f>
        <v>1</v>
      </c>
      <c r="AM13">
        <f>TYPE(All_India_Index_Upto_April23__1[[#This Row],[Oils and fats]])</f>
        <v>1</v>
      </c>
      <c r="AN13">
        <f>TYPE(All_India_Index_Upto_April23__1[[#This Row],[Fruits]])</f>
        <v>1</v>
      </c>
      <c r="AO13">
        <f>TYPE(All_India_Index_Upto_April23__1[[#This Row],[Vegetables]])</f>
        <v>1</v>
      </c>
      <c r="AP13">
        <f>TYPE(All_India_Index_Upto_April23__1[[#This Row],[Pulses and products]])</f>
        <v>1</v>
      </c>
      <c r="AQ13">
        <f>TYPE(All_India_Index_Upto_April23__1[[#This Row],[Sugar and Confectionery]])</f>
        <v>1</v>
      </c>
      <c r="AR13">
        <f>TYPE(All_India_Index_Upto_April23__1[[#This Row],[Spices]])</f>
        <v>1</v>
      </c>
      <c r="AS13">
        <f>TYPE(All_India_Index_Upto_April23__1[[#This Row],[Non-alcoholic beverages]])</f>
        <v>1</v>
      </c>
      <c r="AT13">
        <f>TYPE(All_India_Index_Upto_April23__1[[#This Row],[Prepared meals, snacks, sweets etc.]])</f>
        <v>1</v>
      </c>
      <c r="AU13">
        <f>TYPE(All_India_Index_Upto_April23__1[[#This Row],[Food and beverages]])</f>
        <v>1</v>
      </c>
      <c r="AV13">
        <f>TYPE(All_India_Index_Upto_April23__1[[#This Row],[Pan, tobacco and intoxicants]])</f>
        <v>1</v>
      </c>
      <c r="AW13">
        <f>TYPE(All_India_Index_Upto_April23__1[[#This Row],[Clothing]])</f>
        <v>1</v>
      </c>
      <c r="AX13">
        <f>TYPE(All_India_Index_Upto_April23__1[[#This Row],[Footwear]])</f>
        <v>1</v>
      </c>
      <c r="AY13">
        <f>TYPE(All_India_Index_Upto_April23__1[[#This Row],[Clothing and footwear]])</f>
        <v>1</v>
      </c>
      <c r="AZ13">
        <f>TYPE(All_India_Index_Upto_April23__1[[#This Row],[Housing]])</f>
        <v>1</v>
      </c>
      <c r="BA13">
        <f>TYPE(All_India_Index_Upto_April23__1[[#This Row],[Fuel and light]])</f>
        <v>1</v>
      </c>
      <c r="BB13">
        <f>TYPE(All_India_Index_Upto_April23__1[[#This Row],[Household goods and services]])</f>
        <v>1</v>
      </c>
      <c r="BC13">
        <f>TYPE(All_India_Index_Upto_April23__1[[#This Row],[Health]])</f>
        <v>1</v>
      </c>
      <c r="BD13">
        <f>TYPE(All_India_Index_Upto_April23__1[[#This Row],[Transport and communication]])</f>
        <v>1</v>
      </c>
      <c r="BE13">
        <f>TYPE(All_India_Index_Upto_April23__1[[#This Row],[Recreation and amusement]])</f>
        <v>1</v>
      </c>
      <c r="BF13">
        <f>TYPE(All_India_Index_Upto_April23__1[[#This Row],[Education]])</f>
        <v>1</v>
      </c>
      <c r="BG13">
        <f>TYPE(All_India_Index_Upto_April23__1[[#This Row],[Personal care and effects]])</f>
        <v>1</v>
      </c>
      <c r="BH13">
        <f>TYPE(All_India_Index_Upto_April23__1[[#This Row],[Miscellaneous]])</f>
        <v>1</v>
      </c>
      <c r="BI13">
        <f>TYPE(All_India_Index_Upto_April23__1[[#This Row],[General index]])</f>
        <v>1</v>
      </c>
    </row>
    <row r="14" spans="1:61" x14ac:dyDescent="0.3">
      <c r="A14" t="s">
        <v>30</v>
      </c>
      <c r="B14">
        <v>2013</v>
      </c>
      <c r="C14" t="s">
        <v>37</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v>0</v>
      </c>
      <c r="V14">
        <v>107.5</v>
      </c>
      <c r="W14">
        <v>106.8</v>
      </c>
      <c r="X14">
        <v>105.7</v>
      </c>
      <c r="Y14">
        <v>104.1</v>
      </c>
      <c r="Z14">
        <v>105</v>
      </c>
      <c r="AA14">
        <v>105.5</v>
      </c>
      <c r="AB14">
        <v>102.1</v>
      </c>
      <c r="AC14">
        <v>104.8</v>
      </c>
      <c r="AD14">
        <v>107.2</v>
      </c>
      <c r="AF14">
        <f>TYPE(All_India_Index_Upto_April23__1[[#This Row],[Sector]])</f>
        <v>2</v>
      </c>
      <c r="AG14">
        <f>TYPE(All_India_Index_Upto_April23__1[[#This Row],[Year]])</f>
        <v>1</v>
      </c>
      <c r="AH14">
        <f>TYPE(All_India_Index_Upto_April23__1[[#This Row],[Month]])</f>
        <v>2</v>
      </c>
      <c r="AI14">
        <f>TYPE(All_India_Index_Upto_April23__1[[#This Row],[Cereals and products]])</f>
        <v>1</v>
      </c>
      <c r="AJ14">
        <f>TYPE(All_India_Index_Upto_April23__1[[#This Row],[Meat and fish]])</f>
        <v>1</v>
      </c>
      <c r="AK14">
        <f>TYPE(All_India_Index_Upto_April23__1[[#This Row],[Egg]])</f>
        <v>1</v>
      </c>
      <c r="AL14">
        <f>TYPE(All_India_Index_Upto_April23__1[[#This Row],[Milk and products]])</f>
        <v>1</v>
      </c>
      <c r="AM14">
        <f>TYPE(All_India_Index_Upto_April23__1[[#This Row],[Oils and fats]])</f>
        <v>1</v>
      </c>
      <c r="AN14">
        <f>TYPE(All_India_Index_Upto_April23__1[[#This Row],[Fruits]])</f>
        <v>1</v>
      </c>
      <c r="AO14">
        <f>TYPE(All_India_Index_Upto_April23__1[[#This Row],[Vegetables]])</f>
        <v>1</v>
      </c>
      <c r="AP14">
        <f>TYPE(All_India_Index_Upto_April23__1[[#This Row],[Pulses and products]])</f>
        <v>1</v>
      </c>
      <c r="AQ14">
        <f>TYPE(All_India_Index_Upto_April23__1[[#This Row],[Sugar and Confectionery]])</f>
        <v>1</v>
      </c>
      <c r="AR14">
        <f>TYPE(All_India_Index_Upto_April23__1[[#This Row],[Spices]])</f>
        <v>1</v>
      </c>
      <c r="AS14">
        <f>TYPE(All_India_Index_Upto_April23__1[[#This Row],[Non-alcoholic beverages]])</f>
        <v>1</v>
      </c>
      <c r="AT14">
        <f>TYPE(All_India_Index_Upto_April23__1[[#This Row],[Prepared meals, snacks, sweets etc.]])</f>
        <v>1</v>
      </c>
      <c r="AU14">
        <f>TYPE(All_India_Index_Upto_April23__1[[#This Row],[Food and beverages]])</f>
        <v>1</v>
      </c>
      <c r="AV14">
        <f>TYPE(All_India_Index_Upto_April23__1[[#This Row],[Pan, tobacco and intoxicants]])</f>
        <v>1</v>
      </c>
      <c r="AW14">
        <f>TYPE(All_India_Index_Upto_April23__1[[#This Row],[Clothing]])</f>
        <v>1</v>
      </c>
      <c r="AX14">
        <f>TYPE(All_India_Index_Upto_April23__1[[#This Row],[Footwear]])</f>
        <v>1</v>
      </c>
      <c r="AY14">
        <f>TYPE(All_India_Index_Upto_April23__1[[#This Row],[Clothing and footwear]])</f>
        <v>1</v>
      </c>
      <c r="AZ14">
        <f>TYPE(All_India_Index_Upto_April23__1[[#This Row],[Housing]])</f>
        <v>1</v>
      </c>
      <c r="BA14">
        <f>TYPE(All_India_Index_Upto_April23__1[[#This Row],[Fuel and light]])</f>
        <v>1</v>
      </c>
      <c r="BB14">
        <f>TYPE(All_India_Index_Upto_April23__1[[#This Row],[Household goods and services]])</f>
        <v>1</v>
      </c>
      <c r="BC14">
        <f>TYPE(All_India_Index_Upto_April23__1[[#This Row],[Health]])</f>
        <v>1</v>
      </c>
      <c r="BD14">
        <f>TYPE(All_India_Index_Upto_April23__1[[#This Row],[Transport and communication]])</f>
        <v>1</v>
      </c>
      <c r="BE14">
        <f>TYPE(All_India_Index_Upto_April23__1[[#This Row],[Recreation and amusement]])</f>
        <v>1</v>
      </c>
      <c r="BF14">
        <f>TYPE(All_India_Index_Upto_April23__1[[#This Row],[Education]])</f>
        <v>1</v>
      </c>
      <c r="BG14">
        <f>TYPE(All_India_Index_Upto_April23__1[[#This Row],[Personal care and effects]])</f>
        <v>1</v>
      </c>
      <c r="BH14">
        <f>TYPE(All_India_Index_Upto_April23__1[[#This Row],[Miscellaneous]])</f>
        <v>1</v>
      </c>
      <c r="BI14">
        <f>TYPE(All_India_Index_Upto_April23__1[[#This Row],[General index]])</f>
        <v>1</v>
      </c>
    </row>
    <row r="15" spans="1:61" x14ac:dyDescent="0.3">
      <c r="A15" t="s">
        <v>32</v>
      </c>
      <c r="B15">
        <v>2013</v>
      </c>
      <c r="C15" t="s">
        <v>37</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c r="AF15">
        <f>TYPE(All_India_Index_Upto_April23__1[[#This Row],[Sector]])</f>
        <v>2</v>
      </c>
      <c r="AG15">
        <f>TYPE(All_India_Index_Upto_April23__1[[#This Row],[Year]])</f>
        <v>1</v>
      </c>
      <c r="AH15">
        <f>TYPE(All_India_Index_Upto_April23__1[[#This Row],[Month]])</f>
        <v>2</v>
      </c>
      <c r="AI15">
        <f>TYPE(All_India_Index_Upto_April23__1[[#This Row],[Cereals and products]])</f>
        <v>1</v>
      </c>
      <c r="AJ15">
        <f>TYPE(All_India_Index_Upto_April23__1[[#This Row],[Meat and fish]])</f>
        <v>1</v>
      </c>
      <c r="AK15">
        <f>TYPE(All_India_Index_Upto_April23__1[[#This Row],[Egg]])</f>
        <v>1</v>
      </c>
      <c r="AL15">
        <f>TYPE(All_India_Index_Upto_April23__1[[#This Row],[Milk and products]])</f>
        <v>1</v>
      </c>
      <c r="AM15">
        <f>TYPE(All_India_Index_Upto_April23__1[[#This Row],[Oils and fats]])</f>
        <v>1</v>
      </c>
      <c r="AN15">
        <f>TYPE(All_India_Index_Upto_April23__1[[#This Row],[Fruits]])</f>
        <v>1</v>
      </c>
      <c r="AO15">
        <f>TYPE(All_India_Index_Upto_April23__1[[#This Row],[Vegetables]])</f>
        <v>1</v>
      </c>
      <c r="AP15">
        <f>TYPE(All_India_Index_Upto_April23__1[[#This Row],[Pulses and products]])</f>
        <v>1</v>
      </c>
      <c r="AQ15">
        <f>TYPE(All_India_Index_Upto_April23__1[[#This Row],[Sugar and Confectionery]])</f>
        <v>1</v>
      </c>
      <c r="AR15">
        <f>TYPE(All_India_Index_Upto_April23__1[[#This Row],[Spices]])</f>
        <v>1</v>
      </c>
      <c r="AS15">
        <f>TYPE(All_India_Index_Upto_April23__1[[#This Row],[Non-alcoholic beverages]])</f>
        <v>1</v>
      </c>
      <c r="AT15">
        <f>TYPE(All_India_Index_Upto_April23__1[[#This Row],[Prepared meals, snacks, sweets etc.]])</f>
        <v>1</v>
      </c>
      <c r="AU15">
        <f>TYPE(All_India_Index_Upto_April23__1[[#This Row],[Food and beverages]])</f>
        <v>1</v>
      </c>
      <c r="AV15">
        <f>TYPE(All_India_Index_Upto_April23__1[[#This Row],[Pan, tobacco and intoxicants]])</f>
        <v>1</v>
      </c>
      <c r="AW15">
        <f>TYPE(All_India_Index_Upto_April23__1[[#This Row],[Clothing]])</f>
        <v>1</v>
      </c>
      <c r="AX15">
        <f>TYPE(All_India_Index_Upto_April23__1[[#This Row],[Footwear]])</f>
        <v>1</v>
      </c>
      <c r="AY15">
        <f>TYPE(All_India_Index_Upto_April23__1[[#This Row],[Clothing and footwear]])</f>
        <v>1</v>
      </c>
      <c r="AZ15">
        <f>TYPE(All_India_Index_Upto_April23__1[[#This Row],[Housing]])</f>
        <v>1</v>
      </c>
      <c r="BA15">
        <f>TYPE(All_India_Index_Upto_April23__1[[#This Row],[Fuel and light]])</f>
        <v>1</v>
      </c>
      <c r="BB15">
        <f>TYPE(All_India_Index_Upto_April23__1[[#This Row],[Household goods and services]])</f>
        <v>1</v>
      </c>
      <c r="BC15">
        <f>TYPE(All_India_Index_Upto_April23__1[[#This Row],[Health]])</f>
        <v>1</v>
      </c>
      <c r="BD15">
        <f>TYPE(All_India_Index_Upto_April23__1[[#This Row],[Transport and communication]])</f>
        <v>1</v>
      </c>
      <c r="BE15">
        <f>TYPE(All_India_Index_Upto_April23__1[[#This Row],[Recreation and amusement]])</f>
        <v>1</v>
      </c>
      <c r="BF15">
        <f>TYPE(All_India_Index_Upto_April23__1[[#This Row],[Education]])</f>
        <v>1</v>
      </c>
      <c r="BG15">
        <f>TYPE(All_India_Index_Upto_April23__1[[#This Row],[Personal care and effects]])</f>
        <v>1</v>
      </c>
      <c r="BH15">
        <f>TYPE(All_India_Index_Upto_April23__1[[#This Row],[Miscellaneous]])</f>
        <v>1</v>
      </c>
      <c r="BI15">
        <f>TYPE(All_India_Index_Upto_April23__1[[#This Row],[General index]])</f>
        <v>1</v>
      </c>
    </row>
    <row r="16" spans="1:61" x14ac:dyDescent="0.3">
      <c r="A16" t="s">
        <v>33</v>
      </c>
      <c r="B16">
        <v>2013</v>
      </c>
      <c r="C16" t="s">
        <v>37</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c r="AF16">
        <f>TYPE(All_India_Index_Upto_April23__1[[#This Row],[Sector]])</f>
        <v>2</v>
      </c>
      <c r="AG16">
        <f>TYPE(All_India_Index_Upto_April23__1[[#This Row],[Year]])</f>
        <v>1</v>
      </c>
      <c r="AH16">
        <f>TYPE(All_India_Index_Upto_April23__1[[#This Row],[Month]])</f>
        <v>2</v>
      </c>
      <c r="AI16">
        <f>TYPE(All_India_Index_Upto_April23__1[[#This Row],[Cereals and products]])</f>
        <v>1</v>
      </c>
      <c r="AJ16">
        <f>TYPE(All_India_Index_Upto_April23__1[[#This Row],[Meat and fish]])</f>
        <v>1</v>
      </c>
      <c r="AK16">
        <f>TYPE(All_India_Index_Upto_April23__1[[#This Row],[Egg]])</f>
        <v>1</v>
      </c>
      <c r="AL16">
        <f>TYPE(All_India_Index_Upto_April23__1[[#This Row],[Milk and products]])</f>
        <v>1</v>
      </c>
      <c r="AM16">
        <f>TYPE(All_India_Index_Upto_April23__1[[#This Row],[Oils and fats]])</f>
        <v>1</v>
      </c>
      <c r="AN16">
        <f>TYPE(All_India_Index_Upto_April23__1[[#This Row],[Fruits]])</f>
        <v>1</v>
      </c>
      <c r="AO16">
        <f>TYPE(All_India_Index_Upto_April23__1[[#This Row],[Vegetables]])</f>
        <v>1</v>
      </c>
      <c r="AP16">
        <f>TYPE(All_India_Index_Upto_April23__1[[#This Row],[Pulses and products]])</f>
        <v>1</v>
      </c>
      <c r="AQ16">
        <f>TYPE(All_India_Index_Upto_April23__1[[#This Row],[Sugar and Confectionery]])</f>
        <v>1</v>
      </c>
      <c r="AR16">
        <f>TYPE(All_India_Index_Upto_April23__1[[#This Row],[Spices]])</f>
        <v>1</v>
      </c>
      <c r="AS16">
        <f>TYPE(All_India_Index_Upto_April23__1[[#This Row],[Non-alcoholic beverages]])</f>
        <v>1</v>
      </c>
      <c r="AT16">
        <f>TYPE(All_India_Index_Upto_April23__1[[#This Row],[Prepared meals, snacks, sweets etc.]])</f>
        <v>1</v>
      </c>
      <c r="AU16">
        <f>TYPE(All_India_Index_Upto_April23__1[[#This Row],[Food and beverages]])</f>
        <v>1</v>
      </c>
      <c r="AV16">
        <f>TYPE(All_India_Index_Upto_April23__1[[#This Row],[Pan, tobacco and intoxicants]])</f>
        <v>1</v>
      </c>
      <c r="AW16">
        <f>TYPE(All_India_Index_Upto_April23__1[[#This Row],[Clothing]])</f>
        <v>1</v>
      </c>
      <c r="AX16">
        <f>TYPE(All_India_Index_Upto_April23__1[[#This Row],[Footwear]])</f>
        <v>1</v>
      </c>
      <c r="AY16">
        <f>TYPE(All_India_Index_Upto_April23__1[[#This Row],[Clothing and footwear]])</f>
        <v>1</v>
      </c>
      <c r="AZ16">
        <f>TYPE(All_India_Index_Upto_April23__1[[#This Row],[Housing]])</f>
        <v>1</v>
      </c>
      <c r="BA16">
        <f>TYPE(All_India_Index_Upto_April23__1[[#This Row],[Fuel and light]])</f>
        <v>1</v>
      </c>
      <c r="BB16">
        <f>TYPE(All_India_Index_Upto_April23__1[[#This Row],[Household goods and services]])</f>
        <v>1</v>
      </c>
      <c r="BC16">
        <f>TYPE(All_India_Index_Upto_April23__1[[#This Row],[Health]])</f>
        <v>1</v>
      </c>
      <c r="BD16">
        <f>TYPE(All_India_Index_Upto_April23__1[[#This Row],[Transport and communication]])</f>
        <v>1</v>
      </c>
      <c r="BE16">
        <f>TYPE(All_India_Index_Upto_April23__1[[#This Row],[Recreation and amusement]])</f>
        <v>1</v>
      </c>
      <c r="BF16">
        <f>TYPE(All_India_Index_Upto_April23__1[[#This Row],[Education]])</f>
        <v>1</v>
      </c>
      <c r="BG16">
        <f>TYPE(All_India_Index_Upto_April23__1[[#This Row],[Personal care and effects]])</f>
        <v>1</v>
      </c>
      <c r="BH16">
        <f>TYPE(All_India_Index_Upto_April23__1[[#This Row],[Miscellaneous]])</f>
        <v>1</v>
      </c>
      <c r="BI16">
        <f>TYPE(All_India_Index_Upto_April23__1[[#This Row],[General index]])</f>
        <v>1</v>
      </c>
    </row>
    <row r="17" spans="1:61" x14ac:dyDescent="0.3">
      <c r="A17" t="s">
        <v>30</v>
      </c>
      <c r="B17">
        <v>2013</v>
      </c>
      <c r="C17" t="s">
        <v>38</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v>0</v>
      </c>
      <c r="V17">
        <v>108.5</v>
      </c>
      <c r="W17">
        <v>107.5</v>
      </c>
      <c r="X17">
        <v>106.3</v>
      </c>
      <c r="Y17">
        <v>105</v>
      </c>
      <c r="Z17">
        <v>105.6</v>
      </c>
      <c r="AA17">
        <v>106.5</v>
      </c>
      <c r="AB17">
        <v>102.5</v>
      </c>
      <c r="AC17">
        <v>105.5</v>
      </c>
      <c r="AD17">
        <v>108.9</v>
      </c>
      <c r="AF17">
        <f>TYPE(All_India_Index_Upto_April23__1[[#This Row],[Sector]])</f>
        <v>2</v>
      </c>
      <c r="AG17">
        <f>TYPE(All_India_Index_Upto_April23__1[[#This Row],[Year]])</f>
        <v>1</v>
      </c>
      <c r="AH17">
        <f>TYPE(All_India_Index_Upto_April23__1[[#This Row],[Month]])</f>
        <v>2</v>
      </c>
      <c r="AI17">
        <f>TYPE(All_India_Index_Upto_April23__1[[#This Row],[Cereals and products]])</f>
        <v>1</v>
      </c>
      <c r="AJ17">
        <f>TYPE(All_India_Index_Upto_April23__1[[#This Row],[Meat and fish]])</f>
        <v>1</v>
      </c>
      <c r="AK17">
        <f>TYPE(All_India_Index_Upto_April23__1[[#This Row],[Egg]])</f>
        <v>1</v>
      </c>
      <c r="AL17">
        <f>TYPE(All_India_Index_Upto_April23__1[[#This Row],[Milk and products]])</f>
        <v>1</v>
      </c>
      <c r="AM17">
        <f>TYPE(All_India_Index_Upto_April23__1[[#This Row],[Oils and fats]])</f>
        <v>1</v>
      </c>
      <c r="AN17">
        <f>TYPE(All_India_Index_Upto_April23__1[[#This Row],[Fruits]])</f>
        <v>1</v>
      </c>
      <c r="AO17">
        <f>TYPE(All_India_Index_Upto_April23__1[[#This Row],[Vegetables]])</f>
        <v>1</v>
      </c>
      <c r="AP17">
        <f>TYPE(All_India_Index_Upto_April23__1[[#This Row],[Pulses and products]])</f>
        <v>1</v>
      </c>
      <c r="AQ17">
        <f>TYPE(All_India_Index_Upto_April23__1[[#This Row],[Sugar and Confectionery]])</f>
        <v>1</v>
      </c>
      <c r="AR17">
        <f>TYPE(All_India_Index_Upto_April23__1[[#This Row],[Spices]])</f>
        <v>1</v>
      </c>
      <c r="AS17">
        <f>TYPE(All_India_Index_Upto_April23__1[[#This Row],[Non-alcoholic beverages]])</f>
        <v>1</v>
      </c>
      <c r="AT17">
        <f>TYPE(All_India_Index_Upto_April23__1[[#This Row],[Prepared meals, snacks, sweets etc.]])</f>
        <v>1</v>
      </c>
      <c r="AU17">
        <f>TYPE(All_India_Index_Upto_April23__1[[#This Row],[Food and beverages]])</f>
        <v>1</v>
      </c>
      <c r="AV17">
        <f>TYPE(All_India_Index_Upto_April23__1[[#This Row],[Pan, tobacco and intoxicants]])</f>
        <v>1</v>
      </c>
      <c r="AW17">
        <f>TYPE(All_India_Index_Upto_April23__1[[#This Row],[Clothing]])</f>
        <v>1</v>
      </c>
      <c r="AX17">
        <f>TYPE(All_India_Index_Upto_April23__1[[#This Row],[Footwear]])</f>
        <v>1</v>
      </c>
      <c r="AY17">
        <f>TYPE(All_India_Index_Upto_April23__1[[#This Row],[Clothing and footwear]])</f>
        <v>1</v>
      </c>
      <c r="AZ17">
        <f>TYPE(All_India_Index_Upto_April23__1[[#This Row],[Housing]])</f>
        <v>1</v>
      </c>
      <c r="BA17">
        <f>TYPE(All_India_Index_Upto_April23__1[[#This Row],[Fuel and light]])</f>
        <v>1</v>
      </c>
      <c r="BB17">
        <f>TYPE(All_India_Index_Upto_April23__1[[#This Row],[Household goods and services]])</f>
        <v>1</v>
      </c>
      <c r="BC17">
        <f>TYPE(All_India_Index_Upto_April23__1[[#This Row],[Health]])</f>
        <v>1</v>
      </c>
      <c r="BD17">
        <f>TYPE(All_India_Index_Upto_April23__1[[#This Row],[Transport and communication]])</f>
        <v>1</v>
      </c>
      <c r="BE17">
        <f>TYPE(All_India_Index_Upto_April23__1[[#This Row],[Recreation and amusement]])</f>
        <v>1</v>
      </c>
      <c r="BF17">
        <f>TYPE(All_India_Index_Upto_April23__1[[#This Row],[Education]])</f>
        <v>1</v>
      </c>
      <c r="BG17">
        <f>TYPE(All_India_Index_Upto_April23__1[[#This Row],[Personal care and effects]])</f>
        <v>1</v>
      </c>
      <c r="BH17">
        <f>TYPE(All_India_Index_Upto_April23__1[[#This Row],[Miscellaneous]])</f>
        <v>1</v>
      </c>
      <c r="BI17">
        <f>TYPE(All_India_Index_Upto_April23__1[[#This Row],[General index]])</f>
        <v>1</v>
      </c>
    </row>
    <row r="18" spans="1:61" x14ac:dyDescent="0.3">
      <c r="A18" t="s">
        <v>32</v>
      </c>
      <c r="B18">
        <v>2013</v>
      </c>
      <c r="C18" t="s">
        <v>38</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c r="AF18">
        <f>TYPE(All_India_Index_Upto_April23__1[[#This Row],[Sector]])</f>
        <v>2</v>
      </c>
      <c r="AG18">
        <f>TYPE(All_India_Index_Upto_April23__1[[#This Row],[Year]])</f>
        <v>1</v>
      </c>
      <c r="AH18">
        <f>TYPE(All_India_Index_Upto_April23__1[[#This Row],[Month]])</f>
        <v>2</v>
      </c>
      <c r="AI18">
        <f>TYPE(All_India_Index_Upto_April23__1[[#This Row],[Cereals and products]])</f>
        <v>1</v>
      </c>
      <c r="AJ18">
        <f>TYPE(All_India_Index_Upto_April23__1[[#This Row],[Meat and fish]])</f>
        <v>1</v>
      </c>
      <c r="AK18">
        <f>TYPE(All_India_Index_Upto_April23__1[[#This Row],[Egg]])</f>
        <v>1</v>
      </c>
      <c r="AL18">
        <f>TYPE(All_India_Index_Upto_April23__1[[#This Row],[Milk and products]])</f>
        <v>1</v>
      </c>
      <c r="AM18">
        <f>TYPE(All_India_Index_Upto_April23__1[[#This Row],[Oils and fats]])</f>
        <v>1</v>
      </c>
      <c r="AN18">
        <f>TYPE(All_India_Index_Upto_April23__1[[#This Row],[Fruits]])</f>
        <v>1</v>
      </c>
      <c r="AO18">
        <f>TYPE(All_India_Index_Upto_April23__1[[#This Row],[Vegetables]])</f>
        <v>1</v>
      </c>
      <c r="AP18">
        <f>TYPE(All_India_Index_Upto_April23__1[[#This Row],[Pulses and products]])</f>
        <v>1</v>
      </c>
      <c r="AQ18">
        <f>TYPE(All_India_Index_Upto_April23__1[[#This Row],[Sugar and Confectionery]])</f>
        <v>1</v>
      </c>
      <c r="AR18">
        <f>TYPE(All_India_Index_Upto_April23__1[[#This Row],[Spices]])</f>
        <v>1</v>
      </c>
      <c r="AS18">
        <f>TYPE(All_India_Index_Upto_April23__1[[#This Row],[Non-alcoholic beverages]])</f>
        <v>1</v>
      </c>
      <c r="AT18">
        <f>TYPE(All_India_Index_Upto_April23__1[[#This Row],[Prepared meals, snacks, sweets etc.]])</f>
        <v>1</v>
      </c>
      <c r="AU18">
        <f>TYPE(All_India_Index_Upto_April23__1[[#This Row],[Food and beverages]])</f>
        <v>1</v>
      </c>
      <c r="AV18">
        <f>TYPE(All_India_Index_Upto_April23__1[[#This Row],[Pan, tobacco and intoxicants]])</f>
        <v>1</v>
      </c>
      <c r="AW18">
        <f>TYPE(All_India_Index_Upto_April23__1[[#This Row],[Clothing]])</f>
        <v>1</v>
      </c>
      <c r="AX18">
        <f>TYPE(All_India_Index_Upto_April23__1[[#This Row],[Footwear]])</f>
        <v>1</v>
      </c>
      <c r="AY18">
        <f>TYPE(All_India_Index_Upto_April23__1[[#This Row],[Clothing and footwear]])</f>
        <v>1</v>
      </c>
      <c r="AZ18">
        <f>TYPE(All_India_Index_Upto_April23__1[[#This Row],[Housing]])</f>
        <v>1</v>
      </c>
      <c r="BA18">
        <f>TYPE(All_India_Index_Upto_April23__1[[#This Row],[Fuel and light]])</f>
        <v>1</v>
      </c>
      <c r="BB18">
        <f>TYPE(All_India_Index_Upto_April23__1[[#This Row],[Household goods and services]])</f>
        <v>1</v>
      </c>
      <c r="BC18">
        <f>TYPE(All_India_Index_Upto_April23__1[[#This Row],[Health]])</f>
        <v>1</v>
      </c>
      <c r="BD18">
        <f>TYPE(All_India_Index_Upto_April23__1[[#This Row],[Transport and communication]])</f>
        <v>1</v>
      </c>
      <c r="BE18">
        <f>TYPE(All_India_Index_Upto_April23__1[[#This Row],[Recreation and amusement]])</f>
        <v>1</v>
      </c>
      <c r="BF18">
        <f>TYPE(All_India_Index_Upto_April23__1[[#This Row],[Education]])</f>
        <v>1</v>
      </c>
      <c r="BG18">
        <f>TYPE(All_India_Index_Upto_April23__1[[#This Row],[Personal care and effects]])</f>
        <v>1</v>
      </c>
      <c r="BH18">
        <f>TYPE(All_India_Index_Upto_April23__1[[#This Row],[Miscellaneous]])</f>
        <v>1</v>
      </c>
      <c r="BI18">
        <f>TYPE(All_India_Index_Upto_April23__1[[#This Row],[General index]])</f>
        <v>1</v>
      </c>
    </row>
    <row r="19" spans="1:61" x14ac:dyDescent="0.3">
      <c r="A19" t="s">
        <v>33</v>
      </c>
      <c r="B19">
        <v>2013</v>
      </c>
      <c r="C19" t="s">
        <v>38</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c r="AF19">
        <f>TYPE(All_India_Index_Upto_April23__1[[#This Row],[Sector]])</f>
        <v>2</v>
      </c>
      <c r="AG19">
        <f>TYPE(All_India_Index_Upto_April23__1[[#This Row],[Year]])</f>
        <v>1</v>
      </c>
      <c r="AH19">
        <f>TYPE(All_India_Index_Upto_April23__1[[#This Row],[Month]])</f>
        <v>2</v>
      </c>
      <c r="AI19">
        <f>TYPE(All_India_Index_Upto_April23__1[[#This Row],[Cereals and products]])</f>
        <v>1</v>
      </c>
      <c r="AJ19">
        <f>TYPE(All_India_Index_Upto_April23__1[[#This Row],[Meat and fish]])</f>
        <v>1</v>
      </c>
      <c r="AK19">
        <f>TYPE(All_India_Index_Upto_April23__1[[#This Row],[Egg]])</f>
        <v>1</v>
      </c>
      <c r="AL19">
        <f>TYPE(All_India_Index_Upto_April23__1[[#This Row],[Milk and products]])</f>
        <v>1</v>
      </c>
      <c r="AM19">
        <f>TYPE(All_India_Index_Upto_April23__1[[#This Row],[Oils and fats]])</f>
        <v>1</v>
      </c>
      <c r="AN19">
        <f>TYPE(All_India_Index_Upto_April23__1[[#This Row],[Fruits]])</f>
        <v>1</v>
      </c>
      <c r="AO19">
        <f>TYPE(All_India_Index_Upto_April23__1[[#This Row],[Vegetables]])</f>
        <v>1</v>
      </c>
      <c r="AP19">
        <f>TYPE(All_India_Index_Upto_April23__1[[#This Row],[Pulses and products]])</f>
        <v>1</v>
      </c>
      <c r="AQ19">
        <f>TYPE(All_India_Index_Upto_April23__1[[#This Row],[Sugar and Confectionery]])</f>
        <v>1</v>
      </c>
      <c r="AR19">
        <f>TYPE(All_India_Index_Upto_April23__1[[#This Row],[Spices]])</f>
        <v>1</v>
      </c>
      <c r="AS19">
        <f>TYPE(All_India_Index_Upto_April23__1[[#This Row],[Non-alcoholic beverages]])</f>
        <v>1</v>
      </c>
      <c r="AT19">
        <f>TYPE(All_India_Index_Upto_April23__1[[#This Row],[Prepared meals, snacks, sweets etc.]])</f>
        <v>1</v>
      </c>
      <c r="AU19">
        <f>TYPE(All_India_Index_Upto_April23__1[[#This Row],[Food and beverages]])</f>
        <v>1</v>
      </c>
      <c r="AV19">
        <f>TYPE(All_India_Index_Upto_April23__1[[#This Row],[Pan, tobacco and intoxicants]])</f>
        <v>1</v>
      </c>
      <c r="AW19">
        <f>TYPE(All_India_Index_Upto_April23__1[[#This Row],[Clothing]])</f>
        <v>1</v>
      </c>
      <c r="AX19">
        <f>TYPE(All_India_Index_Upto_April23__1[[#This Row],[Footwear]])</f>
        <v>1</v>
      </c>
      <c r="AY19">
        <f>TYPE(All_India_Index_Upto_April23__1[[#This Row],[Clothing and footwear]])</f>
        <v>1</v>
      </c>
      <c r="AZ19">
        <f>TYPE(All_India_Index_Upto_April23__1[[#This Row],[Housing]])</f>
        <v>1</v>
      </c>
      <c r="BA19">
        <f>TYPE(All_India_Index_Upto_April23__1[[#This Row],[Fuel and light]])</f>
        <v>1</v>
      </c>
      <c r="BB19">
        <f>TYPE(All_India_Index_Upto_April23__1[[#This Row],[Household goods and services]])</f>
        <v>1</v>
      </c>
      <c r="BC19">
        <f>TYPE(All_India_Index_Upto_April23__1[[#This Row],[Health]])</f>
        <v>1</v>
      </c>
      <c r="BD19">
        <f>TYPE(All_India_Index_Upto_April23__1[[#This Row],[Transport and communication]])</f>
        <v>1</v>
      </c>
      <c r="BE19">
        <f>TYPE(All_India_Index_Upto_April23__1[[#This Row],[Recreation and amusement]])</f>
        <v>1</v>
      </c>
      <c r="BF19">
        <f>TYPE(All_India_Index_Upto_April23__1[[#This Row],[Education]])</f>
        <v>1</v>
      </c>
      <c r="BG19">
        <f>TYPE(All_India_Index_Upto_April23__1[[#This Row],[Personal care and effects]])</f>
        <v>1</v>
      </c>
      <c r="BH19">
        <f>TYPE(All_India_Index_Upto_April23__1[[#This Row],[Miscellaneous]])</f>
        <v>1</v>
      </c>
      <c r="BI19">
        <f>TYPE(All_India_Index_Upto_April23__1[[#This Row],[General index]])</f>
        <v>1</v>
      </c>
    </row>
    <row r="20" spans="1:61" x14ac:dyDescent="0.3">
      <c r="A20" t="s">
        <v>30</v>
      </c>
      <c r="B20">
        <v>2013</v>
      </c>
      <c r="C20" t="s">
        <v>39</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v>0</v>
      </c>
      <c r="V20">
        <v>109.5</v>
      </c>
      <c r="W20">
        <v>108.3</v>
      </c>
      <c r="X20">
        <v>106.9</v>
      </c>
      <c r="Y20">
        <v>106.8</v>
      </c>
      <c r="Z20">
        <v>106.4</v>
      </c>
      <c r="AA20">
        <v>107.8</v>
      </c>
      <c r="AB20">
        <v>102.5</v>
      </c>
      <c r="AC20">
        <v>106.5</v>
      </c>
      <c r="AD20">
        <v>110.7</v>
      </c>
      <c r="AF20">
        <f>TYPE(All_India_Index_Upto_April23__1[[#This Row],[Sector]])</f>
        <v>2</v>
      </c>
      <c r="AG20">
        <f>TYPE(All_India_Index_Upto_April23__1[[#This Row],[Year]])</f>
        <v>1</v>
      </c>
      <c r="AH20">
        <f>TYPE(All_India_Index_Upto_April23__1[[#This Row],[Month]])</f>
        <v>2</v>
      </c>
      <c r="AI20">
        <f>TYPE(All_India_Index_Upto_April23__1[[#This Row],[Cereals and products]])</f>
        <v>1</v>
      </c>
      <c r="AJ20">
        <f>TYPE(All_India_Index_Upto_April23__1[[#This Row],[Meat and fish]])</f>
        <v>1</v>
      </c>
      <c r="AK20">
        <f>TYPE(All_India_Index_Upto_April23__1[[#This Row],[Egg]])</f>
        <v>1</v>
      </c>
      <c r="AL20">
        <f>TYPE(All_India_Index_Upto_April23__1[[#This Row],[Milk and products]])</f>
        <v>1</v>
      </c>
      <c r="AM20">
        <f>TYPE(All_India_Index_Upto_April23__1[[#This Row],[Oils and fats]])</f>
        <v>1</v>
      </c>
      <c r="AN20">
        <f>TYPE(All_India_Index_Upto_April23__1[[#This Row],[Fruits]])</f>
        <v>1</v>
      </c>
      <c r="AO20">
        <f>TYPE(All_India_Index_Upto_April23__1[[#This Row],[Vegetables]])</f>
        <v>1</v>
      </c>
      <c r="AP20">
        <f>TYPE(All_India_Index_Upto_April23__1[[#This Row],[Pulses and products]])</f>
        <v>1</v>
      </c>
      <c r="AQ20">
        <f>TYPE(All_India_Index_Upto_April23__1[[#This Row],[Sugar and Confectionery]])</f>
        <v>1</v>
      </c>
      <c r="AR20">
        <f>TYPE(All_India_Index_Upto_April23__1[[#This Row],[Spices]])</f>
        <v>1</v>
      </c>
      <c r="AS20">
        <f>TYPE(All_India_Index_Upto_April23__1[[#This Row],[Non-alcoholic beverages]])</f>
        <v>1</v>
      </c>
      <c r="AT20">
        <f>TYPE(All_India_Index_Upto_April23__1[[#This Row],[Prepared meals, snacks, sweets etc.]])</f>
        <v>1</v>
      </c>
      <c r="AU20">
        <f>TYPE(All_India_Index_Upto_April23__1[[#This Row],[Food and beverages]])</f>
        <v>1</v>
      </c>
      <c r="AV20">
        <f>TYPE(All_India_Index_Upto_April23__1[[#This Row],[Pan, tobacco and intoxicants]])</f>
        <v>1</v>
      </c>
      <c r="AW20">
        <f>TYPE(All_India_Index_Upto_April23__1[[#This Row],[Clothing]])</f>
        <v>1</v>
      </c>
      <c r="AX20">
        <f>TYPE(All_India_Index_Upto_April23__1[[#This Row],[Footwear]])</f>
        <v>1</v>
      </c>
      <c r="AY20">
        <f>TYPE(All_India_Index_Upto_April23__1[[#This Row],[Clothing and footwear]])</f>
        <v>1</v>
      </c>
      <c r="AZ20">
        <f>TYPE(All_India_Index_Upto_April23__1[[#This Row],[Housing]])</f>
        <v>1</v>
      </c>
      <c r="BA20">
        <f>TYPE(All_India_Index_Upto_April23__1[[#This Row],[Fuel and light]])</f>
        <v>1</v>
      </c>
      <c r="BB20">
        <f>TYPE(All_India_Index_Upto_April23__1[[#This Row],[Household goods and services]])</f>
        <v>1</v>
      </c>
      <c r="BC20">
        <f>TYPE(All_India_Index_Upto_April23__1[[#This Row],[Health]])</f>
        <v>1</v>
      </c>
      <c r="BD20">
        <f>TYPE(All_India_Index_Upto_April23__1[[#This Row],[Transport and communication]])</f>
        <v>1</v>
      </c>
      <c r="BE20">
        <f>TYPE(All_India_Index_Upto_April23__1[[#This Row],[Recreation and amusement]])</f>
        <v>1</v>
      </c>
      <c r="BF20">
        <f>TYPE(All_India_Index_Upto_April23__1[[#This Row],[Education]])</f>
        <v>1</v>
      </c>
      <c r="BG20">
        <f>TYPE(All_India_Index_Upto_April23__1[[#This Row],[Personal care and effects]])</f>
        <v>1</v>
      </c>
      <c r="BH20">
        <f>TYPE(All_India_Index_Upto_April23__1[[#This Row],[Miscellaneous]])</f>
        <v>1</v>
      </c>
      <c r="BI20">
        <f>TYPE(All_India_Index_Upto_April23__1[[#This Row],[General index]])</f>
        <v>1</v>
      </c>
    </row>
    <row r="21" spans="1:61" x14ac:dyDescent="0.3">
      <c r="A21" t="s">
        <v>32</v>
      </c>
      <c r="B21">
        <v>2013</v>
      </c>
      <c r="C21" t="s">
        <v>39</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c r="AF21">
        <f>TYPE(All_India_Index_Upto_April23__1[[#This Row],[Sector]])</f>
        <v>2</v>
      </c>
      <c r="AG21">
        <f>TYPE(All_India_Index_Upto_April23__1[[#This Row],[Year]])</f>
        <v>1</v>
      </c>
      <c r="AH21">
        <f>TYPE(All_India_Index_Upto_April23__1[[#This Row],[Month]])</f>
        <v>2</v>
      </c>
      <c r="AI21">
        <f>TYPE(All_India_Index_Upto_April23__1[[#This Row],[Cereals and products]])</f>
        <v>1</v>
      </c>
      <c r="AJ21">
        <f>TYPE(All_India_Index_Upto_April23__1[[#This Row],[Meat and fish]])</f>
        <v>1</v>
      </c>
      <c r="AK21">
        <f>TYPE(All_India_Index_Upto_April23__1[[#This Row],[Egg]])</f>
        <v>1</v>
      </c>
      <c r="AL21">
        <f>TYPE(All_India_Index_Upto_April23__1[[#This Row],[Milk and products]])</f>
        <v>1</v>
      </c>
      <c r="AM21">
        <f>TYPE(All_India_Index_Upto_April23__1[[#This Row],[Oils and fats]])</f>
        <v>1</v>
      </c>
      <c r="AN21">
        <f>TYPE(All_India_Index_Upto_April23__1[[#This Row],[Fruits]])</f>
        <v>1</v>
      </c>
      <c r="AO21">
        <f>TYPE(All_India_Index_Upto_April23__1[[#This Row],[Vegetables]])</f>
        <v>1</v>
      </c>
      <c r="AP21">
        <f>TYPE(All_India_Index_Upto_April23__1[[#This Row],[Pulses and products]])</f>
        <v>1</v>
      </c>
      <c r="AQ21">
        <f>TYPE(All_India_Index_Upto_April23__1[[#This Row],[Sugar and Confectionery]])</f>
        <v>1</v>
      </c>
      <c r="AR21">
        <f>TYPE(All_India_Index_Upto_April23__1[[#This Row],[Spices]])</f>
        <v>1</v>
      </c>
      <c r="AS21">
        <f>TYPE(All_India_Index_Upto_April23__1[[#This Row],[Non-alcoholic beverages]])</f>
        <v>1</v>
      </c>
      <c r="AT21">
        <f>TYPE(All_India_Index_Upto_April23__1[[#This Row],[Prepared meals, snacks, sweets etc.]])</f>
        <v>1</v>
      </c>
      <c r="AU21">
        <f>TYPE(All_India_Index_Upto_April23__1[[#This Row],[Food and beverages]])</f>
        <v>1</v>
      </c>
      <c r="AV21">
        <f>TYPE(All_India_Index_Upto_April23__1[[#This Row],[Pan, tobacco and intoxicants]])</f>
        <v>1</v>
      </c>
      <c r="AW21">
        <f>TYPE(All_India_Index_Upto_April23__1[[#This Row],[Clothing]])</f>
        <v>1</v>
      </c>
      <c r="AX21">
        <f>TYPE(All_India_Index_Upto_April23__1[[#This Row],[Footwear]])</f>
        <v>1</v>
      </c>
      <c r="AY21">
        <f>TYPE(All_India_Index_Upto_April23__1[[#This Row],[Clothing and footwear]])</f>
        <v>1</v>
      </c>
      <c r="AZ21">
        <f>TYPE(All_India_Index_Upto_April23__1[[#This Row],[Housing]])</f>
        <v>1</v>
      </c>
      <c r="BA21">
        <f>TYPE(All_India_Index_Upto_April23__1[[#This Row],[Fuel and light]])</f>
        <v>1</v>
      </c>
      <c r="BB21">
        <f>TYPE(All_India_Index_Upto_April23__1[[#This Row],[Household goods and services]])</f>
        <v>1</v>
      </c>
      <c r="BC21">
        <f>TYPE(All_India_Index_Upto_April23__1[[#This Row],[Health]])</f>
        <v>1</v>
      </c>
      <c r="BD21">
        <f>TYPE(All_India_Index_Upto_April23__1[[#This Row],[Transport and communication]])</f>
        <v>1</v>
      </c>
      <c r="BE21">
        <f>TYPE(All_India_Index_Upto_April23__1[[#This Row],[Recreation and amusement]])</f>
        <v>1</v>
      </c>
      <c r="BF21">
        <f>TYPE(All_India_Index_Upto_April23__1[[#This Row],[Education]])</f>
        <v>1</v>
      </c>
      <c r="BG21">
        <f>TYPE(All_India_Index_Upto_April23__1[[#This Row],[Personal care and effects]])</f>
        <v>1</v>
      </c>
      <c r="BH21">
        <f>TYPE(All_India_Index_Upto_April23__1[[#This Row],[Miscellaneous]])</f>
        <v>1</v>
      </c>
      <c r="BI21">
        <f>TYPE(All_India_Index_Upto_April23__1[[#This Row],[General index]])</f>
        <v>1</v>
      </c>
    </row>
    <row r="22" spans="1:61" x14ac:dyDescent="0.3">
      <c r="A22" t="s">
        <v>33</v>
      </c>
      <c r="B22">
        <v>2013</v>
      </c>
      <c r="C22" t="s">
        <v>39</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c r="AF22">
        <f>TYPE(All_India_Index_Upto_April23__1[[#This Row],[Sector]])</f>
        <v>2</v>
      </c>
      <c r="AG22">
        <f>TYPE(All_India_Index_Upto_April23__1[[#This Row],[Year]])</f>
        <v>1</v>
      </c>
      <c r="AH22">
        <f>TYPE(All_India_Index_Upto_April23__1[[#This Row],[Month]])</f>
        <v>2</v>
      </c>
      <c r="AI22">
        <f>TYPE(All_India_Index_Upto_April23__1[[#This Row],[Cereals and products]])</f>
        <v>1</v>
      </c>
      <c r="AJ22">
        <f>TYPE(All_India_Index_Upto_April23__1[[#This Row],[Meat and fish]])</f>
        <v>1</v>
      </c>
      <c r="AK22">
        <f>TYPE(All_India_Index_Upto_April23__1[[#This Row],[Egg]])</f>
        <v>1</v>
      </c>
      <c r="AL22">
        <f>TYPE(All_India_Index_Upto_April23__1[[#This Row],[Milk and products]])</f>
        <v>1</v>
      </c>
      <c r="AM22">
        <f>TYPE(All_India_Index_Upto_April23__1[[#This Row],[Oils and fats]])</f>
        <v>1</v>
      </c>
      <c r="AN22">
        <f>TYPE(All_India_Index_Upto_April23__1[[#This Row],[Fruits]])</f>
        <v>1</v>
      </c>
      <c r="AO22">
        <f>TYPE(All_India_Index_Upto_April23__1[[#This Row],[Vegetables]])</f>
        <v>1</v>
      </c>
      <c r="AP22">
        <f>TYPE(All_India_Index_Upto_April23__1[[#This Row],[Pulses and products]])</f>
        <v>1</v>
      </c>
      <c r="AQ22">
        <f>TYPE(All_India_Index_Upto_April23__1[[#This Row],[Sugar and Confectionery]])</f>
        <v>1</v>
      </c>
      <c r="AR22">
        <f>TYPE(All_India_Index_Upto_April23__1[[#This Row],[Spices]])</f>
        <v>1</v>
      </c>
      <c r="AS22">
        <f>TYPE(All_India_Index_Upto_April23__1[[#This Row],[Non-alcoholic beverages]])</f>
        <v>1</v>
      </c>
      <c r="AT22">
        <f>TYPE(All_India_Index_Upto_April23__1[[#This Row],[Prepared meals, snacks, sweets etc.]])</f>
        <v>1</v>
      </c>
      <c r="AU22">
        <f>TYPE(All_India_Index_Upto_April23__1[[#This Row],[Food and beverages]])</f>
        <v>1</v>
      </c>
      <c r="AV22">
        <f>TYPE(All_India_Index_Upto_April23__1[[#This Row],[Pan, tobacco and intoxicants]])</f>
        <v>1</v>
      </c>
      <c r="AW22">
        <f>TYPE(All_India_Index_Upto_April23__1[[#This Row],[Clothing]])</f>
        <v>1</v>
      </c>
      <c r="AX22">
        <f>TYPE(All_India_Index_Upto_April23__1[[#This Row],[Footwear]])</f>
        <v>1</v>
      </c>
      <c r="AY22">
        <f>TYPE(All_India_Index_Upto_April23__1[[#This Row],[Clothing and footwear]])</f>
        <v>1</v>
      </c>
      <c r="AZ22">
        <f>TYPE(All_India_Index_Upto_April23__1[[#This Row],[Housing]])</f>
        <v>1</v>
      </c>
      <c r="BA22">
        <f>TYPE(All_India_Index_Upto_April23__1[[#This Row],[Fuel and light]])</f>
        <v>1</v>
      </c>
      <c r="BB22">
        <f>TYPE(All_India_Index_Upto_April23__1[[#This Row],[Household goods and services]])</f>
        <v>1</v>
      </c>
      <c r="BC22">
        <f>TYPE(All_India_Index_Upto_April23__1[[#This Row],[Health]])</f>
        <v>1</v>
      </c>
      <c r="BD22">
        <f>TYPE(All_India_Index_Upto_April23__1[[#This Row],[Transport and communication]])</f>
        <v>1</v>
      </c>
      <c r="BE22">
        <f>TYPE(All_India_Index_Upto_April23__1[[#This Row],[Recreation and amusement]])</f>
        <v>1</v>
      </c>
      <c r="BF22">
        <f>TYPE(All_India_Index_Upto_April23__1[[#This Row],[Education]])</f>
        <v>1</v>
      </c>
      <c r="BG22">
        <f>TYPE(All_India_Index_Upto_April23__1[[#This Row],[Personal care and effects]])</f>
        <v>1</v>
      </c>
      <c r="BH22">
        <f>TYPE(All_India_Index_Upto_April23__1[[#This Row],[Miscellaneous]])</f>
        <v>1</v>
      </c>
      <c r="BI22">
        <f>TYPE(All_India_Index_Upto_April23__1[[#This Row],[General index]])</f>
        <v>1</v>
      </c>
    </row>
    <row r="23" spans="1:61" x14ac:dyDescent="0.3">
      <c r="A23" t="s">
        <v>30</v>
      </c>
      <c r="B23">
        <v>2013</v>
      </c>
      <c r="C23" t="s">
        <v>40</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v>0</v>
      </c>
      <c r="V23">
        <v>109.9</v>
      </c>
      <c r="W23">
        <v>108.7</v>
      </c>
      <c r="X23">
        <v>107.5</v>
      </c>
      <c r="Y23">
        <v>107.8</v>
      </c>
      <c r="Z23">
        <v>106.8</v>
      </c>
      <c r="AA23">
        <v>108.7</v>
      </c>
      <c r="AB23">
        <v>105</v>
      </c>
      <c r="AC23">
        <v>107.5</v>
      </c>
      <c r="AD23">
        <v>112.1</v>
      </c>
      <c r="AF23">
        <f>TYPE(All_India_Index_Upto_April23__1[[#This Row],[Sector]])</f>
        <v>2</v>
      </c>
      <c r="AG23">
        <f>TYPE(All_India_Index_Upto_April23__1[[#This Row],[Year]])</f>
        <v>1</v>
      </c>
      <c r="AH23">
        <f>TYPE(All_India_Index_Upto_April23__1[[#This Row],[Month]])</f>
        <v>2</v>
      </c>
      <c r="AI23">
        <f>TYPE(All_India_Index_Upto_April23__1[[#This Row],[Cereals and products]])</f>
        <v>1</v>
      </c>
      <c r="AJ23">
        <f>TYPE(All_India_Index_Upto_April23__1[[#This Row],[Meat and fish]])</f>
        <v>1</v>
      </c>
      <c r="AK23">
        <f>TYPE(All_India_Index_Upto_April23__1[[#This Row],[Egg]])</f>
        <v>1</v>
      </c>
      <c r="AL23">
        <f>TYPE(All_India_Index_Upto_April23__1[[#This Row],[Milk and products]])</f>
        <v>1</v>
      </c>
      <c r="AM23">
        <f>TYPE(All_India_Index_Upto_April23__1[[#This Row],[Oils and fats]])</f>
        <v>1</v>
      </c>
      <c r="AN23">
        <f>TYPE(All_India_Index_Upto_April23__1[[#This Row],[Fruits]])</f>
        <v>1</v>
      </c>
      <c r="AO23">
        <f>TYPE(All_India_Index_Upto_April23__1[[#This Row],[Vegetables]])</f>
        <v>1</v>
      </c>
      <c r="AP23">
        <f>TYPE(All_India_Index_Upto_April23__1[[#This Row],[Pulses and products]])</f>
        <v>1</v>
      </c>
      <c r="AQ23">
        <f>TYPE(All_India_Index_Upto_April23__1[[#This Row],[Sugar and Confectionery]])</f>
        <v>1</v>
      </c>
      <c r="AR23">
        <f>TYPE(All_India_Index_Upto_April23__1[[#This Row],[Spices]])</f>
        <v>1</v>
      </c>
      <c r="AS23">
        <f>TYPE(All_India_Index_Upto_April23__1[[#This Row],[Non-alcoholic beverages]])</f>
        <v>1</v>
      </c>
      <c r="AT23">
        <f>TYPE(All_India_Index_Upto_April23__1[[#This Row],[Prepared meals, snacks, sweets etc.]])</f>
        <v>1</v>
      </c>
      <c r="AU23">
        <f>TYPE(All_India_Index_Upto_April23__1[[#This Row],[Food and beverages]])</f>
        <v>1</v>
      </c>
      <c r="AV23">
        <f>TYPE(All_India_Index_Upto_April23__1[[#This Row],[Pan, tobacco and intoxicants]])</f>
        <v>1</v>
      </c>
      <c r="AW23">
        <f>TYPE(All_India_Index_Upto_April23__1[[#This Row],[Clothing]])</f>
        <v>1</v>
      </c>
      <c r="AX23">
        <f>TYPE(All_India_Index_Upto_April23__1[[#This Row],[Footwear]])</f>
        <v>1</v>
      </c>
      <c r="AY23">
        <f>TYPE(All_India_Index_Upto_April23__1[[#This Row],[Clothing and footwear]])</f>
        <v>1</v>
      </c>
      <c r="AZ23">
        <f>TYPE(All_India_Index_Upto_April23__1[[#This Row],[Housing]])</f>
        <v>1</v>
      </c>
      <c r="BA23">
        <f>TYPE(All_India_Index_Upto_April23__1[[#This Row],[Fuel and light]])</f>
        <v>1</v>
      </c>
      <c r="BB23">
        <f>TYPE(All_India_Index_Upto_April23__1[[#This Row],[Household goods and services]])</f>
        <v>1</v>
      </c>
      <c r="BC23">
        <f>TYPE(All_India_Index_Upto_April23__1[[#This Row],[Health]])</f>
        <v>1</v>
      </c>
      <c r="BD23">
        <f>TYPE(All_India_Index_Upto_April23__1[[#This Row],[Transport and communication]])</f>
        <v>1</v>
      </c>
      <c r="BE23">
        <f>TYPE(All_India_Index_Upto_April23__1[[#This Row],[Recreation and amusement]])</f>
        <v>1</v>
      </c>
      <c r="BF23">
        <f>TYPE(All_India_Index_Upto_April23__1[[#This Row],[Education]])</f>
        <v>1</v>
      </c>
      <c r="BG23">
        <f>TYPE(All_India_Index_Upto_April23__1[[#This Row],[Personal care and effects]])</f>
        <v>1</v>
      </c>
      <c r="BH23">
        <f>TYPE(All_India_Index_Upto_April23__1[[#This Row],[Miscellaneous]])</f>
        <v>1</v>
      </c>
      <c r="BI23">
        <f>TYPE(All_India_Index_Upto_April23__1[[#This Row],[General index]])</f>
        <v>1</v>
      </c>
    </row>
    <row r="24" spans="1:61" x14ac:dyDescent="0.3">
      <c r="A24" t="s">
        <v>32</v>
      </c>
      <c r="B24">
        <v>2013</v>
      </c>
      <c r="C24" t="s">
        <v>40</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c r="AF24">
        <f>TYPE(All_India_Index_Upto_April23__1[[#This Row],[Sector]])</f>
        <v>2</v>
      </c>
      <c r="AG24">
        <f>TYPE(All_India_Index_Upto_April23__1[[#This Row],[Year]])</f>
        <v>1</v>
      </c>
      <c r="AH24">
        <f>TYPE(All_India_Index_Upto_April23__1[[#This Row],[Month]])</f>
        <v>2</v>
      </c>
      <c r="AI24">
        <f>TYPE(All_India_Index_Upto_April23__1[[#This Row],[Cereals and products]])</f>
        <v>1</v>
      </c>
      <c r="AJ24">
        <f>TYPE(All_India_Index_Upto_April23__1[[#This Row],[Meat and fish]])</f>
        <v>1</v>
      </c>
      <c r="AK24">
        <f>TYPE(All_India_Index_Upto_April23__1[[#This Row],[Egg]])</f>
        <v>1</v>
      </c>
      <c r="AL24">
        <f>TYPE(All_India_Index_Upto_April23__1[[#This Row],[Milk and products]])</f>
        <v>1</v>
      </c>
      <c r="AM24">
        <f>TYPE(All_India_Index_Upto_April23__1[[#This Row],[Oils and fats]])</f>
        <v>1</v>
      </c>
      <c r="AN24">
        <f>TYPE(All_India_Index_Upto_April23__1[[#This Row],[Fruits]])</f>
        <v>1</v>
      </c>
      <c r="AO24">
        <f>TYPE(All_India_Index_Upto_April23__1[[#This Row],[Vegetables]])</f>
        <v>1</v>
      </c>
      <c r="AP24">
        <f>TYPE(All_India_Index_Upto_April23__1[[#This Row],[Pulses and products]])</f>
        <v>1</v>
      </c>
      <c r="AQ24">
        <f>TYPE(All_India_Index_Upto_April23__1[[#This Row],[Sugar and Confectionery]])</f>
        <v>1</v>
      </c>
      <c r="AR24">
        <f>TYPE(All_India_Index_Upto_April23__1[[#This Row],[Spices]])</f>
        <v>1</v>
      </c>
      <c r="AS24">
        <f>TYPE(All_India_Index_Upto_April23__1[[#This Row],[Non-alcoholic beverages]])</f>
        <v>1</v>
      </c>
      <c r="AT24">
        <f>TYPE(All_India_Index_Upto_April23__1[[#This Row],[Prepared meals, snacks, sweets etc.]])</f>
        <v>1</v>
      </c>
      <c r="AU24">
        <f>TYPE(All_India_Index_Upto_April23__1[[#This Row],[Food and beverages]])</f>
        <v>1</v>
      </c>
      <c r="AV24">
        <f>TYPE(All_India_Index_Upto_April23__1[[#This Row],[Pan, tobacco and intoxicants]])</f>
        <v>1</v>
      </c>
      <c r="AW24">
        <f>TYPE(All_India_Index_Upto_April23__1[[#This Row],[Clothing]])</f>
        <v>1</v>
      </c>
      <c r="AX24">
        <f>TYPE(All_India_Index_Upto_April23__1[[#This Row],[Footwear]])</f>
        <v>1</v>
      </c>
      <c r="AY24">
        <f>TYPE(All_India_Index_Upto_April23__1[[#This Row],[Clothing and footwear]])</f>
        <v>1</v>
      </c>
      <c r="AZ24">
        <f>TYPE(All_India_Index_Upto_April23__1[[#This Row],[Housing]])</f>
        <v>1</v>
      </c>
      <c r="BA24">
        <f>TYPE(All_India_Index_Upto_April23__1[[#This Row],[Fuel and light]])</f>
        <v>1</v>
      </c>
      <c r="BB24">
        <f>TYPE(All_India_Index_Upto_April23__1[[#This Row],[Household goods and services]])</f>
        <v>1</v>
      </c>
      <c r="BC24">
        <f>TYPE(All_India_Index_Upto_April23__1[[#This Row],[Health]])</f>
        <v>1</v>
      </c>
      <c r="BD24">
        <f>TYPE(All_India_Index_Upto_April23__1[[#This Row],[Transport and communication]])</f>
        <v>1</v>
      </c>
      <c r="BE24">
        <f>TYPE(All_India_Index_Upto_April23__1[[#This Row],[Recreation and amusement]])</f>
        <v>1</v>
      </c>
      <c r="BF24">
        <f>TYPE(All_India_Index_Upto_April23__1[[#This Row],[Education]])</f>
        <v>1</v>
      </c>
      <c r="BG24">
        <f>TYPE(All_India_Index_Upto_April23__1[[#This Row],[Personal care and effects]])</f>
        <v>1</v>
      </c>
      <c r="BH24">
        <f>TYPE(All_India_Index_Upto_April23__1[[#This Row],[Miscellaneous]])</f>
        <v>1</v>
      </c>
      <c r="BI24">
        <f>TYPE(All_India_Index_Upto_April23__1[[#This Row],[General index]])</f>
        <v>1</v>
      </c>
    </row>
    <row r="25" spans="1:61" x14ac:dyDescent="0.3">
      <c r="A25" t="s">
        <v>33</v>
      </c>
      <c r="B25">
        <v>2013</v>
      </c>
      <c r="C25" t="s">
        <v>40</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c r="AF25">
        <f>TYPE(All_India_Index_Upto_April23__1[[#This Row],[Sector]])</f>
        <v>2</v>
      </c>
      <c r="AG25">
        <f>TYPE(All_India_Index_Upto_April23__1[[#This Row],[Year]])</f>
        <v>1</v>
      </c>
      <c r="AH25">
        <f>TYPE(All_India_Index_Upto_April23__1[[#This Row],[Month]])</f>
        <v>2</v>
      </c>
      <c r="AI25">
        <f>TYPE(All_India_Index_Upto_April23__1[[#This Row],[Cereals and products]])</f>
        <v>1</v>
      </c>
      <c r="AJ25">
        <f>TYPE(All_India_Index_Upto_April23__1[[#This Row],[Meat and fish]])</f>
        <v>1</v>
      </c>
      <c r="AK25">
        <f>TYPE(All_India_Index_Upto_April23__1[[#This Row],[Egg]])</f>
        <v>1</v>
      </c>
      <c r="AL25">
        <f>TYPE(All_India_Index_Upto_April23__1[[#This Row],[Milk and products]])</f>
        <v>1</v>
      </c>
      <c r="AM25">
        <f>TYPE(All_India_Index_Upto_April23__1[[#This Row],[Oils and fats]])</f>
        <v>1</v>
      </c>
      <c r="AN25">
        <f>TYPE(All_India_Index_Upto_April23__1[[#This Row],[Fruits]])</f>
        <v>1</v>
      </c>
      <c r="AO25">
        <f>TYPE(All_India_Index_Upto_April23__1[[#This Row],[Vegetables]])</f>
        <v>1</v>
      </c>
      <c r="AP25">
        <f>TYPE(All_India_Index_Upto_April23__1[[#This Row],[Pulses and products]])</f>
        <v>1</v>
      </c>
      <c r="AQ25">
        <f>TYPE(All_India_Index_Upto_April23__1[[#This Row],[Sugar and Confectionery]])</f>
        <v>1</v>
      </c>
      <c r="AR25">
        <f>TYPE(All_India_Index_Upto_April23__1[[#This Row],[Spices]])</f>
        <v>1</v>
      </c>
      <c r="AS25">
        <f>TYPE(All_India_Index_Upto_April23__1[[#This Row],[Non-alcoholic beverages]])</f>
        <v>1</v>
      </c>
      <c r="AT25">
        <f>TYPE(All_India_Index_Upto_April23__1[[#This Row],[Prepared meals, snacks, sweets etc.]])</f>
        <v>1</v>
      </c>
      <c r="AU25">
        <f>TYPE(All_India_Index_Upto_April23__1[[#This Row],[Food and beverages]])</f>
        <v>1</v>
      </c>
      <c r="AV25">
        <f>TYPE(All_India_Index_Upto_April23__1[[#This Row],[Pan, tobacco and intoxicants]])</f>
        <v>1</v>
      </c>
      <c r="AW25">
        <f>TYPE(All_India_Index_Upto_April23__1[[#This Row],[Clothing]])</f>
        <v>1</v>
      </c>
      <c r="AX25">
        <f>TYPE(All_India_Index_Upto_April23__1[[#This Row],[Footwear]])</f>
        <v>1</v>
      </c>
      <c r="AY25">
        <f>TYPE(All_India_Index_Upto_April23__1[[#This Row],[Clothing and footwear]])</f>
        <v>1</v>
      </c>
      <c r="AZ25">
        <f>TYPE(All_India_Index_Upto_April23__1[[#This Row],[Housing]])</f>
        <v>1</v>
      </c>
      <c r="BA25">
        <f>TYPE(All_India_Index_Upto_April23__1[[#This Row],[Fuel and light]])</f>
        <v>1</v>
      </c>
      <c r="BB25">
        <f>TYPE(All_India_Index_Upto_April23__1[[#This Row],[Household goods and services]])</f>
        <v>1</v>
      </c>
      <c r="BC25">
        <f>TYPE(All_India_Index_Upto_April23__1[[#This Row],[Health]])</f>
        <v>1</v>
      </c>
      <c r="BD25">
        <f>TYPE(All_India_Index_Upto_April23__1[[#This Row],[Transport and communication]])</f>
        <v>1</v>
      </c>
      <c r="BE25">
        <f>TYPE(All_India_Index_Upto_April23__1[[#This Row],[Recreation and amusement]])</f>
        <v>1</v>
      </c>
      <c r="BF25">
        <f>TYPE(All_India_Index_Upto_April23__1[[#This Row],[Education]])</f>
        <v>1</v>
      </c>
      <c r="BG25">
        <f>TYPE(All_India_Index_Upto_April23__1[[#This Row],[Personal care and effects]])</f>
        <v>1</v>
      </c>
      <c r="BH25">
        <f>TYPE(All_India_Index_Upto_April23__1[[#This Row],[Miscellaneous]])</f>
        <v>1</v>
      </c>
      <c r="BI25">
        <f>TYPE(All_India_Index_Upto_April23__1[[#This Row],[General index]])</f>
        <v>1</v>
      </c>
    </row>
    <row r="26" spans="1:61" x14ac:dyDescent="0.3">
      <c r="A26" t="s">
        <v>30</v>
      </c>
      <c r="B26">
        <v>2013</v>
      </c>
      <c r="C26" t="s">
        <v>41</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v>0</v>
      </c>
      <c r="V26">
        <v>111.1</v>
      </c>
      <c r="W26">
        <v>109.6</v>
      </c>
      <c r="X26">
        <v>108.3</v>
      </c>
      <c r="Y26">
        <v>109.3</v>
      </c>
      <c r="Z26">
        <v>107.7</v>
      </c>
      <c r="AA26">
        <v>109.8</v>
      </c>
      <c r="AB26">
        <v>106.7</v>
      </c>
      <c r="AC26">
        <v>108.7</v>
      </c>
      <c r="AD26">
        <v>114.2</v>
      </c>
      <c r="AF26">
        <f>TYPE(All_India_Index_Upto_April23__1[[#This Row],[Sector]])</f>
        <v>2</v>
      </c>
      <c r="AG26">
        <f>TYPE(All_India_Index_Upto_April23__1[[#This Row],[Year]])</f>
        <v>1</v>
      </c>
      <c r="AH26">
        <f>TYPE(All_India_Index_Upto_April23__1[[#This Row],[Month]])</f>
        <v>2</v>
      </c>
      <c r="AI26">
        <f>TYPE(All_India_Index_Upto_April23__1[[#This Row],[Cereals and products]])</f>
        <v>1</v>
      </c>
      <c r="AJ26">
        <f>TYPE(All_India_Index_Upto_April23__1[[#This Row],[Meat and fish]])</f>
        <v>1</v>
      </c>
      <c r="AK26">
        <f>TYPE(All_India_Index_Upto_April23__1[[#This Row],[Egg]])</f>
        <v>1</v>
      </c>
      <c r="AL26">
        <f>TYPE(All_India_Index_Upto_April23__1[[#This Row],[Milk and products]])</f>
        <v>1</v>
      </c>
      <c r="AM26">
        <f>TYPE(All_India_Index_Upto_April23__1[[#This Row],[Oils and fats]])</f>
        <v>1</v>
      </c>
      <c r="AN26">
        <f>TYPE(All_India_Index_Upto_April23__1[[#This Row],[Fruits]])</f>
        <v>1</v>
      </c>
      <c r="AO26">
        <f>TYPE(All_India_Index_Upto_April23__1[[#This Row],[Vegetables]])</f>
        <v>1</v>
      </c>
      <c r="AP26">
        <f>TYPE(All_India_Index_Upto_April23__1[[#This Row],[Pulses and products]])</f>
        <v>1</v>
      </c>
      <c r="AQ26">
        <f>TYPE(All_India_Index_Upto_April23__1[[#This Row],[Sugar and Confectionery]])</f>
        <v>1</v>
      </c>
      <c r="AR26">
        <f>TYPE(All_India_Index_Upto_April23__1[[#This Row],[Spices]])</f>
        <v>1</v>
      </c>
      <c r="AS26">
        <f>TYPE(All_India_Index_Upto_April23__1[[#This Row],[Non-alcoholic beverages]])</f>
        <v>1</v>
      </c>
      <c r="AT26">
        <f>TYPE(All_India_Index_Upto_April23__1[[#This Row],[Prepared meals, snacks, sweets etc.]])</f>
        <v>1</v>
      </c>
      <c r="AU26">
        <f>TYPE(All_India_Index_Upto_April23__1[[#This Row],[Food and beverages]])</f>
        <v>1</v>
      </c>
      <c r="AV26">
        <f>TYPE(All_India_Index_Upto_April23__1[[#This Row],[Pan, tobacco and intoxicants]])</f>
        <v>1</v>
      </c>
      <c r="AW26">
        <f>TYPE(All_India_Index_Upto_April23__1[[#This Row],[Clothing]])</f>
        <v>1</v>
      </c>
      <c r="AX26">
        <f>TYPE(All_India_Index_Upto_April23__1[[#This Row],[Footwear]])</f>
        <v>1</v>
      </c>
      <c r="AY26">
        <f>TYPE(All_India_Index_Upto_April23__1[[#This Row],[Clothing and footwear]])</f>
        <v>1</v>
      </c>
      <c r="AZ26">
        <f>TYPE(All_India_Index_Upto_April23__1[[#This Row],[Housing]])</f>
        <v>1</v>
      </c>
      <c r="BA26">
        <f>TYPE(All_India_Index_Upto_April23__1[[#This Row],[Fuel and light]])</f>
        <v>1</v>
      </c>
      <c r="BB26">
        <f>TYPE(All_India_Index_Upto_April23__1[[#This Row],[Household goods and services]])</f>
        <v>1</v>
      </c>
      <c r="BC26">
        <f>TYPE(All_India_Index_Upto_April23__1[[#This Row],[Health]])</f>
        <v>1</v>
      </c>
      <c r="BD26">
        <f>TYPE(All_India_Index_Upto_April23__1[[#This Row],[Transport and communication]])</f>
        <v>1</v>
      </c>
      <c r="BE26">
        <f>TYPE(All_India_Index_Upto_April23__1[[#This Row],[Recreation and amusement]])</f>
        <v>1</v>
      </c>
      <c r="BF26">
        <f>TYPE(All_India_Index_Upto_April23__1[[#This Row],[Education]])</f>
        <v>1</v>
      </c>
      <c r="BG26">
        <f>TYPE(All_India_Index_Upto_April23__1[[#This Row],[Personal care and effects]])</f>
        <v>1</v>
      </c>
      <c r="BH26">
        <f>TYPE(All_India_Index_Upto_April23__1[[#This Row],[Miscellaneous]])</f>
        <v>1</v>
      </c>
      <c r="BI26">
        <f>TYPE(All_India_Index_Upto_April23__1[[#This Row],[General index]])</f>
        <v>1</v>
      </c>
    </row>
    <row r="27" spans="1:61" x14ac:dyDescent="0.3">
      <c r="A27" t="s">
        <v>32</v>
      </c>
      <c r="B27">
        <v>2013</v>
      </c>
      <c r="C27" t="s">
        <v>41</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c r="AF27">
        <f>TYPE(All_India_Index_Upto_April23__1[[#This Row],[Sector]])</f>
        <v>2</v>
      </c>
      <c r="AG27">
        <f>TYPE(All_India_Index_Upto_April23__1[[#This Row],[Year]])</f>
        <v>1</v>
      </c>
      <c r="AH27">
        <f>TYPE(All_India_Index_Upto_April23__1[[#This Row],[Month]])</f>
        <v>2</v>
      </c>
      <c r="AI27">
        <f>TYPE(All_India_Index_Upto_April23__1[[#This Row],[Cereals and products]])</f>
        <v>1</v>
      </c>
      <c r="AJ27">
        <f>TYPE(All_India_Index_Upto_April23__1[[#This Row],[Meat and fish]])</f>
        <v>1</v>
      </c>
      <c r="AK27">
        <f>TYPE(All_India_Index_Upto_April23__1[[#This Row],[Egg]])</f>
        <v>1</v>
      </c>
      <c r="AL27">
        <f>TYPE(All_India_Index_Upto_April23__1[[#This Row],[Milk and products]])</f>
        <v>1</v>
      </c>
      <c r="AM27">
        <f>TYPE(All_India_Index_Upto_April23__1[[#This Row],[Oils and fats]])</f>
        <v>1</v>
      </c>
      <c r="AN27">
        <f>TYPE(All_India_Index_Upto_April23__1[[#This Row],[Fruits]])</f>
        <v>1</v>
      </c>
      <c r="AO27">
        <f>TYPE(All_India_Index_Upto_April23__1[[#This Row],[Vegetables]])</f>
        <v>1</v>
      </c>
      <c r="AP27">
        <f>TYPE(All_India_Index_Upto_April23__1[[#This Row],[Pulses and products]])</f>
        <v>1</v>
      </c>
      <c r="AQ27">
        <f>TYPE(All_India_Index_Upto_April23__1[[#This Row],[Sugar and Confectionery]])</f>
        <v>1</v>
      </c>
      <c r="AR27">
        <f>TYPE(All_India_Index_Upto_April23__1[[#This Row],[Spices]])</f>
        <v>1</v>
      </c>
      <c r="AS27">
        <f>TYPE(All_India_Index_Upto_April23__1[[#This Row],[Non-alcoholic beverages]])</f>
        <v>1</v>
      </c>
      <c r="AT27">
        <f>TYPE(All_India_Index_Upto_April23__1[[#This Row],[Prepared meals, snacks, sweets etc.]])</f>
        <v>1</v>
      </c>
      <c r="AU27">
        <f>TYPE(All_India_Index_Upto_April23__1[[#This Row],[Food and beverages]])</f>
        <v>1</v>
      </c>
      <c r="AV27">
        <f>TYPE(All_India_Index_Upto_April23__1[[#This Row],[Pan, tobacco and intoxicants]])</f>
        <v>1</v>
      </c>
      <c r="AW27">
        <f>TYPE(All_India_Index_Upto_April23__1[[#This Row],[Clothing]])</f>
        <v>1</v>
      </c>
      <c r="AX27">
        <f>TYPE(All_India_Index_Upto_April23__1[[#This Row],[Footwear]])</f>
        <v>1</v>
      </c>
      <c r="AY27">
        <f>TYPE(All_India_Index_Upto_April23__1[[#This Row],[Clothing and footwear]])</f>
        <v>1</v>
      </c>
      <c r="AZ27">
        <f>TYPE(All_India_Index_Upto_April23__1[[#This Row],[Housing]])</f>
        <v>1</v>
      </c>
      <c r="BA27">
        <f>TYPE(All_India_Index_Upto_April23__1[[#This Row],[Fuel and light]])</f>
        <v>1</v>
      </c>
      <c r="BB27">
        <f>TYPE(All_India_Index_Upto_April23__1[[#This Row],[Household goods and services]])</f>
        <v>1</v>
      </c>
      <c r="BC27">
        <f>TYPE(All_India_Index_Upto_April23__1[[#This Row],[Health]])</f>
        <v>1</v>
      </c>
      <c r="BD27">
        <f>TYPE(All_India_Index_Upto_April23__1[[#This Row],[Transport and communication]])</f>
        <v>1</v>
      </c>
      <c r="BE27">
        <f>TYPE(All_India_Index_Upto_April23__1[[#This Row],[Recreation and amusement]])</f>
        <v>1</v>
      </c>
      <c r="BF27">
        <f>TYPE(All_India_Index_Upto_April23__1[[#This Row],[Education]])</f>
        <v>1</v>
      </c>
      <c r="BG27">
        <f>TYPE(All_India_Index_Upto_April23__1[[#This Row],[Personal care and effects]])</f>
        <v>1</v>
      </c>
      <c r="BH27">
        <f>TYPE(All_India_Index_Upto_April23__1[[#This Row],[Miscellaneous]])</f>
        <v>1</v>
      </c>
      <c r="BI27">
        <f>TYPE(All_India_Index_Upto_April23__1[[#This Row],[General index]])</f>
        <v>1</v>
      </c>
    </row>
    <row r="28" spans="1:61" x14ac:dyDescent="0.3">
      <c r="A28" t="s">
        <v>33</v>
      </c>
      <c r="B28">
        <v>2013</v>
      </c>
      <c r="C28" t="s">
        <v>41</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c r="AF28">
        <f>TYPE(All_India_Index_Upto_April23__1[[#This Row],[Sector]])</f>
        <v>2</v>
      </c>
      <c r="AG28">
        <f>TYPE(All_India_Index_Upto_April23__1[[#This Row],[Year]])</f>
        <v>1</v>
      </c>
      <c r="AH28">
        <f>TYPE(All_India_Index_Upto_April23__1[[#This Row],[Month]])</f>
        <v>2</v>
      </c>
      <c r="AI28">
        <f>TYPE(All_India_Index_Upto_April23__1[[#This Row],[Cereals and products]])</f>
        <v>1</v>
      </c>
      <c r="AJ28">
        <f>TYPE(All_India_Index_Upto_April23__1[[#This Row],[Meat and fish]])</f>
        <v>1</v>
      </c>
      <c r="AK28">
        <f>TYPE(All_India_Index_Upto_April23__1[[#This Row],[Egg]])</f>
        <v>1</v>
      </c>
      <c r="AL28">
        <f>TYPE(All_India_Index_Upto_April23__1[[#This Row],[Milk and products]])</f>
        <v>1</v>
      </c>
      <c r="AM28">
        <f>TYPE(All_India_Index_Upto_April23__1[[#This Row],[Oils and fats]])</f>
        <v>1</v>
      </c>
      <c r="AN28">
        <f>TYPE(All_India_Index_Upto_April23__1[[#This Row],[Fruits]])</f>
        <v>1</v>
      </c>
      <c r="AO28">
        <f>TYPE(All_India_Index_Upto_April23__1[[#This Row],[Vegetables]])</f>
        <v>1</v>
      </c>
      <c r="AP28">
        <f>TYPE(All_India_Index_Upto_April23__1[[#This Row],[Pulses and products]])</f>
        <v>1</v>
      </c>
      <c r="AQ28">
        <f>TYPE(All_India_Index_Upto_April23__1[[#This Row],[Sugar and Confectionery]])</f>
        <v>1</v>
      </c>
      <c r="AR28">
        <f>TYPE(All_India_Index_Upto_April23__1[[#This Row],[Spices]])</f>
        <v>1</v>
      </c>
      <c r="AS28">
        <f>TYPE(All_India_Index_Upto_April23__1[[#This Row],[Non-alcoholic beverages]])</f>
        <v>1</v>
      </c>
      <c r="AT28">
        <f>TYPE(All_India_Index_Upto_April23__1[[#This Row],[Prepared meals, snacks, sweets etc.]])</f>
        <v>1</v>
      </c>
      <c r="AU28">
        <f>TYPE(All_India_Index_Upto_April23__1[[#This Row],[Food and beverages]])</f>
        <v>1</v>
      </c>
      <c r="AV28">
        <f>TYPE(All_India_Index_Upto_April23__1[[#This Row],[Pan, tobacco and intoxicants]])</f>
        <v>1</v>
      </c>
      <c r="AW28">
        <f>TYPE(All_India_Index_Upto_April23__1[[#This Row],[Clothing]])</f>
        <v>1</v>
      </c>
      <c r="AX28">
        <f>TYPE(All_India_Index_Upto_April23__1[[#This Row],[Footwear]])</f>
        <v>1</v>
      </c>
      <c r="AY28">
        <f>TYPE(All_India_Index_Upto_April23__1[[#This Row],[Clothing and footwear]])</f>
        <v>1</v>
      </c>
      <c r="AZ28">
        <f>TYPE(All_India_Index_Upto_April23__1[[#This Row],[Housing]])</f>
        <v>1</v>
      </c>
      <c r="BA28">
        <f>TYPE(All_India_Index_Upto_April23__1[[#This Row],[Fuel and light]])</f>
        <v>1</v>
      </c>
      <c r="BB28">
        <f>TYPE(All_India_Index_Upto_April23__1[[#This Row],[Household goods and services]])</f>
        <v>1</v>
      </c>
      <c r="BC28">
        <f>TYPE(All_India_Index_Upto_April23__1[[#This Row],[Health]])</f>
        <v>1</v>
      </c>
      <c r="BD28">
        <f>TYPE(All_India_Index_Upto_April23__1[[#This Row],[Transport and communication]])</f>
        <v>1</v>
      </c>
      <c r="BE28">
        <f>TYPE(All_India_Index_Upto_April23__1[[#This Row],[Recreation and amusement]])</f>
        <v>1</v>
      </c>
      <c r="BF28">
        <f>TYPE(All_India_Index_Upto_April23__1[[#This Row],[Education]])</f>
        <v>1</v>
      </c>
      <c r="BG28">
        <f>TYPE(All_India_Index_Upto_April23__1[[#This Row],[Personal care and effects]])</f>
        <v>1</v>
      </c>
      <c r="BH28">
        <f>TYPE(All_India_Index_Upto_April23__1[[#This Row],[Miscellaneous]])</f>
        <v>1</v>
      </c>
      <c r="BI28">
        <f>TYPE(All_India_Index_Upto_April23__1[[#This Row],[General index]])</f>
        <v>1</v>
      </c>
    </row>
    <row r="29" spans="1:61" x14ac:dyDescent="0.3">
      <c r="A29" t="s">
        <v>30</v>
      </c>
      <c r="B29">
        <v>2013</v>
      </c>
      <c r="C29" t="s">
        <v>42</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v>0</v>
      </c>
      <c r="V29">
        <v>111.6</v>
      </c>
      <c r="W29">
        <v>110.4</v>
      </c>
      <c r="X29">
        <v>108.9</v>
      </c>
      <c r="Y29">
        <v>109.3</v>
      </c>
      <c r="Z29">
        <v>108.3</v>
      </c>
      <c r="AA29">
        <v>110.2</v>
      </c>
      <c r="AB29">
        <v>107.5</v>
      </c>
      <c r="AC29">
        <v>109.1</v>
      </c>
      <c r="AD29">
        <v>115.5</v>
      </c>
      <c r="AF29">
        <f>TYPE(All_India_Index_Upto_April23__1[[#This Row],[Sector]])</f>
        <v>2</v>
      </c>
      <c r="AG29">
        <f>TYPE(All_India_Index_Upto_April23__1[[#This Row],[Year]])</f>
        <v>1</v>
      </c>
      <c r="AH29">
        <f>TYPE(All_India_Index_Upto_April23__1[[#This Row],[Month]])</f>
        <v>2</v>
      </c>
      <c r="AI29">
        <f>TYPE(All_India_Index_Upto_April23__1[[#This Row],[Cereals and products]])</f>
        <v>1</v>
      </c>
      <c r="AJ29">
        <f>TYPE(All_India_Index_Upto_April23__1[[#This Row],[Meat and fish]])</f>
        <v>1</v>
      </c>
      <c r="AK29">
        <f>TYPE(All_India_Index_Upto_April23__1[[#This Row],[Egg]])</f>
        <v>1</v>
      </c>
      <c r="AL29">
        <f>TYPE(All_India_Index_Upto_April23__1[[#This Row],[Milk and products]])</f>
        <v>1</v>
      </c>
      <c r="AM29">
        <f>TYPE(All_India_Index_Upto_April23__1[[#This Row],[Oils and fats]])</f>
        <v>1</v>
      </c>
      <c r="AN29">
        <f>TYPE(All_India_Index_Upto_April23__1[[#This Row],[Fruits]])</f>
        <v>1</v>
      </c>
      <c r="AO29">
        <f>TYPE(All_India_Index_Upto_April23__1[[#This Row],[Vegetables]])</f>
        <v>1</v>
      </c>
      <c r="AP29">
        <f>TYPE(All_India_Index_Upto_April23__1[[#This Row],[Pulses and products]])</f>
        <v>1</v>
      </c>
      <c r="AQ29">
        <f>TYPE(All_India_Index_Upto_April23__1[[#This Row],[Sugar and Confectionery]])</f>
        <v>1</v>
      </c>
      <c r="AR29">
        <f>TYPE(All_India_Index_Upto_April23__1[[#This Row],[Spices]])</f>
        <v>1</v>
      </c>
      <c r="AS29">
        <f>TYPE(All_India_Index_Upto_April23__1[[#This Row],[Non-alcoholic beverages]])</f>
        <v>1</v>
      </c>
      <c r="AT29">
        <f>TYPE(All_India_Index_Upto_April23__1[[#This Row],[Prepared meals, snacks, sweets etc.]])</f>
        <v>1</v>
      </c>
      <c r="AU29">
        <f>TYPE(All_India_Index_Upto_April23__1[[#This Row],[Food and beverages]])</f>
        <v>1</v>
      </c>
      <c r="AV29">
        <f>TYPE(All_India_Index_Upto_April23__1[[#This Row],[Pan, tobacco and intoxicants]])</f>
        <v>1</v>
      </c>
      <c r="AW29">
        <f>TYPE(All_India_Index_Upto_April23__1[[#This Row],[Clothing]])</f>
        <v>1</v>
      </c>
      <c r="AX29">
        <f>TYPE(All_India_Index_Upto_April23__1[[#This Row],[Footwear]])</f>
        <v>1</v>
      </c>
      <c r="AY29">
        <f>TYPE(All_India_Index_Upto_April23__1[[#This Row],[Clothing and footwear]])</f>
        <v>1</v>
      </c>
      <c r="AZ29">
        <f>TYPE(All_India_Index_Upto_April23__1[[#This Row],[Housing]])</f>
        <v>1</v>
      </c>
      <c r="BA29">
        <f>TYPE(All_India_Index_Upto_April23__1[[#This Row],[Fuel and light]])</f>
        <v>1</v>
      </c>
      <c r="BB29">
        <f>TYPE(All_India_Index_Upto_April23__1[[#This Row],[Household goods and services]])</f>
        <v>1</v>
      </c>
      <c r="BC29">
        <f>TYPE(All_India_Index_Upto_April23__1[[#This Row],[Health]])</f>
        <v>1</v>
      </c>
      <c r="BD29">
        <f>TYPE(All_India_Index_Upto_April23__1[[#This Row],[Transport and communication]])</f>
        <v>1</v>
      </c>
      <c r="BE29">
        <f>TYPE(All_India_Index_Upto_April23__1[[#This Row],[Recreation and amusement]])</f>
        <v>1</v>
      </c>
      <c r="BF29">
        <f>TYPE(All_India_Index_Upto_April23__1[[#This Row],[Education]])</f>
        <v>1</v>
      </c>
      <c r="BG29">
        <f>TYPE(All_India_Index_Upto_April23__1[[#This Row],[Personal care and effects]])</f>
        <v>1</v>
      </c>
      <c r="BH29">
        <f>TYPE(All_India_Index_Upto_April23__1[[#This Row],[Miscellaneous]])</f>
        <v>1</v>
      </c>
      <c r="BI29">
        <f>TYPE(All_India_Index_Upto_April23__1[[#This Row],[General index]])</f>
        <v>1</v>
      </c>
    </row>
    <row r="30" spans="1:61" x14ac:dyDescent="0.3">
      <c r="A30" t="s">
        <v>32</v>
      </c>
      <c r="B30">
        <v>2013</v>
      </c>
      <c r="C30" t="s">
        <v>42</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c r="AF30">
        <f>TYPE(All_India_Index_Upto_April23__1[[#This Row],[Sector]])</f>
        <v>2</v>
      </c>
      <c r="AG30">
        <f>TYPE(All_India_Index_Upto_April23__1[[#This Row],[Year]])</f>
        <v>1</v>
      </c>
      <c r="AH30">
        <f>TYPE(All_India_Index_Upto_April23__1[[#This Row],[Month]])</f>
        <v>2</v>
      </c>
      <c r="AI30">
        <f>TYPE(All_India_Index_Upto_April23__1[[#This Row],[Cereals and products]])</f>
        <v>1</v>
      </c>
      <c r="AJ30">
        <f>TYPE(All_India_Index_Upto_April23__1[[#This Row],[Meat and fish]])</f>
        <v>1</v>
      </c>
      <c r="AK30">
        <f>TYPE(All_India_Index_Upto_April23__1[[#This Row],[Egg]])</f>
        <v>1</v>
      </c>
      <c r="AL30">
        <f>TYPE(All_India_Index_Upto_April23__1[[#This Row],[Milk and products]])</f>
        <v>1</v>
      </c>
      <c r="AM30">
        <f>TYPE(All_India_Index_Upto_April23__1[[#This Row],[Oils and fats]])</f>
        <v>1</v>
      </c>
      <c r="AN30">
        <f>TYPE(All_India_Index_Upto_April23__1[[#This Row],[Fruits]])</f>
        <v>1</v>
      </c>
      <c r="AO30">
        <f>TYPE(All_India_Index_Upto_April23__1[[#This Row],[Vegetables]])</f>
        <v>1</v>
      </c>
      <c r="AP30">
        <f>TYPE(All_India_Index_Upto_April23__1[[#This Row],[Pulses and products]])</f>
        <v>1</v>
      </c>
      <c r="AQ30">
        <f>TYPE(All_India_Index_Upto_April23__1[[#This Row],[Sugar and Confectionery]])</f>
        <v>1</v>
      </c>
      <c r="AR30">
        <f>TYPE(All_India_Index_Upto_April23__1[[#This Row],[Spices]])</f>
        <v>1</v>
      </c>
      <c r="AS30">
        <f>TYPE(All_India_Index_Upto_April23__1[[#This Row],[Non-alcoholic beverages]])</f>
        <v>1</v>
      </c>
      <c r="AT30">
        <f>TYPE(All_India_Index_Upto_April23__1[[#This Row],[Prepared meals, snacks, sweets etc.]])</f>
        <v>1</v>
      </c>
      <c r="AU30">
        <f>TYPE(All_India_Index_Upto_April23__1[[#This Row],[Food and beverages]])</f>
        <v>1</v>
      </c>
      <c r="AV30">
        <f>TYPE(All_India_Index_Upto_April23__1[[#This Row],[Pan, tobacco and intoxicants]])</f>
        <v>1</v>
      </c>
      <c r="AW30">
        <f>TYPE(All_India_Index_Upto_April23__1[[#This Row],[Clothing]])</f>
        <v>1</v>
      </c>
      <c r="AX30">
        <f>TYPE(All_India_Index_Upto_April23__1[[#This Row],[Footwear]])</f>
        <v>1</v>
      </c>
      <c r="AY30">
        <f>TYPE(All_India_Index_Upto_April23__1[[#This Row],[Clothing and footwear]])</f>
        <v>1</v>
      </c>
      <c r="AZ30">
        <f>TYPE(All_India_Index_Upto_April23__1[[#This Row],[Housing]])</f>
        <v>1</v>
      </c>
      <c r="BA30">
        <f>TYPE(All_India_Index_Upto_April23__1[[#This Row],[Fuel and light]])</f>
        <v>1</v>
      </c>
      <c r="BB30">
        <f>TYPE(All_India_Index_Upto_April23__1[[#This Row],[Household goods and services]])</f>
        <v>1</v>
      </c>
      <c r="BC30">
        <f>TYPE(All_India_Index_Upto_April23__1[[#This Row],[Health]])</f>
        <v>1</v>
      </c>
      <c r="BD30">
        <f>TYPE(All_India_Index_Upto_April23__1[[#This Row],[Transport and communication]])</f>
        <v>1</v>
      </c>
      <c r="BE30">
        <f>TYPE(All_India_Index_Upto_April23__1[[#This Row],[Recreation and amusement]])</f>
        <v>1</v>
      </c>
      <c r="BF30">
        <f>TYPE(All_India_Index_Upto_April23__1[[#This Row],[Education]])</f>
        <v>1</v>
      </c>
      <c r="BG30">
        <f>TYPE(All_India_Index_Upto_April23__1[[#This Row],[Personal care and effects]])</f>
        <v>1</v>
      </c>
      <c r="BH30">
        <f>TYPE(All_India_Index_Upto_April23__1[[#This Row],[Miscellaneous]])</f>
        <v>1</v>
      </c>
      <c r="BI30">
        <f>TYPE(All_India_Index_Upto_April23__1[[#This Row],[General index]])</f>
        <v>1</v>
      </c>
    </row>
    <row r="31" spans="1:61" x14ac:dyDescent="0.3">
      <c r="A31" t="s">
        <v>33</v>
      </c>
      <c r="B31">
        <v>2013</v>
      </c>
      <c r="C31" t="s">
        <v>42</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c r="AF31">
        <f>TYPE(All_India_Index_Upto_April23__1[[#This Row],[Sector]])</f>
        <v>2</v>
      </c>
      <c r="AG31">
        <f>TYPE(All_India_Index_Upto_April23__1[[#This Row],[Year]])</f>
        <v>1</v>
      </c>
      <c r="AH31">
        <f>TYPE(All_India_Index_Upto_April23__1[[#This Row],[Month]])</f>
        <v>2</v>
      </c>
      <c r="AI31">
        <f>TYPE(All_India_Index_Upto_April23__1[[#This Row],[Cereals and products]])</f>
        <v>1</v>
      </c>
      <c r="AJ31">
        <f>TYPE(All_India_Index_Upto_April23__1[[#This Row],[Meat and fish]])</f>
        <v>1</v>
      </c>
      <c r="AK31">
        <f>TYPE(All_India_Index_Upto_April23__1[[#This Row],[Egg]])</f>
        <v>1</v>
      </c>
      <c r="AL31">
        <f>TYPE(All_India_Index_Upto_April23__1[[#This Row],[Milk and products]])</f>
        <v>1</v>
      </c>
      <c r="AM31">
        <f>TYPE(All_India_Index_Upto_April23__1[[#This Row],[Oils and fats]])</f>
        <v>1</v>
      </c>
      <c r="AN31">
        <f>TYPE(All_India_Index_Upto_April23__1[[#This Row],[Fruits]])</f>
        <v>1</v>
      </c>
      <c r="AO31">
        <f>TYPE(All_India_Index_Upto_April23__1[[#This Row],[Vegetables]])</f>
        <v>1</v>
      </c>
      <c r="AP31">
        <f>TYPE(All_India_Index_Upto_April23__1[[#This Row],[Pulses and products]])</f>
        <v>1</v>
      </c>
      <c r="AQ31">
        <f>TYPE(All_India_Index_Upto_April23__1[[#This Row],[Sugar and Confectionery]])</f>
        <v>1</v>
      </c>
      <c r="AR31">
        <f>TYPE(All_India_Index_Upto_April23__1[[#This Row],[Spices]])</f>
        <v>1</v>
      </c>
      <c r="AS31">
        <f>TYPE(All_India_Index_Upto_April23__1[[#This Row],[Non-alcoholic beverages]])</f>
        <v>1</v>
      </c>
      <c r="AT31">
        <f>TYPE(All_India_Index_Upto_April23__1[[#This Row],[Prepared meals, snacks, sweets etc.]])</f>
        <v>1</v>
      </c>
      <c r="AU31">
        <f>TYPE(All_India_Index_Upto_April23__1[[#This Row],[Food and beverages]])</f>
        <v>1</v>
      </c>
      <c r="AV31">
        <f>TYPE(All_India_Index_Upto_April23__1[[#This Row],[Pan, tobacco and intoxicants]])</f>
        <v>1</v>
      </c>
      <c r="AW31">
        <f>TYPE(All_India_Index_Upto_April23__1[[#This Row],[Clothing]])</f>
        <v>1</v>
      </c>
      <c r="AX31">
        <f>TYPE(All_India_Index_Upto_April23__1[[#This Row],[Footwear]])</f>
        <v>1</v>
      </c>
      <c r="AY31">
        <f>TYPE(All_India_Index_Upto_April23__1[[#This Row],[Clothing and footwear]])</f>
        <v>1</v>
      </c>
      <c r="AZ31">
        <f>TYPE(All_India_Index_Upto_April23__1[[#This Row],[Housing]])</f>
        <v>1</v>
      </c>
      <c r="BA31">
        <f>TYPE(All_India_Index_Upto_April23__1[[#This Row],[Fuel and light]])</f>
        <v>1</v>
      </c>
      <c r="BB31">
        <f>TYPE(All_India_Index_Upto_April23__1[[#This Row],[Household goods and services]])</f>
        <v>1</v>
      </c>
      <c r="BC31">
        <f>TYPE(All_India_Index_Upto_April23__1[[#This Row],[Health]])</f>
        <v>1</v>
      </c>
      <c r="BD31">
        <f>TYPE(All_India_Index_Upto_April23__1[[#This Row],[Transport and communication]])</f>
        <v>1</v>
      </c>
      <c r="BE31">
        <f>TYPE(All_India_Index_Upto_April23__1[[#This Row],[Recreation and amusement]])</f>
        <v>1</v>
      </c>
      <c r="BF31">
        <f>TYPE(All_India_Index_Upto_April23__1[[#This Row],[Education]])</f>
        <v>1</v>
      </c>
      <c r="BG31">
        <f>TYPE(All_India_Index_Upto_April23__1[[#This Row],[Personal care and effects]])</f>
        <v>1</v>
      </c>
      <c r="BH31">
        <f>TYPE(All_India_Index_Upto_April23__1[[#This Row],[Miscellaneous]])</f>
        <v>1</v>
      </c>
      <c r="BI31">
        <f>TYPE(All_India_Index_Upto_April23__1[[#This Row],[General index]])</f>
        <v>1</v>
      </c>
    </row>
    <row r="32" spans="1:61" x14ac:dyDescent="0.3">
      <c r="A32" t="s">
        <v>30</v>
      </c>
      <c r="B32">
        <v>2013</v>
      </c>
      <c r="C32" t="s">
        <v>43</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v>0</v>
      </c>
      <c r="V32">
        <v>112.6</v>
      </c>
      <c r="W32">
        <v>111.3</v>
      </c>
      <c r="X32">
        <v>109.7</v>
      </c>
      <c r="Y32">
        <v>109.6</v>
      </c>
      <c r="Z32">
        <v>108.7</v>
      </c>
      <c r="AA32">
        <v>111</v>
      </c>
      <c r="AB32">
        <v>108.2</v>
      </c>
      <c r="AC32">
        <v>109.8</v>
      </c>
      <c r="AD32">
        <v>117.4</v>
      </c>
      <c r="AF32">
        <f>TYPE(All_India_Index_Upto_April23__1[[#This Row],[Sector]])</f>
        <v>2</v>
      </c>
      <c r="AG32">
        <f>TYPE(All_India_Index_Upto_April23__1[[#This Row],[Year]])</f>
        <v>1</v>
      </c>
      <c r="AH32">
        <f>TYPE(All_India_Index_Upto_April23__1[[#This Row],[Month]])</f>
        <v>2</v>
      </c>
      <c r="AI32">
        <f>TYPE(All_India_Index_Upto_April23__1[[#This Row],[Cereals and products]])</f>
        <v>1</v>
      </c>
      <c r="AJ32">
        <f>TYPE(All_India_Index_Upto_April23__1[[#This Row],[Meat and fish]])</f>
        <v>1</v>
      </c>
      <c r="AK32">
        <f>TYPE(All_India_Index_Upto_April23__1[[#This Row],[Egg]])</f>
        <v>1</v>
      </c>
      <c r="AL32">
        <f>TYPE(All_India_Index_Upto_April23__1[[#This Row],[Milk and products]])</f>
        <v>1</v>
      </c>
      <c r="AM32">
        <f>TYPE(All_India_Index_Upto_April23__1[[#This Row],[Oils and fats]])</f>
        <v>1</v>
      </c>
      <c r="AN32">
        <f>TYPE(All_India_Index_Upto_April23__1[[#This Row],[Fruits]])</f>
        <v>1</v>
      </c>
      <c r="AO32">
        <f>TYPE(All_India_Index_Upto_April23__1[[#This Row],[Vegetables]])</f>
        <v>1</v>
      </c>
      <c r="AP32">
        <f>TYPE(All_India_Index_Upto_April23__1[[#This Row],[Pulses and products]])</f>
        <v>1</v>
      </c>
      <c r="AQ32">
        <f>TYPE(All_India_Index_Upto_April23__1[[#This Row],[Sugar and Confectionery]])</f>
        <v>1</v>
      </c>
      <c r="AR32">
        <f>TYPE(All_India_Index_Upto_April23__1[[#This Row],[Spices]])</f>
        <v>1</v>
      </c>
      <c r="AS32">
        <f>TYPE(All_India_Index_Upto_April23__1[[#This Row],[Non-alcoholic beverages]])</f>
        <v>1</v>
      </c>
      <c r="AT32">
        <f>TYPE(All_India_Index_Upto_April23__1[[#This Row],[Prepared meals, snacks, sweets etc.]])</f>
        <v>1</v>
      </c>
      <c r="AU32">
        <f>TYPE(All_India_Index_Upto_April23__1[[#This Row],[Food and beverages]])</f>
        <v>1</v>
      </c>
      <c r="AV32">
        <f>TYPE(All_India_Index_Upto_April23__1[[#This Row],[Pan, tobacco and intoxicants]])</f>
        <v>1</v>
      </c>
      <c r="AW32">
        <f>TYPE(All_India_Index_Upto_April23__1[[#This Row],[Clothing]])</f>
        <v>1</v>
      </c>
      <c r="AX32">
        <f>TYPE(All_India_Index_Upto_April23__1[[#This Row],[Footwear]])</f>
        <v>1</v>
      </c>
      <c r="AY32">
        <f>TYPE(All_India_Index_Upto_April23__1[[#This Row],[Clothing and footwear]])</f>
        <v>1</v>
      </c>
      <c r="AZ32">
        <f>TYPE(All_India_Index_Upto_April23__1[[#This Row],[Housing]])</f>
        <v>1</v>
      </c>
      <c r="BA32">
        <f>TYPE(All_India_Index_Upto_April23__1[[#This Row],[Fuel and light]])</f>
        <v>1</v>
      </c>
      <c r="BB32">
        <f>TYPE(All_India_Index_Upto_April23__1[[#This Row],[Household goods and services]])</f>
        <v>1</v>
      </c>
      <c r="BC32">
        <f>TYPE(All_India_Index_Upto_April23__1[[#This Row],[Health]])</f>
        <v>1</v>
      </c>
      <c r="BD32">
        <f>TYPE(All_India_Index_Upto_April23__1[[#This Row],[Transport and communication]])</f>
        <v>1</v>
      </c>
      <c r="BE32">
        <f>TYPE(All_India_Index_Upto_April23__1[[#This Row],[Recreation and amusement]])</f>
        <v>1</v>
      </c>
      <c r="BF32">
        <f>TYPE(All_India_Index_Upto_April23__1[[#This Row],[Education]])</f>
        <v>1</v>
      </c>
      <c r="BG32">
        <f>TYPE(All_India_Index_Upto_April23__1[[#This Row],[Personal care and effects]])</f>
        <v>1</v>
      </c>
      <c r="BH32">
        <f>TYPE(All_India_Index_Upto_April23__1[[#This Row],[Miscellaneous]])</f>
        <v>1</v>
      </c>
      <c r="BI32">
        <f>TYPE(All_India_Index_Upto_April23__1[[#This Row],[General index]])</f>
        <v>1</v>
      </c>
    </row>
    <row r="33" spans="1:61" x14ac:dyDescent="0.3">
      <c r="A33" t="s">
        <v>32</v>
      </c>
      <c r="B33">
        <v>2013</v>
      </c>
      <c r="C33" t="s">
        <v>44</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c r="AF33">
        <f>TYPE(All_India_Index_Upto_April23__1[[#This Row],[Sector]])</f>
        <v>2</v>
      </c>
      <c r="AG33">
        <f>TYPE(All_India_Index_Upto_April23__1[[#This Row],[Year]])</f>
        <v>1</v>
      </c>
      <c r="AH33">
        <f>TYPE(All_India_Index_Upto_April23__1[[#This Row],[Month]])</f>
        <v>2</v>
      </c>
      <c r="AI33">
        <f>TYPE(All_India_Index_Upto_April23__1[[#This Row],[Cereals and products]])</f>
        <v>1</v>
      </c>
      <c r="AJ33">
        <f>TYPE(All_India_Index_Upto_April23__1[[#This Row],[Meat and fish]])</f>
        <v>1</v>
      </c>
      <c r="AK33">
        <f>TYPE(All_India_Index_Upto_April23__1[[#This Row],[Egg]])</f>
        <v>1</v>
      </c>
      <c r="AL33">
        <f>TYPE(All_India_Index_Upto_April23__1[[#This Row],[Milk and products]])</f>
        <v>1</v>
      </c>
      <c r="AM33">
        <f>TYPE(All_India_Index_Upto_April23__1[[#This Row],[Oils and fats]])</f>
        <v>1</v>
      </c>
      <c r="AN33">
        <f>TYPE(All_India_Index_Upto_April23__1[[#This Row],[Fruits]])</f>
        <v>1</v>
      </c>
      <c r="AO33">
        <f>TYPE(All_India_Index_Upto_April23__1[[#This Row],[Vegetables]])</f>
        <v>1</v>
      </c>
      <c r="AP33">
        <f>TYPE(All_India_Index_Upto_April23__1[[#This Row],[Pulses and products]])</f>
        <v>1</v>
      </c>
      <c r="AQ33">
        <f>TYPE(All_India_Index_Upto_April23__1[[#This Row],[Sugar and Confectionery]])</f>
        <v>1</v>
      </c>
      <c r="AR33">
        <f>TYPE(All_India_Index_Upto_April23__1[[#This Row],[Spices]])</f>
        <v>1</v>
      </c>
      <c r="AS33">
        <f>TYPE(All_India_Index_Upto_April23__1[[#This Row],[Non-alcoholic beverages]])</f>
        <v>1</v>
      </c>
      <c r="AT33">
        <f>TYPE(All_India_Index_Upto_April23__1[[#This Row],[Prepared meals, snacks, sweets etc.]])</f>
        <v>1</v>
      </c>
      <c r="AU33">
        <f>TYPE(All_India_Index_Upto_April23__1[[#This Row],[Food and beverages]])</f>
        <v>1</v>
      </c>
      <c r="AV33">
        <f>TYPE(All_India_Index_Upto_April23__1[[#This Row],[Pan, tobacco and intoxicants]])</f>
        <v>1</v>
      </c>
      <c r="AW33">
        <f>TYPE(All_India_Index_Upto_April23__1[[#This Row],[Clothing]])</f>
        <v>1</v>
      </c>
      <c r="AX33">
        <f>TYPE(All_India_Index_Upto_April23__1[[#This Row],[Footwear]])</f>
        <v>1</v>
      </c>
      <c r="AY33">
        <f>TYPE(All_India_Index_Upto_April23__1[[#This Row],[Clothing and footwear]])</f>
        <v>1</v>
      </c>
      <c r="AZ33">
        <f>TYPE(All_India_Index_Upto_April23__1[[#This Row],[Housing]])</f>
        <v>1</v>
      </c>
      <c r="BA33">
        <f>TYPE(All_India_Index_Upto_April23__1[[#This Row],[Fuel and light]])</f>
        <v>1</v>
      </c>
      <c r="BB33">
        <f>TYPE(All_India_Index_Upto_April23__1[[#This Row],[Household goods and services]])</f>
        <v>1</v>
      </c>
      <c r="BC33">
        <f>TYPE(All_India_Index_Upto_April23__1[[#This Row],[Health]])</f>
        <v>1</v>
      </c>
      <c r="BD33">
        <f>TYPE(All_India_Index_Upto_April23__1[[#This Row],[Transport and communication]])</f>
        <v>1</v>
      </c>
      <c r="BE33">
        <f>TYPE(All_India_Index_Upto_April23__1[[#This Row],[Recreation and amusement]])</f>
        <v>1</v>
      </c>
      <c r="BF33">
        <f>TYPE(All_India_Index_Upto_April23__1[[#This Row],[Education]])</f>
        <v>1</v>
      </c>
      <c r="BG33">
        <f>TYPE(All_India_Index_Upto_April23__1[[#This Row],[Personal care and effects]])</f>
        <v>1</v>
      </c>
      <c r="BH33">
        <f>TYPE(All_India_Index_Upto_April23__1[[#This Row],[Miscellaneous]])</f>
        <v>1</v>
      </c>
      <c r="BI33">
        <f>TYPE(All_India_Index_Upto_April23__1[[#This Row],[General index]])</f>
        <v>1</v>
      </c>
    </row>
    <row r="34" spans="1:61" x14ac:dyDescent="0.3">
      <c r="A34" t="s">
        <v>33</v>
      </c>
      <c r="B34">
        <v>2013</v>
      </c>
      <c r="C34" t="s">
        <v>44</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c r="AF34">
        <f>TYPE(All_India_Index_Upto_April23__1[[#This Row],[Sector]])</f>
        <v>2</v>
      </c>
      <c r="AG34">
        <f>TYPE(All_India_Index_Upto_April23__1[[#This Row],[Year]])</f>
        <v>1</v>
      </c>
      <c r="AH34">
        <f>TYPE(All_India_Index_Upto_April23__1[[#This Row],[Month]])</f>
        <v>2</v>
      </c>
      <c r="AI34">
        <f>TYPE(All_India_Index_Upto_April23__1[[#This Row],[Cereals and products]])</f>
        <v>1</v>
      </c>
      <c r="AJ34">
        <f>TYPE(All_India_Index_Upto_April23__1[[#This Row],[Meat and fish]])</f>
        <v>1</v>
      </c>
      <c r="AK34">
        <f>TYPE(All_India_Index_Upto_April23__1[[#This Row],[Egg]])</f>
        <v>1</v>
      </c>
      <c r="AL34">
        <f>TYPE(All_India_Index_Upto_April23__1[[#This Row],[Milk and products]])</f>
        <v>1</v>
      </c>
      <c r="AM34">
        <f>TYPE(All_India_Index_Upto_April23__1[[#This Row],[Oils and fats]])</f>
        <v>1</v>
      </c>
      <c r="AN34">
        <f>TYPE(All_India_Index_Upto_April23__1[[#This Row],[Fruits]])</f>
        <v>1</v>
      </c>
      <c r="AO34">
        <f>TYPE(All_India_Index_Upto_April23__1[[#This Row],[Vegetables]])</f>
        <v>1</v>
      </c>
      <c r="AP34">
        <f>TYPE(All_India_Index_Upto_April23__1[[#This Row],[Pulses and products]])</f>
        <v>1</v>
      </c>
      <c r="AQ34">
        <f>TYPE(All_India_Index_Upto_April23__1[[#This Row],[Sugar and Confectionery]])</f>
        <v>1</v>
      </c>
      <c r="AR34">
        <f>TYPE(All_India_Index_Upto_April23__1[[#This Row],[Spices]])</f>
        <v>1</v>
      </c>
      <c r="AS34">
        <f>TYPE(All_India_Index_Upto_April23__1[[#This Row],[Non-alcoholic beverages]])</f>
        <v>1</v>
      </c>
      <c r="AT34">
        <f>TYPE(All_India_Index_Upto_April23__1[[#This Row],[Prepared meals, snacks, sweets etc.]])</f>
        <v>1</v>
      </c>
      <c r="AU34">
        <f>TYPE(All_India_Index_Upto_April23__1[[#This Row],[Food and beverages]])</f>
        <v>1</v>
      </c>
      <c r="AV34">
        <f>TYPE(All_India_Index_Upto_April23__1[[#This Row],[Pan, tobacco and intoxicants]])</f>
        <v>1</v>
      </c>
      <c r="AW34">
        <f>TYPE(All_India_Index_Upto_April23__1[[#This Row],[Clothing]])</f>
        <v>1</v>
      </c>
      <c r="AX34">
        <f>TYPE(All_India_Index_Upto_April23__1[[#This Row],[Footwear]])</f>
        <v>1</v>
      </c>
      <c r="AY34">
        <f>TYPE(All_India_Index_Upto_April23__1[[#This Row],[Clothing and footwear]])</f>
        <v>1</v>
      </c>
      <c r="AZ34">
        <f>TYPE(All_India_Index_Upto_April23__1[[#This Row],[Housing]])</f>
        <v>1</v>
      </c>
      <c r="BA34">
        <f>TYPE(All_India_Index_Upto_April23__1[[#This Row],[Fuel and light]])</f>
        <v>1</v>
      </c>
      <c r="BB34">
        <f>TYPE(All_India_Index_Upto_April23__1[[#This Row],[Household goods and services]])</f>
        <v>1</v>
      </c>
      <c r="BC34">
        <f>TYPE(All_India_Index_Upto_April23__1[[#This Row],[Health]])</f>
        <v>1</v>
      </c>
      <c r="BD34">
        <f>TYPE(All_India_Index_Upto_April23__1[[#This Row],[Transport and communication]])</f>
        <v>1</v>
      </c>
      <c r="BE34">
        <f>TYPE(All_India_Index_Upto_April23__1[[#This Row],[Recreation and amusement]])</f>
        <v>1</v>
      </c>
      <c r="BF34">
        <f>TYPE(All_India_Index_Upto_April23__1[[#This Row],[Education]])</f>
        <v>1</v>
      </c>
      <c r="BG34">
        <f>TYPE(All_India_Index_Upto_April23__1[[#This Row],[Personal care and effects]])</f>
        <v>1</v>
      </c>
      <c r="BH34">
        <f>TYPE(All_India_Index_Upto_April23__1[[#This Row],[Miscellaneous]])</f>
        <v>1</v>
      </c>
      <c r="BI34">
        <f>TYPE(All_India_Index_Upto_April23__1[[#This Row],[General index]])</f>
        <v>1</v>
      </c>
    </row>
    <row r="35" spans="1:61" x14ac:dyDescent="0.3">
      <c r="A35" t="s">
        <v>30</v>
      </c>
      <c r="B35">
        <v>2013</v>
      </c>
      <c r="C35" t="s">
        <v>45</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v>0</v>
      </c>
      <c r="V35">
        <v>112.8</v>
      </c>
      <c r="W35">
        <v>112.1</v>
      </c>
      <c r="X35">
        <v>110.1</v>
      </c>
      <c r="Y35">
        <v>109.9</v>
      </c>
      <c r="Z35">
        <v>109.2</v>
      </c>
      <c r="AA35">
        <v>111.6</v>
      </c>
      <c r="AB35">
        <v>108.1</v>
      </c>
      <c r="AC35">
        <v>110.1</v>
      </c>
      <c r="AD35">
        <v>115.5</v>
      </c>
      <c r="AF35">
        <f>TYPE(All_India_Index_Upto_April23__1[[#This Row],[Sector]])</f>
        <v>2</v>
      </c>
      <c r="AG35">
        <f>TYPE(All_India_Index_Upto_April23__1[[#This Row],[Year]])</f>
        <v>1</v>
      </c>
      <c r="AH35">
        <f>TYPE(All_India_Index_Upto_April23__1[[#This Row],[Month]])</f>
        <v>2</v>
      </c>
      <c r="AI35">
        <f>TYPE(All_India_Index_Upto_April23__1[[#This Row],[Cereals and products]])</f>
        <v>1</v>
      </c>
      <c r="AJ35">
        <f>TYPE(All_India_Index_Upto_April23__1[[#This Row],[Meat and fish]])</f>
        <v>1</v>
      </c>
      <c r="AK35">
        <f>TYPE(All_India_Index_Upto_April23__1[[#This Row],[Egg]])</f>
        <v>1</v>
      </c>
      <c r="AL35">
        <f>TYPE(All_India_Index_Upto_April23__1[[#This Row],[Milk and products]])</f>
        <v>1</v>
      </c>
      <c r="AM35">
        <f>TYPE(All_India_Index_Upto_April23__1[[#This Row],[Oils and fats]])</f>
        <v>1</v>
      </c>
      <c r="AN35">
        <f>TYPE(All_India_Index_Upto_April23__1[[#This Row],[Fruits]])</f>
        <v>1</v>
      </c>
      <c r="AO35">
        <f>TYPE(All_India_Index_Upto_April23__1[[#This Row],[Vegetables]])</f>
        <v>1</v>
      </c>
      <c r="AP35">
        <f>TYPE(All_India_Index_Upto_April23__1[[#This Row],[Pulses and products]])</f>
        <v>1</v>
      </c>
      <c r="AQ35">
        <f>TYPE(All_India_Index_Upto_April23__1[[#This Row],[Sugar and Confectionery]])</f>
        <v>1</v>
      </c>
      <c r="AR35">
        <f>TYPE(All_India_Index_Upto_April23__1[[#This Row],[Spices]])</f>
        <v>1</v>
      </c>
      <c r="AS35">
        <f>TYPE(All_India_Index_Upto_April23__1[[#This Row],[Non-alcoholic beverages]])</f>
        <v>1</v>
      </c>
      <c r="AT35">
        <f>TYPE(All_India_Index_Upto_April23__1[[#This Row],[Prepared meals, snacks, sweets etc.]])</f>
        <v>1</v>
      </c>
      <c r="AU35">
        <f>TYPE(All_India_Index_Upto_April23__1[[#This Row],[Food and beverages]])</f>
        <v>1</v>
      </c>
      <c r="AV35">
        <f>TYPE(All_India_Index_Upto_April23__1[[#This Row],[Pan, tobacco and intoxicants]])</f>
        <v>1</v>
      </c>
      <c r="AW35">
        <f>TYPE(All_India_Index_Upto_April23__1[[#This Row],[Clothing]])</f>
        <v>1</v>
      </c>
      <c r="AX35">
        <f>TYPE(All_India_Index_Upto_April23__1[[#This Row],[Footwear]])</f>
        <v>1</v>
      </c>
      <c r="AY35">
        <f>TYPE(All_India_Index_Upto_April23__1[[#This Row],[Clothing and footwear]])</f>
        <v>1</v>
      </c>
      <c r="AZ35">
        <f>TYPE(All_India_Index_Upto_April23__1[[#This Row],[Housing]])</f>
        <v>1</v>
      </c>
      <c r="BA35">
        <f>TYPE(All_India_Index_Upto_April23__1[[#This Row],[Fuel and light]])</f>
        <v>1</v>
      </c>
      <c r="BB35">
        <f>TYPE(All_India_Index_Upto_April23__1[[#This Row],[Household goods and services]])</f>
        <v>1</v>
      </c>
      <c r="BC35">
        <f>TYPE(All_India_Index_Upto_April23__1[[#This Row],[Health]])</f>
        <v>1</v>
      </c>
      <c r="BD35">
        <f>TYPE(All_India_Index_Upto_April23__1[[#This Row],[Transport and communication]])</f>
        <v>1</v>
      </c>
      <c r="BE35">
        <f>TYPE(All_India_Index_Upto_April23__1[[#This Row],[Recreation and amusement]])</f>
        <v>1</v>
      </c>
      <c r="BF35">
        <f>TYPE(All_India_Index_Upto_April23__1[[#This Row],[Education]])</f>
        <v>1</v>
      </c>
      <c r="BG35">
        <f>TYPE(All_India_Index_Upto_April23__1[[#This Row],[Personal care and effects]])</f>
        <v>1</v>
      </c>
      <c r="BH35">
        <f>TYPE(All_India_Index_Upto_April23__1[[#This Row],[Miscellaneous]])</f>
        <v>1</v>
      </c>
      <c r="BI35">
        <f>TYPE(All_India_Index_Upto_April23__1[[#This Row],[General index]])</f>
        <v>1</v>
      </c>
    </row>
    <row r="36" spans="1:61" x14ac:dyDescent="0.3">
      <c r="A36" t="s">
        <v>32</v>
      </c>
      <c r="B36">
        <v>2013</v>
      </c>
      <c r="C36" t="s">
        <v>45</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c r="AF36">
        <f>TYPE(All_India_Index_Upto_April23__1[[#This Row],[Sector]])</f>
        <v>2</v>
      </c>
      <c r="AG36">
        <f>TYPE(All_India_Index_Upto_April23__1[[#This Row],[Year]])</f>
        <v>1</v>
      </c>
      <c r="AH36">
        <f>TYPE(All_India_Index_Upto_April23__1[[#This Row],[Month]])</f>
        <v>2</v>
      </c>
      <c r="AI36">
        <f>TYPE(All_India_Index_Upto_April23__1[[#This Row],[Cereals and products]])</f>
        <v>1</v>
      </c>
      <c r="AJ36">
        <f>TYPE(All_India_Index_Upto_April23__1[[#This Row],[Meat and fish]])</f>
        <v>1</v>
      </c>
      <c r="AK36">
        <f>TYPE(All_India_Index_Upto_April23__1[[#This Row],[Egg]])</f>
        <v>1</v>
      </c>
      <c r="AL36">
        <f>TYPE(All_India_Index_Upto_April23__1[[#This Row],[Milk and products]])</f>
        <v>1</v>
      </c>
      <c r="AM36">
        <f>TYPE(All_India_Index_Upto_April23__1[[#This Row],[Oils and fats]])</f>
        <v>1</v>
      </c>
      <c r="AN36">
        <f>TYPE(All_India_Index_Upto_April23__1[[#This Row],[Fruits]])</f>
        <v>1</v>
      </c>
      <c r="AO36">
        <f>TYPE(All_India_Index_Upto_April23__1[[#This Row],[Vegetables]])</f>
        <v>1</v>
      </c>
      <c r="AP36">
        <f>TYPE(All_India_Index_Upto_April23__1[[#This Row],[Pulses and products]])</f>
        <v>1</v>
      </c>
      <c r="AQ36">
        <f>TYPE(All_India_Index_Upto_April23__1[[#This Row],[Sugar and Confectionery]])</f>
        <v>1</v>
      </c>
      <c r="AR36">
        <f>TYPE(All_India_Index_Upto_April23__1[[#This Row],[Spices]])</f>
        <v>1</v>
      </c>
      <c r="AS36">
        <f>TYPE(All_India_Index_Upto_April23__1[[#This Row],[Non-alcoholic beverages]])</f>
        <v>1</v>
      </c>
      <c r="AT36">
        <f>TYPE(All_India_Index_Upto_April23__1[[#This Row],[Prepared meals, snacks, sweets etc.]])</f>
        <v>1</v>
      </c>
      <c r="AU36">
        <f>TYPE(All_India_Index_Upto_April23__1[[#This Row],[Food and beverages]])</f>
        <v>1</v>
      </c>
      <c r="AV36">
        <f>TYPE(All_India_Index_Upto_April23__1[[#This Row],[Pan, tobacco and intoxicants]])</f>
        <v>1</v>
      </c>
      <c r="AW36">
        <f>TYPE(All_India_Index_Upto_April23__1[[#This Row],[Clothing]])</f>
        <v>1</v>
      </c>
      <c r="AX36">
        <f>TYPE(All_India_Index_Upto_April23__1[[#This Row],[Footwear]])</f>
        <v>1</v>
      </c>
      <c r="AY36">
        <f>TYPE(All_India_Index_Upto_April23__1[[#This Row],[Clothing and footwear]])</f>
        <v>1</v>
      </c>
      <c r="AZ36">
        <f>TYPE(All_India_Index_Upto_April23__1[[#This Row],[Housing]])</f>
        <v>1</v>
      </c>
      <c r="BA36">
        <f>TYPE(All_India_Index_Upto_April23__1[[#This Row],[Fuel and light]])</f>
        <v>1</v>
      </c>
      <c r="BB36">
        <f>TYPE(All_India_Index_Upto_April23__1[[#This Row],[Household goods and services]])</f>
        <v>1</v>
      </c>
      <c r="BC36">
        <f>TYPE(All_India_Index_Upto_April23__1[[#This Row],[Health]])</f>
        <v>1</v>
      </c>
      <c r="BD36">
        <f>TYPE(All_India_Index_Upto_April23__1[[#This Row],[Transport and communication]])</f>
        <v>1</v>
      </c>
      <c r="BE36">
        <f>TYPE(All_India_Index_Upto_April23__1[[#This Row],[Recreation and amusement]])</f>
        <v>1</v>
      </c>
      <c r="BF36">
        <f>TYPE(All_India_Index_Upto_April23__1[[#This Row],[Education]])</f>
        <v>1</v>
      </c>
      <c r="BG36">
        <f>TYPE(All_India_Index_Upto_April23__1[[#This Row],[Personal care and effects]])</f>
        <v>1</v>
      </c>
      <c r="BH36">
        <f>TYPE(All_India_Index_Upto_April23__1[[#This Row],[Miscellaneous]])</f>
        <v>1</v>
      </c>
      <c r="BI36">
        <f>TYPE(All_India_Index_Upto_April23__1[[#This Row],[General index]])</f>
        <v>1</v>
      </c>
    </row>
    <row r="37" spans="1:61" x14ac:dyDescent="0.3">
      <c r="A37" t="s">
        <v>33</v>
      </c>
      <c r="B37">
        <v>2013</v>
      </c>
      <c r="C37" t="s">
        <v>45</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c r="AF37">
        <f>TYPE(All_India_Index_Upto_April23__1[[#This Row],[Sector]])</f>
        <v>2</v>
      </c>
      <c r="AG37">
        <f>TYPE(All_India_Index_Upto_April23__1[[#This Row],[Year]])</f>
        <v>1</v>
      </c>
      <c r="AH37">
        <f>TYPE(All_India_Index_Upto_April23__1[[#This Row],[Month]])</f>
        <v>2</v>
      </c>
      <c r="AI37">
        <f>TYPE(All_India_Index_Upto_April23__1[[#This Row],[Cereals and products]])</f>
        <v>1</v>
      </c>
      <c r="AJ37">
        <f>TYPE(All_India_Index_Upto_April23__1[[#This Row],[Meat and fish]])</f>
        <v>1</v>
      </c>
      <c r="AK37">
        <f>TYPE(All_India_Index_Upto_April23__1[[#This Row],[Egg]])</f>
        <v>1</v>
      </c>
      <c r="AL37">
        <f>TYPE(All_India_Index_Upto_April23__1[[#This Row],[Milk and products]])</f>
        <v>1</v>
      </c>
      <c r="AM37">
        <f>TYPE(All_India_Index_Upto_April23__1[[#This Row],[Oils and fats]])</f>
        <v>1</v>
      </c>
      <c r="AN37">
        <f>TYPE(All_India_Index_Upto_April23__1[[#This Row],[Fruits]])</f>
        <v>1</v>
      </c>
      <c r="AO37">
        <f>TYPE(All_India_Index_Upto_April23__1[[#This Row],[Vegetables]])</f>
        <v>1</v>
      </c>
      <c r="AP37">
        <f>TYPE(All_India_Index_Upto_April23__1[[#This Row],[Pulses and products]])</f>
        <v>1</v>
      </c>
      <c r="AQ37">
        <f>TYPE(All_India_Index_Upto_April23__1[[#This Row],[Sugar and Confectionery]])</f>
        <v>1</v>
      </c>
      <c r="AR37">
        <f>TYPE(All_India_Index_Upto_April23__1[[#This Row],[Spices]])</f>
        <v>1</v>
      </c>
      <c r="AS37">
        <f>TYPE(All_India_Index_Upto_April23__1[[#This Row],[Non-alcoholic beverages]])</f>
        <v>1</v>
      </c>
      <c r="AT37">
        <f>TYPE(All_India_Index_Upto_April23__1[[#This Row],[Prepared meals, snacks, sweets etc.]])</f>
        <v>1</v>
      </c>
      <c r="AU37">
        <f>TYPE(All_India_Index_Upto_April23__1[[#This Row],[Food and beverages]])</f>
        <v>1</v>
      </c>
      <c r="AV37">
        <f>TYPE(All_India_Index_Upto_April23__1[[#This Row],[Pan, tobacco and intoxicants]])</f>
        <v>1</v>
      </c>
      <c r="AW37">
        <f>TYPE(All_India_Index_Upto_April23__1[[#This Row],[Clothing]])</f>
        <v>1</v>
      </c>
      <c r="AX37">
        <f>TYPE(All_India_Index_Upto_April23__1[[#This Row],[Footwear]])</f>
        <v>1</v>
      </c>
      <c r="AY37">
        <f>TYPE(All_India_Index_Upto_April23__1[[#This Row],[Clothing and footwear]])</f>
        <v>1</v>
      </c>
      <c r="AZ37">
        <f>TYPE(All_India_Index_Upto_April23__1[[#This Row],[Housing]])</f>
        <v>1</v>
      </c>
      <c r="BA37">
        <f>TYPE(All_India_Index_Upto_April23__1[[#This Row],[Fuel and light]])</f>
        <v>1</v>
      </c>
      <c r="BB37">
        <f>TYPE(All_India_Index_Upto_April23__1[[#This Row],[Household goods and services]])</f>
        <v>1</v>
      </c>
      <c r="BC37">
        <f>TYPE(All_India_Index_Upto_April23__1[[#This Row],[Health]])</f>
        <v>1</v>
      </c>
      <c r="BD37">
        <f>TYPE(All_India_Index_Upto_April23__1[[#This Row],[Transport and communication]])</f>
        <v>1</v>
      </c>
      <c r="BE37">
        <f>TYPE(All_India_Index_Upto_April23__1[[#This Row],[Recreation and amusement]])</f>
        <v>1</v>
      </c>
      <c r="BF37">
        <f>TYPE(All_India_Index_Upto_April23__1[[#This Row],[Education]])</f>
        <v>1</v>
      </c>
      <c r="BG37">
        <f>TYPE(All_India_Index_Upto_April23__1[[#This Row],[Personal care and effects]])</f>
        <v>1</v>
      </c>
      <c r="BH37">
        <f>TYPE(All_India_Index_Upto_April23__1[[#This Row],[Miscellaneous]])</f>
        <v>1</v>
      </c>
      <c r="BI37">
        <f>TYPE(All_India_Index_Upto_April23__1[[#This Row],[General index]])</f>
        <v>1</v>
      </c>
    </row>
    <row r="38" spans="1:61" x14ac:dyDescent="0.3">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v>0</v>
      </c>
      <c r="V38">
        <v>113</v>
      </c>
      <c r="W38">
        <v>112.6</v>
      </c>
      <c r="X38">
        <v>110.6</v>
      </c>
      <c r="Y38">
        <v>110.5</v>
      </c>
      <c r="Z38">
        <v>109.6</v>
      </c>
      <c r="AA38">
        <v>111.8</v>
      </c>
      <c r="AB38">
        <v>108.3</v>
      </c>
      <c r="AC38">
        <v>110.6</v>
      </c>
      <c r="AD38">
        <v>114.2</v>
      </c>
      <c r="AF38">
        <f>TYPE(All_India_Index_Upto_April23__1[[#This Row],[Sector]])</f>
        <v>2</v>
      </c>
      <c r="AG38">
        <f>TYPE(All_India_Index_Upto_April23__1[[#This Row],[Year]])</f>
        <v>1</v>
      </c>
      <c r="AH38">
        <f>TYPE(All_India_Index_Upto_April23__1[[#This Row],[Month]])</f>
        <v>2</v>
      </c>
      <c r="AI38">
        <f>TYPE(All_India_Index_Upto_April23__1[[#This Row],[Cereals and products]])</f>
        <v>1</v>
      </c>
      <c r="AJ38">
        <f>TYPE(All_India_Index_Upto_April23__1[[#This Row],[Meat and fish]])</f>
        <v>1</v>
      </c>
      <c r="AK38">
        <f>TYPE(All_India_Index_Upto_April23__1[[#This Row],[Egg]])</f>
        <v>1</v>
      </c>
      <c r="AL38">
        <f>TYPE(All_India_Index_Upto_April23__1[[#This Row],[Milk and products]])</f>
        <v>1</v>
      </c>
      <c r="AM38">
        <f>TYPE(All_India_Index_Upto_April23__1[[#This Row],[Oils and fats]])</f>
        <v>1</v>
      </c>
      <c r="AN38">
        <f>TYPE(All_India_Index_Upto_April23__1[[#This Row],[Fruits]])</f>
        <v>1</v>
      </c>
      <c r="AO38">
        <f>TYPE(All_India_Index_Upto_April23__1[[#This Row],[Vegetables]])</f>
        <v>1</v>
      </c>
      <c r="AP38">
        <f>TYPE(All_India_Index_Upto_April23__1[[#This Row],[Pulses and products]])</f>
        <v>1</v>
      </c>
      <c r="AQ38">
        <f>TYPE(All_India_Index_Upto_April23__1[[#This Row],[Sugar and Confectionery]])</f>
        <v>1</v>
      </c>
      <c r="AR38">
        <f>TYPE(All_India_Index_Upto_April23__1[[#This Row],[Spices]])</f>
        <v>1</v>
      </c>
      <c r="AS38">
        <f>TYPE(All_India_Index_Upto_April23__1[[#This Row],[Non-alcoholic beverages]])</f>
        <v>1</v>
      </c>
      <c r="AT38">
        <f>TYPE(All_India_Index_Upto_April23__1[[#This Row],[Prepared meals, snacks, sweets etc.]])</f>
        <v>1</v>
      </c>
      <c r="AU38">
        <f>TYPE(All_India_Index_Upto_April23__1[[#This Row],[Food and beverages]])</f>
        <v>1</v>
      </c>
      <c r="AV38">
        <f>TYPE(All_India_Index_Upto_April23__1[[#This Row],[Pan, tobacco and intoxicants]])</f>
        <v>1</v>
      </c>
      <c r="AW38">
        <f>TYPE(All_India_Index_Upto_April23__1[[#This Row],[Clothing]])</f>
        <v>1</v>
      </c>
      <c r="AX38">
        <f>TYPE(All_India_Index_Upto_April23__1[[#This Row],[Footwear]])</f>
        <v>1</v>
      </c>
      <c r="AY38">
        <f>TYPE(All_India_Index_Upto_April23__1[[#This Row],[Clothing and footwear]])</f>
        <v>1</v>
      </c>
      <c r="AZ38">
        <f>TYPE(All_India_Index_Upto_April23__1[[#This Row],[Housing]])</f>
        <v>1</v>
      </c>
      <c r="BA38">
        <f>TYPE(All_India_Index_Upto_April23__1[[#This Row],[Fuel and light]])</f>
        <v>1</v>
      </c>
      <c r="BB38">
        <f>TYPE(All_India_Index_Upto_April23__1[[#This Row],[Household goods and services]])</f>
        <v>1</v>
      </c>
      <c r="BC38">
        <f>TYPE(All_India_Index_Upto_April23__1[[#This Row],[Health]])</f>
        <v>1</v>
      </c>
      <c r="BD38">
        <f>TYPE(All_India_Index_Upto_April23__1[[#This Row],[Transport and communication]])</f>
        <v>1</v>
      </c>
      <c r="BE38">
        <f>TYPE(All_India_Index_Upto_April23__1[[#This Row],[Recreation and amusement]])</f>
        <v>1</v>
      </c>
      <c r="BF38">
        <f>TYPE(All_India_Index_Upto_April23__1[[#This Row],[Education]])</f>
        <v>1</v>
      </c>
      <c r="BG38">
        <f>TYPE(All_India_Index_Upto_April23__1[[#This Row],[Personal care and effects]])</f>
        <v>1</v>
      </c>
      <c r="BH38">
        <f>TYPE(All_India_Index_Upto_April23__1[[#This Row],[Miscellaneous]])</f>
        <v>1</v>
      </c>
      <c r="BI38">
        <f>TYPE(All_India_Index_Upto_April23__1[[#This Row],[General index]])</f>
        <v>1</v>
      </c>
    </row>
    <row r="39" spans="1:61" x14ac:dyDescent="0.3">
      <c r="A39" t="s">
        <v>32</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c r="AF39">
        <f>TYPE(All_India_Index_Upto_April23__1[[#This Row],[Sector]])</f>
        <v>2</v>
      </c>
      <c r="AG39">
        <f>TYPE(All_India_Index_Upto_April23__1[[#This Row],[Year]])</f>
        <v>1</v>
      </c>
      <c r="AH39">
        <f>TYPE(All_India_Index_Upto_April23__1[[#This Row],[Month]])</f>
        <v>2</v>
      </c>
      <c r="AI39">
        <f>TYPE(All_India_Index_Upto_April23__1[[#This Row],[Cereals and products]])</f>
        <v>1</v>
      </c>
      <c r="AJ39">
        <f>TYPE(All_India_Index_Upto_April23__1[[#This Row],[Meat and fish]])</f>
        <v>1</v>
      </c>
      <c r="AK39">
        <f>TYPE(All_India_Index_Upto_April23__1[[#This Row],[Egg]])</f>
        <v>1</v>
      </c>
      <c r="AL39">
        <f>TYPE(All_India_Index_Upto_April23__1[[#This Row],[Milk and products]])</f>
        <v>1</v>
      </c>
      <c r="AM39">
        <f>TYPE(All_India_Index_Upto_April23__1[[#This Row],[Oils and fats]])</f>
        <v>1</v>
      </c>
      <c r="AN39">
        <f>TYPE(All_India_Index_Upto_April23__1[[#This Row],[Fruits]])</f>
        <v>1</v>
      </c>
      <c r="AO39">
        <f>TYPE(All_India_Index_Upto_April23__1[[#This Row],[Vegetables]])</f>
        <v>1</v>
      </c>
      <c r="AP39">
        <f>TYPE(All_India_Index_Upto_April23__1[[#This Row],[Pulses and products]])</f>
        <v>1</v>
      </c>
      <c r="AQ39">
        <f>TYPE(All_India_Index_Upto_April23__1[[#This Row],[Sugar and Confectionery]])</f>
        <v>1</v>
      </c>
      <c r="AR39">
        <f>TYPE(All_India_Index_Upto_April23__1[[#This Row],[Spices]])</f>
        <v>1</v>
      </c>
      <c r="AS39">
        <f>TYPE(All_India_Index_Upto_April23__1[[#This Row],[Non-alcoholic beverages]])</f>
        <v>1</v>
      </c>
      <c r="AT39">
        <f>TYPE(All_India_Index_Upto_April23__1[[#This Row],[Prepared meals, snacks, sweets etc.]])</f>
        <v>1</v>
      </c>
      <c r="AU39">
        <f>TYPE(All_India_Index_Upto_April23__1[[#This Row],[Food and beverages]])</f>
        <v>1</v>
      </c>
      <c r="AV39">
        <f>TYPE(All_India_Index_Upto_April23__1[[#This Row],[Pan, tobacco and intoxicants]])</f>
        <v>1</v>
      </c>
      <c r="AW39">
        <f>TYPE(All_India_Index_Upto_April23__1[[#This Row],[Clothing]])</f>
        <v>1</v>
      </c>
      <c r="AX39">
        <f>TYPE(All_India_Index_Upto_April23__1[[#This Row],[Footwear]])</f>
        <v>1</v>
      </c>
      <c r="AY39">
        <f>TYPE(All_India_Index_Upto_April23__1[[#This Row],[Clothing and footwear]])</f>
        <v>1</v>
      </c>
      <c r="AZ39">
        <f>TYPE(All_India_Index_Upto_April23__1[[#This Row],[Housing]])</f>
        <v>1</v>
      </c>
      <c r="BA39">
        <f>TYPE(All_India_Index_Upto_April23__1[[#This Row],[Fuel and light]])</f>
        <v>1</v>
      </c>
      <c r="BB39">
        <f>TYPE(All_India_Index_Upto_April23__1[[#This Row],[Household goods and services]])</f>
        <v>1</v>
      </c>
      <c r="BC39">
        <f>TYPE(All_India_Index_Upto_April23__1[[#This Row],[Health]])</f>
        <v>1</v>
      </c>
      <c r="BD39">
        <f>TYPE(All_India_Index_Upto_April23__1[[#This Row],[Transport and communication]])</f>
        <v>1</v>
      </c>
      <c r="BE39">
        <f>TYPE(All_India_Index_Upto_April23__1[[#This Row],[Recreation and amusement]])</f>
        <v>1</v>
      </c>
      <c r="BF39">
        <f>TYPE(All_India_Index_Upto_April23__1[[#This Row],[Education]])</f>
        <v>1</v>
      </c>
      <c r="BG39">
        <f>TYPE(All_India_Index_Upto_April23__1[[#This Row],[Personal care and effects]])</f>
        <v>1</v>
      </c>
      <c r="BH39">
        <f>TYPE(All_India_Index_Upto_April23__1[[#This Row],[Miscellaneous]])</f>
        <v>1</v>
      </c>
      <c r="BI39">
        <f>TYPE(All_India_Index_Upto_April23__1[[#This Row],[General index]])</f>
        <v>1</v>
      </c>
    </row>
    <row r="40" spans="1:61" x14ac:dyDescent="0.3">
      <c r="A40" t="s">
        <v>33</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c r="AF40">
        <f>TYPE(All_India_Index_Upto_April23__1[[#This Row],[Sector]])</f>
        <v>2</v>
      </c>
      <c r="AG40">
        <f>TYPE(All_India_Index_Upto_April23__1[[#This Row],[Year]])</f>
        <v>1</v>
      </c>
      <c r="AH40">
        <f>TYPE(All_India_Index_Upto_April23__1[[#This Row],[Month]])</f>
        <v>2</v>
      </c>
      <c r="AI40">
        <f>TYPE(All_India_Index_Upto_April23__1[[#This Row],[Cereals and products]])</f>
        <v>1</v>
      </c>
      <c r="AJ40">
        <f>TYPE(All_India_Index_Upto_April23__1[[#This Row],[Meat and fish]])</f>
        <v>1</v>
      </c>
      <c r="AK40">
        <f>TYPE(All_India_Index_Upto_April23__1[[#This Row],[Egg]])</f>
        <v>1</v>
      </c>
      <c r="AL40">
        <f>TYPE(All_India_Index_Upto_April23__1[[#This Row],[Milk and products]])</f>
        <v>1</v>
      </c>
      <c r="AM40">
        <f>TYPE(All_India_Index_Upto_April23__1[[#This Row],[Oils and fats]])</f>
        <v>1</v>
      </c>
      <c r="AN40">
        <f>TYPE(All_India_Index_Upto_April23__1[[#This Row],[Fruits]])</f>
        <v>1</v>
      </c>
      <c r="AO40">
        <f>TYPE(All_India_Index_Upto_April23__1[[#This Row],[Vegetables]])</f>
        <v>1</v>
      </c>
      <c r="AP40">
        <f>TYPE(All_India_Index_Upto_April23__1[[#This Row],[Pulses and products]])</f>
        <v>1</v>
      </c>
      <c r="AQ40">
        <f>TYPE(All_India_Index_Upto_April23__1[[#This Row],[Sugar and Confectionery]])</f>
        <v>1</v>
      </c>
      <c r="AR40">
        <f>TYPE(All_India_Index_Upto_April23__1[[#This Row],[Spices]])</f>
        <v>1</v>
      </c>
      <c r="AS40">
        <f>TYPE(All_India_Index_Upto_April23__1[[#This Row],[Non-alcoholic beverages]])</f>
        <v>1</v>
      </c>
      <c r="AT40">
        <f>TYPE(All_India_Index_Upto_April23__1[[#This Row],[Prepared meals, snacks, sweets etc.]])</f>
        <v>1</v>
      </c>
      <c r="AU40">
        <f>TYPE(All_India_Index_Upto_April23__1[[#This Row],[Food and beverages]])</f>
        <v>1</v>
      </c>
      <c r="AV40">
        <f>TYPE(All_India_Index_Upto_April23__1[[#This Row],[Pan, tobacco and intoxicants]])</f>
        <v>1</v>
      </c>
      <c r="AW40">
        <f>TYPE(All_India_Index_Upto_April23__1[[#This Row],[Clothing]])</f>
        <v>1</v>
      </c>
      <c r="AX40">
        <f>TYPE(All_India_Index_Upto_April23__1[[#This Row],[Footwear]])</f>
        <v>1</v>
      </c>
      <c r="AY40">
        <f>TYPE(All_India_Index_Upto_April23__1[[#This Row],[Clothing and footwear]])</f>
        <v>1</v>
      </c>
      <c r="AZ40">
        <f>TYPE(All_India_Index_Upto_April23__1[[#This Row],[Housing]])</f>
        <v>1</v>
      </c>
      <c r="BA40">
        <f>TYPE(All_India_Index_Upto_April23__1[[#This Row],[Fuel and light]])</f>
        <v>1</v>
      </c>
      <c r="BB40">
        <f>TYPE(All_India_Index_Upto_April23__1[[#This Row],[Household goods and services]])</f>
        <v>1</v>
      </c>
      <c r="BC40">
        <f>TYPE(All_India_Index_Upto_April23__1[[#This Row],[Health]])</f>
        <v>1</v>
      </c>
      <c r="BD40">
        <f>TYPE(All_India_Index_Upto_April23__1[[#This Row],[Transport and communication]])</f>
        <v>1</v>
      </c>
      <c r="BE40">
        <f>TYPE(All_India_Index_Upto_April23__1[[#This Row],[Recreation and amusement]])</f>
        <v>1</v>
      </c>
      <c r="BF40">
        <f>TYPE(All_India_Index_Upto_April23__1[[#This Row],[Education]])</f>
        <v>1</v>
      </c>
      <c r="BG40">
        <f>TYPE(All_India_Index_Upto_April23__1[[#This Row],[Personal care and effects]])</f>
        <v>1</v>
      </c>
      <c r="BH40">
        <f>TYPE(All_India_Index_Upto_April23__1[[#This Row],[Miscellaneous]])</f>
        <v>1</v>
      </c>
      <c r="BI40">
        <f>TYPE(All_India_Index_Upto_April23__1[[#This Row],[General index]])</f>
        <v>1</v>
      </c>
    </row>
    <row r="41" spans="1:61" x14ac:dyDescent="0.3">
      <c r="A41" t="s">
        <v>30</v>
      </c>
      <c r="B41">
        <v>2014</v>
      </c>
      <c r="C41" t="s">
        <v>34</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v>0</v>
      </c>
      <c r="V41">
        <v>113.2</v>
      </c>
      <c r="W41">
        <v>112.9</v>
      </c>
      <c r="X41">
        <v>110.9</v>
      </c>
      <c r="Y41">
        <v>110.8</v>
      </c>
      <c r="Z41">
        <v>109.9</v>
      </c>
      <c r="AA41">
        <v>112</v>
      </c>
      <c r="AB41">
        <v>108.7</v>
      </c>
      <c r="AC41">
        <v>110.9</v>
      </c>
      <c r="AD41">
        <v>114</v>
      </c>
      <c r="AF41">
        <f>TYPE(All_India_Index_Upto_April23__1[[#This Row],[Sector]])</f>
        <v>2</v>
      </c>
      <c r="AG41">
        <f>TYPE(All_India_Index_Upto_April23__1[[#This Row],[Year]])</f>
        <v>1</v>
      </c>
      <c r="AH41">
        <f>TYPE(All_India_Index_Upto_April23__1[[#This Row],[Month]])</f>
        <v>2</v>
      </c>
      <c r="AI41">
        <f>TYPE(All_India_Index_Upto_April23__1[[#This Row],[Cereals and products]])</f>
        <v>1</v>
      </c>
      <c r="AJ41">
        <f>TYPE(All_India_Index_Upto_April23__1[[#This Row],[Meat and fish]])</f>
        <v>1</v>
      </c>
      <c r="AK41">
        <f>TYPE(All_India_Index_Upto_April23__1[[#This Row],[Egg]])</f>
        <v>1</v>
      </c>
      <c r="AL41">
        <f>TYPE(All_India_Index_Upto_April23__1[[#This Row],[Milk and products]])</f>
        <v>1</v>
      </c>
      <c r="AM41">
        <f>TYPE(All_India_Index_Upto_April23__1[[#This Row],[Oils and fats]])</f>
        <v>1</v>
      </c>
      <c r="AN41">
        <f>TYPE(All_India_Index_Upto_April23__1[[#This Row],[Fruits]])</f>
        <v>1</v>
      </c>
      <c r="AO41">
        <f>TYPE(All_India_Index_Upto_April23__1[[#This Row],[Vegetables]])</f>
        <v>1</v>
      </c>
      <c r="AP41">
        <f>TYPE(All_India_Index_Upto_April23__1[[#This Row],[Pulses and products]])</f>
        <v>1</v>
      </c>
      <c r="AQ41">
        <f>TYPE(All_India_Index_Upto_April23__1[[#This Row],[Sugar and Confectionery]])</f>
        <v>1</v>
      </c>
      <c r="AR41">
        <f>TYPE(All_India_Index_Upto_April23__1[[#This Row],[Spices]])</f>
        <v>1</v>
      </c>
      <c r="AS41">
        <f>TYPE(All_India_Index_Upto_April23__1[[#This Row],[Non-alcoholic beverages]])</f>
        <v>1</v>
      </c>
      <c r="AT41">
        <f>TYPE(All_India_Index_Upto_April23__1[[#This Row],[Prepared meals, snacks, sweets etc.]])</f>
        <v>1</v>
      </c>
      <c r="AU41">
        <f>TYPE(All_India_Index_Upto_April23__1[[#This Row],[Food and beverages]])</f>
        <v>1</v>
      </c>
      <c r="AV41">
        <f>TYPE(All_India_Index_Upto_April23__1[[#This Row],[Pan, tobacco and intoxicants]])</f>
        <v>1</v>
      </c>
      <c r="AW41">
        <f>TYPE(All_India_Index_Upto_April23__1[[#This Row],[Clothing]])</f>
        <v>1</v>
      </c>
      <c r="AX41">
        <f>TYPE(All_India_Index_Upto_April23__1[[#This Row],[Footwear]])</f>
        <v>1</v>
      </c>
      <c r="AY41">
        <f>TYPE(All_India_Index_Upto_April23__1[[#This Row],[Clothing and footwear]])</f>
        <v>1</v>
      </c>
      <c r="AZ41">
        <f>TYPE(All_India_Index_Upto_April23__1[[#This Row],[Housing]])</f>
        <v>1</v>
      </c>
      <c r="BA41">
        <f>TYPE(All_India_Index_Upto_April23__1[[#This Row],[Fuel and light]])</f>
        <v>1</v>
      </c>
      <c r="BB41">
        <f>TYPE(All_India_Index_Upto_April23__1[[#This Row],[Household goods and services]])</f>
        <v>1</v>
      </c>
      <c r="BC41">
        <f>TYPE(All_India_Index_Upto_April23__1[[#This Row],[Health]])</f>
        <v>1</v>
      </c>
      <c r="BD41">
        <f>TYPE(All_India_Index_Upto_April23__1[[#This Row],[Transport and communication]])</f>
        <v>1</v>
      </c>
      <c r="BE41">
        <f>TYPE(All_India_Index_Upto_April23__1[[#This Row],[Recreation and amusement]])</f>
        <v>1</v>
      </c>
      <c r="BF41">
        <f>TYPE(All_India_Index_Upto_April23__1[[#This Row],[Education]])</f>
        <v>1</v>
      </c>
      <c r="BG41">
        <f>TYPE(All_India_Index_Upto_April23__1[[#This Row],[Personal care and effects]])</f>
        <v>1</v>
      </c>
      <c r="BH41">
        <f>TYPE(All_India_Index_Upto_April23__1[[#This Row],[Miscellaneous]])</f>
        <v>1</v>
      </c>
      <c r="BI41">
        <f>TYPE(All_India_Index_Upto_April23__1[[#This Row],[General index]])</f>
        <v>1</v>
      </c>
    </row>
    <row r="42" spans="1:61" x14ac:dyDescent="0.3">
      <c r="A42" t="s">
        <v>32</v>
      </c>
      <c r="B42">
        <v>2014</v>
      </c>
      <c r="C42" t="s">
        <v>34</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c r="AF42">
        <f>TYPE(All_India_Index_Upto_April23__1[[#This Row],[Sector]])</f>
        <v>2</v>
      </c>
      <c r="AG42">
        <f>TYPE(All_India_Index_Upto_April23__1[[#This Row],[Year]])</f>
        <v>1</v>
      </c>
      <c r="AH42">
        <f>TYPE(All_India_Index_Upto_April23__1[[#This Row],[Month]])</f>
        <v>2</v>
      </c>
      <c r="AI42">
        <f>TYPE(All_India_Index_Upto_April23__1[[#This Row],[Cereals and products]])</f>
        <v>1</v>
      </c>
      <c r="AJ42">
        <f>TYPE(All_India_Index_Upto_April23__1[[#This Row],[Meat and fish]])</f>
        <v>1</v>
      </c>
      <c r="AK42">
        <f>TYPE(All_India_Index_Upto_April23__1[[#This Row],[Egg]])</f>
        <v>1</v>
      </c>
      <c r="AL42">
        <f>TYPE(All_India_Index_Upto_April23__1[[#This Row],[Milk and products]])</f>
        <v>1</v>
      </c>
      <c r="AM42">
        <f>TYPE(All_India_Index_Upto_April23__1[[#This Row],[Oils and fats]])</f>
        <v>1</v>
      </c>
      <c r="AN42">
        <f>TYPE(All_India_Index_Upto_April23__1[[#This Row],[Fruits]])</f>
        <v>1</v>
      </c>
      <c r="AO42">
        <f>TYPE(All_India_Index_Upto_April23__1[[#This Row],[Vegetables]])</f>
        <v>1</v>
      </c>
      <c r="AP42">
        <f>TYPE(All_India_Index_Upto_April23__1[[#This Row],[Pulses and products]])</f>
        <v>1</v>
      </c>
      <c r="AQ42">
        <f>TYPE(All_India_Index_Upto_April23__1[[#This Row],[Sugar and Confectionery]])</f>
        <v>1</v>
      </c>
      <c r="AR42">
        <f>TYPE(All_India_Index_Upto_April23__1[[#This Row],[Spices]])</f>
        <v>1</v>
      </c>
      <c r="AS42">
        <f>TYPE(All_India_Index_Upto_April23__1[[#This Row],[Non-alcoholic beverages]])</f>
        <v>1</v>
      </c>
      <c r="AT42">
        <f>TYPE(All_India_Index_Upto_April23__1[[#This Row],[Prepared meals, snacks, sweets etc.]])</f>
        <v>1</v>
      </c>
      <c r="AU42">
        <f>TYPE(All_India_Index_Upto_April23__1[[#This Row],[Food and beverages]])</f>
        <v>1</v>
      </c>
      <c r="AV42">
        <f>TYPE(All_India_Index_Upto_April23__1[[#This Row],[Pan, tobacco and intoxicants]])</f>
        <v>1</v>
      </c>
      <c r="AW42">
        <f>TYPE(All_India_Index_Upto_April23__1[[#This Row],[Clothing]])</f>
        <v>1</v>
      </c>
      <c r="AX42">
        <f>TYPE(All_India_Index_Upto_April23__1[[#This Row],[Footwear]])</f>
        <v>1</v>
      </c>
      <c r="AY42">
        <f>TYPE(All_India_Index_Upto_April23__1[[#This Row],[Clothing and footwear]])</f>
        <v>1</v>
      </c>
      <c r="AZ42">
        <f>TYPE(All_India_Index_Upto_April23__1[[#This Row],[Housing]])</f>
        <v>1</v>
      </c>
      <c r="BA42">
        <f>TYPE(All_India_Index_Upto_April23__1[[#This Row],[Fuel and light]])</f>
        <v>1</v>
      </c>
      <c r="BB42">
        <f>TYPE(All_India_Index_Upto_April23__1[[#This Row],[Household goods and services]])</f>
        <v>1</v>
      </c>
      <c r="BC42">
        <f>TYPE(All_India_Index_Upto_April23__1[[#This Row],[Health]])</f>
        <v>1</v>
      </c>
      <c r="BD42">
        <f>TYPE(All_India_Index_Upto_April23__1[[#This Row],[Transport and communication]])</f>
        <v>1</v>
      </c>
      <c r="BE42">
        <f>TYPE(All_India_Index_Upto_April23__1[[#This Row],[Recreation and amusement]])</f>
        <v>1</v>
      </c>
      <c r="BF42">
        <f>TYPE(All_India_Index_Upto_April23__1[[#This Row],[Education]])</f>
        <v>1</v>
      </c>
      <c r="BG42">
        <f>TYPE(All_India_Index_Upto_April23__1[[#This Row],[Personal care and effects]])</f>
        <v>1</v>
      </c>
      <c r="BH42">
        <f>TYPE(All_India_Index_Upto_April23__1[[#This Row],[Miscellaneous]])</f>
        <v>1</v>
      </c>
      <c r="BI42">
        <f>TYPE(All_India_Index_Upto_April23__1[[#This Row],[General index]])</f>
        <v>1</v>
      </c>
    </row>
    <row r="43" spans="1:61" x14ac:dyDescent="0.3">
      <c r="A43" t="s">
        <v>33</v>
      </c>
      <c r="B43">
        <v>2014</v>
      </c>
      <c r="C43" t="s">
        <v>34</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c r="AF43">
        <f>TYPE(All_India_Index_Upto_April23__1[[#This Row],[Sector]])</f>
        <v>2</v>
      </c>
      <c r="AG43">
        <f>TYPE(All_India_Index_Upto_April23__1[[#This Row],[Year]])</f>
        <v>1</v>
      </c>
      <c r="AH43">
        <f>TYPE(All_India_Index_Upto_April23__1[[#This Row],[Month]])</f>
        <v>2</v>
      </c>
      <c r="AI43">
        <f>TYPE(All_India_Index_Upto_April23__1[[#This Row],[Cereals and products]])</f>
        <v>1</v>
      </c>
      <c r="AJ43">
        <f>TYPE(All_India_Index_Upto_April23__1[[#This Row],[Meat and fish]])</f>
        <v>1</v>
      </c>
      <c r="AK43">
        <f>TYPE(All_India_Index_Upto_April23__1[[#This Row],[Egg]])</f>
        <v>1</v>
      </c>
      <c r="AL43">
        <f>TYPE(All_India_Index_Upto_April23__1[[#This Row],[Milk and products]])</f>
        <v>1</v>
      </c>
      <c r="AM43">
        <f>TYPE(All_India_Index_Upto_April23__1[[#This Row],[Oils and fats]])</f>
        <v>1</v>
      </c>
      <c r="AN43">
        <f>TYPE(All_India_Index_Upto_April23__1[[#This Row],[Fruits]])</f>
        <v>1</v>
      </c>
      <c r="AO43">
        <f>TYPE(All_India_Index_Upto_April23__1[[#This Row],[Vegetables]])</f>
        <v>1</v>
      </c>
      <c r="AP43">
        <f>TYPE(All_India_Index_Upto_April23__1[[#This Row],[Pulses and products]])</f>
        <v>1</v>
      </c>
      <c r="AQ43">
        <f>TYPE(All_India_Index_Upto_April23__1[[#This Row],[Sugar and Confectionery]])</f>
        <v>1</v>
      </c>
      <c r="AR43">
        <f>TYPE(All_India_Index_Upto_April23__1[[#This Row],[Spices]])</f>
        <v>1</v>
      </c>
      <c r="AS43">
        <f>TYPE(All_India_Index_Upto_April23__1[[#This Row],[Non-alcoholic beverages]])</f>
        <v>1</v>
      </c>
      <c r="AT43">
        <f>TYPE(All_India_Index_Upto_April23__1[[#This Row],[Prepared meals, snacks, sweets etc.]])</f>
        <v>1</v>
      </c>
      <c r="AU43">
        <f>TYPE(All_India_Index_Upto_April23__1[[#This Row],[Food and beverages]])</f>
        <v>1</v>
      </c>
      <c r="AV43">
        <f>TYPE(All_India_Index_Upto_April23__1[[#This Row],[Pan, tobacco and intoxicants]])</f>
        <v>1</v>
      </c>
      <c r="AW43">
        <f>TYPE(All_India_Index_Upto_April23__1[[#This Row],[Clothing]])</f>
        <v>1</v>
      </c>
      <c r="AX43">
        <f>TYPE(All_India_Index_Upto_April23__1[[#This Row],[Footwear]])</f>
        <v>1</v>
      </c>
      <c r="AY43">
        <f>TYPE(All_India_Index_Upto_April23__1[[#This Row],[Clothing and footwear]])</f>
        <v>1</v>
      </c>
      <c r="AZ43">
        <f>TYPE(All_India_Index_Upto_April23__1[[#This Row],[Housing]])</f>
        <v>1</v>
      </c>
      <c r="BA43">
        <f>TYPE(All_India_Index_Upto_April23__1[[#This Row],[Fuel and light]])</f>
        <v>1</v>
      </c>
      <c r="BB43">
        <f>TYPE(All_India_Index_Upto_April23__1[[#This Row],[Household goods and services]])</f>
        <v>1</v>
      </c>
      <c r="BC43">
        <f>TYPE(All_India_Index_Upto_April23__1[[#This Row],[Health]])</f>
        <v>1</v>
      </c>
      <c r="BD43">
        <f>TYPE(All_India_Index_Upto_April23__1[[#This Row],[Transport and communication]])</f>
        <v>1</v>
      </c>
      <c r="BE43">
        <f>TYPE(All_India_Index_Upto_April23__1[[#This Row],[Recreation and amusement]])</f>
        <v>1</v>
      </c>
      <c r="BF43">
        <f>TYPE(All_India_Index_Upto_April23__1[[#This Row],[Education]])</f>
        <v>1</v>
      </c>
      <c r="BG43">
        <f>TYPE(All_India_Index_Upto_April23__1[[#This Row],[Personal care and effects]])</f>
        <v>1</v>
      </c>
      <c r="BH43">
        <f>TYPE(All_India_Index_Upto_April23__1[[#This Row],[Miscellaneous]])</f>
        <v>1</v>
      </c>
      <c r="BI43">
        <f>TYPE(All_India_Index_Upto_April23__1[[#This Row],[General index]])</f>
        <v>1</v>
      </c>
    </row>
    <row r="44" spans="1:61" x14ac:dyDescent="0.3">
      <c r="A44" t="s">
        <v>30</v>
      </c>
      <c r="B44">
        <v>2014</v>
      </c>
      <c r="C44" t="s">
        <v>35</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v>0</v>
      </c>
      <c r="V44">
        <v>113.4</v>
      </c>
      <c r="W44">
        <v>113.4</v>
      </c>
      <c r="X44">
        <v>111.4</v>
      </c>
      <c r="Y44">
        <v>111.2</v>
      </c>
      <c r="Z44">
        <v>110.2</v>
      </c>
      <c r="AA44">
        <v>112.4</v>
      </c>
      <c r="AB44">
        <v>108.9</v>
      </c>
      <c r="AC44">
        <v>111.3</v>
      </c>
      <c r="AD44">
        <v>114.6</v>
      </c>
      <c r="AF44">
        <f>TYPE(All_India_Index_Upto_April23__1[[#This Row],[Sector]])</f>
        <v>2</v>
      </c>
      <c r="AG44">
        <f>TYPE(All_India_Index_Upto_April23__1[[#This Row],[Year]])</f>
        <v>1</v>
      </c>
      <c r="AH44">
        <f>TYPE(All_India_Index_Upto_April23__1[[#This Row],[Month]])</f>
        <v>2</v>
      </c>
      <c r="AI44">
        <f>TYPE(All_India_Index_Upto_April23__1[[#This Row],[Cereals and products]])</f>
        <v>1</v>
      </c>
      <c r="AJ44">
        <f>TYPE(All_India_Index_Upto_April23__1[[#This Row],[Meat and fish]])</f>
        <v>1</v>
      </c>
      <c r="AK44">
        <f>TYPE(All_India_Index_Upto_April23__1[[#This Row],[Egg]])</f>
        <v>1</v>
      </c>
      <c r="AL44">
        <f>TYPE(All_India_Index_Upto_April23__1[[#This Row],[Milk and products]])</f>
        <v>1</v>
      </c>
      <c r="AM44">
        <f>TYPE(All_India_Index_Upto_April23__1[[#This Row],[Oils and fats]])</f>
        <v>1</v>
      </c>
      <c r="AN44">
        <f>TYPE(All_India_Index_Upto_April23__1[[#This Row],[Fruits]])</f>
        <v>1</v>
      </c>
      <c r="AO44">
        <f>TYPE(All_India_Index_Upto_April23__1[[#This Row],[Vegetables]])</f>
        <v>1</v>
      </c>
      <c r="AP44">
        <f>TYPE(All_India_Index_Upto_April23__1[[#This Row],[Pulses and products]])</f>
        <v>1</v>
      </c>
      <c r="AQ44">
        <f>TYPE(All_India_Index_Upto_April23__1[[#This Row],[Sugar and Confectionery]])</f>
        <v>1</v>
      </c>
      <c r="AR44">
        <f>TYPE(All_India_Index_Upto_April23__1[[#This Row],[Spices]])</f>
        <v>1</v>
      </c>
      <c r="AS44">
        <f>TYPE(All_India_Index_Upto_April23__1[[#This Row],[Non-alcoholic beverages]])</f>
        <v>1</v>
      </c>
      <c r="AT44">
        <f>TYPE(All_India_Index_Upto_April23__1[[#This Row],[Prepared meals, snacks, sweets etc.]])</f>
        <v>1</v>
      </c>
      <c r="AU44">
        <f>TYPE(All_India_Index_Upto_April23__1[[#This Row],[Food and beverages]])</f>
        <v>1</v>
      </c>
      <c r="AV44">
        <f>TYPE(All_India_Index_Upto_April23__1[[#This Row],[Pan, tobacco and intoxicants]])</f>
        <v>1</v>
      </c>
      <c r="AW44">
        <f>TYPE(All_India_Index_Upto_April23__1[[#This Row],[Clothing]])</f>
        <v>1</v>
      </c>
      <c r="AX44">
        <f>TYPE(All_India_Index_Upto_April23__1[[#This Row],[Footwear]])</f>
        <v>1</v>
      </c>
      <c r="AY44">
        <f>TYPE(All_India_Index_Upto_April23__1[[#This Row],[Clothing and footwear]])</f>
        <v>1</v>
      </c>
      <c r="AZ44">
        <f>TYPE(All_India_Index_Upto_April23__1[[#This Row],[Housing]])</f>
        <v>1</v>
      </c>
      <c r="BA44">
        <f>TYPE(All_India_Index_Upto_April23__1[[#This Row],[Fuel and light]])</f>
        <v>1</v>
      </c>
      <c r="BB44">
        <f>TYPE(All_India_Index_Upto_April23__1[[#This Row],[Household goods and services]])</f>
        <v>1</v>
      </c>
      <c r="BC44">
        <f>TYPE(All_India_Index_Upto_April23__1[[#This Row],[Health]])</f>
        <v>1</v>
      </c>
      <c r="BD44">
        <f>TYPE(All_India_Index_Upto_April23__1[[#This Row],[Transport and communication]])</f>
        <v>1</v>
      </c>
      <c r="BE44">
        <f>TYPE(All_India_Index_Upto_April23__1[[#This Row],[Recreation and amusement]])</f>
        <v>1</v>
      </c>
      <c r="BF44">
        <f>TYPE(All_India_Index_Upto_April23__1[[#This Row],[Education]])</f>
        <v>1</v>
      </c>
      <c r="BG44">
        <f>TYPE(All_India_Index_Upto_April23__1[[#This Row],[Personal care and effects]])</f>
        <v>1</v>
      </c>
      <c r="BH44">
        <f>TYPE(All_India_Index_Upto_April23__1[[#This Row],[Miscellaneous]])</f>
        <v>1</v>
      </c>
      <c r="BI44">
        <f>TYPE(All_India_Index_Upto_April23__1[[#This Row],[General index]])</f>
        <v>1</v>
      </c>
    </row>
    <row r="45" spans="1:61" x14ac:dyDescent="0.3">
      <c r="A45" t="s">
        <v>32</v>
      </c>
      <c r="B45">
        <v>2014</v>
      </c>
      <c r="C45" t="s">
        <v>35</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c r="AF45">
        <f>TYPE(All_India_Index_Upto_April23__1[[#This Row],[Sector]])</f>
        <v>2</v>
      </c>
      <c r="AG45">
        <f>TYPE(All_India_Index_Upto_April23__1[[#This Row],[Year]])</f>
        <v>1</v>
      </c>
      <c r="AH45">
        <f>TYPE(All_India_Index_Upto_April23__1[[#This Row],[Month]])</f>
        <v>2</v>
      </c>
      <c r="AI45">
        <f>TYPE(All_India_Index_Upto_April23__1[[#This Row],[Cereals and products]])</f>
        <v>1</v>
      </c>
      <c r="AJ45">
        <f>TYPE(All_India_Index_Upto_April23__1[[#This Row],[Meat and fish]])</f>
        <v>1</v>
      </c>
      <c r="AK45">
        <f>TYPE(All_India_Index_Upto_April23__1[[#This Row],[Egg]])</f>
        <v>1</v>
      </c>
      <c r="AL45">
        <f>TYPE(All_India_Index_Upto_April23__1[[#This Row],[Milk and products]])</f>
        <v>1</v>
      </c>
      <c r="AM45">
        <f>TYPE(All_India_Index_Upto_April23__1[[#This Row],[Oils and fats]])</f>
        <v>1</v>
      </c>
      <c r="AN45">
        <f>TYPE(All_India_Index_Upto_April23__1[[#This Row],[Fruits]])</f>
        <v>1</v>
      </c>
      <c r="AO45">
        <f>TYPE(All_India_Index_Upto_April23__1[[#This Row],[Vegetables]])</f>
        <v>1</v>
      </c>
      <c r="AP45">
        <f>TYPE(All_India_Index_Upto_April23__1[[#This Row],[Pulses and products]])</f>
        <v>1</v>
      </c>
      <c r="AQ45">
        <f>TYPE(All_India_Index_Upto_April23__1[[#This Row],[Sugar and Confectionery]])</f>
        <v>1</v>
      </c>
      <c r="AR45">
        <f>TYPE(All_India_Index_Upto_April23__1[[#This Row],[Spices]])</f>
        <v>1</v>
      </c>
      <c r="AS45">
        <f>TYPE(All_India_Index_Upto_April23__1[[#This Row],[Non-alcoholic beverages]])</f>
        <v>1</v>
      </c>
      <c r="AT45">
        <f>TYPE(All_India_Index_Upto_April23__1[[#This Row],[Prepared meals, snacks, sweets etc.]])</f>
        <v>1</v>
      </c>
      <c r="AU45">
        <f>TYPE(All_India_Index_Upto_April23__1[[#This Row],[Food and beverages]])</f>
        <v>1</v>
      </c>
      <c r="AV45">
        <f>TYPE(All_India_Index_Upto_April23__1[[#This Row],[Pan, tobacco and intoxicants]])</f>
        <v>1</v>
      </c>
      <c r="AW45">
        <f>TYPE(All_India_Index_Upto_April23__1[[#This Row],[Clothing]])</f>
        <v>1</v>
      </c>
      <c r="AX45">
        <f>TYPE(All_India_Index_Upto_April23__1[[#This Row],[Footwear]])</f>
        <v>1</v>
      </c>
      <c r="AY45">
        <f>TYPE(All_India_Index_Upto_April23__1[[#This Row],[Clothing and footwear]])</f>
        <v>1</v>
      </c>
      <c r="AZ45">
        <f>TYPE(All_India_Index_Upto_April23__1[[#This Row],[Housing]])</f>
        <v>1</v>
      </c>
      <c r="BA45">
        <f>TYPE(All_India_Index_Upto_April23__1[[#This Row],[Fuel and light]])</f>
        <v>1</v>
      </c>
      <c r="BB45">
        <f>TYPE(All_India_Index_Upto_April23__1[[#This Row],[Household goods and services]])</f>
        <v>1</v>
      </c>
      <c r="BC45">
        <f>TYPE(All_India_Index_Upto_April23__1[[#This Row],[Health]])</f>
        <v>1</v>
      </c>
      <c r="BD45">
        <f>TYPE(All_India_Index_Upto_April23__1[[#This Row],[Transport and communication]])</f>
        <v>1</v>
      </c>
      <c r="BE45">
        <f>TYPE(All_India_Index_Upto_April23__1[[#This Row],[Recreation and amusement]])</f>
        <v>1</v>
      </c>
      <c r="BF45">
        <f>TYPE(All_India_Index_Upto_April23__1[[#This Row],[Education]])</f>
        <v>1</v>
      </c>
      <c r="BG45">
        <f>TYPE(All_India_Index_Upto_April23__1[[#This Row],[Personal care and effects]])</f>
        <v>1</v>
      </c>
      <c r="BH45">
        <f>TYPE(All_India_Index_Upto_April23__1[[#This Row],[Miscellaneous]])</f>
        <v>1</v>
      </c>
      <c r="BI45">
        <f>TYPE(All_India_Index_Upto_April23__1[[#This Row],[General index]])</f>
        <v>1</v>
      </c>
    </row>
    <row r="46" spans="1:61" x14ac:dyDescent="0.3">
      <c r="A46" t="s">
        <v>33</v>
      </c>
      <c r="B46">
        <v>2014</v>
      </c>
      <c r="C46" t="s">
        <v>46</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c r="AF46">
        <f>TYPE(All_India_Index_Upto_April23__1[[#This Row],[Sector]])</f>
        <v>2</v>
      </c>
      <c r="AG46">
        <f>TYPE(All_India_Index_Upto_April23__1[[#This Row],[Year]])</f>
        <v>1</v>
      </c>
      <c r="AH46">
        <f>TYPE(All_India_Index_Upto_April23__1[[#This Row],[Month]])</f>
        <v>2</v>
      </c>
      <c r="AI46">
        <f>TYPE(All_India_Index_Upto_April23__1[[#This Row],[Cereals and products]])</f>
        <v>1</v>
      </c>
      <c r="AJ46">
        <f>TYPE(All_India_Index_Upto_April23__1[[#This Row],[Meat and fish]])</f>
        <v>1</v>
      </c>
      <c r="AK46">
        <f>TYPE(All_India_Index_Upto_April23__1[[#This Row],[Egg]])</f>
        <v>1</v>
      </c>
      <c r="AL46">
        <f>TYPE(All_India_Index_Upto_April23__1[[#This Row],[Milk and products]])</f>
        <v>1</v>
      </c>
      <c r="AM46">
        <f>TYPE(All_India_Index_Upto_April23__1[[#This Row],[Oils and fats]])</f>
        <v>1</v>
      </c>
      <c r="AN46">
        <f>TYPE(All_India_Index_Upto_April23__1[[#This Row],[Fruits]])</f>
        <v>1</v>
      </c>
      <c r="AO46">
        <f>TYPE(All_India_Index_Upto_April23__1[[#This Row],[Vegetables]])</f>
        <v>1</v>
      </c>
      <c r="AP46">
        <f>TYPE(All_India_Index_Upto_April23__1[[#This Row],[Pulses and products]])</f>
        <v>1</v>
      </c>
      <c r="AQ46">
        <f>TYPE(All_India_Index_Upto_April23__1[[#This Row],[Sugar and Confectionery]])</f>
        <v>1</v>
      </c>
      <c r="AR46">
        <f>TYPE(All_India_Index_Upto_April23__1[[#This Row],[Spices]])</f>
        <v>1</v>
      </c>
      <c r="AS46">
        <f>TYPE(All_India_Index_Upto_April23__1[[#This Row],[Non-alcoholic beverages]])</f>
        <v>1</v>
      </c>
      <c r="AT46">
        <f>TYPE(All_India_Index_Upto_April23__1[[#This Row],[Prepared meals, snacks, sweets etc.]])</f>
        <v>1</v>
      </c>
      <c r="AU46">
        <f>TYPE(All_India_Index_Upto_April23__1[[#This Row],[Food and beverages]])</f>
        <v>1</v>
      </c>
      <c r="AV46">
        <f>TYPE(All_India_Index_Upto_April23__1[[#This Row],[Pan, tobacco and intoxicants]])</f>
        <v>1</v>
      </c>
      <c r="AW46">
        <f>TYPE(All_India_Index_Upto_April23__1[[#This Row],[Clothing]])</f>
        <v>1</v>
      </c>
      <c r="AX46">
        <f>TYPE(All_India_Index_Upto_April23__1[[#This Row],[Footwear]])</f>
        <v>1</v>
      </c>
      <c r="AY46">
        <f>TYPE(All_India_Index_Upto_April23__1[[#This Row],[Clothing and footwear]])</f>
        <v>1</v>
      </c>
      <c r="AZ46">
        <f>TYPE(All_India_Index_Upto_April23__1[[#This Row],[Housing]])</f>
        <v>1</v>
      </c>
      <c r="BA46">
        <f>TYPE(All_India_Index_Upto_April23__1[[#This Row],[Fuel and light]])</f>
        <v>1</v>
      </c>
      <c r="BB46">
        <f>TYPE(All_India_Index_Upto_April23__1[[#This Row],[Household goods and services]])</f>
        <v>1</v>
      </c>
      <c r="BC46">
        <f>TYPE(All_India_Index_Upto_April23__1[[#This Row],[Health]])</f>
        <v>1</v>
      </c>
      <c r="BD46">
        <f>TYPE(All_India_Index_Upto_April23__1[[#This Row],[Transport and communication]])</f>
        <v>1</v>
      </c>
      <c r="BE46">
        <f>TYPE(All_India_Index_Upto_April23__1[[#This Row],[Recreation and amusement]])</f>
        <v>1</v>
      </c>
      <c r="BF46">
        <f>TYPE(All_India_Index_Upto_April23__1[[#This Row],[Education]])</f>
        <v>1</v>
      </c>
      <c r="BG46">
        <f>TYPE(All_India_Index_Upto_April23__1[[#This Row],[Personal care and effects]])</f>
        <v>1</v>
      </c>
      <c r="BH46">
        <f>TYPE(All_India_Index_Upto_April23__1[[#This Row],[Miscellaneous]])</f>
        <v>1</v>
      </c>
      <c r="BI46">
        <f>TYPE(All_India_Index_Upto_April23__1[[#This Row],[General index]])</f>
        <v>1</v>
      </c>
    </row>
    <row r="47" spans="1:61" x14ac:dyDescent="0.3">
      <c r="A47" t="s">
        <v>30</v>
      </c>
      <c r="B47">
        <v>2014</v>
      </c>
      <c r="C47" t="s">
        <v>36</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v>0</v>
      </c>
      <c r="V47">
        <v>113.4</v>
      </c>
      <c r="W47">
        <v>113.7</v>
      </c>
      <c r="X47">
        <v>111.8</v>
      </c>
      <c r="Y47">
        <v>111.2</v>
      </c>
      <c r="Z47">
        <v>110.5</v>
      </c>
      <c r="AA47">
        <v>113</v>
      </c>
      <c r="AB47">
        <v>108.9</v>
      </c>
      <c r="AC47">
        <v>111.5</v>
      </c>
      <c r="AD47">
        <v>115.4</v>
      </c>
      <c r="AF47">
        <f>TYPE(All_India_Index_Upto_April23__1[[#This Row],[Sector]])</f>
        <v>2</v>
      </c>
      <c r="AG47">
        <f>TYPE(All_India_Index_Upto_April23__1[[#This Row],[Year]])</f>
        <v>1</v>
      </c>
      <c r="AH47">
        <f>TYPE(All_India_Index_Upto_April23__1[[#This Row],[Month]])</f>
        <v>2</v>
      </c>
      <c r="AI47">
        <f>TYPE(All_India_Index_Upto_April23__1[[#This Row],[Cereals and products]])</f>
        <v>1</v>
      </c>
      <c r="AJ47">
        <f>TYPE(All_India_Index_Upto_April23__1[[#This Row],[Meat and fish]])</f>
        <v>1</v>
      </c>
      <c r="AK47">
        <f>TYPE(All_India_Index_Upto_April23__1[[#This Row],[Egg]])</f>
        <v>1</v>
      </c>
      <c r="AL47">
        <f>TYPE(All_India_Index_Upto_April23__1[[#This Row],[Milk and products]])</f>
        <v>1</v>
      </c>
      <c r="AM47">
        <f>TYPE(All_India_Index_Upto_April23__1[[#This Row],[Oils and fats]])</f>
        <v>1</v>
      </c>
      <c r="AN47">
        <f>TYPE(All_India_Index_Upto_April23__1[[#This Row],[Fruits]])</f>
        <v>1</v>
      </c>
      <c r="AO47">
        <f>TYPE(All_India_Index_Upto_April23__1[[#This Row],[Vegetables]])</f>
        <v>1</v>
      </c>
      <c r="AP47">
        <f>TYPE(All_India_Index_Upto_April23__1[[#This Row],[Pulses and products]])</f>
        <v>1</v>
      </c>
      <c r="AQ47">
        <f>TYPE(All_India_Index_Upto_April23__1[[#This Row],[Sugar and Confectionery]])</f>
        <v>1</v>
      </c>
      <c r="AR47">
        <f>TYPE(All_India_Index_Upto_April23__1[[#This Row],[Spices]])</f>
        <v>1</v>
      </c>
      <c r="AS47">
        <f>TYPE(All_India_Index_Upto_April23__1[[#This Row],[Non-alcoholic beverages]])</f>
        <v>1</v>
      </c>
      <c r="AT47">
        <f>TYPE(All_India_Index_Upto_April23__1[[#This Row],[Prepared meals, snacks, sweets etc.]])</f>
        <v>1</v>
      </c>
      <c r="AU47">
        <f>TYPE(All_India_Index_Upto_April23__1[[#This Row],[Food and beverages]])</f>
        <v>1</v>
      </c>
      <c r="AV47">
        <f>TYPE(All_India_Index_Upto_April23__1[[#This Row],[Pan, tobacco and intoxicants]])</f>
        <v>1</v>
      </c>
      <c r="AW47">
        <f>TYPE(All_India_Index_Upto_April23__1[[#This Row],[Clothing]])</f>
        <v>1</v>
      </c>
      <c r="AX47">
        <f>TYPE(All_India_Index_Upto_April23__1[[#This Row],[Footwear]])</f>
        <v>1</v>
      </c>
      <c r="AY47">
        <f>TYPE(All_India_Index_Upto_April23__1[[#This Row],[Clothing and footwear]])</f>
        <v>1</v>
      </c>
      <c r="AZ47">
        <f>TYPE(All_India_Index_Upto_April23__1[[#This Row],[Housing]])</f>
        <v>1</v>
      </c>
      <c r="BA47">
        <f>TYPE(All_India_Index_Upto_April23__1[[#This Row],[Fuel and light]])</f>
        <v>1</v>
      </c>
      <c r="BB47">
        <f>TYPE(All_India_Index_Upto_April23__1[[#This Row],[Household goods and services]])</f>
        <v>1</v>
      </c>
      <c r="BC47">
        <f>TYPE(All_India_Index_Upto_April23__1[[#This Row],[Health]])</f>
        <v>1</v>
      </c>
      <c r="BD47">
        <f>TYPE(All_India_Index_Upto_April23__1[[#This Row],[Transport and communication]])</f>
        <v>1</v>
      </c>
      <c r="BE47">
        <f>TYPE(All_India_Index_Upto_April23__1[[#This Row],[Recreation and amusement]])</f>
        <v>1</v>
      </c>
      <c r="BF47">
        <f>TYPE(All_India_Index_Upto_April23__1[[#This Row],[Education]])</f>
        <v>1</v>
      </c>
      <c r="BG47">
        <f>TYPE(All_India_Index_Upto_April23__1[[#This Row],[Personal care and effects]])</f>
        <v>1</v>
      </c>
      <c r="BH47">
        <f>TYPE(All_India_Index_Upto_April23__1[[#This Row],[Miscellaneous]])</f>
        <v>1</v>
      </c>
      <c r="BI47">
        <f>TYPE(All_India_Index_Upto_April23__1[[#This Row],[General index]])</f>
        <v>1</v>
      </c>
    </row>
    <row r="48" spans="1:61" x14ac:dyDescent="0.3">
      <c r="A48" t="s">
        <v>32</v>
      </c>
      <c r="B48">
        <v>2014</v>
      </c>
      <c r="C48" t="s">
        <v>36</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c r="AF48">
        <f>TYPE(All_India_Index_Upto_April23__1[[#This Row],[Sector]])</f>
        <v>2</v>
      </c>
      <c r="AG48">
        <f>TYPE(All_India_Index_Upto_April23__1[[#This Row],[Year]])</f>
        <v>1</v>
      </c>
      <c r="AH48">
        <f>TYPE(All_India_Index_Upto_April23__1[[#This Row],[Month]])</f>
        <v>2</v>
      </c>
      <c r="AI48">
        <f>TYPE(All_India_Index_Upto_April23__1[[#This Row],[Cereals and products]])</f>
        <v>1</v>
      </c>
      <c r="AJ48">
        <f>TYPE(All_India_Index_Upto_April23__1[[#This Row],[Meat and fish]])</f>
        <v>1</v>
      </c>
      <c r="AK48">
        <f>TYPE(All_India_Index_Upto_April23__1[[#This Row],[Egg]])</f>
        <v>1</v>
      </c>
      <c r="AL48">
        <f>TYPE(All_India_Index_Upto_April23__1[[#This Row],[Milk and products]])</f>
        <v>1</v>
      </c>
      <c r="AM48">
        <f>TYPE(All_India_Index_Upto_April23__1[[#This Row],[Oils and fats]])</f>
        <v>1</v>
      </c>
      <c r="AN48">
        <f>TYPE(All_India_Index_Upto_April23__1[[#This Row],[Fruits]])</f>
        <v>1</v>
      </c>
      <c r="AO48">
        <f>TYPE(All_India_Index_Upto_April23__1[[#This Row],[Vegetables]])</f>
        <v>1</v>
      </c>
      <c r="AP48">
        <f>TYPE(All_India_Index_Upto_April23__1[[#This Row],[Pulses and products]])</f>
        <v>1</v>
      </c>
      <c r="AQ48">
        <f>TYPE(All_India_Index_Upto_April23__1[[#This Row],[Sugar and Confectionery]])</f>
        <v>1</v>
      </c>
      <c r="AR48">
        <f>TYPE(All_India_Index_Upto_April23__1[[#This Row],[Spices]])</f>
        <v>1</v>
      </c>
      <c r="AS48">
        <f>TYPE(All_India_Index_Upto_April23__1[[#This Row],[Non-alcoholic beverages]])</f>
        <v>1</v>
      </c>
      <c r="AT48">
        <f>TYPE(All_India_Index_Upto_April23__1[[#This Row],[Prepared meals, snacks, sweets etc.]])</f>
        <v>1</v>
      </c>
      <c r="AU48">
        <f>TYPE(All_India_Index_Upto_April23__1[[#This Row],[Food and beverages]])</f>
        <v>1</v>
      </c>
      <c r="AV48">
        <f>TYPE(All_India_Index_Upto_April23__1[[#This Row],[Pan, tobacco and intoxicants]])</f>
        <v>1</v>
      </c>
      <c r="AW48">
        <f>TYPE(All_India_Index_Upto_April23__1[[#This Row],[Clothing]])</f>
        <v>1</v>
      </c>
      <c r="AX48">
        <f>TYPE(All_India_Index_Upto_April23__1[[#This Row],[Footwear]])</f>
        <v>1</v>
      </c>
      <c r="AY48">
        <f>TYPE(All_India_Index_Upto_April23__1[[#This Row],[Clothing and footwear]])</f>
        <v>1</v>
      </c>
      <c r="AZ48">
        <f>TYPE(All_India_Index_Upto_April23__1[[#This Row],[Housing]])</f>
        <v>1</v>
      </c>
      <c r="BA48">
        <f>TYPE(All_India_Index_Upto_April23__1[[#This Row],[Fuel and light]])</f>
        <v>1</v>
      </c>
      <c r="BB48">
        <f>TYPE(All_India_Index_Upto_April23__1[[#This Row],[Household goods and services]])</f>
        <v>1</v>
      </c>
      <c r="BC48">
        <f>TYPE(All_India_Index_Upto_April23__1[[#This Row],[Health]])</f>
        <v>1</v>
      </c>
      <c r="BD48">
        <f>TYPE(All_India_Index_Upto_April23__1[[#This Row],[Transport and communication]])</f>
        <v>1</v>
      </c>
      <c r="BE48">
        <f>TYPE(All_India_Index_Upto_April23__1[[#This Row],[Recreation and amusement]])</f>
        <v>1</v>
      </c>
      <c r="BF48">
        <f>TYPE(All_India_Index_Upto_April23__1[[#This Row],[Education]])</f>
        <v>1</v>
      </c>
      <c r="BG48">
        <f>TYPE(All_India_Index_Upto_April23__1[[#This Row],[Personal care and effects]])</f>
        <v>1</v>
      </c>
      <c r="BH48">
        <f>TYPE(All_India_Index_Upto_April23__1[[#This Row],[Miscellaneous]])</f>
        <v>1</v>
      </c>
      <c r="BI48">
        <f>TYPE(All_India_Index_Upto_April23__1[[#This Row],[General index]])</f>
        <v>1</v>
      </c>
    </row>
    <row r="49" spans="1:61" x14ac:dyDescent="0.3">
      <c r="A49" t="s">
        <v>33</v>
      </c>
      <c r="B49">
        <v>2014</v>
      </c>
      <c r="C49" t="s">
        <v>36</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c r="AF49">
        <f>TYPE(All_India_Index_Upto_April23__1[[#This Row],[Sector]])</f>
        <v>2</v>
      </c>
      <c r="AG49">
        <f>TYPE(All_India_Index_Upto_April23__1[[#This Row],[Year]])</f>
        <v>1</v>
      </c>
      <c r="AH49">
        <f>TYPE(All_India_Index_Upto_April23__1[[#This Row],[Month]])</f>
        <v>2</v>
      </c>
      <c r="AI49">
        <f>TYPE(All_India_Index_Upto_April23__1[[#This Row],[Cereals and products]])</f>
        <v>1</v>
      </c>
      <c r="AJ49">
        <f>TYPE(All_India_Index_Upto_April23__1[[#This Row],[Meat and fish]])</f>
        <v>1</v>
      </c>
      <c r="AK49">
        <f>TYPE(All_India_Index_Upto_April23__1[[#This Row],[Egg]])</f>
        <v>1</v>
      </c>
      <c r="AL49">
        <f>TYPE(All_India_Index_Upto_April23__1[[#This Row],[Milk and products]])</f>
        <v>1</v>
      </c>
      <c r="AM49">
        <f>TYPE(All_India_Index_Upto_April23__1[[#This Row],[Oils and fats]])</f>
        <v>1</v>
      </c>
      <c r="AN49">
        <f>TYPE(All_India_Index_Upto_April23__1[[#This Row],[Fruits]])</f>
        <v>1</v>
      </c>
      <c r="AO49">
        <f>TYPE(All_India_Index_Upto_April23__1[[#This Row],[Vegetables]])</f>
        <v>1</v>
      </c>
      <c r="AP49">
        <f>TYPE(All_India_Index_Upto_April23__1[[#This Row],[Pulses and products]])</f>
        <v>1</v>
      </c>
      <c r="AQ49">
        <f>TYPE(All_India_Index_Upto_April23__1[[#This Row],[Sugar and Confectionery]])</f>
        <v>1</v>
      </c>
      <c r="AR49">
        <f>TYPE(All_India_Index_Upto_April23__1[[#This Row],[Spices]])</f>
        <v>1</v>
      </c>
      <c r="AS49">
        <f>TYPE(All_India_Index_Upto_April23__1[[#This Row],[Non-alcoholic beverages]])</f>
        <v>1</v>
      </c>
      <c r="AT49">
        <f>TYPE(All_India_Index_Upto_April23__1[[#This Row],[Prepared meals, snacks, sweets etc.]])</f>
        <v>1</v>
      </c>
      <c r="AU49">
        <f>TYPE(All_India_Index_Upto_April23__1[[#This Row],[Food and beverages]])</f>
        <v>1</v>
      </c>
      <c r="AV49">
        <f>TYPE(All_India_Index_Upto_April23__1[[#This Row],[Pan, tobacco and intoxicants]])</f>
        <v>1</v>
      </c>
      <c r="AW49">
        <f>TYPE(All_India_Index_Upto_April23__1[[#This Row],[Clothing]])</f>
        <v>1</v>
      </c>
      <c r="AX49">
        <f>TYPE(All_India_Index_Upto_April23__1[[#This Row],[Footwear]])</f>
        <v>1</v>
      </c>
      <c r="AY49">
        <f>TYPE(All_India_Index_Upto_April23__1[[#This Row],[Clothing and footwear]])</f>
        <v>1</v>
      </c>
      <c r="AZ49">
        <f>TYPE(All_India_Index_Upto_April23__1[[#This Row],[Housing]])</f>
        <v>1</v>
      </c>
      <c r="BA49">
        <f>TYPE(All_India_Index_Upto_April23__1[[#This Row],[Fuel and light]])</f>
        <v>1</v>
      </c>
      <c r="BB49">
        <f>TYPE(All_India_Index_Upto_April23__1[[#This Row],[Household goods and services]])</f>
        <v>1</v>
      </c>
      <c r="BC49">
        <f>TYPE(All_India_Index_Upto_April23__1[[#This Row],[Health]])</f>
        <v>1</v>
      </c>
      <c r="BD49">
        <f>TYPE(All_India_Index_Upto_April23__1[[#This Row],[Transport and communication]])</f>
        <v>1</v>
      </c>
      <c r="BE49">
        <f>TYPE(All_India_Index_Upto_April23__1[[#This Row],[Recreation and amusement]])</f>
        <v>1</v>
      </c>
      <c r="BF49">
        <f>TYPE(All_India_Index_Upto_April23__1[[#This Row],[Education]])</f>
        <v>1</v>
      </c>
      <c r="BG49">
        <f>TYPE(All_India_Index_Upto_April23__1[[#This Row],[Personal care and effects]])</f>
        <v>1</v>
      </c>
      <c r="BH49">
        <f>TYPE(All_India_Index_Upto_April23__1[[#This Row],[Miscellaneous]])</f>
        <v>1</v>
      </c>
      <c r="BI49">
        <f>TYPE(All_India_Index_Upto_April23__1[[#This Row],[General index]])</f>
        <v>1</v>
      </c>
    </row>
    <row r="50" spans="1:61" x14ac:dyDescent="0.3">
      <c r="A50" t="s">
        <v>30</v>
      </c>
      <c r="B50">
        <v>2014</v>
      </c>
      <c r="C50" t="s">
        <v>37</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v>0</v>
      </c>
      <c r="V50">
        <v>113.4</v>
      </c>
      <c r="W50">
        <v>114.1</v>
      </c>
      <c r="X50">
        <v>112.1</v>
      </c>
      <c r="Y50">
        <v>111.4</v>
      </c>
      <c r="Z50">
        <v>110.9</v>
      </c>
      <c r="AA50">
        <v>113.1</v>
      </c>
      <c r="AB50">
        <v>108.9</v>
      </c>
      <c r="AC50">
        <v>111.8</v>
      </c>
      <c r="AD50">
        <v>116</v>
      </c>
      <c r="AF50">
        <f>TYPE(All_India_Index_Upto_April23__1[[#This Row],[Sector]])</f>
        <v>2</v>
      </c>
      <c r="AG50">
        <f>TYPE(All_India_Index_Upto_April23__1[[#This Row],[Year]])</f>
        <v>1</v>
      </c>
      <c r="AH50">
        <f>TYPE(All_India_Index_Upto_April23__1[[#This Row],[Month]])</f>
        <v>2</v>
      </c>
      <c r="AI50">
        <f>TYPE(All_India_Index_Upto_April23__1[[#This Row],[Cereals and products]])</f>
        <v>1</v>
      </c>
      <c r="AJ50">
        <f>TYPE(All_India_Index_Upto_April23__1[[#This Row],[Meat and fish]])</f>
        <v>1</v>
      </c>
      <c r="AK50">
        <f>TYPE(All_India_Index_Upto_April23__1[[#This Row],[Egg]])</f>
        <v>1</v>
      </c>
      <c r="AL50">
        <f>TYPE(All_India_Index_Upto_April23__1[[#This Row],[Milk and products]])</f>
        <v>1</v>
      </c>
      <c r="AM50">
        <f>TYPE(All_India_Index_Upto_April23__1[[#This Row],[Oils and fats]])</f>
        <v>1</v>
      </c>
      <c r="AN50">
        <f>TYPE(All_India_Index_Upto_April23__1[[#This Row],[Fruits]])</f>
        <v>1</v>
      </c>
      <c r="AO50">
        <f>TYPE(All_India_Index_Upto_April23__1[[#This Row],[Vegetables]])</f>
        <v>1</v>
      </c>
      <c r="AP50">
        <f>TYPE(All_India_Index_Upto_April23__1[[#This Row],[Pulses and products]])</f>
        <v>1</v>
      </c>
      <c r="AQ50">
        <f>TYPE(All_India_Index_Upto_April23__1[[#This Row],[Sugar and Confectionery]])</f>
        <v>1</v>
      </c>
      <c r="AR50">
        <f>TYPE(All_India_Index_Upto_April23__1[[#This Row],[Spices]])</f>
        <v>1</v>
      </c>
      <c r="AS50">
        <f>TYPE(All_India_Index_Upto_April23__1[[#This Row],[Non-alcoholic beverages]])</f>
        <v>1</v>
      </c>
      <c r="AT50">
        <f>TYPE(All_India_Index_Upto_April23__1[[#This Row],[Prepared meals, snacks, sweets etc.]])</f>
        <v>1</v>
      </c>
      <c r="AU50">
        <f>TYPE(All_India_Index_Upto_April23__1[[#This Row],[Food and beverages]])</f>
        <v>1</v>
      </c>
      <c r="AV50">
        <f>TYPE(All_India_Index_Upto_April23__1[[#This Row],[Pan, tobacco and intoxicants]])</f>
        <v>1</v>
      </c>
      <c r="AW50">
        <f>TYPE(All_India_Index_Upto_April23__1[[#This Row],[Clothing]])</f>
        <v>1</v>
      </c>
      <c r="AX50">
        <f>TYPE(All_India_Index_Upto_April23__1[[#This Row],[Footwear]])</f>
        <v>1</v>
      </c>
      <c r="AY50">
        <f>TYPE(All_India_Index_Upto_April23__1[[#This Row],[Clothing and footwear]])</f>
        <v>1</v>
      </c>
      <c r="AZ50">
        <f>TYPE(All_India_Index_Upto_April23__1[[#This Row],[Housing]])</f>
        <v>1</v>
      </c>
      <c r="BA50">
        <f>TYPE(All_India_Index_Upto_April23__1[[#This Row],[Fuel and light]])</f>
        <v>1</v>
      </c>
      <c r="BB50">
        <f>TYPE(All_India_Index_Upto_April23__1[[#This Row],[Household goods and services]])</f>
        <v>1</v>
      </c>
      <c r="BC50">
        <f>TYPE(All_India_Index_Upto_April23__1[[#This Row],[Health]])</f>
        <v>1</v>
      </c>
      <c r="BD50">
        <f>TYPE(All_India_Index_Upto_April23__1[[#This Row],[Transport and communication]])</f>
        <v>1</v>
      </c>
      <c r="BE50">
        <f>TYPE(All_India_Index_Upto_April23__1[[#This Row],[Recreation and amusement]])</f>
        <v>1</v>
      </c>
      <c r="BF50">
        <f>TYPE(All_India_Index_Upto_April23__1[[#This Row],[Education]])</f>
        <v>1</v>
      </c>
      <c r="BG50">
        <f>TYPE(All_India_Index_Upto_April23__1[[#This Row],[Personal care and effects]])</f>
        <v>1</v>
      </c>
      <c r="BH50">
        <f>TYPE(All_India_Index_Upto_April23__1[[#This Row],[Miscellaneous]])</f>
        <v>1</v>
      </c>
      <c r="BI50">
        <f>TYPE(All_India_Index_Upto_April23__1[[#This Row],[General index]])</f>
        <v>1</v>
      </c>
    </row>
    <row r="51" spans="1:61" x14ac:dyDescent="0.3">
      <c r="A51" t="s">
        <v>32</v>
      </c>
      <c r="B51">
        <v>2014</v>
      </c>
      <c r="C51" t="s">
        <v>37</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c r="AF51">
        <f>TYPE(All_India_Index_Upto_April23__1[[#This Row],[Sector]])</f>
        <v>2</v>
      </c>
      <c r="AG51">
        <f>TYPE(All_India_Index_Upto_April23__1[[#This Row],[Year]])</f>
        <v>1</v>
      </c>
      <c r="AH51">
        <f>TYPE(All_India_Index_Upto_April23__1[[#This Row],[Month]])</f>
        <v>2</v>
      </c>
      <c r="AI51">
        <f>TYPE(All_India_Index_Upto_April23__1[[#This Row],[Cereals and products]])</f>
        <v>1</v>
      </c>
      <c r="AJ51">
        <f>TYPE(All_India_Index_Upto_April23__1[[#This Row],[Meat and fish]])</f>
        <v>1</v>
      </c>
      <c r="AK51">
        <f>TYPE(All_India_Index_Upto_April23__1[[#This Row],[Egg]])</f>
        <v>1</v>
      </c>
      <c r="AL51">
        <f>TYPE(All_India_Index_Upto_April23__1[[#This Row],[Milk and products]])</f>
        <v>1</v>
      </c>
      <c r="AM51">
        <f>TYPE(All_India_Index_Upto_April23__1[[#This Row],[Oils and fats]])</f>
        <v>1</v>
      </c>
      <c r="AN51">
        <f>TYPE(All_India_Index_Upto_April23__1[[#This Row],[Fruits]])</f>
        <v>1</v>
      </c>
      <c r="AO51">
        <f>TYPE(All_India_Index_Upto_April23__1[[#This Row],[Vegetables]])</f>
        <v>1</v>
      </c>
      <c r="AP51">
        <f>TYPE(All_India_Index_Upto_April23__1[[#This Row],[Pulses and products]])</f>
        <v>1</v>
      </c>
      <c r="AQ51">
        <f>TYPE(All_India_Index_Upto_April23__1[[#This Row],[Sugar and Confectionery]])</f>
        <v>1</v>
      </c>
      <c r="AR51">
        <f>TYPE(All_India_Index_Upto_April23__1[[#This Row],[Spices]])</f>
        <v>1</v>
      </c>
      <c r="AS51">
        <f>TYPE(All_India_Index_Upto_April23__1[[#This Row],[Non-alcoholic beverages]])</f>
        <v>1</v>
      </c>
      <c r="AT51">
        <f>TYPE(All_India_Index_Upto_April23__1[[#This Row],[Prepared meals, snacks, sweets etc.]])</f>
        <v>1</v>
      </c>
      <c r="AU51">
        <f>TYPE(All_India_Index_Upto_April23__1[[#This Row],[Food and beverages]])</f>
        <v>1</v>
      </c>
      <c r="AV51">
        <f>TYPE(All_India_Index_Upto_April23__1[[#This Row],[Pan, tobacco and intoxicants]])</f>
        <v>1</v>
      </c>
      <c r="AW51">
        <f>TYPE(All_India_Index_Upto_April23__1[[#This Row],[Clothing]])</f>
        <v>1</v>
      </c>
      <c r="AX51">
        <f>TYPE(All_India_Index_Upto_April23__1[[#This Row],[Footwear]])</f>
        <v>1</v>
      </c>
      <c r="AY51">
        <f>TYPE(All_India_Index_Upto_April23__1[[#This Row],[Clothing and footwear]])</f>
        <v>1</v>
      </c>
      <c r="AZ51">
        <f>TYPE(All_India_Index_Upto_April23__1[[#This Row],[Housing]])</f>
        <v>1</v>
      </c>
      <c r="BA51">
        <f>TYPE(All_India_Index_Upto_April23__1[[#This Row],[Fuel and light]])</f>
        <v>1</v>
      </c>
      <c r="BB51">
        <f>TYPE(All_India_Index_Upto_April23__1[[#This Row],[Household goods and services]])</f>
        <v>1</v>
      </c>
      <c r="BC51">
        <f>TYPE(All_India_Index_Upto_April23__1[[#This Row],[Health]])</f>
        <v>1</v>
      </c>
      <c r="BD51">
        <f>TYPE(All_India_Index_Upto_April23__1[[#This Row],[Transport and communication]])</f>
        <v>1</v>
      </c>
      <c r="BE51">
        <f>TYPE(All_India_Index_Upto_April23__1[[#This Row],[Recreation and amusement]])</f>
        <v>1</v>
      </c>
      <c r="BF51">
        <f>TYPE(All_India_Index_Upto_April23__1[[#This Row],[Education]])</f>
        <v>1</v>
      </c>
      <c r="BG51">
        <f>TYPE(All_India_Index_Upto_April23__1[[#This Row],[Personal care and effects]])</f>
        <v>1</v>
      </c>
      <c r="BH51">
        <f>TYPE(All_India_Index_Upto_April23__1[[#This Row],[Miscellaneous]])</f>
        <v>1</v>
      </c>
      <c r="BI51">
        <f>TYPE(All_India_Index_Upto_April23__1[[#This Row],[General index]])</f>
        <v>1</v>
      </c>
    </row>
    <row r="52" spans="1:61" x14ac:dyDescent="0.3">
      <c r="A52" t="s">
        <v>33</v>
      </c>
      <c r="B52">
        <v>2014</v>
      </c>
      <c r="C52" t="s">
        <v>37</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c r="AF52">
        <f>TYPE(All_India_Index_Upto_April23__1[[#This Row],[Sector]])</f>
        <v>2</v>
      </c>
      <c r="AG52">
        <f>TYPE(All_India_Index_Upto_April23__1[[#This Row],[Year]])</f>
        <v>1</v>
      </c>
      <c r="AH52">
        <f>TYPE(All_India_Index_Upto_April23__1[[#This Row],[Month]])</f>
        <v>2</v>
      </c>
      <c r="AI52">
        <f>TYPE(All_India_Index_Upto_April23__1[[#This Row],[Cereals and products]])</f>
        <v>1</v>
      </c>
      <c r="AJ52">
        <f>TYPE(All_India_Index_Upto_April23__1[[#This Row],[Meat and fish]])</f>
        <v>1</v>
      </c>
      <c r="AK52">
        <f>TYPE(All_India_Index_Upto_April23__1[[#This Row],[Egg]])</f>
        <v>1</v>
      </c>
      <c r="AL52">
        <f>TYPE(All_India_Index_Upto_April23__1[[#This Row],[Milk and products]])</f>
        <v>1</v>
      </c>
      <c r="AM52">
        <f>TYPE(All_India_Index_Upto_April23__1[[#This Row],[Oils and fats]])</f>
        <v>1</v>
      </c>
      <c r="AN52">
        <f>TYPE(All_India_Index_Upto_April23__1[[#This Row],[Fruits]])</f>
        <v>1</v>
      </c>
      <c r="AO52">
        <f>TYPE(All_India_Index_Upto_April23__1[[#This Row],[Vegetables]])</f>
        <v>1</v>
      </c>
      <c r="AP52">
        <f>TYPE(All_India_Index_Upto_April23__1[[#This Row],[Pulses and products]])</f>
        <v>1</v>
      </c>
      <c r="AQ52">
        <f>TYPE(All_India_Index_Upto_April23__1[[#This Row],[Sugar and Confectionery]])</f>
        <v>1</v>
      </c>
      <c r="AR52">
        <f>TYPE(All_India_Index_Upto_April23__1[[#This Row],[Spices]])</f>
        <v>1</v>
      </c>
      <c r="AS52">
        <f>TYPE(All_India_Index_Upto_April23__1[[#This Row],[Non-alcoholic beverages]])</f>
        <v>1</v>
      </c>
      <c r="AT52">
        <f>TYPE(All_India_Index_Upto_April23__1[[#This Row],[Prepared meals, snacks, sweets etc.]])</f>
        <v>1</v>
      </c>
      <c r="AU52">
        <f>TYPE(All_India_Index_Upto_April23__1[[#This Row],[Food and beverages]])</f>
        <v>1</v>
      </c>
      <c r="AV52">
        <f>TYPE(All_India_Index_Upto_April23__1[[#This Row],[Pan, tobacco and intoxicants]])</f>
        <v>1</v>
      </c>
      <c r="AW52">
        <f>TYPE(All_India_Index_Upto_April23__1[[#This Row],[Clothing]])</f>
        <v>1</v>
      </c>
      <c r="AX52">
        <f>TYPE(All_India_Index_Upto_April23__1[[#This Row],[Footwear]])</f>
        <v>1</v>
      </c>
      <c r="AY52">
        <f>TYPE(All_India_Index_Upto_April23__1[[#This Row],[Clothing and footwear]])</f>
        <v>1</v>
      </c>
      <c r="AZ52">
        <f>TYPE(All_India_Index_Upto_April23__1[[#This Row],[Housing]])</f>
        <v>1</v>
      </c>
      <c r="BA52">
        <f>TYPE(All_India_Index_Upto_April23__1[[#This Row],[Fuel and light]])</f>
        <v>1</v>
      </c>
      <c r="BB52">
        <f>TYPE(All_India_Index_Upto_April23__1[[#This Row],[Household goods and services]])</f>
        <v>1</v>
      </c>
      <c r="BC52">
        <f>TYPE(All_India_Index_Upto_April23__1[[#This Row],[Health]])</f>
        <v>1</v>
      </c>
      <c r="BD52">
        <f>TYPE(All_India_Index_Upto_April23__1[[#This Row],[Transport and communication]])</f>
        <v>1</v>
      </c>
      <c r="BE52">
        <f>TYPE(All_India_Index_Upto_April23__1[[#This Row],[Recreation and amusement]])</f>
        <v>1</v>
      </c>
      <c r="BF52">
        <f>TYPE(All_India_Index_Upto_April23__1[[#This Row],[Education]])</f>
        <v>1</v>
      </c>
      <c r="BG52">
        <f>TYPE(All_India_Index_Upto_April23__1[[#This Row],[Personal care and effects]])</f>
        <v>1</v>
      </c>
      <c r="BH52">
        <f>TYPE(All_India_Index_Upto_April23__1[[#This Row],[Miscellaneous]])</f>
        <v>1</v>
      </c>
      <c r="BI52">
        <f>TYPE(All_India_Index_Upto_April23__1[[#This Row],[General index]])</f>
        <v>1</v>
      </c>
    </row>
    <row r="53" spans="1:61" x14ac:dyDescent="0.3">
      <c r="A53" t="s">
        <v>30</v>
      </c>
      <c r="B53">
        <v>2014</v>
      </c>
      <c r="C53" t="s">
        <v>38</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v>0</v>
      </c>
      <c r="V53">
        <v>114.4</v>
      </c>
      <c r="W53">
        <v>114.9</v>
      </c>
      <c r="X53">
        <v>112.8</v>
      </c>
      <c r="Y53">
        <v>112.2</v>
      </c>
      <c r="Z53">
        <v>111.4</v>
      </c>
      <c r="AA53">
        <v>114.3</v>
      </c>
      <c r="AB53">
        <v>108</v>
      </c>
      <c r="AC53">
        <v>112.3</v>
      </c>
      <c r="AD53">
        <v>117</v>
      </c>
      <c r="AF53">
        <f>TYPE(All_India_Index_Upto_April23__1[[#This Row],[Sector]])</f>
        <v>2</v>
      </c>
      <c r="AG53">
        <f>TYPE(All_India_Index_Upto_April23__1[[#This Row],[Year]])</f>
        <v>1</v>
      </c>
      <c r="AH53">
        <f>TYPE(All_India_Index_Upto_April23__1[[#This Row],[Month]])</f>
        <v>2</v>
      </c>
      <c r="AI53">
        <f>TYPE(All_India_Index_Upto_April23__1[[#This Row],[Cereals and products]])</f>
        <v>1</v>
      </c>
      <c r="AJ53">
        <f>TYPE(All_India_Index_Upto_April23__1[[#This Row],[Meat and fish]])</f>
        <v>1</v>
      </c>
      <c r="AK53">
        <f>TYPE(All_India_Index_Upto_April23__1[[#This Row],[Egg]])</f>
        <v>1</v>
      </c>
      <c r="AL53">
        <f>TYPE(All_India_Index_Upto_April23__1[[#This Row],[Milk and products]])</f>
        <v>1</v>
      </c>
      <c r="AM53">
        <f>TYPE(All_India_Index_Upto_April23__1[[#This Row],[Oils and fats]])</f>
        <v>1</v>
      </c>
      <c r="AN53">
        <f>TYPE(All_India_Index_Upto_April23__1[[#This Row],[Fruits]])</f>
        <v>1</v>
      </c>
      <c r="AO53">
        <f>TYPE(All_India_Index_Upto_April23__1[[#This Row],[Vegetables]])</f>
        <v>1</v>
      </c>
      <c r="AP53">
        <f>TYPE(All_India_Index_Upto_April23__1[[#This Row],[Pulses and products]])</f>
        <v>1</v>
      </c>
      <c r="AQ53">
        <f>TYPE(All_India_Index_Upto_April23__1[[#This Row],[Sugar and Confectionery]])</f>
        <v>1</v>
      </c>
      <c r="AR53">
        <f>TYPE(All_India_Index_Upto_April23__1[[#This Row],[Spices]])</f>
        <v>1</v>
      </c>
      <c r="AS53">
        <f>TYPE(All_India_Index_Upto_April23__1[[#This Row],[Non-alcoholic beverages]])</f>
        <v>1</v>
      </c>
      <c r="AT53">
        <f>TYPE(All_India_Index_Upto_April23__1[[#This Row],[Prepared meals, snacks, sweets etc.]])</f>
        <v>1</v>
      </c>
      <c r="AU53">
        <f>TYPE(All_India_Index_Upto_April23__1[[#This Row],[Food and beverages]])</f>
        <v>1</v>
      </c>
      <c r="AV53">
        <f>TYPE(All_India_Index_Upto_April23__1[[#This Row],[Pan, tobacco and intoxicants]])</f>
        <v>1</v>
      </c>
      <c r="AW53">
        <f>TYPE(All_India_Index_Upto_April23__1[[#This Row],[Clothing]])</f>
        <v>1</v>
      </c>
      <c r="AX53">
        <f>TYPE(All_India_Index_Upto_April23__1[[#This Row],[Footwear]])</f>
        <v>1</v>
      </c>
      <c r="AY53">
        <f>TYPE(All_India_Index_Upto_April23__1[[#This Row],[Clothing and footwear]])</f>
        <v>1</v>
      </c>
      <c r="AZ53">
        <f>TYPE(All_India_Index_Upto_April23__1[[#This Row],[Housing]])</f>
        <v>1</v>
      </c>
      <c r="BA53">
        <f>TYPE(All_India_Index_Upto_April23__1[[#This Row],[Fuel and light]])</f>
        <v>1</v>
      </c>
      <c r="BB53">
        <f>TYPE(All_India_Index_Upto_April23__1[[#This Row],[Household goods and services]])</f>
        <v>1</v>
      </c>
      <c r="BC53">
        <f>TYPE(All_India_Index_Upto_April23__1[[#This Row],[Health]])</f>
        <v>1</v>
      </c>
      <c r="BD53">
        <f>TYPE(All_India_Index_Upto_April23__1[[#This Row],[Transport and communication]])</f>
        <v>1</v>
      </c>
      <c r="BE53">
        <f>TYPE(All_India_Index_Upto_April23__1[[#This Row],[Recreation and amusement]])</f>
        <v>1</v>
      </c>
      <c r="BF53">
        <f>TYPE(All_India_Index_Upto_April23__1[[#This Row],[Education]])</f>
        <v>1</v>
      </c>
      <c r="BG53">
        <f>TYPE(All_India_Index_Upto_April23__1[[#This Row],[Personal care and effects]])</f>
        <v>1</v>
      </c>
      <c r="BH53">
        <f>TYPE(All_India_Index_Upto_April23__1[[#This Row],[Miscellaneous]])</f>
        <v>1</v>
      </c>
      <c r="BI53">
        <f>TYPE(All_India_Index_Upto_April23__1[[#This Row],[General index]])</f>
        <v>1</v>
      </c>
    </row>
    <row r="54" spans="1:61" x14ac:dyDescent="0.3">
      <c r="A54" t="s">
        <v>32</v>
      </c>
      <c r="B54">
        <v>2014</v>
      </c>
      <c r="C54" t="s">
        <v>38</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c r="AF54">
        <f>TYPE(All_India_Index_Upto_April23__1[[#This Row],[Sector]])</f>
        <v>2</v>
      </c>
      <c r="AG54">
        <f>TYPE(All_India_Index_Upto_April23__1[[#This Row],[Year]])</f>
        <v>1</v>
      </c>
      <c r="AH54">
        <f>TYPE(All_India_Index_Upto_April23__1[[#This Row],[Month]])</f>
        <v>2</v>
      </c>
      <c r="AI54">
        <f>TYPE(All_India_Index_Upto_April23__1[[#This Row],[Cereals and products]])</f>
        <v>1</v>
      </c>
      <c r="AJ54">
        <f>TYPE(All_India_Index_Upto_April23__1[[#This Row],[Meat and fish]])</f>
        <v>1</v>
      </c>
      <c r="AK54">
        <f>TYPE(All_India_Index_Upto_April23__1[[#This Row],[Egg]])</f>
        <v>1</v>
      </c>
      <c r="AL54">
        <f>TYPE(All_India_Index_Upto_April23__1[[#This Row],[Milk and products]])</f>
        <v>1</v>
      </c>
      <c r="AM54">
        <f>TYPE(All_India_Index_Upto_April23__1[[#This Row],[Oils and fats]])</f>
        <v>1</v>
      </c>
      <c r="AN54">
        <f>TYPE(All_India_Index_Upto_April23__1[[#This Row],[Fruits]])</f>
        <v>1</v>
      </c>
      <c r="AO54">
        <f>TYPE(All_India_Index_Upto_April23__1[[#This Row],[Vegetables]])</f>
        <v>1</v>
      </c>
      <c r="AP54">
        <f>TYPE(All_India_Index_Upto_April23__1[[#This Row],[Pulses and products]])</f>
        <v>1</v>
      </c>
      <c r="AQ54">
        <f>TYPE(All_India_Index_Upto_April23__1[[#This Row],[Sugar and Confectionery]])</f>
        <v>1</v>
      </c>
      <c r="AR54">
        <f>TYPE(All_India_Index_Upto_April23__1[[#This Row],[Spices]])</f>
        <v>1</v>
      </c>
      <c r="AS54">
        <f>TYPE(All_India_Index_Upto_April23__1[[#This Row],[Non-alcoholic beverages]])</f>
        <v>1</v>
      </c>
      <c r="AT54">
        <f>TYPE(All_India_Index_Upto_April23__1[[#This Row],[Prepared meals, snacks, sweets etc.]])</f>
        <v>1</v>
      </c>
      <c r="AU54">
        <f>TYPE(All_India_Index_Upto_April23__1[[#This Row],[Food and beverages]])</f>
        <v>1</v>
      </c>
      <c r="AV54">
        <f>TYPE(All_India_Index_Upto_April23__1[[#This Row],[Pan, tobacco and intoxicants]])</f>
        <v>1</v>
      </c>
      <c r="AW54">
        <f>TYPE(All_India_Index_Upto_April23__1[[#This Row],[Clothing]])</f>
        <v>1</v>
      </c>
      <c r="AX54">
        <f>TYPE(All_India_Index_Upto_April23__1[[#This Row],[Footwear]])</f>
        <v>1</v>
      </c>
      <c r="AY54">
        <f>TYPE(All_India_Index_Upto_April23__1[[#This Row],[Clothing and footwear]])</f>
        <v>1</v>
      </c>
      <c r="AZ54">
        <f>TYPE(All_India_Index_Upto_April23__1[[#This Row],[Housing]])</f>
        <v>1</v>
      </c>
      <c r="BA54">
        <f>TYPE(All_India_Index_Upto_April23__1[[#This Row],[Fuel and light]])</f>
        <v>1</v>
      </c>
      <c r="BB54">
        <f>TYPE(All_India_Index_Upto_April23__1[[#This Row],[Household goods and services]])</f>
        <v>1</v>
      </c>
      <c r="BC54">
        <f>TYPE(All_India_Index_Upto_April23__1[[#This Row],[Health]])</f>
        <v>1</v>
      </c>
      <c r="BD54">
        <f>TYPE(All_India_Index_Upto_April23__1[[#This Row],[Transport and communication]])</f>
        <v>1</v>
      </c>
      <c r="BE54">
        <f>TYPE(All_India_Index_Upto_April23__1[[#This Row],[Recreation and amusement]])</f>
        <v>1</v>
      </c>
      <c r="BF54">
        <f>TYPE(All_India_Index_Upto_April23__1[[#This Row],[Education]])</f>
        <v>1</v>
      </c>
      <c r="BG54">
        <f>TYPE(All_India_Index_Upto_April23__1[[#This Row],[Personal care and effects]])</f>
        <v>1</v>
      </c>
      <c r="BH54">
        <f>TYPE(All_India_Index_Upto_April23__1[[#This Row],[Miscellaneous]])</f>
        <v>1</v>
      </c>
      <c r="BI54">
        <f>TYPE(All_India_Index_Upto_April23__1[[#This Row],[General index]])</f>
        <v>1</v>
      </c>
    </row>
    <row r="55" spans="1:61" x14ac:dyDescent="0.3">
      <c r="A55" t="s">
        <v>33</v>
      </c>
      <c r="B55">
        <v>2014</v>
      </c>
      <c r="C55" t="s">
        <v>38</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c r="AF55">
        <f>TYPE(All_India_Index_Upto_April23__1[[#This Row],[Sector]])</f>
        <v>2</v>
      </c>
      <c r="AG55">
        <f>TYPE(All_India_Index_Upto_April23__1[[#This Row],[Year]])</f>
        <v>1</v>
      </c>
      <c r="AH55">
        <f>TYPE(All_India_Index_Upto_April23__1[[#This Row],[Month]])</f>
        <v>2</v>
      </c>
      <c r="AI55">
        <f>TYPE(All_India_Index_Upto_April23__1[[#This Row],[Cereals and products]])</f>
        <v>1</v>
      </c>
      <c r="AJ55">
        <f>TYPE(All_India_Index_Upto_April23__1[[#This Row],[Meat and fish]])</f>
        <v>1</v>
      </c>
      <c r="AK55">
        <f>TYPE(All_India_Index_Upto_April23__1[[#This Row],[Egg]])</f>
        <v>1</v>
      </c>
      <c r="AL55">
        <f>TYPE(All_India_Index_Upto_April23__1[[#This Row],[Milk and products]])</f>
        <v>1</v>
      </c>
      <c r="AM55">
        <f>TYPE(All_India_Index_Upto_April23__1[[#This Row],[Oils and fats]])</f>
        <v>1</v>
      </c>
      <c r="AN55">
        <f>TYPE(All_India_Index_Upto_April23__1[[#This Row],[Fruits]])</f>
        <v>1</v>
      </c>
      <c r="AO55">
        <f>TYPE(All_India_Index_Upto_April23__1[[#This Row],[Vegetables]])</f>
        <v>1</v>
      </c>
      <c r="AP55">
        <f>TYPE(All_India_Index_Upto_April23__1[[#This Row],[Pulses and products]])</f>
        <v>1</v>
      </c>
      <c r="AQ55">
        <f>TYPE(All_India_Index_Upto_April23__1[[#This Row],[Sugar and Confectionery]])</f>
        <v>1</v>
      </c>
      <c r="AR55">
        <f>TYPE(All_India_Index_Upto_April23__1[[#This Row],[Spices]])</f>
        <v>1</v>
      </c>
      <c r="AS55">
        <f>TYPE(All_India_Index_Upto_April23__1[[#This Row],[Non-alcoholic beverages]])</f>
        <v>1</v>
      </c>
      <c r="AT55">
        <f>TYPE(All_India_Index_Upto_April23__1[[#This Row],[Prepared meals, snacks, sweets etc.]])</f>
        <v>1</v>
      </c>
      <c r="AU55">
        <f>TYPE(All_India_Index_Upto_April23__1[[#This Row],[Food and beverages]])</f>
        <v>1</v>
      </c>
      <c r="AV55">
        <f>TYPE(All_India_Index_Upto_April23__1[[#This Row],[Pan, tobacco and intoxicants]])</f>
        <v>1</v>
      </c>
      <c r="AW55">
        <f>TYPE(All_India_Index_Upto_April23__1[[#This Row],[Clothing]])</f>
        <v>1</v>
      </c>
      <c r="AX55">
        <f>TYPE(All_India_Index_Upto_April23__1[[#This Row],[Footwear]])</f>
        <v>1</v>
      </c>
      <c r="AY55">
        <f>TYPE(All_India_Index_Upto_April23__1[[#This Row],[Clothing and footwear]])</f>
        <v>1</v>
      </c>
      <c r="AZ55">
        <f>TYPE(All_India_Index_Upto_April23__1[[#This Row],[Housing]])</f>
        <v>1</v>
      </c>
      <c r="BA55">
        <f>TYPE(All_India_Index_Upto_April23__1[[#This Row],[Fuel and light]])</f>
        <v>1</v>
      </c>
      <c r="BB55">
        <f>TYPE(All_India_Index_Upto_April23__1[[#This Row],[Household goods and services]])</f>
        <v>1</v>
      </c>
      <c r="BC55">
        <f>TYPE(All_India_Index_Upto_April23__1[[#This Row],[Health]])</f>
        <v>1</v>
      </c>
      <c r="BD55">
        <f>TYPE(All_India_Index_Upto_April23__1[[#This Row],[Transport and communication]])</f>
        <v>1</v>
      </c>
      <c r="BE55">
        <f>TYPE(All_India_Index_Upto_April23__1[[#This Row],[Recreation and amusement]])</f>
        <v>1</v>
      </c>
      <c r="BF55">
        <f>TYPE(All_India_Index_Upto_April23__1[[#This Row],[Education]])</f>
        <v>1</v>
      </c>
      <c r="BG55">
        <f>TYPE(All_India_Index_Upto_April23__1[[#This Row],[Personal care and effects]])</f>
        <v>1</v>
      </c>
      <c r="BH55">
        <f>TYPE(All_India_Index_Upto_April23__1[[#This Row],[Miscellaneous]])</f>
        <v>1</v>
      </c>
      <c r="BI55">
        <f>TYPE(All_India_Index_Upto_April23__1[[#This Row],[General index]])</f>
        <v>1</v>
      </c>
    </row>
    <row r="56" spans="1:61" x14ac:dyDescent="0.3">
      <c r="A56" t="s">
        <v>30</v>
      </c>
      <c r="B56">
        <v>2014</v>
      </c>
      <c r="C56" t="s">
        <v>39</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v>0</v>
      </c>
      <c r="V56">
        <v>115.3</v>
      </c>
      <c r="W56">
        <v>115.4</v>
      </c>
      <c r="X56">
        <v>113.4</v>
      </c>
      <c r="Y56">
        <v>113.2</v>
      </c>
      <c r="Z56">
        <v>111.8</v>
      </c>
      <c r="AA56">
        <v>115.5</v>
      </c>
      <c r="AB56">
        <v>108.8</v>
      </c>
      <c r="AC56">
        <v>113.1</v>
      </c>
      <c r="AD56">
        <v>119.5</v>
      </c>
      <c r="AF56">
        <f>TYPE(All_India_Index_Upto_April23__1[[#This Row],[Sector]])</f>
        <v>2</v>
      </c>
      <c r="AG56">
        <f>TYPE(All_India_Index_Upto_April23__1[[#This Row],[Year]])</f>
        <v>1</v>
      </c>
      <c r="AH56">
        <f>TYPE(All_India_Index_Upto_April23__1[[#This Row],[Month]])</f>
        <v>2</v>
      </c>
      <c r="AI56">
        <f>TYPE(All_India_Index_Upto_April23__1[[#This Row],[Cereals and products]])</f>
        <v>1</v>
      </c>
      <c r="AJ56">
        <f>TYPE(All_India_Index_Upto_April23__1[[#This Row],[Meat and fish]])</f>
        <v>1</v>
      </c>
      <c r="AK56">
        <f>TYPE(All_India_Index_Upto_April23__1[[#This Row],[Egg]])</f>
        <v>1</v>
      </c>
      <c r="AL56">
        <f>TYPE(All_India_Index_Upto_April23__1[[#This Row],[Milk and products]])</f>
        <v>1</v>
      </c>
      <c r="AM56">
        <f>TYPE(All_India_Index_Upto_April23__1[[#This Row],[Oils and fats]])</f>
        <v>1</v>
      </c>
      <c r="AN56">
        <f>TYPE(All_India_Index_Upto_April23__1[[#This Row],[Fruits]])</f>
        <v>1</v>
      </c>
      <c r="AO56">
        <f>TYPE(All_India_Index_Upto_April23__1[[#This Row],[Vegetables]])</f>
        <v>1</v>
      </c>
      <c r="AP56">
        <f>TYPE(All_India_Index_Upto_April23__1[[#This Row],[Pulses and products]])</f>
        <v>1</v>
      </c>
      <c r="AQ56">
        <f>TYPE(All_India_Index_Upto_April23__1[[#This Row],[Sugar and Confectionery]])</f>
        <v>1</v>
      </c>
      <c r="AR56">
        <f>TYPE(All_India_Index_Upto_April23__1[[#This Row],[Spices]])</f>
        <v>1</v>
      </c>
      <c r="AS56">
        <f>TYPE(All_India_Index_Upto_April23__1[[#This Row],[Non-alcoholic beverages]])</f>
        <v>1</v>
      </c>
      <c r="AT56">
        <f>TYPE(All_India_Index_Upto_April23__1[[#This Row],[Prepared meals, snacks, sweets etc.]])</f>
        <v>1</v>
      </c>
      <c r="AU56">
        <f>TYPE(All_India_Index_Upto_April23__1[[#This Row],[Food and beverages]])</f>
        <v>1</v>
      </c>
      <c r="AV56">
        <f>TYPE(All_India_Index_Upto_April23__1[[#This Row],[Pan, tobacco and intoxicants]])</f>
        <v>1</v>
      </c>
      <c r="AW56">
        <f>TYPE(All_India_Index_Upto_April23__1[[#This Row],[Clothing]])</f>
        <v>1</v>
      </c>
      <c r="AX56">
        <f>TYPE(All_India_Index_Upto_April23__1[[#This Row],[Footwear]])</f>
        <v>1</v>
      </c>
      <c r="AY56">
        <f>TYPE(All_India_Index_Upto_April23__1[[#This Row],[Clothing and footwear]])</f>
        <v>1</v>
      </c>
      <c r="AZ56">
        <f>TYPE(All_India_Index_Upto_April23__1[[#This Row],[Housing]])</f>
        <v>1</v>
      </c>
      <c r="BA56">
        <f>TYPE(All_India_Index_Upto_April23__1[[#This Row],[Fuel and light]])</f>
        <v>1</v>
      </c>
      <c r="BB56">
        <f>TYPE(All_India_Index_Upto_April23__1[[#This Row],[Household goods and services]])</f>
        <v>1</v>
      </c>
      <c r="BC56">
        <f>TYPE(All_India_Index_Upto_April23__1[[#This Row],[Health]])</f>
        <v>1</v>
      </c>
      <c r="BD56">
        <f>TYPE(All_India_Index_Upto_April23__1[[#This Row],[Transport and communication]])</f>
        <v>1</v>
      </c>
      <c r="BE56">
        <f>TYPE(All_India_Index_Upto_April23__1[[#This Row],[Recreation and amusement]])</f>
        <v>1</v>
      </c>
      <c r="BF56">
        <f>TYPE(All_India_Index_Upto_April23__1[[#This Row],[Education]])</f>
        <v>1</v>
      </c>
      <c r="BG56">
        <f>TYPE(All_India_Index_Upto_April23__1[[#This Row],[Personal care and effects]])</f>
        <v>1</v>
      </c>
      <c r="BH56">
        <f>TYPE(All_India_Index_Upto_April23__1[[#This Row],[Miscellaneous]])</f>
        <v>1</v>
      </c>
      <c r="BI56">
        <f>TYPE(All_India_Index_Upto_April23__1[[#This Row],[General index]])</f>
        <v>1</v>
      </c>
    </row>
    <row r="57" spans="1:61" x14ac:dyDescent="0.3">
      <c r="A57" t="s">
        <v>32</v>
      </c>
      <c r="B57">
        <v>2014</v>
      </c>
      <c r="C57" t="s">
        <v>39</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c r="AF57">
        <f>TYPE(All_India_Index_Upto_April23__1[[#This Row],[Sector]])</f>
        <v>2</v>
      </c>
      <c r="AG57">
        <f>TYPE(All_India_Index_Upto_April23__1[[#This Row],[Year]])</f>
        <v>1</v>
      </c>
      <c r="AH57">
        <f>TYPE(All_India_Index_Upto_April23__1[[#This Row],[Month]])</f>
        <v>2</v>
      </c>
      <c r="AI57">
        <f>TYPE(All_India_Index_Upto_April23__1[[#This Row],[Cereals and products]])</f>
        <v>1</v>
      </c>
      <c r="AJ57">
        <f>TYPE(All_India_Index_Upto_April23__1[[#This Row],[Meat and fish]])</f>
        <v>1</v>
      </c>
      <c r="AK57">
        <f>TYPE(All_India_Index_Upto_April23__1[[#This Row],[Egg]])</f>
        <v>1</v>
      </c>
      <c r="AL57">
        <f>TYPE(All_India_Index_Upto_April23__1[[#This Row],[Milk and products]])</f>
        <v>1</v>
      </c>
      <c r="AM57">
        <f>TYPE(All_India_Index_Upto_April23__1[[#This Row],[Oils and fats]])</f>
        <v>1</v>
      </c>
      <c r="AN57">
        <f>TYPE(All_India_Index_Upto_April23__1[[#This Row],[Fruits]])</f>
        <v>1</v>
      </c>
      <c r="AO57">
        <f>TYPE(All_India_Index_Upto_April23__1[[#This Row],[Vegetables]])</f>
        <v>1</v>
      </c>
      <c r="AP57">
        <f>TYPE(All_India_Index_Upto_April23__1[[#This Row],[Pulses and products]])</f>
        <v>1</v>
      </c>
      <c r="AQ57">
        <f>TYPE(All_India_Index_Upto_April23__1[[#This Row],[Sugar and Confectionery]])</f>
        <v>1</v>
      </c>
      <c r="AR57">
        <f>TYPE(All_India_Index_Upto_April23__1[[#This Row],[Spices]])</f>
        <v>1</v>
      </c>
      <c r="AS57">
        <f>TYPE(All_India_Index_Upto_April23__1[[#This Row],[Non-alcoholic beverages]])</f>
        <v>1</v>
      </c>
      <c r="AT57">
        <f>TYPE(All_India_Index_Upto_April23__1[[#This Row],[Prepared meals, snacks, sweets etc.]])</f>
        <v>1</v>
      </c>
      <c r="AU57">
        <f>TYPE(All_India_Index_Upto_April23__1[[#This Row],[Food and beverages]])</f>
        <v>1</v>
      </c>
      <c r="AV57">
        <f>TYPE(All_India_Index_Upto_April23__1[[#This Row],[Pan, tobacco and intoxicants]])</f>
        <v>1</v>
      </c>
      <c r="AW57">
        <f>TYPE(All_India_Index_Upto_April23__1[[#This Row],[Clothing]])</f>
        <v>1</v>
      </c>
      <c r="AX57">
        <f>TYPE(All_India_Index_Upto_April23__1[[#This Row],[Footwear]])</f>
        <v>1</v>
      </c>
      <c r="AY57">
        <f>TYPE(All_India_Index_Upto_April23__1[[#This Row],[Clothing and footwear]])</f>
        <v>1</v>
      </c>
      <c r="AZ57">
        <f>TYPE(All_India_Index_Upto_April23__1[[#This Row],[Housing]])</f>
        <v>1</v>
      </c>
      <c r="BA57">
        <f>TYPE(All_India_Index_Upto_April23__1[[#This Row],[Fuel and light]])</f>
        <v>1</v>
      </c>
      <c r="BB57">
        <f>TYPE(All_India_Index_Upto_April23__1[[#This Row],[Household goods and services]])</f>
        <v>1</v>
      </c>
      <c r="BC57">
        <f>TYPE(All_India_Index_Upto_April23__1[[#This Row],[Health]])</f>
        <v>1</v>
      </c>
      <c r="BD57">
        <f>TYPE(All_India_Index_Upto_April23__1[[#This Row],[Transport and communication]])</f>
        <v>1</v>
      </c>
      <c r="BE57">
        <f>TYPE(All_India_Index_Upto_April23__1[[#This Row],[Recreation and amusement]])</f>
        <v>1</v>
      </c>
      <c r="BF57">
        <f>TYPE(All_India_Index_Upto_April23__1[[#This Row],[Education]])</f>
        <v>1</v>
      </c>
      <c r="BG57">
        <f>TYPE(All_India_Index_Upto_April23__1[[#This Row],[Personal care and effects]])</f>
        <v>1</v>
      </c>
      <c r="BH57">
        <f>TYPE(All_India_Index_Upto_April23__1[[#This Row],[Miscellaneous]])</f>
        <v>1</v>
      </c>
      <c r="BI57">
        <f>TYPE(All_India_Index_Upto_April23__1[[#This Row],[General index]])</f>
        <v>1</v>
      </c>
    </row>
    <row r="58" spans="1:61" x14ac:dyDescent="0.3">
      <c r="A58" t="s">
        <v>33</v>
      </c>
      <c r="B58">
        <v>2014</v>
      </c>
      <c r="C58" t="s">
        <v>39</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c r="AF58">
        <f>TYPE(All_India_Index_Upto_April23__1[[#This Row],[Sector]])</f>
        <v>2</v>
      </c>
      <c r="AG58">
        <f>TYPE(All_India_Index_Upto_April23__1[[#This Row],[Year]])</f>
        <v>1</v>
      </c>
      <c r="AH58">
        <f>TYPE(All_India_Index_Upto_April23__1[[#This Row],[Month]])</f>
        <v>2</v>
      </c>
      <c r="AI58">
        <f>TYPE(All_India_Index_Upto_April23__1[[#This Row],[Cereals and products]])</f>
        <v>1</v>
      </c>
      <c r="AJ58">
        <f>TYPE(All_India_Index_Upto_April23__1[[#This Row],[Meat and fish]])</f>
        <v>1</v>
      </c>
      <c r="AK58">
        <f>TYPE(All_India_Index_Upto_April23__1[[#This Row],[Egg]])</f>
        <v>1</v>
      </c>
      <c r="AL58">
        <f>TYPE(All_India_Index_Upto_April23__1[[#This Row],[Milk and products]])</f>
        <v>1</v>
      </c>
      <c r="AM58">
        <f>TYPE(All_India_Index_Upto_April23__1[[#This Row],[Oils and fats]])</f>
        <v>1</v>
      </c>
      <c r="AN58">
        <f>TYPE(All_India_Index_Upto_April23__1[[#This Row],[Fruits]])</f>
        <v>1</v>
      </c>
      <c r="AO58">
        <f>TYPE(All_India_Index_Upto_April23__1[[#This Row],[Vegetables]])</f>
        <v>1</v>
      </c>
      <c r="AP58">
        <f>TYPE(All_India_Index_Upto_April23__1[[#This Row],[Pulses and products]])</f>
        <v>1</v>
      </c>
      <c r="AQ58">
        <f>TYPE(All_India_Index_Upto_April23__1[[#This Row],[Sugar and Confectionery]])</f>
        <v>1</v>
      </c>
      <c r="AR58">
        <f>TYPE(All_India_Index_Upto_April23__1[[#This Row],[Spices]])</f>
        <v>1</v>
      </c>
      <c r="AS58">
        <f>TYPE(All_India_Index_Upto_April23__1[[#This Row],[Non-alcoholic beverages]])</f>
        <v>1</v>
      </c>
      <c r="AT58">
        <f>TYPE(All_India_Index_Upto_April23__1[[#This Row],[Prepared meals, snacks, sweets etc.]])</f>
        <v>1</v>
      </c>
      <c r="AU58">
        <f>TYPE(All_India_Index_Upto_April23__1[[#This Row],[Food and beverages]])</f>
        <v>1</v>
      </c>
      <c r="AV58">
        <f>TYPE(All_India_Index_Upto_April23__1[[#This Row],[Pan, tobacco and intoxicants]])</f>
        <v>1</v>
      </c>
      <c r="AW58">
        <f>TYPE(All_India_Index_Upto_April23__1[[#This Row],[Clothing]])</f>
        <v>1</v>
      </c>
      <c r="AX58">
        <f>TYPE(All_India_Index_Upto_April23__1[[#This Row],[Footwear]])</f>
        <v>1</v>
      </c>
      <c r="AY58">
        <f>TYPE(All_India_Index_Upto_April23__1[[#This Row],[Clothing and footwear]])</f>
        <v>1</v>
      </c>
      <c r="AZ58">
        <f>TYPE(All_India_Index_Upto_April23__1[[#This Row],[Housing]])</f>
        <v>1</v>
      </c>
      <c r="BA58">
        <f>TYPE(All_India_Index_Upto_April23__1[[#This Row],[Fuel and light]])</f>
        <v>1</v>
      </c>
      <c r="BB58">
        <f>TYPE(All_India_Index_Upto_April23__1[[#This Row],[Household goods and services]])</f>
        <v>1</v>
      </c>
      <c r="BC58">
        <f>TYPE(All_India_Index_Upto_April23__1[[#This Row],[Health]])</f>
        <v>1</v>
      </c>
      <c r="BD58">
        <f>TYPE(All_India_Index_Upto_April23__1[[#This Row],[Transport and communication]])</f>
        <v>1</v>
      </c>
      <c r="BE58">
        <f>TYPE(All_India_Index_Upto_April23__1[[#This Row],[Recreation and amusement]])</f>
        <v>1</v>
      </c>
      <c r="BF58">
        <f>TYPE(All_India_Index_Upto_April23__1[[#This Row],[Education]])</f>
        <v>1</v>
      </c>
      <c r="BG58">
        <f>TYPE(All_India_Index_Upto_April23__1[[#This Row],[Personal care and effects]])</f>
        <v>1</v>
      </c>
      <c r="BH58">
        <f>TYPE(All_India_Index_Upto_April23__1[[#This Row],[Miscellaneous]])</f>
        <v>1</v>
      </c>
      <c r="BI58">
        <f>TYPE(All_India_Index_Upto_April23__1[[#This Row],[General index]])</f>
        <v>1</v>
      </c>
    </row>
    <row r="59" spans="1:61" x14ac:dyDescent="0.3">
      <c r="A59" t="s">
        <v>30</v>
      </c>
      <c r="B59">
        <v>2014</v>
      </c>
      <c r="C59" t="s">
        <v>40</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v>0</v>
      </c>
      <c r="V59">
        <v>115.4</v>
      </c>
      <c r="W59">
        <v>115.9</v>
      </c>
      <c r="X59">
        <v>114</v>
      </c>
      <c r="Y59">
        <v>113.2</v>
      </c>
      <c r="Z59">
        <v>112.2</v>
      </c>
      <c r="AA59">
        <v>116.2</v>
      </c>
      <c r="AB59">
        <v>109.4</v>
      </c>
      <c r="AC59">
        <v>113.5</v>
      </c>
      <c r="AD59">
        <v>120.7</v>
      </c>
      <c r="AF59">
        <f>TYPE(All_India_Index_Upto_April23__1[[#This Row],[Sector]])</f>
        <v>2</v>
      </c>
      <c r="AG59">
        <f>TYPE(All_India_Index_Upto_April23__1[[#This Row],[Year]])</f>
        <v>1</v>
      </c>
      <c r="AH59">
        <f>TYPE(All_India_Index_Upto_April23__1[[#This Row],[Month]])</f>
        <v>2</v>
      </c>
      <c r="AI59">
        <f>TYPE(All_India_Index_Upto_April23__1[[#This Row],[Cereals and products]])</f>
        <v>1</v>
      </c>
      <c r="AJ59">
        <f>TYPE(All_India_Index_Upto_April23__1[[#This Row],[Meat and fish]])</f>
        <v>1</v>
      </c>
      <c r="AK59">
        <f>TYPE(All_India_Index_Upto_April23__1[[#This Row],[Egg]])</f>
        <v>1</v>
      </c>
      <c r="AL59">
        <f>TYPE(All_India_Index_Upto_April23__1[[#This Row],[Milk and products]])</f>
        <v>1</v>
      </c>
      <c r="AM59">
        <f>TYPE(All_India_Index_Upto_April23__1[[#This Row],[Oils and fats]])</f>
        <v>1</v>
      </c>
      <c r="AN59">
        <f>TYPE(All_India_Index_Upto_April23__1[[#This Row],[Fruits]])</f>
        <v>1</v>
      </c>
      <c r="AO59">
        <f>TYPE(All_India_Index_Upto_April23__1[[#This Row],[Vegetables]])</f>
        <v>1</v>
      </c>
      <c r="AP59">
        <f>TYPE(All_India_Index_Upto_April23__1[[#This Row],[Pulses and products]])</f>
        <v>1</v>
      </c>
      <c r="AQ59">
        <f>TYPE(All_India_Index_Upto_April23__1[[#This Row],[Sugar and Confectionery]])</f>
        <v>1</v>
      </c>
      <c r="AR59">
        <f>TYPE(All_India_Index_Upto_April23__1[[#This Row],[Spices]])</f>
        <v>1</v>
      </c>
      <c r="AS59">
        <f>TYPE(All_India_Index_Upto_April23__1[[#This Row],[Non-alcoholic beverages]])</f>
        <v>1</v>
      </c>
      <c r="AT59">
        <f>TYPE(All_India_Index_Upto_April23__1[[#This Row],[Prepared meals, snacks, sweets etc.]])</f>
        <v>1</v>
      </c>
      <c r="AU59">
        <f>TYPE(All_India_Index_Upto_April23__1[[#This Row],[Food and beverages]])</f>
        <v>1</v>
      </c>
      <c r="AV59">
        <f>TYPE(All_India_Index_Upto_April23__1[[#This Row],[Pan, tobacco and intoxicants]])</f>
        <v>1</v>
      </c>
      <c r="AW59">
        <f>TYPE(All_India_Index_Upto_April23__1[[#This Row],[Clothing]])</f>
        <v>1</v>
      </c>
      <c r="AX59">
        <f>TYPE(All_India_Index_Upto_April23__1[[#This Row],[Footwear]])</f>
        <v>1</v>
      </c>
      <c r="AY59">
        <f>TYPE(All_India_Index_Upto_April23__1[[#This Row],[Clothing and footwear]])</f>
        <v>1</v>
      </c>
      <c r="AZ59">
        <f>TYPE(All_India_Index_Upto_April23__1[[#This Row],[Housing]])</f>
        <v>1</v>
      </c>
      <c r="BA59">
        <f>TYPE(All_India_Index_Upto_April23__1[[#This Row],[Fuel and light]])</f>
        <v>1</v>
      </c>
      <c r="BB59">
        <f>TYPE(All_India_Index_Upto_April23__1[[#This Row],[Household goods and services]])</f>
        <v>1</v>
      </c>
      <c r="BC59">
        <f>TYPE(All_India_Index_Upto_April23__1[[#This Row],[Health]])</f>
        <v>1</v>
      </c>
      <c r="BD59">
        <f>TYPE(All_India_Index_Upto_April23__1[[#This Row],[Transport and communication]])</f>
        <v>1</v>
      </c>
      <c r="BE59">
        <f>TYPE(All_India_Index_Upto_April23__1[[#This Row],[Recreation and amusement]])</f>
        <v>1</v>
      </c>
      <c r="BF59">
        <f>TYPE(All_India_Index_Upto_April23__1[[#This Row],[Education]])</f>
        <v>1</v>
      </c>
      <c r="BG59">
        <f>TYPE(All_India_Index_Upto_April23__1[[#This Row],[Personal care and effects]])</f>
        <v>1</v>
      </c>
      <c r="BH59">
        <f>TYPE(All_India_Index_Upto_April23__1[[#This Row],[Miscellaneous]])</f>
        <v>1</v>
      </c>
      <c r="BI59">
        <f>TYPE(All_India_Index_Upto_April23__1[[#This Row],[General index]])</f>
        <v>1</v>
      </c>
    </row>
    <row r="60" spans="1:61" x14ac:dyDescent="0.3">
      <c r="A60" t="s">
        <v>32</v>
      </c>
      <c r="B60">
        <v>2014</v>
      </c>
      <c r="C60" t="s">
        <v>40</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c r="AF60">
        <f>TYPE(All_India_Index_Upto_April23__1[[#This Row],[Sector]])</f>
        <v>2</v>
      </c>
      <c r="AG60">
        <f>TYPE(All_India_Index_Upto_April23__1[[#This Row],[Year]])</f>
        <v>1</v>
      </c>
      <c r="AH60">
        <f>TYPE(All_India_Index_Upto_April23__1[[#This Row],[Month]])</f>
        <v>2</v>
      </c>
      <c r="AI60">
        <f>TYPE(All_India_Index_Upto_April23__1[[#This Row],[Cereals and products]])</f>
        <v>1</v>
      </c>
      <c r="AJ60">
        <f>TYPE(All_India_Index_Upto_April23__1[[#This Row],[Meat and fish]])</f>
        <v>1</v>
      </c>
      <c r="AK60">
        <f>TYPE(All_India_Index_Upto_April23__1[[#This Row],[Egg]])</f>
        <v>1</v>
      </c>
      <c r="AL60">
        <f>TYPE(All_India_Index_Upto_April23__1[[#This Row],[Milk and products]])</f>
        <v>1</v>
      </c>
      <c r="AM60">
        <f>TYPE(All_India_Index_Upto_April23__1[[#This Row],[Oils and fats]])</f>
        <v>1</v>
      </c>
      <c r="AN60">
        <f>TYPE(All_India_Index_Upto_April23__1[[#This Row],[Fruits]])</f>
        <v>1</v>
      </c>
      <c r="AO60">
        <f>TYPE(All_India_Index_Upto_April23__1[[#This Row],[Vegetables]])</f>
        <v>1</v>
      </c>
      <c r="AP60">
        <f>TYPE(All_India_Index_Upto_April23__1[[#This Row],[Pulses and products]])</f>
        <v>1</v>
      </c>
      <c r="AQ60">
        <f>TYPE(All_India_Index_Upto_April23__1[[#This Row],[Sugar and Confectionery]])</f>
        <v>1</v>
      </c>
      <c r="AR60">
        <f>TYPE(All_India_Index_Upto_April23__1[[#This Row],[Spices]])</f>
        <v>1</v>
      </c>
      <c r="AS60">
        <f>TYPE(All_India_Index_Upto_April23__1[[#This Row],[Non-alcoholic beverages]])</f>
        <v>1</v>
      </c>
      <c r="AT60">
        <f>TYPE(All_India_Index_Upto_April23__1[[#This Row],[Prepared meals, snacks, sweets etc.]])</f>
        <v>1</v>
      </c>
      <c r="AU60">
        <f>TYPE(All_India_Index_Upto_April23__1[[#This Row],[Food and beverages]])</f>
        <v>1</v>
      </c>
      <c r="AV60">
        <f>TYPE(All_India_Index_Upto_April23__1[[#This Row],[Pan, tobacco and intoxicants]])</f>
        <v>1</v>
      </c>
      <c r="AW60">
        <f>TYPE(All_India_Index_Upto_April23__1[[#This Row],[Clothing]])</f>
        <v>1</v>
      </c>
      <c r="AX60">
        <f>TYPE(All_India_Index_Upto_April23__1[[#This Row],[Footwear]])</f>
        <v>1</v>
      </c>
      <c r="AY60">
        <f>TYPE(All_India_Index_Upto_April23__1[[#This Row],[Clothing and footwear]])</f>
        <v>1</v>
      </c>
      <c r="AZ60">
        <f>TYPE(All_India_Index_Upto_April23__1[[#This Row],[Housing]])</f>
        <v>1</v>
      </c>
      <c r="BA60">
        <f>TYPE(All_India_Index_Upto_April23__1[[#This Row],[Fuel and light]])</f>
        <v>1</v>
      </c>
      <c r="BB60">
        <f>TYPE(All_India_Index_Upto_April23__1[[#This Row],[Household goods and services]])</f>
        <v>1</v>
      </c>
      <c r="BC60">
        <f>TYPE(All_India_Index_Upto_April23__1[[#This Row],[Health]])</f>
        <v>1</v>
      </c>
      <c r="BD60">
        <f>TYPE(All_India_Index_Upto_April23__1[[#This Row],[Transport and communication]])</f>
        <v>1</v>
      </c>
      <c r="BE60">
        <f>TYPE(All_India_Index_Upto_April23__1[[#This Row],[Recreation and amusement]])</f>
        <v>1</v>
      </c>
      <c r="BF60">
        <f>TYPE(All_India_Index_Upto_April23__1[[#This Row],[Education]])</f>
        <v>1</v>
      </c>
      <c r="BG60">
        <f>TYPE(All_India_Index_Upto_April23__1[[#This Row],[Personal care and effects]])</f>
        <v>1</v>
      </c>
      <c r="BH60">
        <f>TYPE(All_India_Index_Upto_April23__1[[#This Row],[Miscellaneous]])</f>
        <v>1</v>
      </c>
      <c r="BI60">
        <f>TYPE(All_India_Index_Upto_April23__1[[#This Row],[General index]])</f>
        <v>1</v>
      </c>
    </row>
    <row r="61" spans="1:61" x14ac:dyDescent="0.3">
      <c r="A61" t="s">
        <v>33</v>
      </c>
      <c r="B61">
        <v>2014</v>
      </c>
      <c r="C61" t="s">
        <v>40</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c r="AF61">
        <f>TYPE(All_India_Index_Upto_April23__1[[#This Row],[Sector]])</f>
        <v>2</v>
      </c>
      <c r="AG61">
        <f>TYPE(All_India_Index_Upto_April23__1[[#This Row],[Year]])</f>
        <v>1</v>
      </c>
      <c r="AH61">
        <f>TYPE(All_India_Index_Upto_April23__1[[#This Row],[Month]])</f>
        <v>2</v>
      </c>
      <c r="AI61">
        <f>TYPE(All_India_Index_Upto_April23__1[[#This Row],[Cereals and products]])</f>
        <v>1</v>
      </c>
      <c r="AJ61">
        <f>TYPE(All_India_Index_Upto_April23__1[[#This Row],[Meat and fish]])</f>
        <v>1</v>
      </c>
      <c r="AK61">
        <f>TYPE(All_India_Index_Upto_April23__1[[#This Row],[Egg]])</f>
        <v>1</v>
      </c>
      <c r="AL61">
        <f>TYPE(All_India_Index_Upto_April23__1[[#This Row],[Milk and products]])</f>
        <v>1</v>
      </c>
      <c r="AM61">
        <f>TYPE(All_India_Index_Upto_April23__1[[#This Row],[Oils and fats]])</f>
        <v>1</v>
      </c>
      <c r="AN61">
        <f>TYPE(All_India_Index_Upto_April23__1[[#This Row],[Fruits]])</f>
        <v>1</v>
      </c>
      <c r="AO61">
        <f>TYPE(All_India_Index_Upto_April23__1[[#This Row],[Vegetables]])</f>
        <v>1</v>
      </c>
      <c r="AP61">
        <f>TYPE(All_India_Index_Upto_April23__1[[#This Row],[Pulses and products]])</f>
        <v>1</v>
      </c>
      <c r="AQ61">
        <f>TYPE(All_India_Index_Upto_April23__1[[#This Row],[Sugar and Confectionery]])</f>
        <v>1</v>
      </c>
      <c r="AR61">
        <f>TYPE(All_India_Index_Upto_April23__1[[#This Row],[Spices]])</f>
        <v>1</v>
      </c>
      <c r="AS61">
        <f>TYPE(All_India_Index_Upto_April23__1[[#This Row],[Non-alcoholic beverages]])</f>
        <v>1</v>
      </c>
      <c r="AT61">
        <f>TYPE(All_India_Index_Upto_April23__1[[#This Row],[Prepared meals, snacks, sweets etc.]])</f>
        <v>1</v>
      </c>
      <c r="AU61">
        <f>TYPE(All_India_Index_Upto_April23__1[[#This Row],[Food and beverages]])</f>
        <v>1</v>
      </c>
      <c r="AV61">
        <f>TYPE(All_India_Index_Upto_April23__1[[#This Row],[Pan, tobacco and intoxicants]])</f>
        <v>1</v>
      </c>
      <c r="AW61">
        <f>TYPE(All_India_Index_Upto_April23__1[[#This Row],[Clothing]])</f>
        <v>1</v>
      </c>
      <c r="AX61">
        <f>TYPE(All_India_Index_Upto_April23__1[[#This Row],[Footwear]])</f>
        <v>1</v>
      </c>
      <c r="AY61">
        <f>TYPE(All_India_Index_Upto_April23__1[[#This Row],[Clothing and footwear]])</f>
        <v>1</v>
      </c>
      <c r="AZ61">
        <f>TYPE(All_India_Index_Upto_April23__1[[#This Row],[Housing]])</f>
        <v>1</v>
      </c>
      <c r="BA61">
        <f>TYPE(All_India_Index_Upto_April23__1[[#This Row],[Fuel and light]])</f>
        <v>1</v>
      </c>
      <c r="BB61">
        <f>TYPE(All_India_Index_Upto_April23__1[[#This Row],[Household goods and services]])</f>
        <v>1</v>
      </c>
      <c r="BC61">
        <f>TYPE(All_India_Index_Upto_April23__1[[#This Row],[Health]])</f>
        <v>1</v>
      </c>
      <c r="BD61">
        <f>TYPE(All_India_Index_Upto_April23__1[[#This Row],[Transport and communication]])</f>
        <v>1</v>
      </c>
      <c r="BE61">
        <f>TYPE(All_India_Index_Upto_April23__1[[#This Row],[Recreation and amusement]])</f>
        <v>1</v>
      </c>
      <c r="BF61">
        <f>TYPE(All_India_Index_Upto_April23__1[[#This Row],[Education]])</f>
        <v>1</v>
      </c>
      <c r="BG61">
        <f>TYPE(All_India_Index_Upto_April23__1[[#This Row],[Personal care and effects]])</f>
        <v>1</v>
      </c>
      <c r="BH61">
        <f>TYPE(All_India_Index_Upto_April23__1[[#This Row],[Miscellaneous]])</f>
        <v>1</v>
      </c>
      <c r="BI61">
        <f>TYPE(All_India_Index_Upto_April23__1[[#This Row],[General index]])</f>
        <v>1</v>
      </c>
    </row>
    <row r="62" spans="1:61" x14ac:dyDescent="0.3">
      <c r="A62" t="s">
        <v>30</v>
      </c>
      <c r="B62">
        <v>2014</v>
      </c>
      <c r="C62" t="s">
        <v>41</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v>0</v>
      </c>
      <c r="V62">
        <v>115.8</v>
      </c>
      <c r="W62">
        <v>116.7</v>
      </c>
      <c r="X62">
        <v>114.5</v>
      </c>
      <c r="Y62">
        <v>112.8</v>
      </c>
      <c r="Z62">
        <v>112.6</v>
      </c>
      <c r="AA62">
        <v>116.6</v>
      </c>
      <c r="AB62">
        <v>109.1</v>
      </c>
      <c r="AC62">
        <v>113.7</v>
      </c>
      <c r="AD62">
        <v>120.9</v>
      </c>
      <c r="AF62">
        <f>TYPE(All_India_Index_Upto_April23__1[[#This Row],[Sector]])</f>
        <v>2</v>
      </c>
      <c r="AG62">
        <f>TYPE(All_India_Index_Upto_April23__1[[#This Row],[Year]])</f>
        <v>1</v>
      </c>
      <c r="AH62">
        <f>TYPE(All_India_Index_Upto_April23__1[[#This Row],[Month]])</f>
        <v>2</v>
      </c>
      <c r="AI62">
        <f>TYPE(All_India_Index_Upto_April23__1[[#This Row],[Cereals and products]])</f>
        <v>1</v>
      </c>
      <c r="AJ62">
        <f>TYPE(All_India_Index_Upto_April23__1[[#This Row],[Meat and fish]])</f>
        <v>1</v>
      </c>
      <c r="AK62">
        <f>TYPE(All_India_Index_Upto_April23__1[[#This Row],[Egg]])</f>
        <v>1</v>
      </c>
      <c r="AL62">
        <f>TYPE(All_India_Index_Upto_April23__1[[#This Row],[Milk and products]])</f>
        <v>1</v>
      </c>
      <c r="AM62">
        <f>TYPE(All_India_Index_Upto_April23__1[[#This Row],[Oils and fats]])</f>
        <v>1</v>
      </c>
      <c r="AN62">
        <f>TYPE(All_India_Index_Upto_April23__1[[#This Row],[Fruits]])</f>
        <v>1</v>
      </c>
      <c r="AO62">
        <f>TYPE(All_India_Index_Upto_April23__1[[#This Row],[Vegetables]])</f>
        <v>1</v>
      </c>
      <c r="AP62">
        <f>TYPE(All_India_Index_Upto_April23__1[[#This Row],[Pulses and products]])</f>
        <v>1</v>
      </c>
      <c r="AQ62">
        <f>TYPE(All_India_Index_Upto_April23__1[[#This Row],[Sugar and Confectionery]])</f>
        <v>1</v>
      </c>
      <c r="AR62">
        <f>TYPE(All_India_Index_Upto_April23__1[[#This Row],[Spices]])</f>
        <v>1</v>
      </c>
      <c r="AS62">
        <f>TYPE(All_India_Index_Upto_April23__1[[#This Row],[Non-alcoholic beverages]])</f>
        <v>1</v>
      </c>
      <c r="AT62">
        <f>TYPE(All_India_Index_Upto_April23__1[[#This Row],[Prepared meals, snacks, sweets etc.]])</f>
        <v>1</v>
      </c>
      <c r="AU62">
        <f>TYPE(All_India_Index_Upto_April23__1[[#This Row],[Food and beverages]])</f>
        <v>1</v>
      </c>
      <c r="AV62">
        <f>TYPE(All_India_Index_Upto_April23__1[[#This Row],[Pan, tobacco and intoxicants]])</f>
        <v>1</v>
      </c>
      <c r="AW62">
        <f>TYPE(All_India_Index_Upto_April23__1[[#This Row],[Clothing]])</f>
        <v>1</v>
      </c>
      <c r="AX62">
        <f>TYPE(All_India_Index_Upto_April23__1[[#This Row],[Footwear]])</f>
        <v>1</v>
      </c>
      <c r="AY62">
        <f>TYPE(All_India_Index_Upto_April23__1[[#This Row],[Clothing and footwear]])</f>
        <v>1</v>
      </c>
      <c r="AZ62">
        <f>TYPE(All_India_Index_Upto_April23__1[[#This Row],[Housing]])</f>
        <v>1</v>
      </c>
      <c r="BA62">
        <f>TYPE(All_India_Index_Upto_April23__1[[#This Row],[Fuel and light]])</f>
        <v>1</v>
      </c>
      <c r="BB62">
        <f>TYPE(All_India_Index_Upto_April23__1[[#This Row],[Household goods and services]])</f>
        <v>1</v>
      </c>
      <c r="BC62">
        <f>TYPE(All_India_Index_Upto_April23__1[[#This Row],[Health]])</f>
        <v>1</v>
      </c>
      <c r="BD62">
        <f>TYPE(All_India_Index_Upto_April23__1[[#This Row],[Transport and communication]])</f>
        <v>1</v>
      </c>
      <c r="BE62">
        <f>TYPE(All_India_Index_Upto_April23__1[[#This Row],[Recreation and amusement]])</f>
        <v>1</v>
      </c>
      <c r="BF62">
        <f>TYPE(All_India_Index_Upto_April23__1[[#This Row],[Education]])</f>
        <v>1</v>
      </c>
      <c r="BG62">
        <f>TYPE(All_India_Index_Upto_April23__1[[#This Row],[Personal care and effects]])</f>
        <v>1</v>
      </c>
      <c r="BH62">
        <f>TYPE(All_India_Index_Upto_April23__1[[#This Row],[Miscellaneous]])</f>
        <v>1</v>
      </c>
      <c r="BI62">
        <f>TYPE(All_India_Index_Upto_April23__1[[#This Row],[General index]])</f>
        <v>1</v>
      </c>
    </row>
    <row r="63" spans="1:61" x14ac:dyDescent="0.3">
      <c r="A63" t="s">
        <v>32</v>
      </c>
      <c r="B63">
        <v>2014</v>
      </c>
      <c r="C63" t="s">
        <v>41</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c r="AF63">
        <f>TYPE(All_India_Index_Upto_April23__1[[#This Row],[Sector]])</f>
        <v>2</v>
      </c>
      <c r="AG63">
        <f>TYPE(All_India_Index_Upto_April23__1[[#This Row],[Year]])</f>
        <v>1</v>
      </c>
      <c r="AH63">
        <f>TYPE(All_India_Index_Upto_April23__1[[#This Row],[Month]])</f>
        <v>2</v>
      </c>
      <c r="AI63">
        <f>TYPE(All_India_Index_Upto_April23__1[[#This Row],[Cereals and products]])</f>
        <v>1</v>
      </c>
      <c r="AJ63">
        <f>TYPE(All_India_Index_Upto_April23__1[[#This Row],[Meat and fish]])</f>
        <v>1</v>
      </c>
      <c r="AK63">
        <f>TYPE(All_India_Index_Upto_April23__1[[#This Row],[Egg]])</f>
        <v>1</v>
      </c>
      <c r="AL63">
        <f>TYPE(All_India_Index_Upto_April23__1[[#This Row],[Milk and products]])</f>
        <v>1</v>
      </c>
      <c r="AM63">
        <f>TYPE(All_India_Index_Upto_April23__1[[#This Row],[Oils and fats]])</f>
        <v>1</v>
      </c>
      <c r="AN63">
        <f>TYPE(All_India_Index_Upto_April23__1[[#This Row],[Fruits]])</f>
        <v>1</v>
      </c>
      <c r="AO63">
        <f>TYPE(All_India_Index_Upto_April23__1[[#This Row],[Vegetables]])</f>
        <v>1</v>
      </c>
      <c r="AP63">
        <f>TYPE(All_India_Index_Upto_April23__1[[#This Row],[Pulses and products]])</f>
        <v>1</v>
      </c>
      <c r="AQ63">
        <f>TYPE(All_India_Index_Upto_April23__1[[#This Row],[Sugar and Confectionery]])</f>
        <v>1</v>
      </c>
      <c r="AR63">
        <f>TYPE(All_India_Index_Upto_April23__1[[#This Row],[Spices]])</f>
        <v>1</v>
      </c>
      <c r="AS63">
        <f>TYPE(All_India_Index_Upto_April23__1[[#This Row],[Non-alcoholic beverages]])</f>
        <v>1</v>
      </c>
      <c r="AT63">
        <f>TYPE(All_India_Index_Upto_April23__1[[#This Row],[Prepared meals, snacks, sweets etc.]])</f>
        <v>1</v>
      </c>
      <c r="AU63">
        <f>TYPE(All_India_Index_Upto_April23__1[[#This Row],[Food and beverages]])</f>
        <v>1</v>
      </c>
      <c r="AV63">
        <f>TYPE(All_India_Index_Upto_April23__1[[#This Row],[Pan, tobacco and intoxicants]])</f>
        <v>1</v>
      </c>
      <c r="AW63">
        <f>TYPE(All_India_Index_Upto_April23__1[[#This Row],[Clothing]])</f>
        <v>1</v>
      </c>
      <c r="AX63">
        <f>TYPE(All_India_Index_Upto_April23__1[[#This Row],[Footwear]])</f>
        <v>1</v>
      </c>
      <c r="AY63">
        <f>TYPE(All_India_Index_Upto_April23__1[[#This Row],[Clothing and footwear]])</f>
        <v>1</v>
      </c>
      <c r="AZ63">
        <f>TYPE(All_India_Index_Upto_April23__1[[#This Row],[Housing]])</f>
        <v>1</v>
      </c>
      <c r="BA63">
        <f>TYPE(All_India_Index_Upto_April23__1[[#This Row],[Fuel and light]])</f>
        <v>1</v>
      </c>
      <c r="BB63">
        <f>TYPE(All_India_Index_Upto_April23__1[[#This Row],[Household goods and services]])</f>
        <v>1</v>
      </c>
      <c r="BC63">
        <f>TYPE(All_India_Index_Upto_April23__1[[#This Row],[Health]])</f>
        <v>1</v>
      </c>
      <c r="BD63">
        <f>TYPE(All_India_Index_Upto_April23__1[[#This Row],[Transport and communication]])</f>
        <v>1</v>
      </c>
      <c r="BE63">
        <f>TYPE(All_India_Index_Upto_April23__1[[#This Row],[Recreation and amusement]])</f>
        <v>1</v>
      </c>
      <c r="BF63">
        <f>TYPE(All_India_Index_Upto_April23__1[[#This Row],[Education]])</f>
        <v>1</v>
      </c>
      <c r="BG63">
        <f>TYPE(All_India_Index_Upto_April23__1[[#This Row],[Personal care and effects]])</f>
        <v>1</v>
      </c>
      <c r="BH63">
        <f>TYPE(All_India_Index_Upto_April23__1[[#This Row],[Miscellaneous]])</f>
        <v>1</v>
      </c>
      <c r="BI63">
        <f>TYPE(All_India_Index_Upto_April23__1[[#This Row],[General index]])</f>
        <v>1</v>
      </c>
    </row>
    <row r="64" spans="1:61" x14ac:dyDescent="0.3">
      <c r="A64" t="s">
        <v>33</v>
      </c>
      <c r="B64">
        <v>2014</v>
      </c>
      <c r="C64" t="s">
        <v>41</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c r="AF64">
        <f>TYPE(All_India_Index_Upto_April23__1[[#This Row],[Sector]])</f>
        <v>2</v>
      </c>
      <c r="AG64">
        <f>TYPE(All_India_Index_Upto_April23__1[[#This Row],[Year]])</f>
        <v>1</v>
      </c>
      <c r="AH64">
        <f>TYPE(All_India_Index_Upto_April23__1[[#This Row],[Month]])</f>
        <v>2</v>
      </c>
      <c r="AI64">
        <f>TYPE(All_India_Index_Upto_April23__1[[#This Row],[Cereals and products]])</f>
        <v>1</v>
      </c>
      <c r="AJ64">
        <f>TYPE(All_India_Index_Upto_April23__1[[#This Row],[Meat and fish]])</f>
        <v>1</v>
      </c>
      <c r="AK64">
        <f>TYPE(All_India_Index_Upto_April23__1[[#This Row],[Egg]])</f>
        <v>1</v>
      </c>
      <c r="AL64">
        <f>TYPE(All_India_Index_Upto_April23__1[[#This Row],[Milk and products]])</f>
        <v>1</v>
      </c>
      <c r="AM64">
        <f>TYPE(All_India_Index_Upto_April23__1[[#This Row],[Oils and fats]])</f>
        <v>1</v>
      </c>
      <c r="AN64">
        <f>TYPE(All_India_Index_Upto_April23__1[[#This Row],[Fruits]])</f>
        <v>1</v>
      </c>
      <c r="AO64">
        <f>TYPE(All_India_Index_Upto_April23__1[[#This Row],[Vegetables]])</f>
        <v>1</v>
      </c>
      <c r="AP64">
        <f>TYPE(All_India_Index_Upto_April23__1[[#This Row],[Pulses and products]])</f>
        <v>1</v>
      </c>
      <c r="AQ64">
        <f>TYPE(All_India_Index_Upto_April23__1[[#This Row],[Sugar and Confectionery]])</f>
        <v>1</v>
      </c>
      <c r="AR64">
        <f>TYPE(All_India_Index_Upto_April23__1[[#This Row],[Spices]])</f>
        <v>1</v>
      </c>
      <c r="AS64">
        <f>TYPE(All_India_Index_Upto_April23__1[[#This Row],[Non-alcoholic beverages]])</f>
        <v>1</v>
      </c>
      <c r="AT64">
        <f>TYPE(All_India_Index_Upto_April23__1[[#This Row],[Prepared meals, snacks, sweets etc.]])</f>
        <v>1</v>
      </c>
      <c r="AU64">
        <f>TYPE(All_India_Index_Upto_April23__1[[#This Row],[Food and beverages]])</f>
        <v>1</v>
      </c>
      <c r="AV64">
        <f>TYPE(All_India_Index_Upto_April23__1[[#This Row],[Pan, tobacco and intoxicants]])</f>
        <v>1</v>
      </c>
      <c r="AW64">
        <f>TYPE(All_India_Index_Upto_April23__1[[#This Row],[Clothing]])</f>
        <v>1</v>
      </c>
      <c r="AX64">
        <f>TYPE(All_India_Index_Upto_April23__1[[#This Row],[Footwear]])</f>
        <v>1</v>
      </c>
      <c r="AY64">
        <f>TYPE(All_India_Index_Upto_April23__1[[#This Row],[Clothing and footwear]])</f>
        <v>1</v>
      </c>
      <c r="AZ64">
        <f>TYPE(All_India_Index_Upto_April23__1[[#This Row],[Housing]])</f>
        <v>1</v>
      </c>
      <c r="BA64">
        <f>TYPE(All_India_Index_Upto_April23__1[[#This Row],[Fuel and light]])</f>
        <v>1</v>
      </c>
      <c r="BB64">
        <f>TYPE(All_India_Index_Upto_April23__1[[#This Row],[Household goods and services]])</f>
        <v>1</v>
      </c>
      <c r="BC64">
        <f>TYPE(All_India_Index_Upto_April23__1[[#This Row],[Health]])</f>
        <v>1</v>
      </c>
      <c r="BD64">
        <f>TYPE(All_India_Index_Upto_April23__1[[#This Row],[Transport and communication]])</f>
        <v>1</v>
      </c>
      <c r="BE64">
        <f>TYPE(All_India_Index_Upto_April23__1[[#This Row],[Recreation and amusement]])</f>
        <v>1</v>
      </c>
      <c r="BF64">
        <f>TYPE(All_India_Index_Upto_April23__1[[#This Row],[Education]])</f>
        <v>1</v>
      </c>
      <c r="BG64">
        <f>TYPE(All_India_Index_Upto_April23__1[[#This Row],[Personal care and effects]])</f>
        <v>1</v>
      </c>
      <c r="BH64">
        <f>TYPE(All_India_Index_Upto_April23__1[[#This Row],[Miscellaneous]])</f>
        <v>1</v>
      </c>
      <c r="BI64">
        <f>TYPE(All_India_Index_Upto_April23__1[[#This Row],[General index]])</f>
        <v>1</v>
      </c>
    </row>
    <row r="65" spans="1:61" x14ac:dyDescent="0.3">
      <c r="A65" t="s">
        <v>30</v>
      </c>
      <c r="B65">
        <v>2014</v>
      </c>
      <c r="C65" t="s">
        <v>42</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v>0</v>
      </c>
      <c r="V65">
        <v>116.4</v>
      </c>
      <c r="W65">
        <v>117.5</v>
      </c>
      <c r="X65">
        <v>115.3</v>
      </c>
      <c r="Y65">
        <v>112.6</v>
      </c>
      <c r="Z65">
        <v>113</v>
      </c>
      <c r="AA65">
        <v>116.9</v>
      </c>
      <c r="AB65">
        <v>109.3</v>
      </c>
      <c r="AC65">
        <v>114</v>
      </c>
      <c r="AD65">
        <v>121</v>
      </c>
      <c r="AF65">
        <f>TYPE(All_India_Index_Upto_April23__1[[#This Row],[Sector]])</f>
        <v>2</v>
      </c>
      <c r="AG65">
        <f>TYPE(All_India_Index_Upto_April23__1[[#This Row],[Year]])</f>
        <v>1</v>
      </c>
      <c r="AH65">
        <f>TYPE(All_India_Index_Upto_April23__1[[#This Row],[Month]])</f>
        <v>2</v>
      </c>
      <c r="AI65">
        <f>TYPE(All_India_Index_Upto_April23__1[[#This Row],[Cereals and products]])</f>
        <v>1</v>
      </c>
      <c r="AJ65">
        <f>TYPE(All_India_Index_Upto_April23__1[[#This Row],[Meat and fish]])</f>
        <v>1</v>
      </c>
      <c r="AK65">
        <f>TYPE(All_India_Index_Upto_April23__1[[#This Row],[Egg]])</f>
        <v>1</v>
      </c>
      <c r="AL65">
        <f>TYPE(All_India_Index_Upto_April23__1[[#This Row],[Milk and products]])</f>
        <v>1</v>
      </c>
      <c r="AM65">
        <f>TYPE(All_India_Index_Upto_April23__1[[#This Row],[Oils and fats]])</f>
        <v>1</v>
      </c>
      <c r="AN65">
        <f>TYPE(All_India_Index_Upto_April23__1[[#This Row],[Fruits]])</f>
        <v>1</v>
      </c>
      <c r="AO65">
        <f>TYPE(All_India_Index_Upto_April23__1[[#This Row],[Vegetables]])</f>
        <v>1</v>
      </c>
      <c r="AP65">
        <f>TYPE(All_India_Index_Upto_April23__1[[#This Row],[Pulses and products]])</f>
        <v>1</v>
      </c>
      <c r="AQ65">
        <f>TYPE(All_India_Index_Upto_April23__1[[#This Row],[Sugar and Confectionery]])</f>
        <v>1</v>
      </c>
      <c r="AR65">
        <f>TYPE(All_India_Index_Upto_April23__1[[#This Row],[Spices]])</f>
        <v>1</v>
      </c>
      <c r="AS65">
        <f>TYPE(All_India_Index_Upto_April23__1[[#This Row],[Non-alcoholic beverages]])</f>
        <v>1</v>
      </c>
      <c r="AT65">
        <f>TYPE(All_India_Index_Upto_April23__1[[#This Row],[Prepared meals, snacks, sweets etc.]])</f>
        <v>1</v>
      </c>
      <c r="AU65">
        <f>TYPE(All_India_Index_Upto_April23__1[[#This Row],[Food and beverages]])</f>
        <v>1</v>
      </c>
      <c r="AV65">
        <f>TYPE(All_India_Index_Upto_April23__1[[#This Row],[Pan, tobacco and intoxicants]])</f>
        <v>1</v>
      </c>
      <c r="AW65">
        <f>TYPE(All_India_Index_Upto_April23__1[[#This Row],[Clothing]])</f>
        <v>1</v>
      </c>
      <c r="AX65">
        <f>TYPE(All_India_Index_Upto_April23__1[[#This Row],[Footwear]])</f>
        <v>1</v>
      </c>
      <c r="AY65">
        <f>TYPE(All_India_Index_Upto_April23__1[[#This Row],[Clothing and footwear]])</f>
        <v>1</v>
      </c>
      <c r="AZ65">
        <f>TYPE(All_India_Index_Upto_April23__1[[#This Row],[Housing]])</f>
        <v>1</v>
      </c>
      <c r="BA65">
        <f>TYPE(All_India_Index_Upto_April23__1[[#This Row],[Fuel and light]])</f>
        <v>1</v>
      </c>
      <c r="BB65">
        <f>TYPE(All_India_Index_Upto_April23__1[[#This Row],[Household goods and services]])</f>
        <v>1</v>
      </c>
      <c r="BC65">
        <f>TYPE(All_India_Index_Upto_April23__1[[#This Row],[Health]])</f>
        <v>1</v>
      </c>
      <c r="BD65">
        <f>TYPE(All_India_Index_Upto_April23__1[[#This Row],[Transport and communication]])</f>
        <v>1</v>
      </c>
      <c r="BE65">
        <f>TYPE(All_India_Index_Upto_April23__1[[#This Row],[Recreation and amusement]])</f>
        <v>1</v>
      </c>
      <c r="BF65">
        <f>TYPE(All_India_Index_Upto_April23__1[[#This Row],[Education]])</f>
        <v>1</v>
      </c>
      <c r="BG65">
        <f>TYPE(All_India_Index_Upto_April23__1[[#This Row],[Personal care and effects]])</f>
        <v>1</v>
      </c>
      <c r="BH65">
        <f>TYPE(All_India_Index_Upto_April23__1[[#This Row],[Miscellaneous]])</f>
        <v>1</v>
      </c>
      <c r="BI65">
        <f>TYPE(All_India_Index_Upto_April23__1[[#This Row],[General index]])</f>
        <v>1</v>
      </c>
    </row>
    <row r="66" spans="1:61" x14ac:dyDescent="0.3">
      <c r="A66" t="s">
        <v>32</v>
      </c>
      <c r="B66">
        <v>2014</v>
      </c>
      <c r="C66" t="s">
        <v>42</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c r="AF66">
        <f>TYPE(All_India_Index_Upto_April23__1[[#This Row],[Sector]])</f>
        <v>2</v>
      </c>
      <c r="AG66">
        <f>TYPE(All_India_Index_Upto_April23__1[[#This Row],[Year]])</f>
        <v>1</v>
      </c>
      <c r="AH66">
        <f>TYPE(All_India_Index_Upto_April23__1[[#This Row],[Month]])</f>
        <v>2</v>
      </c>
      <c r="AI66">
        <f>TYPE(All_India_Index_Upto_April23__1[[#This Row],[Cereals and products]])</f>
        <v>1</v>
      </c>
      <c r="AJ66">
        <f>TYPE(All_India_Index_Upto_April23__1[[#This Row],[Meat and fish]])</f>
        <v>1</v>
      </c>
      <c r="AK66">
        <f>TYPE(All_India_Index_Upto_April23__1[[#This Row],[Egg]])</f>
        <v>1</v>
      </c>
      <c r="AL66">
        <f>TYPE(All_India_Index_Upto_April23__1[[#This Row],[Milk and products]])</f>
        <v>1</v>
      </c>
      <c r="AM66">
        <f>TYPE(All_India_Index_Upto_April23__1[[#This Row],[Oils and fats]])</f>
        <v>1</v>
      </c>
      <c r="AN66">
        <f>TYPE(All_India_Index_Upto_April23__1[[#This Row],[Fruits]])</f>
        <v>1</v>
      </c>
      <c r="AO66">
        <f>TYPE(All_India_Index_Upto_April23__1[[#This Row],[Vegetables]])</f>
        <v>1</v>
      </c>
      <c r="AP66">
        <f>TYPE(All_India_Index_Upto_April23__1[[#This Row],[Pulses and products]])</f>
        <v>1</v>
      </c>
      <c r="AQ66">
        <f>TYPE(All_India_Index_Upto_April23__1[[#This Row],[Sugar and Confectionery]])</f>
        <v>1</v>
      </c>
      <c r="AR66">
        <f>TYPE(All_India_Index_Upto_April23__1[[#This Row],[Spices]])</f>
        <v>1</v>
      </c>
      <c r="AS66">
        <f>TYPE(All_India_Index_Upto_April23__1[[#This Row],[Non-alcoholic beverages]])</f>
        <v>1</v>
      </c>
      <c r="AT66">
        <f>TYPE(All_India_Index_Upto_April23__1[[#This Row],[Prepared meals, snacks, sweets etc.]])</f>
        <v>1</v>
      </c>
      <c r="AU66">
        <f>TYPE(All_India_Index_Upto_April23__1[[#This Row],[Food and beverages]])</f>
        <v>1</v>
      </c>
      <c r="AV66">
        <f>TYPE(All_India_Index_Upto_April23__1[[#This Row],[Pan, tobacco and intoxicants]])</f>
        <v>1</v>
      </c>
      <c r="AW66">
        <f>TYPE(All_India_Index_Upto_April23__1[[#This Row],[Clothing]])</f>
        <v>1</v>
      </c>
      <c r="AX66">
        <f>TYPE(All_India_Index_Upto_April23__1[[#This Row],[Footwear]])</f>
        <v>1</v>
      </c>
      <c r="AY66">
        <f>TYPE(All_India_Index_Upto_April23__1[[#This Row],[Clothing and footwear]])</f>
        <v>1</v>
      </c>
      <c r="AZ66">
        <f>TYPE(All_India_Index_Upto_April23__1[[#This Row],[Housing]])</f>
        <v>1</v>
      </c>
      <c r="BA66">
        <f>TYPE(All_India_Index_Upto_April23__1[[#This Row],[Fuel and light]])</f>
        <v>1</v>
      </c>
      <c r="BB66">
        <f>TYPE(All_India_Index_Upto_April23__1[[#This Row],[Household goods and services]])</f>
        <v>1</v>
      </c>
      <c r="BC66">
        <f>TYPE(All_India_Index_Upto_April23__1[[#This Row],[Health]])</f>
        <v>1</v>
      </c>
      <c r="BD66">
        <f>TYPE(All_India_Index_Upto_April23__1[[#This Row],[Transport and communication]])</f>
        <v>1</v>
      </c>
      <c r="BE66">
        <f>TYPE(All_India_Index_Upto_April23__1[[#This Row],[Recreation and amusement]])</f>
        <v>1</v>
      </c>
      <c r="BF66">
        <f>TYPE(All_India_Index_Upto_April23__1[[#This Row],[Education]])</f>
        <v>1</v>
      </c>
      <c r="BG66">
        <f>TYPE(All_India_Index_Upto_April23__1[[#This Row],[Personal care and effects]])</f>
        <v>1</v>
      </c>
      <c r="BH66">
        <f>TYPE(All_India_Index_Upto_April23__1[[#This Row],[Miscellaneous]])</f>
        <v>1</v>
      </c>
      <c r="BI66">
        <f>TYPE(All_India_Index_Upto_April23__1[[#This Row],[General index]])</f>
        <v>1</v>
      </c>
    </row>
    <row r="67" spans="1:61" x14ac:dyDescent="0.3">
      <c r="A67" t="s">
        <v>33</v>
      </c>
      <c r="B67">
        <v>2014</v>
      </c>
      <c r="C67" t="s">
        <v>42</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c r="AF67">
        <f>TYPE(All_India_Index_Upto_April23__1[[#This Row],[Sector]])</f>
        <v>2</v>
      </c>
      <c r="AG67">
        <f>TYPE(All_India_Index_Upto_April23__1[[#This Row],[Year]])</f>
        <v>1</v>
      </c>
      <c r="AH67">
        <f>TYPE(All_India_Index_Upto_April23__1[[#This Row],[Month]])</f>
        <v>2</v>
      </c>
      <c r="AI67">
        <f>TYPE(All_India_Index_Upto_April23__1[[#This Row],[Cereals and products]])</f>
        <v>1</v>
      </c>
      <c r="AJ67">
        <f>TYPE(All_India_Index_Upto_April23__1[[#This Row],[Meat and fish]])</f>
        <v>1</v>
      </c>
      <c r="AK67">
        <f>TYPE(All_India_Index_Upto_April23__1[[#This Row],[Egg]])</f>
        <v>1</v>
      </c>
      <c r="AL67">
        <f>TYPE(All_India_Index_Upto_April23__1[[#This Row],[Milk and products]])</f>
        <v>1</v>
      </c>
      <c r="AM67">
        <f>TYPE(All_India_Index_Upto_April23__1[[#This Row],[Oils and fats]])</f>
        <v>1</v>
      </c>
      <c r="AN67">
        <f>TYPE(All_India_Index_Upto_April23__1[[#This Row],[Fruits]])</f>
        <v>1</v>
      </c>
      <c r="AO67">
        <f>TYPE(All_India_Index_Upto_April23__1[[#This Row],[Vegetables]])</f>
        <v>1</v>
      </c>
      <c r="AP67">
        <f>TYPE(All_India_Index_Upto_April23__1[[#This Row],[Pulses and products]])</f>
        <v>1</v>
      </c>
      <c r="AQ67">
        <f>TYPE(All_India_Index_Upto_April23__1[[#This Row],[Sugar and Confectionery]])</f>
        <v>1</v>
      </c>
      <c r="AR67">
        <f>TYPE(All_India_Index_Upto_April23__1[[#This Row],[Spices]])</f>
        <v>1</v>
      </c>
      <c r="AS67">
        <f>TYPE(All_India_Index_Upto_April23__1[[#This Row],[Non-alcoholic beverages]])</f>
        <v>1</v>
      </c>
      <c r="AT67">
        <f>TYPE(All_India_Index_Upto_April23__1[[#This Row],[Prepared meals, snacks, sweets etc.]])</f>
        <v>1</v>
      </c>
      <c r="AU67">
        <f>TYPE(All_India_Index_Upto_April23__1[[#This Row],[Food and beverages]])</f>
        <v>1</v>
      </c>
      <c r="AV67">
        <f>TYPE(All_India_Index_Upto_April23__1[[#This Row],[Pan, tobacco and intoxicants]])</f>
        <v>1</v>
      </c>
      <c r="AW67">
        <f>TYPE(All_India_Index_Upto_April23__1[[#This Row],[Clothing]])</f>
        <v>1</v>
      </c>
      <c r="AX67">
        <f>TYPE(All_India_Index_Upto_April23__1[[#This Row],[Footwear]])</f>
        <v>1</v>
      </c>
      <c r="AY67">
        <f>TYPE(All_India_Index_Upto_April23__1[[#This Row],[Clothing and footwear]])</f>
        <v>1</v>
      </c>
      <c r="AZ67">
        <f>TYPE(All_India_Index_Upto_April23__1[[#This Row],[Housing]])</f>
        <v>1</v>
      </c>
      <c r="BA67">
        <f>TYPE(All_India_Index_Upto_April23__1[[#This Row],[Fuel and light]])</f>
        <v>1</v>
      </c>
      <c r="BB67">
        <f>TYPE(All_India_Index_Upto_April23__1[[#This Row],[Household goods and services]])</f>
        <v>1</v>
      </c>
      <c r="BC67">
        <f>TYPE(All_India_Index_Upto_April23__1[[#This Row],[Health]])</f>
        <v>1</v>
      </c>
      <c r="BD67">
        <f>TYPE(All_India_Index_Upto_April23__1[[#This Row],[Transport and communication]])</f>
        <v>1</v>
      </c>
      <c r="BE67">
        <f>TYPE(All_India_Index_Upto_April23__1[[#This Row],[Recreation and amusement]])</f>
        <v>1</v>
      </c>
      <c r="BF67">
        <f>TYPE(All_India_Index_Upto_April23__1[[#This Row],[Education]])</f>
        <v>1</v>
      </c>
      <c r="BG67">
        <f>TYPE(All_India_Index_Upto_April23__1[[#This Row],[Personal care and effects]])</f>
        <v>1</v>
      </c>
      <c r="BH67">
        <f>TYPE(All_India_Index_Upto_April23__1[[#This Row],[Miscellaneous]])</f>
        <v>1</v>
      </c>
      <c r="BI67">
        <f>TYPE(All_India_Index_Upto_April23__1[[#This Row],[General index]])</f>
        <v>1</v>
      </c>
    </row>
    <row r="68" spans="1:61" x14ac:dyDescent="0.3">
      <c r="A68" t="s">
        <v>30</v>
      </c>
      <c r="B68">
        <v>2014</v>
      </c>
      <c r="C68" t="s">
        <v>44</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v>0</v>
      </c>
      <c r="V68">
        <v>117.3</v>
      </c>
      <c r="W68">
        <v>118.1</v>
      </c>
      <c r="X68">
        <v>115.9</v>
      </c>
      <c r="Y68">
        <v>112</v>
      </c>
      <c r="Z68">
        <v>113.3</v>
      </c>
      <c r="AA68">
        <v>117.2</v>
      </c>
      <c r="AB68">
        <v>108.8</v>
      </c>
      <c r="AC68">
        <v>114.1</v>
      </c>
      <c r="AD68">
        <v>121.1</v>
      </c>
      <c r="AF68">
        <f>TYPE(All_India_Index_Upto_April23__1[[#This Row],[Sector]])</f>
        <v>2</v>
      </c>
      <c r="AG68">
        <f>TYPE(All_India_Index_Upto_April23__1[[#This Row],[Year]])</f>
        <v>1</v>
      </c>
      <c r="AH68">
        <f>TYPE(All_India_Index_Upto_April23__1[[#This Row],[Month]])</f>
        <v>2</v>
      </c>
      <c r="AI68">
        <f>TYPE(All_India_Index_Upto_April23__1[[#This Row],[Cereals and products]])</f>
        <v>1</v>
      </c>
      <c r="AJ68">
        <f>TYPE(All_India_Index_Upto_April23__1[[#This Row],[Meat and fish]])</f>
        <v>1</v>
      </c>
      <c r="AK68">
        <f>TYPE(All_India_Index_Upto_April23__1[[#This Row],[Egg]])</f>
        <v>1</v>
      </c>
      <c r="AL68">
        <f>TYPE(All_India_Index_Upto_April23__1[[#This Row],[Milk and products]])</f>
        <v>1</v>
      </c>
      <c r="AM68">
        <f>TYPE(All_India_Index_Upto_April23__1[[#This Row],[Oils and fats]])</f>
        <v>1</v>
      </c>
      <c r="AN68">
        <f>TYPE(All_India_Index_Upto_April23__1[[#This Row],[Fruits]])</f>
        <v>1</v>
      </c>
      <c r="AO68">
        <f>TYPE(All_India_Index_Upto_April23__1[[#This Row],[Vegetables]])</f>
        <v>1</v>
      </c>
      <c r="AP68">
        <f>TYPE(All_India_Index_Upto_April23__1[[#This Row],[Pulses and products]])</f>
        <v>1</v>
      </c>
      <c r="AQ68">
        <f>TYPE(All_India_Index_Upto_April23__1[[#This Row],[Sugar and Confectionery]])</f>
        <v>1</v>
      </c>
      <c r="AR68">
        <f>TYPE(All_India_Index_Upto_April23__1[[#This Row],[Spices]])</f>
        <v>1</v>
      </c>
      <c r="AS68">
        <f>TYPE(All_India_Index_Upto_April23__1[[#This Row],[Non-alcoholic beverages]])</f>
        <v>1</v>
      </c>
      <c r="AT68">
        <f>TYPE(All_India_Index_Upto_April23__1[[#This Row],[Prepared meals, snacks, sweets etc.]])</f>
        <v>1</v>
      </c>
      <c r="AU68">
        <f>TYPE(All_India_Index_Upto_April23__1[[#This Row],[Food and beverages]])</f>
        <v>1</v>
      </c>
      <c r="AV68">
        <f>TYPE(All_India_Index_Upto_April23__1[[#This Row],[Pan, tobacco and intoxicants]])</f>
        <v>1</v>
      </c>
      <c r="AW68">
        <f>TYPE(All_India_Index_Upto_April23__1[[#This Row],[Clothing]])</f>
        <v>1</v>
      </c>
      <c r="AX68">
        <f>TYPE(All_India_Index_Upto_April23__1[[#This Row],[Footwear]])</f>
        <v>1</v>
      </c>
      <c r="AY68">
        <f>TYPE(All_India_Index_Upto_April23__1[[#This Row],[Clothing and footwear]])</f>
        <v>1</v>
      </c>
      <c r="AZ68">
        <f>TYPE(All_India_Index_Upto_April23__1[[#This Row],[Housing]])</f>
        <v>1</v>
      </c>
      <c r="BA68">
        <f>TYPE(All_India_Index_Upto_April23__1[[#This Row],[Fuel and light]])</f>
        <v>1</v>
      </c>
      <c r="BB68">
        <f>TYPE(All_India_Index_Upto_April23__1[[#This Row],[Household goods and services]])</f>
        <v>1</v>
      </c>
      <c r="BC68">
        <f>TYPE(All_India_Index_Upto_April23__1[[#This Row],[Health]])</f>
        <v>1</v>
      </c>
      <c r="BD68">
        <f>TYPE(All_India_Index_Upto_April23__1[[#This Row],[Transport and communication]])</f>
        <v>1</v>
      </c>
      <c r="BE68">
        <f>TYPE(All_India_Index_Upto_April23__1[[#This Row],[Recreation and amusement]])</f>
        <v>1</v>
      </c>
      <c r="BF68">
        <f>TYPE(All_India_Index_Upto_April23__1[[#This Row],[Education]])</f>
        <v>1</v>
      </c>
      <c r="BG68">
        <f>TYPE(All_India_Index_Upto_April23__1[[#This Row],[Personal care and effects]])</f>
        <v>1</v>
      </c>
      <c r="BH68">
        <f>TYPE(All_India_Index_Upto_April23__1[[#This Row],[Miscellaneous]])</f>
        <v>1</v>
      </c>
      <c r="BI68">
        <f>TYPE(All_India_Index_Upto_April23__1[[#This Row],[General index]])</f>
        <v>1</v>
      </c>
    </row>
    <row r="69" spans="1:61" x14ac:dyDescent="0.3">
      <c r="A69" t="s">
        <v>32</v>
      </c>
      <c r="B69">
        <v>2014</v>
      </c>
      <c r="C69" t="s">
        <v>44</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c r="AF69">
        <f>TYPE(All_India_Index_Upto_April23__1[[#This Row],[Sector]])</f>
        <v>2</v>
      </c>
      <c r="AG69">
        <f>TYPE(All_India_Index_Upto_April23__1[[#This Row],[Year]])</f>
        <v>1</v>
      </c>
      <c r="AH69">
        <f>TYPE(All_India_Index_Upto_April23__1[[#This Row],[Month]])</f>
        <v>2</v>
      </c>
      <c r="AI69">
        <f>TYPE(All_India_Index_Upto_April23__1[[#This Row],[Cereals and products]])</f>
        <v>1</v>
      </c>
      <c r="AJ69">
        <f>TYPE(All_India_Index_Upto_April23__1[[#This Row],[Meat and fish]])</f>
        <v>1</v>
      </c>
      <c r="AK69">
        <f>TYPE(All_India_Index_Upto_April23__1[[#This Row],[Egg]])</f>
        <v>1</v>
      </c>
      <c r="AL69">
        <f>TYPE(All_India_Index_Upto_April23__1[[#This Row],[Milk and products]])</f>
        <v>1</v>
      </c>
      <c r="AM69">
        <f>TYPE(All_India_Index_Upto_April23__1[[#This Row],[Oils and fats]])</f>
        <v>1</v>
      </c>
      <c r="AN69">
        <f>TYPE(All_India_Index_Upto_April23__1[[#This Row],[Fruits]])</f>
        <v>1</v>
      </c>
      <c r="AO69">
        <f>TYPE(All_India_Index_Upto_April23__1[[#This Row],[Vegetables]])</f>
        <v>1</v>
      </c>
      <c r="AP69">
        <f>TYPE(All_India_Index_Upto_April23__1[[#This Row],[Pulses and products]])</f>
        <v>1</v>
      </c>
      <c r="AQ69">
        <f>TYPE(All_India_Index_Upto_April23__1[[#This Row],[Sugar and Confectionery]])</f>
        <v>1</v>
      </c>
      <c r="AR69">
        <f>TYPE(All_India_Index_Upto_April23__1[[#This Row],[Spices]])</f>
        <v>1</v>
      </c>
      <c r="AS69">
        <f>TYPE(All_India_Index_Upto_April23__1[[#This Row],[Non-alcoholic beverages]])</f>
        <v>1</v>
      </c>
      <c r="AT69">
        <f>TYPE(All_India_Index_Upto_April23__1[[#This Row],[Prepared meals, snacks, sweets etc.]])</f>
        <v>1</v>
      </c>
      <c r="AU69">
        <f>TYPE(All_India_Index_Upto_April23__1[[#This Row],[Food and beverages]])</f>
        <v>1</v>
      </c>
      <c r="AV69">
        <f>TYPE(All_India_Index_Upto_April23__1[[#This Row],[Pan, tobacco and intoxicants]])</f>
        <v>1</v>
      </c>
      <c r="AW69">
        <f>TYPE(All_India_Index_Upto_April23__1[[#This Row],[Clothing]])</f>
        <v>1</v>
      </c>
      <c r="AX69">
        <f>TYPE(All_India_Index_Upto_April23__1[[#This Row],[Footwear]])</f>
        <v>1</v>
      </c>
      <c r="AY69">
        <f>TYPE(All_India_Index_Upto_April23__1[[#This Row],[Clothing and footwear]])</f>
        <v>1</v>
      </c>
      <c r="AZ69">
        <f>TYPE(All_India_Index_Upto_April23__1[[#This Row],[Housing]])</f>
        <v>1</v>
      </c>
      <c r="BA69">
        <f>TYPE(All_India_Index_Upto_April23__1[[#This Row],[Fuel and light]])</f>
        <v>1</v>
      </c>
      <c r="BB69">
        <f>TYPE(All_India_Index_Upto_April23__1[[#This Row],[Household goods and services]])</f>
        <v>1</v>
      </c>
      <c r="BC69">
        <f>TYPE(All_India_Index_Upto_April23__1[[#This Row],[Health]])</f>
        <v>1</v>
      </c>
      <c r="BD69">
        <f>TYPE(All_India_Index_Upto_April23__1[[#This Row],[Transport and communication]])</f>
        <v>1</v>
      </c>
      <c r="BE69">
        <f>TYPE(All_India_Index_Upto_April23__1[[#This Row],[Recreation and amusement]])</f>
        <v>1</v>
      </c>
      <c r="BF69">
        <f>TYPE(All_India_Index_Upto_April23__1[[#This Row],[Education]])</f>
        <v>1</v>
      </c>
      <c r="BG69">
        <f>TYPE(All_India_Index_Upto_April23__1[[#This Row],[Personal care and effects]])</f>
        <v>1</v>
      </c>
      <c r="BH69">
        <f>TYPE(All_India_Index_Upto_April23__1[[#This Row],[Miscellaneous]])</f>
        <v>1</v>
      </c>
      <c r="BI69">
        <f>TYPE(All_India_Index_Upto_April23__1[[#This Row],[General index]])</f>
        <v>1</v>
      </c>
    </row>
    <row r="70" spans="1:61" x14ac:dyDescent="0.3">
      <c r="A70" t="s">
        <v>33</v>
      </c>
      <c r="B70">
        <v>2014</v>
      </c>
      <c r="C70" t="s">
        <v>44</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c r="AF70">
        <f>TYPE(All_India_Index_Upto_April23__1[[#This Row],[Sector]])</f>
        <v>2</v>
      </c>
      <c r="AG70">
        <f>TYPE(All_India_Index_Upto_April23__1[[#This Row],[Year]])</f>
        <v>1</v>
      </c>
      <c r="AH70">
        <f>TYPE(All_India_Index_Upto_April23__1[[#This Row],[Month]])</f>
        <v>2</v>
      </c>
      <c r="AI70">
        <f>TYPE(All_India_Index_Upto_April23__1[[#This Row],[Cereals and products]])</f>
        <v>1</v>
      </c>
      <c r="AJ70">
        <f>TYPE(All_India_Index_Upto_April23__1[[#This Row],[Meat and fish]])</f>
        <v>1</v>
      </c>
      <c r="AK70">
        <f>TYPE(All_India_Index_Upto_April23__1[[#This Row],[Egg]])</f>
        <v>1</v>
      </c>
      <c r="AL70">
        <f>TYPE(All_India_Index_Upto_April23__1[[#This Row],[Milk and products]])</f>
        <v>1</v>
      </c>
      <c r="AM70">
        <f>TYPE(All_India_Index_Upto_April23__1[[#This Row],[Oils and fats]])</f>
        <v>1</v>
      </c>
      <c r="AN70">
        <f>TYPE(All_India_Index_Upto_April23__1[[#This Row],[Fruits]])</f>
        <v>1</v>
      </c>
      <c r="AO70">
        <f>TYPE(All_India_Index_Upto_April23__1[[#This Row],[Vegetables]])</f>
        <v>1</v>
      </c>
      <c r="AP70">
        <f>TYPE(All_India_Index_Upto_April23__1[[#This Row],[Pulses and products]])</f>
        <v>1</v>
      </c>
      <c r="AQ70">
        <f>TYPE(All_India_Index_Upto_April23__1[[#This Row],[Sugar and Confectionery]])</f>
        <v>1</v>
      </c>
      <c r="AR70">
        <f>TYPE(All_India_Index_Upto_April23__1[[#This Row],[Spices]])</f>
        <v>1</v>
      </c>
      <c r="AS70">
        <f>TYPE(All_India_Index_Upto_April23__1[[#This Row],[Non-alcoholic beverages]])</f>
        <v>1</v>
      </c>
      <c r="AT70">
        <f>TYPE(All_India_Index_Upto_April23__1[[#This Row],[Prepared meals, snacks, sweets etc.]])</f>
        <v>1</v>
      </c>
      <c r="AU70">
        <f>TYPE(All_India_Index_Upto_April23__1[[#This Row],[Food and beverages]])</f>
        <v>1</v>
      </c>
      <c r="AV70">
        <f>TYPE(All_India_Index_Upto_April23__1[[#This Row],[Pan, tobacco and intoxicants]])</f>
        <v>1</v>
      </c>
      <c r="AW70">
        <f>TYPE(All_India_Index_Upto_April23__1[[#This Row],[Clothing]])</f>
        <v>1</v>
      </c>
      <c r="AX70">
        <f>TYPE(All_India_Index_Upto_April23__1[[#This Row],[Footwear]])</f>
        <v>1</v>
      </c>
      <c r="AY70">
        <f>TYPE(All_India_Index_Upto_April23__1[[#This Row],[Clothing and footwear]])</f>
        <v>1</v>
      </c>
      <c r="AZ70">
        <f>TYPE(All_India_Index_Upto_April23__1[[#This Row],[Housing]])</f>
        <v>1</v>
      </c>
      <c r="BA70">
        <f>TYPE(All_India_Index_Upto_April23__1[[#This Row],[Fuel and light]])</f>
        <v>1</v>
      </c>
      <c r="BB70">
        <f>TYPE(All_India_Index_Upto_April23__1[[#This Row],[Household goods and services]])</f>
        <v>1</v>
      </c>
      <c r="BC70">
        <f>TYPE(All_India_Index_Upto_April23__1[[#This Row],[Health]])</f>
        <v>1</v>
      </c>
      <c r="BD70">
        <f>TYPE(All_India_Index_Upto_April23__1[[#This Row],[Transport and communication]])</f>
        <v>1</v>
      </c>
      <c r="BE70">
        <f>TYPE(All_India_Index_Upto_April23__1[[#This Row],[Recreation and amusement]])</f>
        <v>1</v>
      </c>
      <c r="BF70">
        <f>TYPE(All_India_Index_Upto_April23__1[[#This Row],[Education]])</f>
        <v>1</v>
      </c>
      <c r="BG70">
        <f>TYPE(All_India_Index_Upto_April23__1[[#This Row],[Personal care and effects]])</f>
        <v>1</v>
      </c>
      <c r="BH70">
        <f>TYPE(All_India_Index_Upto_April23__1[[#This Row],[Miscellaneous]])</f>
        <v>1</v>
      </c>
      <c r="BI70">
        <f>TYPE(All_India_Index_Upto_April23__1[[#This Row],[General index]])</f>
        <v>1</v>
      </c>
    </row>
    <row r="71" spans="1:61" x14ac:dyDescent="0.3">
      <c r="A71" t="s">
        <v>30</v>
      </c>
      <c r="B71">
        <v>2014</v>
      </c>
      <c r="C71" t="s">
        <v>45</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v>0</v>
      </c>
      <c r="V71">
        <v>117.4</v>
      </c>
      <c r="W71">
        <v>118.2</v>
      </c>
      <c r="X71">
        <v>116.2</v>
      </c>
      <c r="Y71">
        <v>111.5</v>
      </c>
      <c r="Z71">
        <v>113.3</v>
      </c>
      <c r="AA71">
        <v>117.7</v>
      </c>
      <c r="AB71">
        <v>109.4</v>
      </c>
      <c r="AC71">
        <v>114.2</v>
      </c>
      <c r="AD71">
        <v>120.3</v>
      </c>
      <c r="AF71">
        <f>TYPE(All_India_Index_Upto_April23__1[[#This Row],[Sector]])</f>
        <v>2</v>
      </c>
      <c r="AG71">
        <f>TYPE(All_India_Index_Upto_April23__1[[#This Row],[Year]])</f>
        <v>1</v>
      </c>
      <c r="AH71">
        <f>TYPE(All_India_Index_Upto_April23__1[[#This Row],[Month]])</f>
        <v>2</v>
      </c>
      <c r="AI71">
        <f>TYPE(All_India_Index_Upto_April23__1[[#This Row],[Cereals and products]])</f>
        <v>1</v>
      </c>
      <c r="AJ71">
        <f>TYPE(All_India_Index_Upto_April23__1[[#This Row],[Meat and fish]])</f>
        <v>1</v>
      </c>
      <c r="AK71">
        <f>TYPE(All_India_Index_Upto_April23__1[[#This Row],[Egg]])</f>
        <v>1</v>
      </c>
      <c r="AL71">
        <f>TYPE(All_India_Index_Upto_April23__1[[#This Row],[Milk and products]])</f>
        <v>1</v>
      </c>
      <c r="AM71">
        <f>TYPE(All_India_Index_Upto_April23__1[[#This Row],[Oils and fats]])</f>
        <v>1</v>
      </c>
      <c r="AN71">
        <f>TYPE(All_India_Index_Upto_April23__1[[#This Row],[Fruits]])</f>
        <v>1</v>
      </c>
      <c r="AO71">
        <f>TYPE(All_India_Index_Upto_April23__1[[#This Row],[Vegetables]])</f>
        <v>1</v>
      </c>
      <c r="AP71">
        <f>TYPE(All_India_Index_Upto_April23__1[[#This Row],[Pulses and products]])</f>
        <v>1</v>
      </c>
      <c r="AQ71">
        <f>TYPE(All_India_Index_Upto_April23__1[[#This Row],[Sugar and Confectionery]])</f>
        <v>1</v>
      </c>
      <c r="AR71">
        <f>TYPE(All_India_Index_Upto_April23__1[[#This Row],[Spices]])</f>
        <v>1</v>
      </c>
      <c r="AS71">
        <f>TYPE(All_India_Index_Upto_April23__1[[#This Row],[Non-alcoholic beverages]])</f>
        <v>1</v>
      </c>
      <c r="AT71">
        <f>TYPE(All_India_Index_Upto_April23__1[[#This Row],[Prepared meals, snacks, sweets etc.]])</f>
        <v>1</v>
      </c>
      <c r="AU71">
        <f>TYPE(All_India_Index_Upto_April23__1[[#This Row],[Food and beverages]])</f>
        <v>1</v>
      </c>
      <c r="AV71">
        <f>TYPE(All_India_Index_Upto_April23__1[[#This Row],[Pan, tobacco and intoxicants]])</f>
        <v>1</v>
      </c>
      <c r="AW71">
        <f>TYPE(All_India_Index_Upto_April23__1[[#This Row],[Clothing]])</f>
        <v>1</v>
      </c>
      <c r="AX71">
        <f>TYPE(All_India_Index_Upto_April23__1[[#This Row],[Footwear]])</f>
        <v>1</v>
      </c>
      <c r="AY71">
        <f>TYPE(All_India_Index_Upto_April23__1[[#This Row],[Clothing and footwear]])</f>
        <v>1</v>
      </c>
      <c r="AZ71">
        <f>TYPE(All_India_Index_Upto_April23__1[[#This Row],[Housing]])</f>
        <v>1</v>
      </c>
      <c r="BA71">
        <f>TYPE(All_India_Index_Upto_April23__1[[#This Row],[Fuel and light]])</f>
        <v>1</v>
      </c>
      <c r="BB71">
        <f>TYPE(All_India_Index_Upto_April23__1[[#This Row],[Household goods and services]])</f>
        <v>1</v>
      </c>
      <c r="BC71">
        <f>TYPE(All_India_Index_Upto_April23__1[[#This Row],[Health]])</f>
        <v>1</v>
      </c>
      <c r="BD71">
        <f>TYPE(All_India_Index_Upto_April23__1[[#This Row],[Transport and communication]])</f>
        <v>1</v>
      </c>
      <c r="BE71">
        <f>TYPE(All_India_Index_Upto_April23__1[[#This Row],[Recreation and amusement]])</f>
        <v>1</v>
      </c>
      <c r="BF71">
        <f>TYPE(All_India_Index_Upto_April23__1[[#This Row],[Education]])</f>
        <v>1</v>
      </c>
      <c r="BG71">
        <f>TYPE(All_India_Index_Upto_April23__1[[#This Row],[Personal care and effects]])</f>
        <v>1</v>
      </c>
      <c r="BH71">
        <f>TYPE(All_India_Index_Upto_April23__1[[#This Row],[Miscellaneous]])</f>
        <v>1</v>
      </c>
      <c r="BI71">
        <f>TYPE(All_India_Index_Upto_April23__1[[#This Row],[General index]])</f>
        <v>1</v>
      </c>
    </row>
    <row r="72" spans="1:61" x14ac:dyDescent="0.3">
      <c r="A72" t="s">
        <v>32</v>
      </c>
      <c r="B72">
        <v>2014</v>
      </c>
      <c r="C72" t="s">
        <v>45</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c r="AF72">
        <f>TYPE(All_India_Index_Upto_April23__1[[#This Row],[Sector]])</f>
        <v>2</v>
      </c>
      <c r="AG72">
        <f>TYPE(All_India_Index_Upto_April23__1[[#This Row],[Year]])</f>
        <v>1</v>
      </c>
      <c r="AH72">
        <f>TYPE(All_India_Index_Upto_April23__1[[#This Row],[Month]])</f>
        <v>2</v>
      </c>
      <c r="AI72">
        <f>TYPE(All_India_Index_Upto_April23__1[[#This Row],[Cereals and products]])</f>
        <v>1</v>
      </c>
      <c r="AJ72">
        <f>TYPE(All_India_Index_Upto_April23__1[[#This Row],[Meat and fish]])</f>
        <v>1</v>
      </c>
      <c r="AK72">
        <f>TYPE(All_India_Index_Upto_April23__1[[#This Row],[Egg]])</f>
        <v>1</v>
      </c>
      <c r="AL72">
        <f>TYPE(All_India_Index_Upto_April23__1[[#This Row],[Milk and products]])</f>
        <v>1</v>
      </c>
      <c r="AM72">
        <f>TYPE(All_India_Index_Upto_April23__1[[#This Row],[Oils and fats]])</f>
        <v>1</v>
      </c>
      <c r="AN72">
        <f>TYPE(All_India_Index_Upto_April23__1[[#This Row],[Fruits]])</f>
        <v>1</v>
      </c>
      <c r="AO72">
        <f>TYPE(All_India_Index_Upto_April23__1[[#This Row],[Vegetables]])</f>
        <v>1</v>
      </c>
      <c r="AP72">
        <f>TYPE(All_India_Index_Upto_April23__1[[#This Row],[Pulses and products]])</f>
        <v>1</v>
      </c>
      <c r="AQ72">
        <f>TYPE(All_India_Index_Upto_April23__1[[#This Row],[Sugar and Confectionery]])</f>
        <v>1</v>
      </c>
      <c r="AR72">
        <f>TYPE(All_India_Index_Upto_April23__1[[#This Row],[Spices]])</f>
        <v>1</v>
      </c>
      <c r="AS72">
        <f>TYPE(All_India_Index_Upto_April23__1[[#This Row],[Non-alcoholic beverages]])</f>
        <v>1</v>
      </c>
      <c r="AT72">
        <f>TYPE(All_India_Index_Upto_April23__1[[#This Row],[Prepared meals, snacks, sweets etc.]])</f>
        <v>1</v>
      </c>
      <c r="AU72">
        <f>TYPE(All_India_Index_Upto_April23__1[[#This Row],[Food and beverages]])</f>
        <v>1</v>
      </c>
      <c r="AV72">
        <f>TYPE(All_India_Index_Upto_April23__1[[#This Row],[Pan, tobacco and intoxicants]])</f>
        <v>1</v>
      </c>
      <c r="AW72">
        <f>TYPE(All_India_Index_Upto_April23__1[[#This Row],[Clothing]])</f>
        <v>1</v>
      </c>
      <c r="AX72">
        <f>TYPE(All_India_Index_Upto_April23__1[[#This Row],[Footwear]])</f>
        <v>1</v>
      </c>
      <c r="AY72">
        <f>TYPE(All_India_Index_Upto_April23__1[[#This Row],[Clothing and footwear]])</f>
        <v>1</v>
      </c>
      <c r="AZ72">
        <f>TYPE(All_India_Index_Upto_April23__1[[#This Row],[Housing]])</f>
        <v>1</v>
      </c>
      <c r="BA72">
        <f>TYPE(All_India_Index_Upto_April23__1[[#This Row],[Fuel and light]])</f>
        <v>1</v>
      </c>
      <c r="BB72">
        <f>TYPE(All_India_Index_Upto_April23__1[[#This Row],[Household goods and services]])</f>
        <v>1</v>
      </c>
      <c r="BC72">
        <f>TYPE(All_India_Index_Upto_April23__1[[#This Row],[Health]])</f>
        <v>1</v>
      </c>
      <c r="BD72">
        <f>TYPE(All_India_Index_Upto_April23__1[[#This Row],[Transport and communication]])</f>
        <v>1</v>
      </c>
      <c r="BE72">
        <f>TYPE(All_India_Index_Upto_April23__1[[#This Row],[Recreation and amusement]])</f>
        <v>1</v>
      </c>
      <c r="BF72">
        <f>TYPE(All_India_Index_Upto_April23__1[[#This Row],[Education]])</f>
        <v>1</v>
      </c>
      <c r="BG72">
        <f>TYPE(All_India_Index_Upto_April23__1[[#This Row],[Personal care and effects]])</f>
        <v>1</v>
      </c>
      <c r="BH72">
        <f>TYPE(All_India_Index_Upto_April23__1[[#This Row],[Miscellaneous]])</f>
        <v>1</v>
      </c>
      <c r="BI72">
        <f>TYPE(All_India_Index_Upto_April23__1[[#This Row],[General index]])</f>
        <v>1</v>
      </c>
    </row>
    <row r="73" spans="1:61" x14ac:dyDescent="0.3">
      <c r="A73" t="s">
        <v>33</v>
      </c>
      <c r="B73">
        <v>2014</v>
      </c>
      <c r="C73" t="s">
        <v>45</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c r="AF73">
        <f>TYPE(All_India_Index_Upto_April23__1[[#This Row],[Sector]])</f>
        <v>2</v>
      </c>
      <c r="AG73">
        <f>TYPE(All_India_Index_Upto_April23__1[[#This Row],[Year]])</f>
        <v>1</v>
      </c>
      <c r="AH73">
        <f>TYPE(All_India_Index_Upto_April23__1[[#This Row],[Month]])</f>
        <v>2</v>
      </c>
      <c r="AI73">
        <f>TYPE(All_India_Index_Upto_April23__1[[#This Row],[Cereals and products]])</f>
        <v>1</v>
      </c>
      <c r="AJ73">
        <f>TYPE(All_India_Index_Upto_April23__1[[#This Row],[Meat and fish]])</f>
        <v>1</v>
      </c>
      <c r="AK73">
        <f>TYPE(All_India_Index_Upto_April23__1[[#This Row],[Egg]])</f>
        <v>1</v>
      </c>
      <c r="AL73">
        <f>TYPE(All_India_Index_Upto_April23__1[[#This Row],[Milk and products]])</f>
        <v>1</v>
      </c>
      <c r="AM73">
        <f>TYPE(All_India_Index_Upto_April23__1[[#This Row],[Oils and fats]])</f>
        <v>1</v>
      </c>
      <c r="AN73">
        <f>TYPE(All_India_Index_Upto_April23__1[[#This Row],[Fruits]])</f>
        <v>1</v>
      </c>
      <c r="AO73">
        <f>TYPE(All_India_Index_Upto_April23__1[[#This Row],[Vegetables]])</f>
        <v>1</v>
      </c>
      <c r="AP73">
        <f>TYPE(All_India_Index_Upto_April23__1[[#This Row],[Pulses and products]])</f>
        <v>1</v>
      </c>
      <c r="AQ73">
        <f>TYPE(All_India_Index_Upto_April23__1[[#This Row],[Sugar and Confectionery]])</f>
        <v>1</v>
      </c>
      <c r="AR73">
        <f>TYPE(All_India_Index_Upto_April23__1[[#This Row],[Spices]])</f>
        <v>1</v>
      </c>
      <c r="AS73">
        <f>TYPE(All_India_Index_Upto_April23__1[[#This Row],[Non-alcoholic beverages]])</f>
        <v>1</v>
      </c>
      <c r="AT73">
        <f>TYPE(All_India_Index_Upto_April23__1[[#This Row],[Prepared meals, snacks, sweets etc.]])</f>
        <v>1</v>
      </c>
      <c r="AU73">
        <f>TYPE(All_India_Index_Upto_April23__1[[#This Row],[Food and beverages]])</f>
        <v>1</v>
      </c>
      <c r="AV73">
        <f>TYPE(All_India_Index_Upto_April23__1[[#This Row],[Pan, tobacco and intoxicants]])</f>
        <v>1</v>
      </c>
      <c r="AW73">
        <f>TYPE(All_India_Index_Upto_April23__1[[#This Row],[Clothing]])</f>
        <v>1</v>
      </c>
      <c r="AX73">
        <f>TYPE(All_India_Index_Upto_April23__1[[#This Row],[Footwear]])</f>
        <v>1</v>
      </c>
      <c r="AY73">
        <f>TYPE(All_India_Index_Upto_April23__1[[#This Row],[Clothing and footwear]])</f>
        <v>1</v>
      </c>
      <c r="AZ73">
        <f>TYPE(All_India_Index_Upto_April23__1[[#This Row],[Housing]])</f>
        <v>1</v>
      </c>
      <c r="BA73">
        <f>TYPE(All_India_Index_Upto_April23__1[[#This Row],[Fuel and light]])</f>
        <v>1</v>
      </c>
      <c r="BB73">
        <f>TYPE(All_India_Index_Upto_April23__1[[#This Row],[Household goods and services]])</f>
        <v>1</v>
      </c>
      <c r="BC73">
        <f>TYPE(All_India_Index_Upto_April23__1[[#This Row],[Health]])</f>
        <v>1</v>
      </c>
      <c r="BD73">
        <f>TYPE(All_India_Index_Upto_April23__1[[#This Row],[Transport and communication]])</f>
        <v>1</v>
      </c>
      <c r="BE73">
        <f>TYPE(All_India_Index_Upto_April23__1[[#This Row],[Recreation and amusement]])</f>
        <v>1</v>
      </c>
      <c r="BF73">
        <f>TYPE(All_India_Index_Upto_April23__1[[#This Row],[Education]])</f>
        <v>1</v>
      </c>
      <c r="BG73">
        <f>TYPE(All_India_Index_Upto_April23__1[[#This Row],[Personal care and effects]])</f>
        <v>1</v>
      </c>
      <c r="BH73">
        <f>TYPE(All_India_Index_Upto_April23__1[[#This Row],[Miscellaneous]])</f>
        <v>1</v>
      </c>
      <c r="BI73">
        <f>TYPE(All_India_Index_Upto_April23__1[[#This Row],[General index]])</f>
        <v>1</v>
      </c>
    </row>
    <row r="74" spans="1:61" x14ac:dyDescent="0.3">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v>0</v>
      </c>
      <c r="V74">
        <v>118.4</v>
      </c>
      <c r="W74">
        <v>118.9</v>
      </c>
      <c r="X74">
        <v>116.6</v>
      </c>
      <c r="Y74">
        <v>111</v>
      </c>
      <c r="Z74">
        <v>114</v>
      </c>
      <c r="AA74">
        <v>118.2</v>
      </c>
      <c r="AB74">
        <v>110.2</v>
      </c>
      <c r="AC74">
        <v>114.5</v>
      </c>
      <c r="AD74">
        <v>120.3</v>
      </c>
      <c r="AF74">
        <f>TYPE(All_India_Index_Upto_April23__1[[#This Row],[Sector]])</f>
        <v>2</v>
      </c>
      <c r="AG74">
        <f>TYPE(All_India_Index_Upto_April23__1[[#This Row],[Year]])</f>
        <v>1</v>
      </c>
      <c r="AH74">
        <f>TYPE(All_India_Index_Upto_April23__1[[#This Row],[Month]])</f>
        <v>2</v>
      </c>
      <c r="AI74">
        <f>TYPE(All_India_Index_Upto_April23__1[[#This Row],[Cereals and products]])</f>
        <v>1</v>
      </c>
      <c r="AJ74">
        <f>TYPE(All_India_Index_Upto_April23__1[[#This Row],[Meat and fish]])</f>
        <v>1</v>
      </c>
      <c r="AK74">
        <f>TYPE(All_India_Index_Upto_April23__1[[#This Row],[Egg]])</f>
        <v>1</v>
      </c>
      <c r="AL74">
        <f>TYPE(All_India_Index_Upto_April23__1[[#This Row],[Milk and products]])</f>
        <v>1</v>
      </c>
      <c r="AM74">
        <f>TYPE(All_India_Index_Upto_April23__1[[#This Row],[Oils and fats]])</f>
        <v>1</v>
      </c>
      <c r="AN74">
        <f>TYPE(All_India_Index_Upto_April23__1[[#This Row],[Fruits]])</f>
        <v>1</v>
      </c>
      <c r="AO74">
        <f>TYPE(All_India_Index_Upto_April23__1[[#This Row],[Vegetables]])</f>
        <v>1</v>
      </c>
      <c r="AP74">
        <f>TYPE(All_India_Index_Upto_April23__1[[#This Row],[Pulses and products]])</f>
        <v>1</v>
      </c>
      <c r="AQ74">
        <f>TYPE(All_India_Index_Upto_April23__1[[#This Row],[Sugar and Confectionery]])</f>
        <v>1</v>
      </c>
      <c r="AR74">
        <f>TYPE(All_India_Index_Upto_April23__1[[#This Row],[Spices]])</f>
        <v>1</v>
      </c>
      <c r="AS74">
        <f>TYPE(All_India_Index_Upto_April23__1[[#This Row],[Non-alcoholic beverages]])</f>
        <v>1</v>
      </c>
      <c r="AT74">
        <f>TYPE(All_India_Index_Upto_April23__1[[#This Row],[Prepared meals, snacks, sweets etc.]])</f>
        <v>1</v>
      </c>
      <c r="AU74">
        <f>TYPE(All_India_Index_Upto_April23__1[[#This Row],[Food and beverages]])</f>
        <v>1</v>
      </c>
      <c r="AV74">
        <f>TYPE(All_India_Index_Upto_April23__1[[#This Row],[Pan, tobacco and intoxicants]])</f>
        <v>1</v>
      </c>
      <c r="AW74">
        <f>TYPE(All_India_Index_Upto_April23__1[[#This Row],[Clothing]])</f>
        <v>1</v>
      </c>
      <c r="AX74">
        <f>TYPE(All_India_Index_Upto_April23__1[[#This Row],[Footwear]])</f>
        <v>1</v>
      </c>
      <c r="AY74">
        <f>TYPE(All_India_Index_Upto_April23__1[[#This Row],[Clothing and footwear]])</f>
        <v>1</v>
      </c>
      <c r="AZ74">
        <f>TYPE(All_India_Index_Upto_April23__1[[#This Row],[Housing]])</f>
        <v>1</v>
      </c>
      <c r="BA74">
        <f>TYPE(All_India_Index_Upto_April23__1[[#This Row],[Fuel and light]])</f>
        <v>1</v>
      </c>
      <c r="BB74">
        <f>TYPE(All_India_Index_Upto_April23__1[[#This Row],[Household goods and services]])</f>
        <v>1</v>
      </c>
      <c r="BC74">
        <f>TYPE(All_India_Index_Upto_April23__1[[#This Row],[Health]])</f>
        <v>1</v>
      </c>
      <c r="BD74">
        <f>TYPE(All_India_Index_Upto_April23__1[[#This Row],[Transport and communication]])</f>
        <v>1</v>
      </c>
      <c r="BE74">
        <f>TYPE(All_India_Index_Upto_April23__1[[#This Row],[Recreation and amusement]])</f>
        <v>1</v>
      </c>
      <c r="BF74">
        <f>TYPE(All_India_Index_Upto_April23__1[[#This Row],[Education]])</f>
        <v>1</v>
      </c>
      <c r="BG74">
        <f>TYPE(All_India_Index_Upto_April23__1[[#This Row],[Personal care and effects]])</f>
        <v>1</v>
      </c>
      <c r="BH74">
        <f>TYPE(All_India_Index_Upto_April23__1[[#This Row],[Miscellaneous]])</f>
        <v>1</v>
      </c>
      <c r="BI74">
        <f>TYPE(All_India_Index_Upto_April23__1[[#This Row],[General index]])</f>
        <v>1</v>
      </c>
    </row>
    <row r="75" spans="1:61" x14ac:dyDescent="0.3">
      <c r="A75" t="s">
        <v>32</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c r="AF75">
        <f>TYPE(All_India_Index_Upto_April23__1[[#This Row],[Sector]])</f>
        <v>2</v>
      </c>
      <c r="AG75">
        <f>TYPE(All_India_Index_Upto_April23__1[[#This Row],[Year]])</f>
        <v>1</v>
      </c>
      <c r="AH75">
        <f>TYPE(All_India_Index_Upto_April23__1[[#This Row],[Month]])</f>
        <v>2</v>
      </c>
      <c r="AI75">
        <f>TYPE(All_India_Index_Upto_April23__1[[#This Row],[Cereals and products]])</f>
        <v>1</v>
      </c>
      <c r="AJ75">
        <f>TYPE(All_India_Index_Upto_April23__1[[#This Row],[Meat and fish]])</f>
        <v>1</v>
      </c>
      <c r="AK75">
        <f>TYPE(All_India_Index_Upto_April23__1[[#This Row],[Egg]])</f>
        <v>1</v>
      </c>
      <c r="AL75">
        <f>TYPE(All_India_Index_Upto_April23__1[[#This Row],[Milk and products]])</f>
        <v>1</v>
      </c>
      <c r="AM75">
        <f>TYPE(All_India_Index_Upto_April23__1[[#This Row],[Oils and fats]])</f>
        <v>1</v>
      </c>
      <c r="AN75">
        <f>TYPE(All_India_Index_Upto_April23__1[[#This Row],[Fruits]])</f>
        <v>1</v>
      </c>
      <c r="AO75">
        <f>TYPE(All_India_Index_Upto_April23__1[[#This Row],[Vegetables]])</f>
        <v>1</v>
      </c>
      <c r="AP75">
        <f>TYPE(All_India_Index_Upto_April23__1[[#This Row],[Pulses and products]])</f>
        <v>1</v>
      </c>
      <c r="AQ75">
        <f>TYPE(All_India_Index_Upto_April23__1[[#This Row],[Sugar and Confectionery]])</f>
        <v>1</v>
      </c>
      <c r="AR75">
        <f>TYPE(All_India_Index_Upto_April23__1[[#This Row],[Spices]])</f>
        <v>1</v>
      </c>
      <c r="AS75">
        <f>TYPE(All_India_Index_Upto_April23__1[[#This Row],[Non-alcoholic beverages]])</f>
        <v>1</v>
      </c>
      <c r="AT75">
        <f>TYPE(All_India_Index_Upto_April23__1[[#This Row],[Prepared meals, snacks, sweets etc.]])</f>
        <v>1</v>
      </c>
      <c r="AU75">
        <f>TYPE(All_India_Index_Upto_April23__1[[#This Row],[Food and beverages]])</f>
        <v>1</v>
      </c>
      <c r="AV75">
        <f>TYPE(All_India_Index_Upto_April23__1[[#This Row],[Pan, tobacco and intoxicants]])</f>
        <v>1</v>
      </c>
      <c r="AW75">
        <f>TYPE(All_India_Index_Upto_April23__1[[#This Row],[Clothing]])</f>
        <v>1</v>
      </c>
      <c r="AX75">
        <f>TYPE(All_India_Index_Upto_April23__1[[#This Row],[Footwear]])</f>
        <v>1</v>
      </c>
      <c r="AY75">
        <f>TYPE(All_India_Index_Upto_April23__1[[#This Row],[Clothing and footwear]])</f>
        <v>1</v>
      </c>
      <c r="AZ75">
        <f>TYPE(All_India_Index_Upto_April23__1[[#This Row],[Housing]])</f>
        <v>1</v>
      </c>
      <c r="BA75">
        <f>TYPE(All_India_Index_Upto_April23__1[[#This Row],[Fuel and light]])</f>
        <v>1</v>
      </c>
      <c r="BB75">
        <f>TYPE(All_India_Index_Upto_April23__1[[#This Row],[Household goods and services]])</f>
        <v>1</v>
      </c>
      <c r="BC75">
        <f>TYPE(All_India_Index_Upto_April23__1[[#This Row],[Health]])</f>
        <v>1</v>
      </c>
      <c r="BD75">
        <f>TYPE(All_India_Index_Upto_April23__1[[#This Row],[Transport and communication]])</f>
        <v>1</v>
      </c>
      <c r="BE75">
        <f>TYPE(All_India_Index_Upto_April23__1[[#This Row],[Recreation and amusement]])</f>
        <v>1</v>
      </c>
      <c r="BF75">
        <f>TYPE(All_India_Index_Upto_April23__1[[#This Row],[Education]])</f>
        <v>1</v>
      </c>
      <c r="BG75">
        <f>TYPE(All_India_Index_Upto_April23__1[[#This Row],[Personal care and effects]])</f>
        <v>1</v>
      </c>
      <c r="BH75">
        <f>TYPE(All_India_Index_Upto_April23__1[[#This Row],[Miscellaneous]])</f>
        <v>1</v>
      </c>
      <c r="BI75">
        <f>TYPE(All_India_Index_Upto_April23__1[[#This Row],[General index]])</f>
        <v>1</v>
      </c>
    </row>
    <row r="76" spans="1:61" x14ac:dyDescent="0.3">
      <c r="A76" t="s">
        <v>33</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c r="AF76">
        <f>TYPE(All_India_Index_Upto_April23__1[[#This Row],[Sector]])</f>
        <v>2</v>
      </c>
      <c r="AG76">
        <f>TYPE(All_India_Index_Upto_April23__1[[#This Row],[Year]])</f>
        <v>1</v>
      </c>
      <c r="AH76">
        <f>TYPE(All_India_Index_Upto_April23__1[[#This Row],[Month]])</f>
        <v>2</v>
      </c>
      <c r="AI76">
        <f>TYPE(All_India_Index_Upto_April23__1[[#This Row],[Cereals and products]])</f>
        <v>1</v>
      </c>
      <c r="AJ76">
        <f>TYPE(All_India_Index_Upto_April23__1[[#This Row],[Meat and fish]])</f>
        <v>1</v>
      </c>
      <c r="AK76">
        <f>TYPE(All_India_Index_Upto_April23__1[[#This Row],[Egg]])</f>
        <v>1</v>
      </c>
      <c r="AL76">
        <f>TYPE(All_India_Index_Upto_April23__1[[#This Row],[Milk and products]])</f>
        <v>1</v>
      </c>
      <c r="AM76">
        <f>TYPE(All_India_Index_Upto_April23__1[[#This Row],[Oils and fats]])</f>
        <v>1</v>
      </c>
      <c r="AN76">
        <f>TYPE(All_India_Index_Upto_April23__1[[#This Row],[Fruits]])</f>
        <v>1</v>
      </c>
      <c r="AO76">
        <f>TYPE(All_India_Index_Upto_April23__1[[#This Row],[Vegetables]])</f>
        <v>1</v>
      </c>
      <c r="AP76">
        <f>TYPE(All_India_Index_Upto_April23__1[[#This Row],[Pulses and products]])</f>
        <v>1</v>
      </c>
      <c r="AQ76">
        <f>TYPE(All_India_Index_Upto_April23__1[[#This Row],[Sugar and Confectionery]])</f>
        <v>1</v>
      </c>
      <c r="AR76">
        <f>TYPE(All_India_Index_Upto_April23__1[[#This Row],[Spices]])</f>
        <v>1</v>
      </c>
      <c r="AS76">
        <f>TYPE(All_India_Index_Upto_April23__1[[#This Row],[Non-alcoholic beverages]])</f>
        <v>1</v>
      </c>
      <c r="AT76">
        <f>TYPE(All_India_Index_Upto_April23__1[[#This Row],[Prepared meals, snacks, sweets etc.]])</f>
        <v>1</v>
      </c>
      <c r="AU76">
        <f>TYPE(All_India_Index_Upto_April23__1[[#This Row],[Food and beverages]])</f>
        <v>1</v>
      </c>
      <c r="AV76">
        <f>TYPE(All_India_Index_Upto_April23__1[[#This Row],[Pan, tobacco and intoxicants]])</f>
        <v>1</v>
      </c>
      <c r="AW76">
        <f>TYPE(All_India_Index_Upto_April23__1[[#This Row],[Clothing]])</f>
        <v>1</v>
      </c>
      <c r="AX76">
        <f>TYPE(All_India_Index_Upto_April23__1[[#This Row],[Footwear]])</f>
        <v>1</v>
      </c>
      <c r="AY76">
        <f>TYPE(All_India_Index_Upto_April23__1[[#This Row],[Clothing and footwear]])</f>
        <v>1</v>
      </c>
      <c r="AZ76">
        <f>TYPE(All_India_Index_Upto_April23__1[[#This Row],[Housing]])</f>
        <v>1</v>
      </c>
      <c r="BA76">
        <f>TYPE(All_India_Index_Upto_April23__1[[#This Row],[Fuel and light]])</f>
        <v>1</v>
      </c>
      <c r="BB76">
        <f>TYPE(All_India_Index_Upto_April23__1[[#This Row],[Household goods and services]])</f>
        <v>1</v>
      </c>
      <c r="BC76">
        <f>TYPE(All_India_Index_Upto_April23__1[[#This Row],[Health]])</f>
        <v>1</v>
      </c>
      <c r="BD76">
        <f>TYPE(All_India_Index_Upto_April23__1[[#This Row],[Transport and communication]])</f>
        <v>1</v>
      </c>
      <c r="BE76">
        <f>TYPE(All_India_Index_Upto_April23__1[[#This Row],[Recreation and amusement]])</f>
        <v>1</v>
      </c>
      <c r="BF76">
        <f>TYPE(All_India_Index_Upto_April23__1[[#This Row],[Education]])</f>
        <v>1</v>
      </c>
      <c r="BG76">
        <f>TYPE(All_India_Index_Upto_April23__1[[#This Row],[Personal care and effects]])</f>
        <v>1</v>
      </c>
      <c r="BH76">
        <f>TYPE(All_India_Index_Upto_April23__1[[#This Row],[Miscellaneous]])</f>
        <v>1</v>
      </c>
      <c r="BI76">
        <f>TYPE(All_India_Index_Upto_April23__1[[#This Row],[General index]])</f>
        <v>1</v>
      </c>
    </row>
    <row r="77" spans="1:61" x14ac:dyDescent="0.3">
      <c r="A77" t="s">
        <v>30</v>
      </c>
      <c r="B77">
        <v>2015</v>
      </c>
      <c r="C77" t="s">
        <v>34</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v>0</v>
      </c>
      <c r="V77">
        <v>120</v>
      </c>
      <c r="W77">
        <v>119.6</v>
      </c>
      <c r="X77">
        <v>117.7</v>
      </c>
      <c r="Y77">
        <v>110.9</v>
      </c>
      <c r="Z77">
        <v>114.8</v>
      </c>
      <c r="AA77">
        <v>118.7</v>
      </c>
      <c r="AB77">
        <v>110.8</v>
      </c>
      <c r="AC77">
        <v>115</v>
      </c>
      <c r="AD77">
        <v>120.6</v>
      </c>
      <c r="AF77">
        <f>TYPE(All_India_Index_Upto_April23__1[[#This Row],[Sector]])</f>
        <v>2</v>
      </c>
      <c r="AG77">
        <f>TYPE(All_India_Index_Upto_April23__1[[#This Row],[Year]])</f>
        <v>1</v>
      </c>
      <c r="AH77">
        <f>TYPE(All_India_Index_Upto_April23__1[[#This Row],[Month]])</f>
        <v>2</v>
      </c>
      <c r="AI77">
        <f>TYPE(All_India_Index_Upto_April23__1[[#This Row],[Cereals and products]])</f>
        <v>1</v>
      </c>
      <c r="AJ77">
        <f>TYPE(All_India_Index_Upto_April23__1[[#This Row],[Meat and fish]])</f>
        <v>1</v>
      </c>
      <c r="AK77">
        <f>TYPE(All_India_Index_Upto_April23__1[[#This Row],[Egg]])</f>
        <v>1</v>
      </c>
      <c r="AL77">
        <f>TYPE(All_India_Index_Upto_April23__1[[#This Row],[Milk and products]])</f>
        <v>1</v>
      </c>
      <c r="AM77">
        <f>TYPE(All_India_Index_Upto_April23__1[[#This Row],[Oils and fats]])</f>
        <v>1</v>
      </c>
      <c r="AN77">
        <f>TYPE(All_India_Index_Upto_April23__1[[#This Row],[Fruits]])</f>
        <v>1</v>
      </c>
      <c r="AO77">
        <f>TYPE(All_India_Index_Upto_April23__1[[#This Row],[Vegetables]])</f>
        <v>1</v>
      </c>
      <c r="AP77">
        <f>TYPE(All_India_Index_Upto_April23__1[[#This Row],[Pulses and products]])</f>
        <v>1</v>
      </c>
      <c r="AQ77">
        <f>TYPE(All_India_Index_Upto_April23__1[[#This Row],[Sugar and Confectionery]])</f>
        <v>1</v>
      </c>
      <c r="AR77">
        <f>TYPE(All_India_Index_Upto_April23__1[[#This Row],[Spices]])</f>
        <v>1</v>
      </c>
      <c r="AS77">
        <f>TYPE(All_India_Index_Upto_April23__1[[#This Row],[Non-alcoholic beverages]])</f>
        <v>1</v>
      </c>
      <c r="AT77">
        <f>TYPE(All_India_Index_Upto_April23__1[[#This Row],[Prepared meals, snacks, sweets etc.]])</f>
        <v>1</v>
      </c>
      <c r="AU77">
        <f>TYPE(All_India_Index_Upto_April23__1[[#This Row],[Food and beverages]])</f>
        <v>1</v>
      </c>
      <c r="AV77">
        <f>TYPE(All_India_Index_Upto_April23__1[[#This Row],[Pan, tobacco and intoxicants]])</f>
        <v>1</v>
      </c>
      <c r="AW77">
        <f>TYPE(All_India_Index_Upto_April23__1[[#This Row],[Clothing]])</f>
        <v>1</v>
      </c>
      <c r="AX77">
        <f>TYPE(All_India_Index_Upto_April23__1[[#This Row],[Footwear]])</f>
        <v>1</v>
      </c>
      <c r="AY77">
        <f>TYPE(All_India_Index_Upto_April23__1[[#This Row],[Clothing and footwear]])</f>
        <v>1</v>
      </c>
      <c r="AZ77">
        <f>TYPE(All_India_Index_Upto_April23__1[[#This Row],[Housing]])</f>
        <v>1</v>
      </c>
      <c r="BA77">
        <f>TYPE(All_India_Index_Upto_April23__1[[#This Row],[Fuel and light]])</f>
        <v>1</v>
      </c>
      <c r="BB77">
        <f>TYPE(All_India_Index_Upto_April23__1[[#This Row],[Household goods and services]])</f>
        <v>1</v>
      </c>
      <c r="BC77">
        <f>TYPE(All_India_Index_Upto_April23__1[[#This Row],[Health]])</f>
        <v>1</v>
      </c>
      <c r="BD77">
        <f>TYPE(All_India_Index_Upto_April23__1[[#This Row],[Transport and communication]])</f>
        <v>1</v>
      </c>
      <c r="BE77">
        <f>TYPE(All_India_Index_Upto_April23__1[[#This Row],[Recreation and amusement]])</f>
        <v>1</v>
      </c>
      <c r="BF77">
        <f>TYPE(All_India_Index_Upto_April23__1[[#This Row],[Education]])</f>
        <v>1</v>
      </c>
      <c r="BG77">
        <f>TYPE(All_India_Index_Upto_April23__1[[#This Row],[Personal care and effects]])</f>
        <v>1</v>
      </c>
      <c r="BH77">
        <f>TYPE(All_India_Index_Upto_April23__1[[#This Row],[Miscellaneous]])</f>
        <v>1</v>
      </c>
      <c r="BI77">
        <f>TYPE(All_India_Index_Upto_April23__1[[#This Row],[General index]])</f>
        <v>1</v>
      </c>
    </row>
    <row r="78" spans="1:61" x14ac:dyDescent="0.3">
      <c r="A78" t="s">
        <v>32</v>
      </c>
      <c r="B78">
        <v>2015</v>
      </c>
      <c r="C78" t="s">
        <v>34</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c r="AF78">
        <f>TYPE(All_India_Index_Upto_April23__1[[#This Row],[Sector]])</f>
        <v>2</v>
      </c>
      <c r="AG78">
        <f>TYPE(All_India_Index_Upto_April23__1[[#This Row],[Year]])</f>
        <v>1</v>
      </c>
      <c r="AH78">
        <f>TYPE(All_India_Index_Upto_April23__1[[#This Row],[Month]])</f>
        <v>2</v>
      </c>
      <c r="AI78">
        <f>TYPE(All_India_Index_Upto_April23__1[[#This Row],[Cereals and products]])</f>
        <v>1</v>
      </c>
      <c r="AJ78">
        <f>TYPE(All_India_Index_Upto_April23__1[[#This Row],[Meat and fish]])</f>
        <v>1</v>
      </c>
      <c r="AK78">
        <f>TYPE(All_India_Index_Upto_April23__1[[#This Row],[Egg]])</f>
        <v>1</v>
      </c>
      <c r="AL78">
        <f>TYPE(All_India_Index_Upto_April23__1[[#This Row],[Milk and products]])</f>
        <v>1</v>
      </c>
      <c r="AM78">
        <f>TYPE(All_India_Index_Upto_April23__1[[#This Row],[Oils and fats]])</f>
        <v>1</v>
      </c>
      <c r="AN78">
        <f>TYPE(All_India_Index_Upto_April23__1[[#This Row],[Fruits]])</f>
        <v>1</v>
      </c>
      <c r="AO78">
        <f>TYPE(All_India_Index_Upto_April23__1[[#This Row],[Vegetables]])</f>
        <v>1</v>
      </c>
      <c r="AP78">
        <f>TYPE(All_India_Index_Upto_April23__1[[#This Row],[Pulses and products]])</f>
        <v>1</v>
      </c>
      <c r="AQ78">
        <f>TYPE(All_India_Index_Upto_April23__1[[#This Row],[Sugar and Confectionery]])</f>
        <v>1</v>
      </c>
      <c r="AR78">
        <f>TYPE(All_India_Index_Upto_April23__1[[#This Row],[Spices]])</f>
        <v>1</v>
      </c>
      <c r="AS78">
        <f>TYPE(All_India_Index_Upto_April23__1[[#This Row],[Non-alcoholic beverages]])</f>
        <v>1</v>
      </c>
      <c r="AT78">
        <f>TYPE(All_India_Index_Upto_April23__1[[#This Row],[Prepared meals, snacks, sweets etc.]])</f>
        <v>1</v>
      </c>
      <c r="AU78">
        <f>TYPE(All_India_Index_Upto_April23__1[[#This Row],[Food and beverages]])</f>
        <v>1</v>
      </c>
      <c r="AV78">
        <f>TYPE(All_India_Index_Upto_April23__1[[#This Row],[Pan, tobacco and intoxicants]])</f>
        <v>1</v>
      </c>
      <c r="AW78">
        <f>TYPE(All_India_Index_Upto_April23__1[[#This Row],[Clothing]])</f>
        <v>1</v>
      </c>
      <c r="AX78">
        <f>TYPE(All_India_Index_Upto_April23__1[[#This Row],[Footwear]])</f>
        <v>1</v>
      </c>
      <c r="AY78">
        <f>TYPE(All_India_Index_Upto_April23__1[[#This Row],[Clothing and footwear]])</f>
        <v>1</v>
      </c>
      <c r="AZ78">
        <f>TYPE(All_India_Index_Upto_April23__1[[#This Row],[Housing]])</f>
        <v>1</v>
      </c>
      <c r="BA78">
        <f>TYPE(All_India_Index_Upto_April23__1[[#This Row],[Fuel and light]])</f>
        <v>1</v>
      </c>
      <c r="BB78">
        <f>TYPE(All_India_Index_Upto_April23__1[[#This Row],[Household goods and services]])</f>
        <v>1</v>
      </c>
      <c r="BC78">
        <f>TYPE(All_India_Index_Upto_April23__1[[#This Row],[Health]])</f>
        <v>1</v>
      </c>
      <c r="BD78">
        <f>TYPE(All_India_Index_Upto_April23__1[[#This Row],[Transport and communication]])</f>
        <v>1</v>
      </c>
      <c r="BE78">
        <f>TYPE(All_India_Index_Upto_April23__1[[#This Row],[Recreation and amusement]])</f>
        <v>1</v>
      </c>
      <c r="BF78">
        <f>TYPE(All_India_Index_Upto_April23__1[[#This Row],[Education]])</f>
        <v>1</v>
      </c>
      <c r="BG78">
        <f>TYPE(All_India_Index_Upto_April23__1[[#This Row],[Personal care and effects]])</f>
        <v>1</v>
      </c>
      <c r="BH78">
        <f>TYPE(All_India_Index_Upto_April23__1[[#This Row],[Miscellaneous]])</f>
        <v>1</v>
      </c>
      <c r="BI78">
        <f>TYPE(All_India_Index_Upto_April23__1[[#This Row],[General index]])</f>
        <v>1</v>
      </c>
    </row>
    <row r="79" spans="1:61" x14ac:dyDescent="0.3">
      <c r="A79" t="s">
        <v>33</v>
      </c>
      <c r="B79">
        <v>2015</v>
      </c>
      <c r="C79" t="s">
        <v>34</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c r="AF79">
        <f>TYPE(All_India_Index_Upto_April23__1[[#This Row],[Sector]])</f>
        <v>2</v>
      </c>
      <c r="AG79">
        <f>TYPE(All_India_Index_Upto_April23__1[[#This Row],[Year]])</f>
        <v>1</v>
      </c>
      <c r="AH79">
        <f>TYPE(All_India_Index_Upto_April23__1[[#This Row],[Month]])</f>
        <v>2</v>
      </c>
      <c r="AI79">
        <f>TYPE(All_India_Index_Upto_April23__1[[#This Row],[Cereals and products]])</f>
        <v>1</v>
      </c>
      <c r="AJ79">
        <f>TYPE(All_India_Index_Upto_April23__1[[#This Row],[Meat and fish]])</f>
        <v>1</v>
      </c>
      <c r="AK79">
        <f>TYPE(All_India_Index_Upto_April23__1[[#This Row],[Egg]])</f>
        <v>1</v>
      </c>
      <c r="AL79">
        <f>TYPE(All_India_Index_Upto_April23__1[[#This Row],[Milk and products]])</f>
        <v>1</v>
      </c>
      <c r="AM79">
        <f>TYPE(All_India_Index_Upto_April23__1[[#This Row],[Oils and fats]])</f>
        <v>1</v>
      </c>
      <c r="AN79">
        <f>TYPE(All_India_Index_Upto_April23__1[[#This Row],[Fruits]])</f>
        <v>1</v>
      </c>
      <c r="AO79">
        <f>TYPE(All_India_Index_Upto_April23__1[[#This Row],[Vegetables]])</f>
        <v>1</v>
      </c>
      <c r="AP79">
        <f>TYPE(All_India_Index_Upto_April23__1[[#This Row],[Pulses and products]])</f>
        <v>1</v>
      </c>
      <c r="AQ79">
        <f>TYPE(All_India_Index_Upto_April23__1[[#This Row],[Sugar and Confectionery]])</f>
        <v>1</v>
      </c>
      <c r="AR79">
        <f>TYPE(All_India_Index_Upto_April23__1[[#This Row],[Spices]])</f>
        <v>1</v>
      </c>
      <c r="AS79">
        <f>TYPE(All_India_Index_Upto_April23__1[[#This Row],[Non-alcoholic beverages]])</f>
        <v>1</v>
      </c>
      <c r="AT79">
        <f>TYPE(All_India_Index_Upto_April23__1[[#This Row],[Prepared meals, snacks, sweets etc.]])</f>
        <v>1</v>
      </c>
      <c r="AU79">
        <f>TYPE(All_India_Index_Upto_April23__1[[#This Row],[Food and beverages]])</f>
        <v>1</v>
      </c>
      <c r="AV79">
        <f>TYPE(All_India_Index_Upto_April23__1[[#This Row],[Pan, tobacco and intoxicants]])</f>
        <v>1</v>
      </c>
      <c r="AW79">
        <f>TYPE(All_India_Index_Upto_April23__1[[#This Row],[Clothing]])</f>
        <v>1</v>
      </c>
      <c r="AX79">
        <f>TYPE(All_India_Index_Upto_April23__1[[#This Row],[Footwear]])</f>
        <v>1</v>
      </c>
      <c r="AY79">
        <f>TYPE(All_India_Index_Upto_April23__1[[#This Row],[Clothing and footwear]])</f>
        <v>1</v>
      </c>
      <c r="AZ79">
        <f>TYPE(All_India_Index_Upto_April23__1[[#This Row],[Housing]])</f>
        <v>1</v>
      </c>
      <c r="BA79">
        <f>TYPE(All_India_Index_Upto_April23__1[[#This Row],[Fuel and light]])</f>
        <v>1</v>
      </c>
      <c r="BB79">
        <f>TYPE(All_India_Index_Upto_April23__1[[#This Row],[Household goods and services]])</f>
        <v>1</v>
      </c>
      <c r="BC79">
        <f>TYPE(All_India_Index_Upto_April23__1[[#This Row],[Health]])</f>
        <v>1</v>
      </c>
      <c r="BD79">
        <f>TYPE(All_India_Index_Upto_April23__1[[#This Row],[Transport and communication]])</f>
        <v>1</v>
      </c>
      <c r="BE79">
        <f>TYPE(All_India_Index_Upto_April23__1[[#This Row],[Recreation and amusement]])</f>
        <v>1</v>
      </c>
      <c r="BF79">
        <f>TYPE(All_India_Index_Upto_April23__1[[#This Row],[Education]])</f>
        <v>1</v>
      </c>
      <c r="BG79">
        <f>TYPE(All_India_Index_Upto_April23__1[[#This Row],[Personal care and effects]])</f>
        <v>1</v>
      </c>
      <c r="BH79">
        <f>TYPE(All_India_Index_Upto_April23__1[[#This Row],[Miscellaneous]])</f>
        <v>1</v>
      </c>
      <c r="BI79">
        <f>TYPE(All_India_Index_Upto_April23__1[[#This Row],[General index]])</f>
        <v>1</v>
      </c>
    </row>
    <row r="80" spans="1:61" x14ac:dyDescent="0.3">
      <c r="A80" t="s">
        <v>30</v>
      </c>
      <c r="B80">
        <v>2015</v>
      </c>
      <c r="C80" t="s">
        <v>35</v>
      </c>
      <c r="D80">
        <v>123.3</v>
      </c>
      <c r="E80">
        <v>124.7</v>
      </c>
      <c r="F80">
        <v>118.9</v>
      </c>
      <c r="G80">
        <v>126</v>
      </c>
      <c r="H80">
        <v>111.8</v>
      </c>
      <c r="I80">
        <v>130.9</v>
      </c>
      <c r="J80">
        <v>128</v>
      </c>
      <c r="K80">
        <v>119.9</v>
      </c>
      <c r="L80">
        <v>98.9</v>
      </c>
      <c r="M80">
        <v>119.4</v>
      </c>
      <c r="N80">
        <v>118.9</v>
      </c>
      <c r="O80">
        <v>127.7</v>
      </c>
      <c r="P80">
        <v>123.1</v>
      </c>
      <c r="Q80">
        <v>124.7</v>
      </c>
      <c r="R80">
        <v>126</v>
      </c>
      <c r="S80">
        <v>122.9</v>
      </c>
      <c r="T80">
        <v>125.5</v>
      </c>
      <c r="U80">
        <v>0</v>
      </c>
      <c r="V80">
        <v>120.6</v>
      </c>
      <c r="W80">
        <v>120.2</v>
      </c>
      <c r="X80">
        <v>118.2</v>
      </c>
      <c r="Y80">
        <v>111.6</v>
      </c>
      <c r="Z80">
        <v>115.5</v>
      </c>
      <c r="AA80">
        <v>119.4</v>
      </c>
      <c r="AB80">
        <v>110.8</v>
      </c>
      <c r="AC80">
        <v>115.5</v>
      </c>
      <c r="AD80">
        <v>121.1</v>
      </c>
      <c r="AF80">
        <f>TYPE(All_India_Index_Upto_April23__1[[#This Row],[Sector]])</f>
        <v>2</v>
      </c>
      <c r="AG80">
        <f>TYPE(All_India_Index_Upto_April23__1[[#This Row],[Year]])</f>
        <v>1</v>
      </c>
      <c r="AH80">
        <f>TYPE(All_India_Index_Upto_April23__1[[#This Row],[Month]])</f>
        <v>2</v>
      </c>
      <c r="AI80">
        <f>TYPE(All_India_Index_Upto_April23__1[[#This Row],[Cereals and products]])</f>
        <v>1</v>
      </c>
      <c r="AJ80">
        <f>TYPE(All_India_Index_Upto_April23__1[[#This Row],[Meat and fish]])</f>
        <v>1</v>
      </c>
      <c r="AK80">
        <f>TYPE(All_India_Index_Upto_April23__1[[#This Row],[Egg]])</f>
        <v>1</v>
      </c>
      <c r="AL80">
        <f>TYPE(All_India_Index_Upto_April23__1[[#This Row],[Milk and products]])</f>
        <v>1</v>
      </c>
      <c r="AM80">
        <f>TYPE(All_India_Index_Upto_April23__1[[#This Row],[Oils and fats]])</f>
        <v>1</v>
      </c>
      <c r="AN80">
        <f>TYPE(All_India_Index_Upto_April23__1[[#This Row],[Fruits]])</f>
        <v>1</v>
      </c>
      <c r="AO80">
        <f>TYPE(All_India_Index_Upto_April23__1[[#This Row],[Vegetables]])</f>
        <v>1</v>
      </c>
      <c r="AP80">
        <f>TYPE(All_India_Index_Upto_April23__1[[#This Row],[Pulses and products]])</f>
        <v>1</v>
      </c>
      <c r="AQ80">
        <f>TYPE(All_India_Index_Upto_April23__1[[#This Row],[Sugar and Confectionery]])</f>
        <v>1</v>
      </c>
      <c r="AR80">
        <f>TYPE(All_India_Index_Upto_April23__1[[#This Row],[Spices]])</f>
        <v>1</v>
      </c>
      <c r="AS80">
        <f>TYPE(All_India_Index_Upto_April23__1[[#This Row],[Non-alcoholic beverages]])</f>
        <v>1</v>
      </c>
      <c r="AT80">
        <f>TYPE(All_India_Index_Upto_April23__1[[#This Row],[Prepared meals, snacks, sweets etc.]])</f>
        <v>1</v>
      </c>
      <c r="AU80">
        <f>TYPE(All_India_Index_Upto_April23__1[[#This Row],[Food and beverages]])</f>
        <v>1</v>
      </c>
      <c r="AV80">
        <f>TYPE(All_India_Index_Upto_April23__1[[#This Row],[Pan, tobacco and intoxicants]])</f>
        <v>1</v>
      </c>
      <c r="AW80">
        <f>TYPE(All_India_Index_Upto_April23__1[[#This Row],[Clothing]])</f>
        <v>1</v>
      </c>
      <c r="AX80">
        <f>TYPE(All_India_Index_Upto_April23__1[[#This Row],[Footwear]])</f>
        <v>1</v>
      </c>
      <c r="AY80">
        <f>TYPE(All_India_Index_Upto_April23__1[[#This Row],[Clothing and footwear]])</f>
        <v>1</v>
      </c>
      <c r="AZ80">
        <f>TYPE(All_India_Index_Upto_April23__1[[#This Row],[Housing]])</f>
        <v>1</v>
      </c>
      <c r="BA80">
        <f>TYPE(All_India_Index_Upto_April23__1[[#This Row],[Fuel and light]])</f>
        <v>1</v>
      </c>
      <c r="BB80">
        <f>TYPE(All_India_Index_Upto_April23__1[[#This Row],[Household goods and services]])</f>
        <v>1</v>
      </c>
      <c r="BC80">
        <f>TYPE(All_India_Index_Upto_April23__1[[#This Row],[Health]])</f>
        <v>1</v>
      </c>
      <c r="BD80">
        <f>TYPE(All_India_Index_Upto_April23__1[[#This Row],[Transport and communication]])</f>
        <v>1</v>
      </c>
      <c r="BE80">
        <f>TYPE(All_India_Index_Upto_April23__1[[#This Row],[Recreation and amusement]])</f>
        <v>1</v>
      </c>
      <c r="BF80">
        <f>TYPE(All_India_Index_Upto_April23__1[[#This Row],[Education]])</f>
        <v>1</v>
      </c>
      <c r="BG80">
        <f>TYPE(All_India_Index_Upto_April23__1[[#This Row],[Personal care and effects]])</f>
        <v>1</v>
      </c>
      <c r="BH80">
        <f>TYPE(All_India_Index_Upto_April23__1[[#This Row],[Miscellaneous]])</f>
        <v>1</v>
      </c>
      <c r="BI80">
        <f>TYPE(All_India_Index_Upto_April23__1[[#This Row],[General index]])</f>
        <v>1</v>
      </c>
    </row>
    <row r="81" spans="1:61" x14ac:dyDescent="0.3">
      <c r="A81" t="s">
        <v>32</v>
      </c>
      <c r="B81">
        <v>2015</v>
      </c>
      <c r="C81" t="s">
        <v>35</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c r="AF81">
        <f>TYPE(All_India_Index_Upto_April23__1[[#This Row],[Sector]])</f>
        <v>2</v>
      </c>
      <c r="AG81">
        <f>TYPE(All_India_Index_Upto_April23__1[[#This Row],[Year]])</f>
        <v>1</v>
      </c>
      <c r="AH81">
        <f>TYPE(All_India_Index_Upto_April23__1[[#This Row],[Month]])</f>
        <v>2</v>
      </c>
      <c r="AI81">
        <f>TYPE(All_India_Index_Upto_April23__1[[#This Row],[Cereals and products]])</f>
        <v>1</v>
      </c>
      <c r="AJ81">
        <f>TYPE(All_India_Index_Upto_April23__1[[#This Row],[Meat and fish]])</f>
        <v>1</v>
      </c>
      <c r="AK81">
        <f>TYPE(All_India_Index_Upto_April23__1[[#This Row],[Egg]])</f>
        <v>1</v>
      </c>
      <c r="AL81">
        <f>TYPE(All_India_Index_Upto_April23__1[[#This Row],[Milk and products]])</f>
        <v>1</v>
      </c>
      <c r="AM81">
        <f>TYPE(All_India_Index_Upto_April23__1[[#This Row],[Oils and fats]])</f>
        <v>1</v>
      </c>
      <c r="AN81">
        <f>TYPE(All_India_Index_Upto_April23__1[[#This Row],[Fruits]])</f>
        <v>1</v>
      </c>
      <c r="AO81">
        <f>TYPE(All_India_Index_Upto_April23__1[[#This Row],[Vegetables]])</f>
        <v>1</v>
      </c>
      <c r="AP81">
        <f>TYPE(All_India_Index_Upto_April23__1[[#This Row],[Pulses and products]])</f>
        <v>1</v>
      </c>
      <c r="AQ81">
        <f>TYPE(All_India_Index_Upto_April23__1[[#This Row],[Sugar and Confectionery]])</f>
        <v>1</v>
      </c>
      <c r="AR81">
        <f>TYPE(All_India_Index_Upto_April23__1[[#This Row],[Spices]])</f>
        <v>1</v>
      </c>
      <c r="AS81">
        <f>TYPE(All_India_Index_Upto_April23__1[[#This Row],[Non-alcoholic beverages]])</f>
        <v>1</v>
      </c>
      <c r="AT81">
        <f>TYPE(All_India_Index_Upto_April23__1[[#This Row],[Prepared meals, snacks, sweets etc.]])</f>
        <v>1</v>
      </c>
      <c r="AU81">
        <f>TYPE(All_India_Index_Upto_April23__1[[#This Row],[Food and beverages]])</f>
        <v>1</v>
      </c>
      <c r="AV81">
        <f>TYPE(All_India_Index_Upto_April23__1[[#This Row],[Pan, tobacco and intoxicants]])</f>
        <v>1</v>
      </c>
      <c r="AW81">
        <f>TYPE(All_India_Index_Upto_April23__1[[#This Row],[Clothing]])</f>
        <v>1</v>
      </c>
      <c r="AX81">
        <f>TYPE(All_India_Index_Upto_April23__1[[#This Row],[Footwear]])</f>
        <v>1</v>
      </c>
      <c r="AY81">
        <f>TYPE(All_India_Index_Upto_April23__1[[#This Row],[Clothing and footwear]])</f>
        <v>1</v>
      </c>
      <c r="AZ81">
        <f>TYPE(All_India_Index_Upto_April23__1[[#This Row],[Housing]])</f>
        <v>1</v>
      </c>
      <c r="BA81">
        <f>TYPE(All_India_Index_Upto_April23__1[[#This Row],[Fuel and light]])</f>
        <v>1</v>
      </c>
      <c r="BB81">
        <f>TYPE(All_India_Index_Upto_April23__1[[#This Row],[Household goods and services]])</f>
        <v>1</v>
      </c>
      <c r="BC81">
        <f>TYPE(All_India_Index_Upto_April23__1[[#This Row],[Health]])</f>
        <v>1</v>
      </c>
      <c r="BD81">
        <f>TYPE(All_India_Index_Upto_April23__1[[#This Row],[Transport and communication]])</f>
        <v>1</v>
      </c>
      <c r="BE81">
        <f>TYPE(All_India_Index_Upto_April23__1[[#This Row],[Recreation and amusement]])</f>
        <v>1</v>
      </c>
      <c r="BF81">
        <f>TYPE(All_India_Index_Upto_April23__1[[#This Row],[Education]])</f>
        <v>1</v>
      </c>
      <c r="BG81">
        <f>TYPE(All_India_Index_Upto_April23__1[[#This Row],[Personal care and effects]])</f>
        <v>1</v>
      </c>
      <c r="BH81">
        <f>TYPE(All_India_Index_Upto_April23__1[[#This Row],[Miscellaneous]])</f>
        <v>1</v>
      </c>
      <c r="BI81">
        <f>TYPE(All_India_Index_Upto_April23__1[[#This Row],[General index]])</f>
        <v>1</v>
      </c>
    </row>
    <row r="82" spans="1:61" x14ac:dyDescent="0.3">
      <c r="A82" t="s">
        <v>33</v>
      </c>
      <c r="B82">
        <v>2015</v>
      </c>
      <c r="C82" t="s">
        <v>35</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c r="AF82">
        <f>TYPE(All_India_Index_Upto_April23__1[[#This Row],[Sector]])</f>
        <v>2</v>
      </c>
      <c r="AG82">
        <f>TYPE(All_India_Index_Upto_April23__1[[#This Row],[Year]])</f>
        <v>1</v>
      </c>
      <c r="AH82">
        <f>TYPE(All_India_Index_Upto_April23__1[[#This Row],[Month]])</f>
        <v>2</v>
      </c>
      <c r="AI82">
        <f>TYPE(All_India_Index_Upto_April23__1[[#This Row],[Cereals and products]])</f>
        <v>1</v>
      </c>
      <c r="AJ82">
        <f>TYPE(All_India_Index_Upto_April23__1[[#This Row],[Meat and fish]])</f>
        <v>1</v>
      </c>
      <c r="AK82">
        <f>TYPE(All_India_Index_Upto_April23__1[[#This Row],[Egg]])</f>
        <v>1</v>
      </c>
      <c r="AL82">
        <f>TYPE(All_India_Index_Upto_April23__1[[#This Row],[Milk and products]])</f>
        <v>1</v>
      </c>
      <c r="AM82">
        <f>TYPE(All_India_Index_Upto_April23__1[[#This Row],[Oils and fats]])</f>
        <v>1</v>
      </c>
      <c r="AN82">
        <f>TYPE(All_India_Index_Upto_April23__1[[#This Row],[Fruits]])</f>
        <v>1</v>
      </c>
      <c r="AO82">
        <f>TYPE(All_India_Index_Upto_April23__1[[#This Row],[Vegetables]])</f>
        <v>1</v>
      </c>
      <c r="AP82">
        <f>TYPE(All_India_Index_Upto_April23__1[[#This Row],[Pulses and products]])</f>
        <v>1</v>
      </c>
      <c r="AQ82">
        <f>TYPE(All_India_Index_Upto_April23__1[[#This Row],[Sugar and Confectionery]])</f>
        <v>1</v>
      </c>
      <c r="AR82">
        <f>TYPE(All_India_Index_Upto_April23__1[[#This Row],[Spices]])</f>
        <v>1</v>
      </c>
      <c r="AS82">
        <f>TYPE(All_India_Index_Upto_April23__1[[#This Row],[Non-alcoholic beverages]])</f>
        <v>1</v>
      </c>
      <c r="AT82">
        <f>TYPE(All_India_Index_Upto_April23__1[[#This Row],[Prepared meals, snacks, sweets etc.]])</f>
        <v>1</v>
      </c>
      <c r="AU82">
        <f>TYPE(All_India_Index_Upto_April23__1[[#This Row],[Food and beverages]])</f>
        <v>1</v>
      </c>
      <c r="AV82">
        <f>TYPE(All_India_Index_Upto_April23__1[[#This Row],[Pan, tobacco and intoxicants]])</f>
        <v>1</v>
      </c>
      <c r="AW82">
        <f>TYPE(All_India_Index_Upto_April23__1[[#This Row],[Clothing]])</f>
        <v>1</v>
      </c>
      <c r="AX82">
        <f>TYPE(All_India_Index_Upto_April23__1[[#This Row],[Footwear]])</f>
        <v>1</v>
      </c>
      <c r="AY82">
        <f>TYPE(All_India_Index_Upto_April23__1[[#This Row],[Clothing and footwear]])</f>
        <v>1</v>
      </c>
      <c r="AZ82">
        <f>TYPE(All_India_Index_Upto_April23__1[[#This Row],[Housing]])</f>
        <v>1</v>
      </c>
      <c r="BA82">
        <f>TYPE(All_India_Index_Upto_April23__1[[#This Row],[Fuel and light]])</f>
        <v>1</v>
      </c>
      <c r="BB82">
        <f>TYPE(All_India_Index_Upto_April23__1[[#This Row],[Household goods and services]])</f>
        <v>1</v>
      </c>
      <c r="BC82">
        <f>TYPE(All_India_Index_Upto_April23__1[[#This Row],[Health]])</f>
        <v>1</v>
      </c>
      <c r="BD82">
        <f>TYPE(All_India_Index_Upto_April23__1[[#This Row],[Transport and communication]])</f>
        <v>1</v>
      </c>
      <c r="BE82">
        <f>TYPE(All_India_Index_Upto_April23__1[[#This Row],[Recreation and amusement]])</f>
        <v>1</v>
      </c>
      <c r="BF82">
        <f>TYPE(All_India_Index_Upto_April23__1[[#This Row],[Education]])</f>
        <v>1</v>
      </c>
      <c r="BG82">
        <f>TYPE(All_India_Index_Upto_April23__1[[#This Row],[Personal care and effects]])</f>
        <v>1</v>
      </c>
      <c r="BH82">
        <f>TYPE(All_India_Index_Upto_April23__1[[#This Row],[Miscellaneous]])</f>
        <v>1</v>
      </c>
      <c r="BI82">
        <f>TYPE(All_India_Index_Upto_April23__1[[#This Row],[General index]])</f>
        <v>1</v>
      </c>
    </row>
    <row r="83" spans="1:61" x14ac:dyDescent="0.3">
      <c r="A83" t="s">
        <v>30</v>
      </c>
      <c r="B83">
        <v>2015</v>
      </c>
      <c r="C83" t="s">
        <v>36</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v>0</v>
      </c>
      <c r="V83">
        <v>121.2</v>
      </c>
      <c r="W83">
        <v>120.9</v>
      </c>
      <c r="X83">
        <v>118.6</v>
      </c>
      <c r="Y83">
        <v>111.9</v>
      </c>
      <c r="Z83">
        <v>116.2</v>
      </c>
      <c r="AA83">
        <v>119.9</v>
      </c>
      <c r="AB83">
        <v>111.6</v>
      </c>
      <c r="AC83">
        <v>116</v>
      </c>
      <c r="AD83">
        <v>121.5</v>
      </c>
      <c r="AF83">
        <f>TYPE(All_India_Index_Upto_April23__1[[#This Row],[Sector]])</f>
        <v>2</v>
      </c>
      <c r="AG83">
        <f>TYPE(All_India_Index_Upto_April23__1[[#This Row],[Year]])</f>
        <v>1</v>
      </c>
      <c r="AH83">
        <f>TYPE(All_India_Index_Upto_April23__1[[#This Row],[Month]])</f>
        <v>2</v>
      </c>
      <c r="AI83">
        <f>TYPE(All_India_Index_Upto_April23__1[[#This Row],[Cereals and products]])</f>
        <v>1</v>
      </c>
      <c r="AJ83">
        <f>TYPE(All_India_Index_Upto_April23__1[[#This Row],[Meat and fish]])</f>
        <v>1</v>
      </c>
      <c r="AK83">
        <f>TYPE(All_India_Index_Upto_April23__1[[#This Row],[Egg]])</f>
        <v>1</v>
      </c>
      <c r="AL83">
        <f>TYPE(All_India_Index_Upto_April23__1[[#This Row],[Milk and products]])</f>
        <v>1</v>
      </c>
      <c r="AM83">
        <f>TYPE(All_India_Index_Upto_April23__1[[#This Row],[Oils and fats]])</f>
        <v>1</v>
      </c>
      <c r="AN83">
        <f>TYPE(All_India_Index_Upto_April23__1[[#This Row],[Fruits]])</f>
        <v>1</v>
      </c>
      <c r="AO83">
        <f>TYPE(All_India_Index_Upto_April23__1[[#This Row],[Vegetables]])</f>
        <v>1</v>
      </c>
      <c r="AP83">
        <f>TYPE(All_India_Index_Upto_April23__1[[#This Row],[Pulses and products]])</f>
        <v>1</v>
      </c>
      <c r="AQ83">
        <f>TYPE(All_India_Index_Upto_April23__1[[#This Row],[Sugar and Confectionery]])</f>
        <v>1</v>
      </c>
      <c r="AR83">
        <f>TYPE(All_India_Index_Upto_April23__1[[#This Row],[Spices]])</f>
        <v>1</v>
      </c>
      <c r="AS83">
        <f>TYPE(All_India_Index_Upto_April23__1[[#This Row],[Non-alcoholic beverages]])</f>
        <v>1</v>
      </c>
      <c r="AT83">
        <f>TYPE(All_India_Index_Upto_April23__1[[#This Row],[Prepared meals, snacks, sweets etc.]])</f>
        <v>1</v>
      </c>
      <c r="AU83">
        <f>TYPE(All_India_Index_Upto_April23__1[[#This Row],[Food and beverages]])</f>
        <v>1</v>
      </c>
      <c r="AV83">
        <f>TYPE(All_India_Index_Upto_April23__1[[#This Row],[Pan, tobacco and intoxicants]])</f>
        <v>1</v>
      </c>
      <c r="AW83">
        <f>TYPE(All_India_Index_Upto_April23__1[[#This Row],[Clothing]])</f>
        <v>1</v>
      </c>
      <c r="AX83">
        <f>TYPE(All_India_Index_Upto_April23__1[[#This Row],[Footwear]])</f>
        <v>1</v>
      </c>
      <c r="AY83">
        <f>TYPE(All_India_Index_Upto_April23__1[[#This Row],[Clothing and footwear]])</f>
        <v>1</v>
      </c>
      <c r="AZ83">
        <f>TYPE(All_India_Index_Upto_April23__1[[#This Row],[Housing]])</f>
        <v>1</v>
      </c>
      <c r="BA83">
        <f>TYPE(All_India_Index_Upto_April23__1[[#This Row],[Fuel and light]])</f>
        <v>1</v>
      </c>
      <c r="BB83">
        <f>TYPE(All_India_Index_Upto_April23__1[[#This Row],[Household goods and services]])</f>
        <v>1</v>
      </c>
      <c r="BC83">
        <f>TYPE(All_India_Index_Upto_April23__1[[#This Row],[Health]])</f>
        <v>1</v>
      </c>
      <c r="BD83">
        <f>TYPE(All_India_Index_Upto_April23__1[[#This Row],[Transport and communication]])</f>
        <v>1</v>
      </c>
      <c r="BE83">
        <f>TYPE(All_India_Index_Upto_April23__1[[#This Row],[Recreation and amusement]])</f>
        <v>1</v>
      </c>
      <c r="BF83">
        <f>TYPE(All_India_Index_Upto_April23__1[[#This Row],[Education]])</f>
        <v>1</v>
      </c>
      <c r="BG83">
        <f>TYPE(All_India_Index_Upto_April23__1[[#This Row],[Personal care and effects]])</f>
        <v>1</v>
      </c>
      <c r="BH83">
        <f>TYPE(All_India_Index_Upto_April23__1[[#This Row],[Miscellaneous]])</f>
        <v>1</v>
      </c>
      <c r="BI83">
        <f>TYPE(All_India_Index_Upto_April23__1[[#This Row],[General index]])</f>
        <v>1</v>
      </c>
    </row>
    <row r="84" spans="1:61" x14ac:dyDescent="0.3">
      <c r="A84" t="s">
        <v>32</v>
      </c>
      <c r="B84">
        <v>2015</v>
      </c>
      <c r="C84" t="s">
        <v>36</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c r="AF84">
        <f>TYPE(All_India_Index_Upto_April23__1[[#This Row],[Sector]])</f>
        <v>2</v>
      </c>
      <c r="AG84">
        <f>TYPE(All_India_Index_Upto_April23__1[[#This Row],[Year]])</f>
        <v>1</v>
      </c>
      <c r="AH84">
        <f>TYPE(All_India_Index_Upto_April23__1[[#This Row],[Month]])</f>
        <v>2</v>
      </c>
      <c r="AI84">
        <f>TYPE(All_India_Index_Upto_April23__1[[#This Row],[Cereals and products]])</f>
        <v>1</v>
      </c>
      <c r="AJ84">
        <f>TYPE(All_India_Index_Upto_April23__1[[#This Row],[Meat and fish]])</f>
        <v>1</v>
      </c>
      <c r="AK84">
        <f>TYPE(All_India_Index_Upto_April23__1[[#This Row],[Egg]])</f>
        <v>1</v>
      </c>
      <c r="AL84">
        <f>TYPE(All_India_Index_Upto_April23__1[[#This Row],[Milk and products]])</f>
        <v>1</v>
      </c>
      <c r="AM84">
        <f>TYPE(All_India_Index_Upto_April23__1[[#This Row],[Oils and fats]])</f>
        <v>1</v>
      </c>
      <c r="AN84">
        <f>TYPE(All_India_Index_Upto_April23__1[[#This Row],[Fruits]])</f>
        <v>1</v>
      </c>
      <c r="AO84">
        <f>TYPE(All_India_Index_Upto_April23__1[[#This Row],[Vegetables]])</f>
        <v>1</v>
      </c>
      <c r="AP84">
        <f>TYPE(All_India_Index_Upto_April23__1[[#This Row],[Pulses and products]])</f>
        <v>1</v>
      </c>
      <c r="AQ84">
        <f>TYPE(All_India_Index_Upto_April23__1[[#This Row],[Sugar and Confectionery]])</f>
        <v>1</v>
      </c>
      <c r="AR84">
        <f>TYPE(All_India_Index_Upto_April23__1[[#This Row],[Spices]])</f>
        <v>1</v>
      </c>
      <c r="AS84">
        <f>TYPE(All_India_Index_Upto_April23__1[[#This Row],[Non-alcoholic beverages]])</f>
        <v>1</v>
      </c>
      <c r="AT84">
        <f>TYPE(All_India_Index_Upto_April23__1[[#This Row],[Prepared meals, snacks, sweets etc.]])</f>
        <v>1</v>
      </c>
      <c r="AU84">
        <f>TYPE(All_India_Index_Upto_April23__1[[#This Row],[Food and beverages]])</f>
        <v>1</v>
      </c>
      <c r="AV84">
        <f>TYPE(All_India_Index_Upto_April23__1[[#This Row],[Pan, tobacco and intoxicants]])</f>
        <v>1</v>
      </c>
      <c r="AW84">
        <f>TYPE(All_India_Index_Upto_April23__1[[#This Row],[Clothing]])</f>
        <v>1</v>
      </c>
      <c r="AX84">
        <f>TYPE(All_India_Index_Upto_April23__1[[#This Row],[Footwear]])</f>
        <v>1</v>
      </c>
      <c r="AY84">
        <f>TYPE(All_India_Index_Upto_April23__1[[#This Row],[Clothing and footwear]])</f>
        <v>1</v>
      </c>
      <c r="AZ84">
        <f>TYPE(All_India_Index_Upto_April23__1[[#This Row],[Housing]])</f>
        <v>1</v>
      </c>
      <c r="BA84">
        <f>TYPE(All_India_Index_Upto_April23__1[[#This Row],[Fuel and light]])</f>
        <v>1</v>
      </c>
      <c r="BB84">
        <f>TYPE(All_India_Index_Upto_April23__1[[#This Row],[Household goods and services]])</f>
        <v>1</v>
      </c>
      <c r="BC84">
        <f>TYPE(All_India_Index_Upto_April23__1[[#This Row],[Health]])</f>
        <v>1</v>
      </c>
      <c r="BD84">
        <f>TYPE(All_India_Index_Upto_April23__1[[#This Row],[Transport and communication]])</f>
        <v>1</v>
      </c>
      <c r="BE84">
        <f>TYPE(All_India_Index_Upto_April23__1[[#This Row],[Recreation and amusement]])</f>
        <v>1</v>
      </c>
      <c r="BF84">
        <f>TYPE(All_India_Index_Upto_April23__1[[#This Row],[Education]])</f>
        <v>1</v>
      </c>
      <c r="BG84">
        <f>TYPE(All_India_Index_Upto_April23__1[[#This Row],[Personal care and effects]])</f>
        <v>1</v>
      </c>
      <c r="BH84">
        <f>TYPE(All_India_Index_Upto_April23__1[[#This Row],[Miscellaneous]])</f>
        <v>1</v>
      </c>
      <c r="BI84">
        <f>TYPE(All_India_Index_Upto_April23__1[[#This Row],[General index]])</f>
        <v>1</v>
      </c>
    </row>
    <row r="85" spans="1:61" x14ac:dyDescent="0.3">
      <c r="A85" t="s">
        <v>33</v>
      </c>
      <c r="B85">
        <v>2015</v>
      </c>
      <c r="C85" t="s">
        <v>36</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c r="AF85">
        <f>TYPE(All_India_Index_Upto_April23__1[[#This Row],[Sector]])</f>
        <v>2</v>
      </c>
      <c r="AG85">
        <f>TYPE(All_India_Index_Upto_April23__1[[#This Row],[Year]])</f>
        <v>1</v>
      </c>
      <c r="AH85">
        <f>TYPE(All_India_Index_Upto_April23__1[[#This Row],[Month]])</f>
        <v>2</v>
      </c>
      <c r="AI85">
        <f>TYPE(All_India_Index_Upto_April23__1[[#This Row],[Cereals and products]])</f>
        <v>1</v>
      </c>
      <c r="AJ85">
        <f>TYPE(All_India_Index_Upto_April23__1[[#This Row],[Meat and fish]])</f>
        <v>1</v>
      </c>
      <c r="AK85">
        <f>TYPE(All_India_Index_Upto_April23__1[[#This Row],[Egg]])</f>
        <v>1</v>
      </c>
      <c r="AL85">
        <f>TYPE(All_India_Index_Upto_April23__1[[#This Row],[Milk and products]])</f>
        <v>1</v>
      </c>
      <c r="AM85">
        <f>TYPE(All_India_Index_Upto_April23__1[[#This Row],[Oils and fats]])</f>
        <v>1</v>
      </c>
      <c r="AN85">
        <f>TYPE(All_India_Index_Upto_April23__1[[#This Row],[Fruits]])</f>
        <v>1</v>
      </c>
      <c r="AO85">
        <f>TYPE(All_India_Index_Upto_April23__1[[#This Row],[Vegetables]])</f>
        <v>1</v>
      </c>
      <c r="AP85">
        <f>TYPE(All_India_Index_Upto_April23__1[[#This Row],[Pulses and products]])</f>
        <v>1</v>
      </c>
      <c r="AQ85">
        <f>TYPE(All_India_Index_Upto_April23__1[[#This Row],[Sugar and Confectionery]])</f>
        <v>1</v>
      </c>
      <c r="AR85">
        <f>TYPE(All_India_Index_Upto_April23__1[[#This Row],[Spices]])</f>
        <v>1</v>
      </c>
      <c r="AS85">
        <f>TYPE(All_India_Index_Upto_April23__1[[#This Row],[Non-alcoholic beverages]])</f>
        <v>1</v>
      </c>
      <c r="AT85">
        <f>TYPE(All_India_Index_Upto_April23__1[[#This Row],[Prepared meals, snacks, sweets etc.]])</f>
        <v>1</v>
      </c>
      <c r="AU85">
        <f>TYPE(All_India_Index_Upto_April23__1[[#This Row],[Food and beverages]])</f>
        <v>1</v>
      </c>
      <c r="AV85">
        <f>TYPE(All_India_Index_Upto_April23__1[[#This Row],[Pan, tobacco and intoxicants]])</f>
        <v>1</v>
      </c>
      <c r="AW85">
        <f>TYPE(All_India_Index_Upto_April23__1[[#This Row],[Clothing]])</f>
        <v>1</v>
      </c>
      <c r="AX85">
        <f>TYPE(All_India_Index_Upto_April23__1[[#This Row],[Footwear]])</f>
        <v>1</v>
      </c>
      <c r="AY85">
        <f>TYPE(All_India_Index_Upto_April23__1[[#This Row],[Clothing and footwear]])</f>
        <v>1</v>
      </c>
      <c r="AZ85">
        <f>TYPE(All_India_Index_Upto_April23__1[[#This Row],[Housing]])</f>
        <v>1</v>
      </c>
      <c r="BA85">
        <f>TYPE(All_India_Index_Upto_April23__1[[#This Row],[Fuel and light]])</f>
        <v>1</v>
      </c>
      <c r="BB85">
        <f>TYPE(All_India_Index_Upto_April23__1[[#This Row],[Household goods and services]])</f>
        <v>1</v>
      </c>
      <c r="BC85">
        <f>TYPE(All_India_Index_Upto_April23__1[[#This Row],[Health]])</f>
        <v>1</v>
      </c>
      <c r="BD85">
        <f>TYPE(All_India_Index_Upto_April23__1[[#This Row],[Transport and communication]])</f>
        <v>1</v>
      </c>
      <c r="BE85">
        <f>TYPE(All_India_Index_Upto_April23__1[[#This Row],[Recreation and amusement]])</f>
        <v>1</v>
      </c>
      <c r="BF85">
        <f>TYPE(All_India_Index_Upto_April23__1[[#This Row],[Education]])</f>
        <v>1</v>
      </c>
      <c r="BG85">
        <f>TYPE(All_India_Index_Upto_April23__1[[#This Row],[Personal care and effects]])</f>
        <v>1</v>
      </c>
      <c r="BH85">
        <f>TYPE(All_India_Index_Upto_April23__1[[#This Row],[Miscellaneous]])</f>
        <v>1</v>
      </c>
      <c r="BI85">
        <f>TYPE(All_India_Index_Upto_April23__1[[#This Row],[General index]])</f>
        <v>1</v>
      </c>
    </row>
    <row r="86" spans="1:61" x14ac:dyDescent="0.3">
      <c r="A86" t="s">
        <v>30</v>
      </c>
      <c r="B86">
        <v>2015</v>
      </c>
      <c r="C86" t="s">
        <v>37</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v>0</v>
      </c>
      <c r="V86">
        <v>121.9</v>
      </c>
      <c r="W86">
        <v>121.5</v>
      </c>
      <c r="X86">
        <v>119.4</v>
      </c>
      <c r="Y86">
        <v>113.3</v>
      </c>
      <c r="Z86">
        <v>116.7</v>
      </c>
      <c r="AA86">
        <v>120.5</v>
      </c>
      <c r="AB86">
        <v>112.3</v>
      </c>
      <c r="AC86">
        <v>116.9</v>
      </c>
      <c r="AD86">
        <v>122.4</v>
      </c>
      <c r="AF86">
        <f>TYPE(All_India_Index_Upto_April23__1[[#This Row],[Sector]])</f>
        <v>2</v>
      </c>
      <c r="AG86">
        <f>TYPE(All_India_Index_Upto_April23__1[[#This Row],[Year]])</f>
        <v>1</v>
      </c>
      <c r="AH86">
        <f>TYPE(All_India_Index_Upto_April23__1[[#This Row],[Month]])</f>
        <v>2</v>
      </c>
      <c r="AI86">
        <f>TYPE(All_India_Index_Upto_April23__1[[#This Row],[Cereals and products]])</f>
        <v>1</v>
      </c>
      <c r="AJ86">
        <f>TYPE(All_India_Index_Upto_April23__1[[#This Row],[Meat and fish]])</f>
        <v>1</v>
      </c>
      <c r="AK86">
        <f>TYPE(All_India_Index_Upto_April23__1[[#This Row],[Egg]])</f>
        <v>1</v>
      </c>
      <c r="AL86">
        <f>TYPE(All_India_Index_Upto_April23__1[[#This Row],[Milk and products]])</f>
        <v>1</v>
      </c>
      <c r="AM86">
        <f>TYPE(All_India_Index_Upto_April23__1[[#This Row],[Oils and fats]])</f>
        <v>1</v>
      </c>
      <c r="AN86">
        <f>TYPE(All_India_Index_Upto_April23__1[[#This Row],[Fruits]])</f>
        <v>1</v>
      </c>
      <c r="AO86">
        <f>TYPE(All_India_Index_Upto_April23__1[[#This Row],[Vegetables]])</f>
        <v>1</v>
      </c>
      <c r="AP86">
        <f>TYPE(All_India_Index_Upto_April23__1[[#This Row],[Pulses and products]])</f>
        <v>1</v>
      </c>
      <c r="AQ86">
        <f>TYPE(All_India_Index_Upto_April23__1[[#This Row],[Sugar and Confectionery]])</f>
        <v>1</v>
      </c>
      <c r="AR86">
        <f>TYPE(All_India_Index_Upto_April23__1[[#This Row],[Spices]])</f>
        <v>1</v>
      </c>
      <c r="AS86">
        <f>TYPE(All_India_Index_Upto_April23__1[[#This Row],[Non-alcoholic beverages]])</f>
        <v>1</v>
      </c>
      <c r="AT86">
        <f>TYPE(All_India_Index_Upto_April23__1[[#This Row],[Prepared meals, snacks, sweets etc.]])</f>
        <v>1</v>
      </c>
      <c r="AU86">
        <f>TYPE(All_India_Index_Upto_April23__1[[#This Row],[Food and beverages]])</f>
        <v>1</v>
      </c>
      <c r="AV86">
        <f>TYPE(All_India_Index_Upto_April23__1[[#This Row],[Pan, tobacco and intoxicants]])</f>
        <v>1</v>
      </c>
      <c r="AW86">
        <f>TYPE(All_India_Index_Upto_April23__1[[#This Row],[Clothing]])</f>
        <v>1</v>
      </c>
      <c r="AX86">
        <f>TYPE(All_India_Index_Upto_April23__1[[#This Row],[Footwear]])</f>
        <v>1</v>
      </c>
      <c r="AY86">
        <f>TYPE(All_India_Index_Upto_April23__1[[#This Row],[Clothing and footwear]])</f>
        <v>1</v>
      </c>
      <c r="AZ86">
        <f>TYPE(All_India_Index_Upto_April23__1[[#This Row],[Housing]])</f>
        <v>1</v>
      </c>
      <c r="BA86">
        <f>TYPE(All_India_Index_Upto_April23__1[[#This Row],[Fuel and light]])</f>
        <v>1</v>
      </c>
      <c r="BB86">
        <f>TYPE(All_India_Index_Upto_April23__1[[#This Row],[Household goods and services]])</f>
        <v>1</v>
      </c>
      <c r="BC86">
        <f>TYPE(All_India_Index_Upto_April23__1[[#This Row],[Health]])</f>
        <v>1</v>
      </c>
      <c r="BD86">
        <f>TYPE(All_India_Index_Upto_April23__1[[#This Row],[Transport and communication]])</f>
        <v>1</v>
      </c>
      <c r="BE86">
        <f>TYPE(All_India_Index_Upto_April23__1[[#This Row],[Recreation and amusement]])</f>
        <v>1</v>
      </c>
      <c r="BF86">
        <f>TYPE(All_India_Index_Upto_April23__1[[#This Row],[Education]])</f>
        <v>1</v>
      </c>
      <c r="BG86">
        <f>TYPE(All_India_Index_Upto_April23__1[[#This Row],[Personal care and effects]])</f>
        <v>1</v>
      </c>
      <c r="BH86">
        <f>TYPE(All_India_Index_Upto_April23__1[[#This Row],[Miscellaneous]])</f>
        <v>1</v>
      </c>
      <c r="BI86">
        <f>TYPE(All_India_Index_Upto_April23__1[[#This Row],[General index]])</f>
        <v>1</v>
      </c>
    </row>
    <row r="87" spans="1:61" x14ac:dyDescent="0.3">
      <c r="A87" t="s">
        <v>32</v>
      </c>
      <c r="B87">
        <v>2015</v>
      </c>
      <c r="C87" t="s">
        <v>37</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c r="AF87">
        <f>TYPE(All_India_Index_Upto_April23__1[[#This Row],[Sector]])</f>
        <v>2</v>
      </c>
      <c r="AG87">
        <f>TYPE(All_India_Index_Upto_April23__1[[#This Row],[Year]])</f>
        <v>1</v>
      </c>
      <c r="AH87">
        <f>TYPE(All_India_Index_Upto_April23__1[[#This Row],[Month]])</f>
        <v>2</v>
      </c>
      <c r="AI87">
        <f>TYPE(All_India_Index_Upto_April23__1[[#This Row],[Cereals and products]])</f>
        <v>1</v>
      </c>
      <c r="AJ87">
        <f>TYPE(All_India_Index_Upto_April23__1[[#This Row],[Meat and fish]])</f>
        <v>1</v>
      </c>
      <c r="AK87">
        <f>TYPE(All_India_Index_Upto_April23__1[[#This Row],[Egg]])</f>
        <v>1</v>
      </c>
      <c r="AL87">
        <f>TYPE(All_India_Index_Upto_April23__1[[#This Row],[Milk and products]])</f>
        <v>1</v>
      </c>
      <c r="AM87">
        <f>TYPE(All_India_Index_Upto_April23__1[[#This Row],[Oils and fats]])</f>
        <v>1</v>
      </c>
      <c r="AN87">
        <f>TYPE(All_India_Index_Upto_April23__1[[#This Row],[Fruits]])</f>
        <v>1</v>
      </c>
      <c r="AO87">
        <f>TYPE(All_India_Index_Upto_April23__1[[#This Row],[Vegetables]])</f>
        <v>1</v>
      </c>
      <c r="AP87">
        <f>TYPE(All_India_Index_Upto_April23__1[[#This Row],[Pulses and products]])</f>
        <v>1</v>
      </c>
      <c r="AQ87">
        <f>TYPE(All_India_Index_Upto_April23__1[[#This Row],[Sugar and Confectionery]])</f>
        <v>1</v>
      </c>
      <c r="AR87">
        <f>TYPE(All_India_Index_Upto_April23__1[[#This Row],[Spices]])</f>
        <v>1</v>
      </c>
      <c r="AS87">
        <f>TYPE(All_India_Index_Upto_April23__1[[#This Row],[Non-alcoholic beverages]])</f>
        <v>1</v>
      </c>
      <c r="AT87">
        <f>TYPE(All_India_Index_Upto_April23__1[[#This Row],[Prepared meals, snacks, sweets etc.]])</f>
        <v>1</v>
      </c>
      <c r="AU87">
        <f>TYPE(All_India_Index_Upto_April23__1[[#This Row],[Food and beverages]])</f>
        <v>1</v>
      </c>
      <c r="AV87">
        <f>TYPE(All_India_Index_Upto_April23__1[[#This Row],[Pan, tobacco and intoxicants]])</f>
        <v>1</v>
      </c>
      <c r="AW87">
        <f>TYPE(All_India_Index_Upto_April23__1[[#This Row],[Clothing]])</f>
        <v>1</v>
      </c>
      <c r="AX87">
        <f>TYPE(All_India_Index_Upto_April23__1[[#This Row],[Footwear]])</f>
        <v>1</v>
      </c>
      <c r="AY87">
        <f>TYPE(All_India_Index_Upto_April23__1[[#This Row],[Clothing and footwear]])</f>
        <v>1</v>
      </c>
      <c r="AZ87">
        <f>TYPE(All_India_Index_Upto_April23__1[[#This Row],[Housing]])</f>
        <v>1</v>
      </c>
      <c r="BA87">
        <f>TYPE(All_India_Index_Upto_April23__1[[#This Row],[Fuel and light]])</f>
        <v>1</v>
      </c>
      <c r="BB87">
        <f>TYPE(All_India_Index_Upto_April23__1[[#This Row],[Household goods and services]])</f>
        <v>1</v>
      </c>
      <c r="BC87">
        <f>TYPE(All_India_Index_Upto_April23__1[[#This Row],[Health]])</f>
        <v>1</v>
      </c>
      <c r="BD87">
        <f>TYPE(All_India_Index_Upto_April23__1[[#This Row],[Transport and communication]])</f>
        <v>1</v>
      </c>
      <c r="BE87">
        <f>TYPE(All_India_Index_Upto_April23__1[[#This Row],[Recreation and amusement]])</f>
        <v>1</v>
      </c>
      <c r="BF87">
        <f>TYPE(All_India_Index_Upto_April23__1[[#This Row],[Education]])</f>
        <v>1</v>
      </c>
      <c r="BG87">
        <f>TYPE(All_India_Index_Upto_April23__1[[#This Row],[Personal care and effects]])</f>
        <v>1</v>
      </c>
      <c r="BH87">
        <f>TYPE(All_India_Index_Upto_April23__1[[#This Row],[Miscellaneous]])</f>
        <v>1</v>
      </c>
      <c r="BI87">
        <f>TYPE(All_India_Index_Upto_April23__1[[#This Row],[General index]])</f>
        <v>1</v>
      </c>
    </row>
    <row r="88" spans="1:61" x14ac:dyDescent="0.3">
      <c r="A88" t="s">
        <v>33</v>
      </c>
      <c r="B88">
        <v>2015</v>
      </c>
      <c r="C88" t="s">
        <v>37</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c r="AF88">
        <f>TYPE(All_India_Index_Upto_April23__1[[#This Row],[Sector]])</f>
        <v>2</v>
      </c>
      <c r="AG88">
        <f>TYPE(All_India_Index_Upto_April23__1[[#This Row],[Year]])</f>
        <v>1</v>
      </c>
      <c r="AH88">
        <f>TYPE(All_India_Index_Upto_April23__1[[#This Row],[Month]])</f>
        <v>2</v>
      </c>
      <c r="AI88">
        <f>TYPE(All_India_Index_Upto_April23__1[[#This Row],[Cereals and products]])</f>
        <v>1</v>
      </c>
      <c r="AJ88">
        <f>TYPE(All_India_Index_Upto_April23__1[[#This Row],[Meat and fish]])</f>
        <v>1</v>
      </c>
      <c r="AK88">
        <f>TYPE(All_India_Index_Upto_April23__1[[#This Row],[Egg]])</f>
        <v>1</v>
      </c>
      <c r="AL88">
        <f>TYPE(All_India_Index_Upto_April23__1[[#This Row],[Milk and products]])</f>
        <v>1</v>
      </c>
      <c r="AM88">
        <f>TYPE(All_India_Index_Upto_April23__1[[#This Row],[Oils and fats]])</f>
        <v>1</v>
      </c>
      <c r="AN88">
        <f>TYPE(All_India_Index_Upto_April23__1[[#This Row],[Fruits]])</f>
        <v>1</v>
      </c>
      <c r="AO88">
        <f>TYPE(All_India_Index_Upto_April23__1[[#This Row],[Vegetables]])</f>
        <v>1</v>
      </c>
      <c r="AP88">
        <f>TYPE(All_India_Index_Upto_April23__1[[#This Row],[Pulses and products]])</f>
        <v>1</v>
      </c>
      <c r="AQ88">
        <f>TYPE(All_India_Index_Upto_April23__1[[#This Row],[Sugar and Confectionery]])</f>
        <v>1</v>
      </c>
      <c r="AR88">
        <f>TYPE(All_India_Index_Upto_April23__1[[#This Row],[Spices]])</f>
        <v>1</v>
      </c>
      <c r="AS88">
        <f>TYPE(All_India_Index_Upto_April23__1[[#This Row],[Non-alcoholic beverages]])</f>
        <v>1</v>
      </c>
      <c r="AT88">
        <f>TYPE(All_India_Index_Upto_April23__1[[#This Row],[Prepared meals, snacks, sweets etc.]])</f>
        <v>1</v>
      </c>
      <c r="AU88">
        <f>TYPE(All_India_Index_Upto_April23__1[[#This Row],[Food and beverages]])</f>
        <v>1</v>
      </c>
      <c r="AV88">
        <f>TYPE(All_India_Index_Upto_April23__1[[#This Row],[Pan, tobacco and intoxicants]])</f>
        <v>1</v>
      </c>
      <c r="AW88">
        <f>TYPE(All_India_Index_Upto_April23__1[[#This Row],[Clothing]])</f>
        <v>1</v>
      </c>
      <c r="AX88">
        <f>TYPE(All_India_Index_Upto_April23__1[[#This Row],[Footwear]])</f>
        <v>1</v>
      </c>
      <c r="AY88">
        <f>TYPE(All_India_Index_Upto_April23__1[[#This Row],[Clothing and footwear]])</f>
        <v>1</v>
      </c>
      <c r="AZ88">
        <f>TYPE(All_India_Index_Upto_April23__1[[#This Row],[Housing]])</f>
        <v>1</v>
      </c>
      <c r="BA88">
        <f>TYPE(All_India_Index_Upto_April23__1[[#This Row],[Fuel and light]])</f>
        <v>1</v>
      </c>
      <c r="BB88">
        <f>TYPE(All_India_Index_Upto_April23__1[[#This Row],[Household goods and services]])</f>
        <v>1</v>
      </c>
      <c r="BC88">
        <f>TYPE(All_India_Index_Upto_April23__1[[#This Row],[Health]])</f>
        <v>1</v>
      </c>
      <c r="BD88">
        <f>TYPE(All_India_Index_Upto_April23__1[[#This Row],[Transport and communication]])</f>
        <v>1</v>
      </c>
      <c r="BE88">
        <f>TYPE(All_India_Index_Upto_April23__1[[#This Row],[Recreation and amusement]])</f>
        <v>1</v>
      </c>
      <c r="BF88">
        <f>TYPE(All_India_Index_Upto_April23__1[[#This Row],[Education]])</f>
        <v>1</v>
      </c>
      <c r="BG88">
        <f>TYPE(All_India_Index_Upto_April23__1[[#This Row],[Personal care and effects]])</f>
        <v>1</v>
      </c>
      <c r="BH88">
        <f>TYPE(All_India_Index_Upto_April23__1[[#This Row],[Miscellaneous]])</f>
        <v>1</v>
      </c>
      <c r="BI88">
        <f>TYPE(All_India_Index_Upto_April23__1[[#This Row],[General index]])</f>
        <v>1</v>
      </c>
    </row>
    <row r="89" spans="1:61" x14ac:dyDescent="0.3">
      <c r="A89" t="s">
        <v>30</v>
      </c>
      <c r="B89">
        <v>2015</v>
      </c>
      <c r="C89" t="s">
        <v>38</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v>0</v>
      </c>
      <c r="V89">
        <v>122.6</v>
      </c>
      <c r="W89">
        <v>122.8</v>
      </c>
      <c r="X89">
        <v>120.4</v>
      </c>
      <c r="Y89">
        <v>114.2</v>
      </c>
      <c r="Z89">
        <v>117.9</v>
      </c>
      <c r="AA89">
        <v>122</v>
      </c>
      <c r="AB89">
        <v>113</v>
      </c>
      <c r="AC89">
        <v>117.9</v>
      </c>
      <c r="AD89">
        <v>124.1</v>
      </c>
      <c r="AF89">
        <f>TYPE(All_India_Index_Upto_April23__1[[#This Row],[Sector]])</f>
        <v>2</v>
      </c>
      <c r="AG89">
        <f>TYPE(All_India_Index_Upto_April23__1[[#This Row],[Year]])</f>
        <v>1</v>
      </c>
      <c r="AH89">
        <f>TYPE(All_India_Index_Upto_April23__1[[#This Row],[Month]])</f>
        <v>2</v>
      </c>
      <c r="AI89">
        <f>TYPE(All_India_Index_Upto_April23__1[[#This Row],[Cereals and products]])</f>
        <v>1</v>
      </c>
      <c r="AJ89">
        <f>TYPE(All_India_Index_Upto_April23__1[[#This Row],[Meat and fish]])</f>
        <v>1</v>
      </c>
      <c r="AK89">
        <f>TYPE(All_India_Index_Upto_April23__1[[#This Row],[Egg]])</f>
        <v>1</v>
      </c>
      <c r="AL89">
        <f>TYPE(All_India_Index_Upto_April23__1[[#This Row],[Milk and products]])</f>
        <v>1</v>
      </c>
      <c r="AM89">
        <f>TYPE(All_India_Index_Upto_April23__1[[#This Row],[Oils and fats]])</f>
        <v>1</v>
      </c>
      <c r="AN89">
        <f>TYPE(All_India_Index_Upto_April23__1[[#This Row],[Fruits]])</f>
        <v>1</v>
      </c>
      <c r="AO89">
        <f>TYPE(All_India_Index_Upto_April23__1[[#This Row],[Vegetables]])</f>
        <v>1</v>
      </c>
      <c r="AP89">
        <f>TYPE(All_India_Index_Upto_April23__1[[#This Row],[Pulses and products]])</f>
        <v>1</v>
      </c>
      <c r="AQ89">
        <f>TYPE(All_India_Index_Upto_April23__1[[#This Row],[Sugar and Confectionery]])</f>
        <v>1</v>
      </c>
      <c r="AR89">
        <f>TYPE(All_India_Index_Upto_April23__1[[#This Row],[Spices]])</f>
        <v>1</v>
      </c>
      <c r="AS89">
        <f>TYPE(All_India_Index_Upto_April23__1[[#This Row],[Non-alcoholic beverages]])</f>
        <v>1</v>
      </c>
      <c r="AT89">
        <f>TYPE(All_India_Index_Upto_April23__1[[#This Row],[Prepared meals, snacks, sweets etc.]])</f>
        <v>1</v>
      </c>
      <c r="AU89">
        <f>TYPE(All_India_Index_Upto_April23__1[[#This Row],[Food and beverages]])</f>
        <v>1</v>
      </c>
      <c r="AV89">
        <f>TYPE(All_India_Index_Upto_April23__1[[#This Row],[Pan, tobacco and intoxicants]])</f>
        <v>1</v>
      </c>
      <c r="AW89">
        <f>TYPE(All_India_Index_Upto_April23__1[[#This Row],[Clothing]])</f>
        <v>1</v>
      </c>
      <c r="AX89">
        <f>TYPE(All_India_Index_Upto_April23__1[[#This Row],[Footwear]])</f>
        <v>1</v>
      </c>
      <c r="AY89">
        <f>TYPE(All_India_Index_Upto_April23__1[[#This Row],[Clothing and footwear]])</f>
        <v>1</v>
      </c>
      <c r="AZ89">
        <f>TYPE(All_India_Index_Upto_April23__1[[#This Row],[Housing]])</f>
        <v>1</v>
      </c>
      <c r="BA89">
        <f>TYPE(All_India_Index_Upto_April23__1[[#This Row],[Fuel and light]])</f>
        <v>1</v>
      </c>
      <c r="BB89">
        <f>TYPE(All_India_Index_Upto_April23__1[[#This Row],[Household goods and services]])</f>
        <v>1</v>
      </c>
      <c r="BC89">
        <f>TYPE(All_India_Index_Upto_April23__1[[#This Row],[Health]])</f>
        <v>1</v>
      </c>
      <c r="BD89">
        <f>TYPE(All_India_Index_Upto_April23__1[[#This Row],[Transport and communication]])</f>
        <v>1</v>
      </c>
      <c r="BE89">
        <f>TYPE(All_India_Index_Upto_April23__1[[#This Row],[Recreation and amusement]])</f>
        <v>1</v>
      </c>
      <c r="BF89">
        <f>TYPE(All_India_Index_Upto_April23__1[[#This Row],[Education]])</f>
        <v>1</v>
      </c>
      <c r="BG89">
        <f>TYPE(All_India_Index_Upto_April23__1[[#This Row],[Personal care and effects]])</f>
        <v>1</v>
      </c>
      <c r="BH89">
        <f>TYPE(All_India_Index_Upto_April23__1[[#This Row],[Miscellaneous]])</f>
        <v>1</v>
      </c>
      <c r="BI89">
        <f>TYPE(All_India_Index_Upto_April23__1[[#This Row],[General index]])</f>
        <v>1</v>
      </c>
    </row>
    <row r="90" spans="1:61" x14ac:dyDescent="0.3">
      <c r="A90" t="s">
        <v>32</v>
      </c>
      <c r="B90">
        <v>2015</v>
      </c>
      <c r="C90" t="s">
        <v>38</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c r="AF90">
        <f>TYPE(All_India_Index_Upto_April23__1[[#This Row],[Sector]])</f>
        <v>2</v>
      </c>
      <c r="AG90">
        <f>TYPE(All_India_Index_Upto_April23__1[[#This Row],[Year]])</f>
        <v>1</v>
      </c>
      <c r="AH90">
        <f>TYPE(All_India_Index_Upto_April23__1[[#This Row],[Month]])</f>
        <v>2</v>
      </c>
      <c r="AI90">
        <f>TYPE(All_India_Index_Upto_April23__1[[#This Row],[Cereals and products]])</f>
        <v>1</v>
      </c>
      <c r="AJ90">
        <f>TYPE(All_India_Index_Upto_April23__1[[#This Row],[Meat and fish]])</f>
        <v>1</v>
      </c>
      <c r="AK90">
        <f>TYPE(All_India_Index_Upto_April23__1[[#This Row],[Egg]])</f>
        <v>1</v>
      </c>
      <c r="AL90">
        <f>TYPE(All_India_Index_Upto_April23__1[[#This Row],[Milk and products]])</f>
        <v>1</v>
      </c>
      <c r="AM90">
        <f>TYPE(All_India_Index_Upto_April23__1[[#This Row],[Oils and fats]])</f>
        <v>1</v>
      </c>
      <c r="AN90">
        <f>TYPE(All_India_Index_Upto_April23__1[[#This Row],[Fruits]])</f>
        <v>1</v>
      </c>
      <c r="AO90">
        <f>TYPE(All_India_Index_Upto_April23__1[[#This Row],[Vegetables]])</f>
        <v>1</v>
      </c>
      <c r="AP90">
        <f>TYPE(All_India_Index_Upto_April23__1[[#This Row],[Pulses and products]])</f>
        <v>1</v>
      </c>
      <c r="AQ90">
        <f>TYPE(All_India_Index_Upto_April23__1[[#This Row],[Sugar and Confectionery]])</f>
        <v>1</v>
      </c>
      <c r="AR90">
        <f>TYPE(All_India_Index_Upto_April23__1[[#This Row],[Spices]])</f>
        <v>1</v>
      </c>
      <c r="AS90">
        <f>TYPE(All_India_Index_Upto_April23__1[[#This Row],[Non-alcoholic beverages]])</f>
        <v>1</v>
      </c>
      <c r="AT90">
        <f>TYPE(All_India_Index_Upto_April23__1[[#This Row],[Prepared meals, snacks, sweets etc.]])</f>
        <v>1</v>
      </c>
      <c r="AU90">
        <f>TYPE(All_India_Index_Upto_April23__1[[#This Row],[Food and beverages]])</f>
        <v>1</v>
      </c>
      <c r="AV90">
        <f>TYPE(All_India_Index_Upto_April23__1[[#This Row],[Pan, tobacco and intoxicants]])</f>
        <v>1</v>
      </c>
      <c r="AW90">
        <f>TYPE(All_India_Index_Upto_April23__1[[#This Row],[Clothing]])</f>
        <v>1</v>
      </c>
      <c r="AX90">
        <f>TYPE(All_India_Index_Upto_April23__1[[#This Row],[Footwear]])</f>
        <v>1</v>
      </c>
      <c r="AY90">
        <f>TYPE(All_India_Index_Upto_April23__1[[#This Row],[Clothing and footwear]])</f>
        <v>1</v>
      </c>
      <c r="AZ90">
        <f>TYPE(All_India_Index_Upto_April23__1[[#This Row],[Housing]])</f>
        <v>1</v>
      </c>
      <c r="BA90">
        <f>TYPE(All_India_Index_Upto_April23__1[[#This Row],[Fuel and light]])</f>
        <v>1</v>
      </c>
      <c r="BB90">
        <f>TYPE(All_India_Index_Upto_April23__1[[#This Row],[Household goods and services]])</f>
        <v>1</v>
      </c>
      <c r="BC90">
        <f>TYPE(All_India_Index_Upto_April23__1[[#This Row],[Health]])</f>
        <v>1</v>
      </c>
      <c r="BD90">
        <f>TYPE(All_India_Index_Upto_April23__1[[#This Row],[Transport and communication]])</f>
        <v>1</v>
      </c>
      <c r="BE90">
        <f>TYPE(All_India_Index_Upto_April23__1[[#This Row],[Recreation and amusement]])</f>
        <v>1</v>
      </c>
      <c r="BF90">
        <f>TYPE(All_India_Index_Upto_April23__1[[#This Row],[Education]])</f>
        <v>1</v>
      </c>
      <c r="BG90">
        <f>TYPE(All_India_Index_Upto_April23__1[[#This Row],[Personal care and effects]])</f>
        <v>1</v>
      </c>
      <c r="BH90">
        <f>TYPE(All_India_Index_Upto_April23__1[[#This Row],[Miscellaneous]])</f>
        <v>1</v>
      </c>
      <c r="BI90">
        <f>TYPE(All_India_Index_Upto_April23__1[[#This Row],[General index]])</f>
        <v>1</v>
      </c>
    </row>
    <row r="91" spans="1:61" x14ac:dyDescent="0.3">
      <c r="A91" t="s">
        <v>33</v>
      </c>
      <c r="B91">
        <v>2015</v>
      </c>
      <c r="C91" t="s">
        <v>38</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c r="AF91">
        <f>TYPE(All_India_Index_Upto_April23__1[[#This Row],[Sector]])</f>
        <v>2</v>
      </c>
      <c r="AG91">
        <f>TYPE(All_India_Index_Upto_April23__1[[#This Row],[Year]])</f>
        <v>1</v>
      </c>
      <c r="AH91">
        <f>TYPE(All_India_Index_Upto_April23__1[[#This Row],[Month]])</f>
        <v>2</v>
      </c>
      <c r="AI91">
        <f>TYPE(All_India_Index_Upto_April23__1[[#This Row],[Cereals and products]])</f>
        <v>1</v>
      </c>
      <c r="AJ91">
        <f>TYPE(All_India_Index_Upto_April23__1[[#This Row],[Meat and fish]])</f>
        <v>1</v>
      </c>
      <c r="AK91">
        <f>TYPE(All_India_Index_Upto_April23__1[[#This Row],[Egg]])</f>
        <v>1</v>
      </c>
      <c r="AL91">
        <f>TYPE(All_India_Index_Upto_April23__1[[#This Row],[Milk and products]])</f>
        <v>1</v>
      </c>
      <c r="AM91">
        <f>TYPE(All_India_Index_Upto_April23__1[[#This Row],[Oils and fats]])</f>
        <v>1</v>
      </c>
      <c r="AN91">
        <f>TYPE(All_India_Index_Upto_April23__1[[#This Row],[Fruits]])</f>
        <v>1</v>
      </c>
      <c r="AO91">
        <f>TYPE(All_India_Index_Upto_April23__1[[#This Row],[Vegetables]])</f>
        <v>1</v>
      </c>
      <c r="AP91">
        <f>TYPE(All_India_Index_Upto_April23__1[[#This Row],[Pulses and products]])</f>
        <v>1</v>
      </c>
      <c r="AQ91">
        <f>TYPE(All_India_Index_Upto_April23__1[[#This Row],[Sugar and Confectionery]])</f>
        <v>1</v>
      </c>
      <c r="AR91">
        <f>TYPE(All_India_Index_Upto_April23__1[[#This Row],[Spices]])</f>
        <v>1</v>
      </c>
      <c r="AS91">
        <f>TYPE(All_India_Index_Upto_April23__1[[#This Row],[Non-alcoholic beverages]])</f>
        <v>1</v>
      </c>
      <c r="AT91">
        <f>TYPE(All_India_Index_Upto_April23__1[[#This Row],[Prepared meals, snacks, sweets etc.]])</f>
        <v>1</v>
      </c>
      <c r="AU91">
        <f>TYPE(All_India_Index_Upto_April23__1[[#This Row],[Food and beverages]])</f>
        <v>1</v>
      </c>
      <c r="AV91">
        <f>TYPE(All_India_Index_Upto_April23__1[[#This Row],[Pan, tobacco and intoxicants]])</f>
        <v>1</v>
      </c>
      <c r="AW91">
        <f>TYPE(All_India_Index_Upto_April23__1[[#This Row],[Clothing]])</f>
        <v>1</v>
      </c>
      <c r="AX91">
        <f>TYPE(All_India_Index_Upto_April23__1[[#This Row],[Footwear]])</f>
        <v>1</v>
      </c>
      <c r="AY91">
        <f>TYPE(All_India_Index_Upto_April23__1[[#This Row],[Clothing and footwear]])</f>
        <v>1</v>
      </c>
      <c r="AZ91">
        <f>TYPE(All_India_Index_Upto_April23__1[[#This Row],[Housing]])</f>
        <v>1</v>
      </c>
      <c r="BA91">
        <f>TYPE(All_India_Index_Upto_April23__1[[#This Row],[Fuel and light]])</f>
        <v>1</v>
      </c>
      <c r="BB91">
        <f>TYPE(All_India_Index_Upto_April23__1[[#This Row],[Household goods and services]])</f>
        <v>1</v>
      </c>
      <c r="BC91">
        <f>TYPE(All_India_Index_Upto_April23__1[[#This Row],[Health]])</f>
        <v>1</v>
      </c>
      <c r="BD91">
        <f>TYPE(All_India_Index_Upto_April23__1[[#This Row],[Transport and communication]])</f>
        <v>1</v>
      </c>
      <c r="BE91">
        <f>TYPE(All_India_Index_Upto_April23__1[[#This Row],[Recreation and amusement]])</f>
        <v>1</v>
      </c>
      <c r="BF91">
        <f>TYPE(All_India_Index_Upto_April23__1[[#This Row],[Education]])</f>
        <v>1</v>
      </c>
      <c r="BG91">
        <f>TYPE(All_India_Index_Upto_April23__1[[#This Row],[Personal care and effects]])</f>
        <v>1</v>
      </c>
      <c r="BH91">
        <f>TYPE(All_India_Index_Upto_April23__1[[#This Row],[Miscellaneous]])</f>
        <v>1</v>
      </c>
      <c r="BI91">
        <f>TYPE(All_India_Index_Upto_April23__1[[#This Row],[General index]])</f>
        <v>1</v>
      </c>
    </row>
    <row r="92" spans="1:61" x14ac:dyDescent="0.3">
      <c r="A92" t="s">
        <v>30</v>
      </c>
      <c r="B92">
        <v>2015</v>
      </c>
      <c r="C92" t="s">
        <v>39</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v>0</v>
      </c>
      <c r="V92">
        <v>123</v>
      </c>
      <c r="W92">
        <v>123</v>
      </c>
      <c r="X92">
        <v>120.8</v>
      </c>
      <c r="Y92">
        <v>114.1</v>
      </c>
      <c r="Z92">
        <v>118</v>
      </c>
      <c r="AA92">
        <v>122.9</v>
      </c>
      <c r="AB92">
        <v>112.7</v>
      </c>
      <c r="AC92">
        <v>118.1</v>
      </c>
      <c r="AD92">
        <v>124.7</v>
      </c>
      <c r="AF92">
        <f>TYPE(All_India_Index_Upto_April23__1[[#This Row],[Sector]])</f>
        <v>2</v>
      </c>
      <c r="AG92">
        <f>TYPE(All_India_Index_Upto_April23__1[[#This Row],[Year]])</f>
        <v>1</v>
      </c>
      <c r="AH92">
        <f>TYPE(All_India_Index_Upto_April23__1[[#This Row],[Month]])</f>
        <v>2</v>
      </c>
      <c r="AI92">
        <f>TYPE(All_India_Index_Upto_April23__1[[#This Row],[Cereals and products]])</f>
        <v>1</v>
      </c>
      <c r="AJ92">
        <f>TYPE(All_India_Index_Upto_April23__1[[#This Row],[Meat and fish]])</f>
        <v>1</v>
      </c>
      <c r="AK92">
        <f>TYPE(All_India_Index_Upto_April23__1[[#This Row],[Egg]])</f>
        <v>1</v>
      </c>
      <c r="AL92">
        <f>TYPE(All_India_Index_Upto_April23__1[[#This Row],[Milk and products]])</f>
        <v>1</v>
      </c>
      <c r="AM92">
        <f>TYPE(All_India_Index_Upto_April23__1[[#This Row],[Oils and fats]])</f>
        <v>1</v>
      </c>
      <c r="AN92">
        <f>TYPE(All_India_Index_Upto_April23__1[[#This Row],[Fruits]])</f>
        <v>1</v>
      </c>
      <c r="AO92">
        <f>TYPE(All_India_Index_Upto_April23__1[[#This Row],[Vegetables]])</f>
        <v>1</v>
      </c>
      <c r="AP92">
        <f>TYPE(All_India_Index_Upto_April23__1[[#This Row],[Pulses and products]])</f>
        <v>1</v>
      </c>
      <c r="AQ92">
        <f>TYPE(All_India_Index_Upto_April23__1[[#This Row],[Sugar and Confectionery]])</f>
        <v>1</v>
      </c>
      <c r="AR92">
        <f>TYPE(All_India_Index_Upto_April23__1[[#This Row],[Spices]])</f>
        <v>1</v>
      </c>
      <c r="AS92">
        <f>TYPE(All_India_Index_Upto_April23__1[[#This Row],[Non-alcoholic beverages]])</f>
        <v>1</v>
      </c>
      <c r="AT92">
        <f>TYPE(All_India_Index_Upto_April23__1[[#This Row],[Prepared meals, snacks, sweets etc.]])</f>
        <v>1</v>
      </c>
      <c r="AU92">
        <f>TYPE(All_India_Index_Upto_April23__1[[#This Row],[Food and beverages]])</f>
        <v>1</v>
      </c>
      <c r="AV92">
        <f>TYPE(All_India_Index_Upto_April23__1[[#This Row],[Pan, tobacco and intoxicants]])</f>
        <v>1</v>
      </c>
      <c r="AW92">
        <f>TYPE(All_India_Index_Upto_April23__1[[#This Row],[Clothing]])</f>
        <v>1</v>
      </c>
      <c r="AX92">
        <f>TYPE(All_India_Index_Upto_April23__1[[#This Row],[Footwear]])</f>
        <v>1</v>
      </c>
      <c r="AY92">
        <f>TYPE(All_India_Index_Upto_April23__1[[#This Row],[Clothing and footwear]])</f>
        <v>1</v>
      </c>
      <c r="AZ92">
        <f>TYPE(All_India_Index_Upto_April23__1[[#This Row],[Housing]])</f>
        <v>1</v>
      </c>
      <c r="BA92">
        <f>TYPE(All_India_Index_Upto_April23__1[[#This Row],[Fuel and light]])</f>
        <v>1</v>
      </c>
      <c r="BB92">
        <f>TYPE(All_India_Index_Upto_April23__1[[#This Row],[Household goods and services]])</f>
        <v>1</v>
      </c>
      <c r="BC92">
        <f>TYPE(All_India_Index_Upto_April23__1[[#This Row],[Health]])</f>
        <v>1</v>
      </c>
      <c r="BD92">
        <f>TYPE(All_India_Index_Upto_April23__1[[#This Row],[Transport and communication]])</f>
        <v>1</v>
      </c>
      <c r="BE92">
        <f>TYPE(All_India_Index_Upto_April23__1[[#This Row],[Recreation and amusement]])</f>
        <v>1</v>
      </c>
      <c r="BF92">
        <f>TYPE(All_India_Index_Upto_April23__1[[#This Row],[Education]])</f>
        <v>1</v>
      </c>
      <c r="BG92">
        <f>TYPE(All_India_Index_Upto_April23__1[[#This Row],[Personal care and effects]])</f>
        <v>1</v>
      </c>
      <c r="BH92">
        <f>TYPE(All_India_Index_Upto_April23__1[[#This Row],[Miscellaneous]])</f>
        <v>1</v>
      </c>
      <c r="BI92">
        <f>TYPE(All_India_Index_Upto_April23__1[[#This Row],[General index]])</f>
        <v>1</v>
      </c>
    </row>
    <row r="93" spans="1:61" x14ac:dyDescent="0.3">
      <c r="A93" t="s">
        <v>32</v>
      </c>
      <c r="B93">
        <v>2015</v>
      </c>
      <c r="C93" t="s">
        <v>39</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c r="AF93">
        <f>TYPE(All_India_Index_Upto_April23__1[[#This Row],[Sector]])</f>
        <v>2</v>
      </c>
      <c r="AG93">
        <f>TYPE(All_India_Index_Upto_April23__1[[#This Row],[Year]])</f>
        <v>1</v>
      </c>
      <c r="AH93">
        <f>TYPE(All_India_Index_Upto_April23__1[[#This Row],[Month]])</f>
        <v>2</v>
      </c>
      <c r="AI93">
        <f>TYPE(All_India_Index_Upto_April23__1[[#This Row],[Cereals and products]])</f>
        <v>1</v>
      </c>
      <c r="AJ93">
        <f>TYPE(All_India_Index_Upto_April23__1[[#This Row],[Meat and fish]])</f>
        <v>1</v>
      </c>
      <c r="AK93">
        <f>TYPE(All_India_Index_Upto_April23__1[[#This Row],[Egg]])</f>
        <v>1</v>
      </c>
      <c r="AL93">
        <f>TYPE(All_India_Index_Upto_April23__1[[#This Row],[Milk and products]])</f>
        <v>1</v>
      </c>
      <c r="AM93">
        <f>TYPE(All_India_Index_Upto_April23__1[[#This Row],[Oils and fats]])</f>
        <v>1</v>
      </c>
      <c r="AN93">
        <f>TYPE(All_India_Index_Upto_April23__1[[#This Row],[Fruits]])</f>
        <v>1</v>
      </c>
      <c r="AO93">
        <f>TYPE(All_India_Index_Upto_April23__1[[#This Row],[Vegetables]])</f>
        <v>1</v>
      </c>
      <c r="AP93">
        <f>TYPE(All_India_Index_Upto_April23__1[[#This Row],[Pulses and products]])</f>
        <v>1</v>
      </c>
      <c r="AQ93">
        <f>TYPE(All_India_Index_Upto_April23__1[[#This Row],[Sugar and Confectionery]])</f>
        <v>1</v>
      </c>
      <c r="AR93">
        <f>TYPE(All_India_Index_Upto_April23__1[[#This Row],[Spices]])</f>
        <v>1</v>
      </c>
      <c r="AS93">
        <f>TYPE(All_India_Index_Upto_April23__1[[#This Row],[Non-alcoholic beverages]])</f>
        <v>1</v>
      </c>
      <c r="AT93">
        <f>TYPE(All_India_Index_Upto_April23__1[[#This Row],[Prepared meals, snacks, sweets etc.]])</f>
        <v>1</v>
      </c>
      <c r="AU93">
        <f>TYPE(All_India_Index_Upto_April23__1[[#This Row],[Food and beverages]])</f>
        <v>1</v>
      </c>
      <c r="AV93">
        <f>TYPE(All_India_Index_Upto_April23__1[[#This Row],[Pan, tobacco and intoxicants]])</f>
        <v>1</v>
      </c>
      <c r="AW93">
        <f>TYPE(All_India_Index_Upto_April23__1[[#This Row],[Clothing]])</f>
        <v>1</v>
      </c>
      <c r="AX93">
        <f>TYPE(All_India_Index_Upto_April23__1[[#This Row],[Footwear]])</f>
        <v>1</v>
      </c>
      <c r="AY93">
        <f>TYPE(All_India_Index_Upto_April23__1[[#This Row],[Clothing and footwear]])</f>
        <v>1</v>
      </c>
      <c r="AZ93">
        <f>TYPE(All_India_Index_Upto_April23__1[[#This Row],[Housing]])</f>
        <v>1</v>
      </c>
      <c r="BA93">
        <f>TYPE(All_India_Index_Upto_April23__1[[#This Row],[Fuel and light]])</f>
        <v>1</v>
      </c>
      <c r="BB93">
        <f>TYPE(All_India_Index_Upto_April23__1[[#This Row],[Household goods and services]])</f>
        <v>1</v>
      </c>
      <c r="BC93">
        <f>TYPE(All_India_Index_Upto_April23__1[[#This Row],[Health]])</f>
        <v>1</v>
      </c>
      <c r="BD93">
        <f>TYPE(All_India_Index_Upto_April23__1[[#This Row],[Transport and communication]])</f>
        <v>1</v>
      </c>
      <c r="BE93">
        <f>TYPE(All_India_Index_Upto_April23__1[[#This Row],[Recreation and amusement]])</f>
        <v>1</v>
      </c>
      <c r="BF93">
        <f>TYPE(All_India_Index_Upto_April23__1[[#This Row],[Education]])</f>
        <v>1</v>
      </c>
      <c r="BG93">
        <f>TYPE(All_India_Index_Upto_April23__1[[#This Row],[Personal care and effects]])</f>
        <v>1</v>
      </c>
      <c r="BH93">
        <f>TYPE(All_India_Index_Upto_April23__1[[#This Row],[Miscellaneous]])</f>
        <v>1</v>
      </c>
      <c r="BI93">
        <f>TYPE(All_India_Index_Upto_April23__1[[#This Row],[General index]])</f>
        <v>1</v>
      </c>
    </row>
    <row r="94" spans="1:61" x14ac:dyDescent="0.3">
      <c r="A94" t="s">
        <v>33</v>
      </c>
      <c r="B94">
        <v>2015</v>
      </c>
      <c r="C94" t="s">
        <v>39</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c r="AF94">
        <f>TYPE(All_India_Index_Upto_April23__1[[#This Row],[Sector]])</f>
        <v>2</v>
      </c>
      <c r="AG94">
        <f>TYPE(All_India_Index_Upto_April23__1[[#This Row],[Year]])</f>
        <v>1</v>
      </c>
      <c r="AH94">
        <f>TYPE(All_India_Index_Upto_April23__1[[#This Row],[Month]])</f>
        <v>2</v>
      </c>
      <c r="AI94">
        <f>TYPE(All_India_Index_Upto_April23__1[[#This Row],[Cereals and products]])</f>
        <v>1</v>
      </c>
      <c r="AJ94">
        <f>TYPE(All_India_Index_Upto_April23__1[[#This Row],[Meat and fish]])</f>
        <v>1</v>
      </c>
      <c r="AK94">
        <f>TYPE(All_India_Index_Upto_April23__1[[#This Row],[Egg]])</f>
        <v>1</v>
      </c>
      <c r="AL94">
        <f>TYPE(All_India_Index_Upto_April23__1[[#This Row],[Milk and products]])</f>
        <v>1</v>
      </c>
      <c r="AM94">
        <f>TYPE(All_India_Index_Upto_April23__1[[#This Row],[Oils and fats]])</f>
        <v>1</v>
      </c>
      <c r="AN94">
        <f>TYPE(All_India_Index_Upto_April23__1[[#This Row],[Fruits]])</f>
        <v>1</v>
      </c>
      <c r="AO94">
        <f>TYPE(All_India_Index_Upto_April23__1[[#This Row],[Vegetables]])</f>
        <v>1</v>
      </c>
      <c r="AP94">
        <f>TYPE(All_India_Index_Upto_April23__1[[#This Row],[Pulses and products]])</f>
        <v>1</v>
      </c>
      <c r="AQ94">
        <f>TYPE(All_India_Index_Upto_April23__1[[#This Row],[Sugar and Confectionery]])</f>
        <v>1</v>
      </c>
      <c r="AR94">
        <f>TYPE(All_India_Index_Upto_April23__1[[#This Row],[Spices]])</f>
        <v>1</v>
      </c>
      <c r="AS94">
        <f>TYPE(All_India_Index_Upto_April23__1[[#This Row],[Non-alcoholic beverages]])</f>
        <v>1</v>
      </c>
      <c r="AT94">
        <f>TYPE(All_India_Index_Upto_April23__1[[#This Row],[Prepared meals, snacks, sweets etc.]])</f>
        <v>1</v>
      </c>
      <c r="AU94">
        <f>TYPE(All_India_Index_Upto_April23__1[[#This Row],[Food and beverages]])</f>
        <v>1</v>
      </c>
      <c r="AV94">
        <f>TYPE(All_India_Index_Upto_April23__1[[#This Row],[Pan, tobacco and intoxicants]])</f>
        <v>1</v>
      </c>
      <c r="AW94">
        <f>TYPE(All_India_Index_Upto_April23__1[[#This Row],[Clothing]])</f>
        <v>1</v>
      </c>
      <c r="AX94">
        <f>TYPE(All_India_Index_Upto_April23__1[[#This Row],[Footwear]])</f>
        <v>1</v>
      </c>
      <c r="AY94">
        <f>TYPE(All_India_Index_Upto_April23__1[[#This Row],[Clothing and footwear]])</f>
        <v>1</v>
      </c>
      <c r="AZ94">
        <f>TYPE(All_India_Index_Upto_April23__1[[#This Row],[Housing]])</f>
        <v>1</v>
      </c>
      <c r="BA94">
        <f>TYPE(All_India_Index_Upto_April23__1[[#This Row],[Fuel and light]])</f>
        <v>1</v>
      </c>
      <c r="BB94">
        <f>TYPE(All_India_Index_Upto_April23__1[[#This Row],[Household goods and services]])</f>
        <v>1</v>
      </c>
      <c r="BC94">
        <f>TYPE(All_India_Index_Upto_April23__1[[#This Row],[Health]])</f>
        <v>1</v>
      </c>
      <c r="BD94">
        <f>TYPE(All_India_Index_Upto_April23__1[[#This Row],[Transport and communication]])</f>
        <v>1</v>
      </c>
      <c r="BE94">
        <f>TYPE(All_India_Index_Upto_April23__1[[#This Row],[Recreation and amusement]])</f>
        <v>1</v>
      </c>
      <c r="BF94">
        <f>TYPE(All_India_Index_Upto_April23__1[[#This Row],[Education]])</f>
        <v>1</v>
      </c>
      <c r="BG94">
        <f>TYPE(All_India_Index_Upto_April23__1[[#This Row],[Personal care and effects]])</f>
        <v>1</v>
      </c>
      <c r="BH94">
        <f>TYPE(All_India_Index_Upto_April23__1[[#This Row],[Miscellaneous]])</f>
        <v>1</v>
      </c>
      <c r="BI94">
        <f>TYPE(All_India_Index_Upto_April23__1[[#This Row],[General index]])</f>
        <v>1</v>
      </c>
    </row>
    <row r="95" spans="1:61" x14ac:dyDescent="0.3">
      <c r="A95" t="s">
        <v>30</v>
      </c>
      <c r="B95">
        <v>2015</v>
      </c>
      <c r="C95" t="s">
        <v>40</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v>0</v>
      </c>
      <c r="V95">
        <v>123.8</v>
      </c>
      <c r="W95">
        <v>123.7</v>
      </c>
      <c r="X95">
        <v>121.1</v>
      </c>
      <c r="Y95">
        <v>113.6</v>
      </c>
      <c r="Z95">
        <v>118.5</v>
      </c>
      <c r="AA95">
        <v>123.6</v>
      </c>
      <c r="AB95">
        <v>112.5</v>
      </c>
      <c r="AC95">
        <v>118.2</v>
      </c>
      <c r="AD95">
        <v>126.1</v>
      </c>
      <c r="AF95">
        <f>TYPE(All_India_Index_Upto_April23__1[[#This Row],[Sector]])</f>
        <v>2</v>
      </c>
      <c r="AG95">
        <f>TYPE(All_India_Index_Upto_April23__1[[#This Row],[Year]])</f>
        <v>1</v>
      </c>
      <c r="AH95">
        <f>TYPE(All_India_Index_Upto_April23__1[[#This Row],[Month]])</f>
        <v>2</v>
      </c>
      <c r="AI95">
        <f>TYPE(All_India_Index_Upto_April23__1[[#This Row],[Cereals and products]])</f>
        <v>1</v>
      </c>
      <c r="AJ95">
        <f>TYPE(All_India_Index_Upto_April23__1[[#This Row],[Meat and fish]])</f>
        <v>1</v>
      </c>
      <c r="AK95">
        <f>TYPE(All_India_Index_Upto_April23__1[[#This Row],[Egg]])</f>
        <v>1</v>
      </c>
      <c r="AL95">
        <f>TYPE(All_India_Index_Upto_April23__1[[#This Row],[Milk and products]])</f>
        <v>1</v>
      </c>
      <c r="AM95">
        <f>TYPE(All_India_Index_Upto_April23__1[[#This Row],[Oils and fats]])</f>
        <v>1</v>
      </c>
      <c r="AN95">
        <f>TYPE(All_India_Index_Upto_April23__1[[#This Row],[Fruits]])</f>
        <v>1</v>
      </c>
      <c r="AO95">
        <f>TYPE(All_India_Index_Upto_April23__1[[#This Row],[Vegetables]])</f>
        <v>1</v>
      </c>
      <c r="AP95">
        <f>TYPE(All_India_Index_Upto_April23__1[[#This Row],[Pulses and products]])</f>
        <v>1</v>
      </c>
      <c r="AQ95">
        <f>TYPE(All_India_Index_Upto_April23__1[[#This Row],[Sugar and Confectionery]])</f>
        <v>1</v>
      </c>
      <c r="AR95">
        <f>TYPE(All_India_Index_Upto_April23__1[[#This Row],[Spices]])</f>
        <v>1</v>
      </c>
      <c r="AS95">
        <f>TYPE(All_India_Index_Upto_April23__1[[#This Row],[Non-alcoholic beverages]])</f>
        <v>1</v>
      </c>
      <c r="AT95">
        <f>TYPE(All_India_Index_Upto_April23__1[[#This Row],[Prepared meals, snacks, sweets etc.]])</f>
        <v>1</v>
      </c>
      <c r="AU95">
        <f>TYPE(All_India_Index_Upto_April23__1[[#This Row],[Food and beverages]])</f>
        <v>1</v>
      </c>
      <c r="AV95">
        <f>TYPE(All_India_Index_Upto_April23__1[[#This Row],[Pan, tobacco and intoxicants]])</f>
        <v>1</v>
      </c>
      <c r="AW95">
        <f>TYPE(All_India_Index_Upto_April23__1[[#This Row],[Clothing]])</f>
        <v>1</v>
      </c>
      <c r="AX95">
        <f>TYPE(All_India_Index_Upto_April23__1[[#This Row],[Footwear]])</f>
        <v>1</v>
      </c>
      <c r="AY95">
        <f>TYPE(All_India_Index_Upto_April23__1[[#This Row],[Clothing and footwear]])</f>
        <v>1</v>
      </c>
      <c r="AZ95">
        <f>TYPE(All_India_Index_Upto_April23__1[[#This Row],[Housing]])</f>
        <v>1</v>
      </c>
      <c r="BA95">
        <f>TYPE(All_India_Index_Upto_April23__1[[#This Row],[Fuel and light]])</f>
        <v>1</v>
      </c>
      <c r="BB95">
        <f>TYPE(All_India_Index_Upto_April23__1[[#This Row],[Household goods and services]])</f>
        <v>1</v>
      </c>
      <c r="BC95">
        <f>TYPE(All_India_Index_Upto_April23__1[[#This Row],[Health]])</f>
        <v>1</v>
      </c>
      <c r="BD95">
        <f>TYPE(All_India_Index_Upto_April23__1[[#This Row],[Transport and communication]])</f>
        <v>1</v>
      </c>
      <c r="BE95">
        <f>TYPE(All_India_Index_Upto_April23__1[[#This Row],[Recreation and amusement]])</f>
        <v>1</v>
      </c>
      <c r="BF95">
        <f>TYPE(All_India_Index_Upto_April23__1[[#This Row],[Education]])</f>
        <v>1</v>
      </c>
      <c r="BG95">
        <f>TYPE(All_India_Index_Upto_April23__1[[#This Row],[Personal care and effects]])</f>
        <v>1</v>
      </c>
      <c r="BH95">
        <f>TYPE(All_India_Index_Upto_April23__1[[#This Row],[Miscellaneous]])</f>
        <v>1</v>
      </c>
      <c r="BI95">
        <f>TYPE(All_India_Index_Upto_April23__1[[#This Row],[General index]])</f>
        <v>1</v>
      </c>
    </row>
    <row r="96" spans="1:61" x14ac:dyDescent="0.3">
      <c r="A96" t="s">
        <v>32</v>
      </c>
      <c r="B96">
        <v>2015</v>
      </c>
      <c r="C96" t="s">
        <v>40</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c r="AF96">
        <f>TYPE(All_India_Index_Upto_April23__1[[#This Row],[Sector]])</f>
        <v>2</v>
      </c>
      <c r="AG96">
        <f>TYPE(All_India_Index_Upto_April23__1[[#This Row],[Year]])</f>
        <v>1</v>
      </c>
      <c r="AH96">
        <f>TYPE(All_India_Index_Upto_April23__1[[#This Row],[Month]])</f>
        <v>2</v>
      </c>
      <c r="AI96">
        <f>TYPE(All_India_Index_Upto_April23__1[[#This Row],[Cereals and products]])</f>
        <v>1</v>
      </c>
      <c r="AJ96">
        <f>TYPE(All_India_Index_Upto_April23__1[[#This Row],[Meat and fish]])</f>
        <v>1</v>
      </c>
      <c r="AK96">
        <f>TYPE(All_India_Index_Upto_April23__1[[#This Row],[Egg]])</f>
        <v>1</v>
      </c>
      <c r="AL96">
        <f>TYPE(All_India_Index_Upto_April23__1[[#This Row],[Milk and products]])</f>
        <v>1</v>
      </c>
      <c r="AM96">
        <f>TYPE(All_India_Index_Upto_April23__1[[#This Row],[Oils and fats]])</f>
        <v>1</v>
      </c>
      <c r="AN96">
        <f>TYPE(All_India_Index_Upto_April23__1[[#This Row],[Fruits]])</f>
        <v>1</v>
      </c>
      <c r="AO96">
        <f>TYPE(All_India_Index_Upto_April23__1[[#This Row],[Vegetables]])</f>
        <v>1</v>
      </c>
      <c r="AP96">
        <f>TYPE(All_India_Index_Upto_April23__1[[#This Row],[Pulses and products]])</f>
        <v>1</v>
      </c>
      <c r="AQ96">
        <f>TYPE(All_India_Index_Upto_April23__1[[#This Row],[Sugar and Confectionery]])</f>
        <v>1</v>
      </c>
      <c r="AR96">
        <f>TYPE(All_India_Index_Upto_April23__1[[#This Row],[Spices]])</f>
        <v>1</v>
      </c>
      <c r="AS96">
        <f>TYPE(All_India_Index_Upto_April23__1[[#This Row],[Non-alcoholic beverages]])</f>
        <v>1</v>
      </c>
      <c r="AT96">
        <f>TYPE(All_India_Index_Upto_April23__1[[#This Row],[Prepared meals, snacks, sweets etc.]])</f>
        <v>1</v>
      </c>
      <c r="AU96">
        <f>TYPE(All_India_Index_Upto_April23__1[[#This Row],[Food and beverages]])</f>
        <v>1</v>
      </c>
      <c r="AV96">
        <f>TYPE(All_India_Index_Upto_April23__1[[#This Row],[Pan, tobacco and intoxicants]])</f>
        <v>1</v>
      </c>
      <c r="AW96">
        <f>TYPE(All_India_Index_Upto_April23__1[[#This Row],[Clothing]])</f>
        <v>1</v>
      </c>
      <c r="AX96">
        <f>TYPE(All_India_Index_Upto_April23__1[[#This Row],[Footwear]])</f>
        <v>1</v>
      </c>
      <c r="AY96">
        <f>TYPE(All_India_Index_Upto_April23__1[[#This Row],[Clothing and footwear]])</f>
        <v>1</v>
      </c>
      <c r="AZ96">
        <f>TYPE(All_India_Index_Upto_April23__1[[#This Row],[Housing]])</f>
        <v>1</v>
      </c>
      <c r="BA96">
        <f>TYPE(All_India_Index_Upto_April23__1[[#This Row],[Fuel and light]])</f>
        <v>1</v>
      </c>
      <c r="BB96">
        <f>TYPE(All_India_Index_Upto_April23__1[[#This Row],[Household goods and services]])</f>
        <v>1</v>
      </c>
      <c r="BC96">
        <f>TYPE(All_India_Index_Upto_April23__1[[#This Row],[Health]])</f>
        <v>1</v>
      </c>
      <c r="BD96">
        <f>TYPE(All_India_Index_Upto_April23__1[[#This Row],[Transport and communication]])</f>
        <v>1</v>
      </c>
      <c r="BE96">
        <f>TYPE(All_India_Index_Upto_April23__1[[#This Row],[Recreation and amusement]])</f>
        <v>1</v>
      </c>
      <c r="BF96">
        <f>TYPE(All_India_Index_Upto_April23__1[[#This Row],[Education]])</f>
        <v>1</v>
      </c>
      <c r="BG96">
        <f>TYPE(All_India_Index_Upto_April23__1[[#This Row],[Personal care and effects]])</f>
        <v>1</v>
      </c>
      <c r="BH96">
        <f>TYPE(All_India_Index_Upto_April23__1[[#This Row],[Miscellaneous]])</f>
        <v>1</v>
      </c>
      <c r="BI96">
        <f>TYPE(All_India_Index_Upto_April23__1[[#This Row],[General index]])</f>
        <v>1</v>
      </c>
    </row>
    <row r="97" spans="1:61" x14ac:dyDescent="0.3">
      <c r="A97" t="s">
        <v>33</v>
      </c>
      <c r="B97">
        <v>2015</v>
      </c>
      <c r="C97" t="s">
        <v>40</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c r="AF97">
        <f>TYPE(All_India_Index_Upto_April23__1[[#This Row],[Sector]])</f>
        <v>2</v>
      </c>
      <c r="AG97">
        <f>TYPE(All_India_Index_Upto_April23__1[[#This Row],[Year]])</f>
        <v>1</v>
      </c>
      <c r="AH97">
        <f>TYPE(All_India_Index_Upto_April23__1[[#This Row],[Month]])</f>
        <v>2</v>
      </c>
      <c r="AI97">
        <f>TYPE(All_India_Index_Upto_April23__1[[#This Row],[Cereals and products]])</f>
        <v>1</v>
      </c>
      <c r="AJ97">
        <f>TYPE(All_India_Index_Upto_April23__1[[#This Row],[Meat and fish]])</f>
        <v>1</v>
      </c>
      <c r="AK97">
        <f>TYPE(All_India_Index_Upto_April23__1[[#This Row],[Egg]])</f>
        <v>1</v>
      </c>
      <c r="AL97">
        <f>TYPE(All_India_Index_Upto_April23__1[[#This Row],[Milk and products]])</f>
        <v>1</v>
      </c>
      <c r="AM97">
        <f>TYPE(All_India_Index_Upto_April23__1[[#This Row],[Oils and fats]])</f>
        <v>1</v>
      </c>
      <c r="AN97">
        <f>TYPE(All_India_Index_Upto_April23__1[[#This Row],[Fruits]])</f>
        <v>1</v>
      </c>
      <c r="AO97">
        <f>TYPE(All_India_Index_Upto_April23__1[[#This Row],[Vegetables]])</f>
        <v>1</v>
      </c>
      <c r="AP97">
        <f>TYPE(All_India_Index_Upto_April23__1[[#This Row],[Pulses and products]])</f>
        <v>1</v>
      </c>
      <c r="AQ97">
        <f>TYPE(All_India_Index_Upto_April23__1[[#This Row],[Sugar and Confectionery]])</f>
        <v>1</v>
      </c>
      <c r="AR97">
        <f>TYPE(All_India_Index_Upto_April23__1[[#This Row],[Spices]])</f>
        <v>1</v>
      </c>
      <c r="AS97">
        <f>TYPE(All_India_Index_Upto_April23__1[[#This Row],[Non-alcoholic beverages]])</f>
        <v>1</v>
      </c>
      <c r="AT97">
        <f>TYPE(All_India_Index_Upto_April23__1[[#This Row],[Prepared meals, snacks, sweets etc.]])</f>
        <v>1</v>
      </c>
      <c r="AU97">
        <f>TYPE(All_India_Index_Upto_April23__1[[#This Row],[Food and beverages]])</f>
        <v>1</v>
      </c>
      <c r="AV97">
        <f>TYPE(All_India_Index_Upto_April23__1[[#This Row],[Pan, tobacco and intoxicants]])</f>
        <v>1</v>
      </c>
      <c r="AW97">
        <f>TYPE(All_India_Index_Upto_April23__1[[#This Row],[Clothing]])</f>
        <v>1</v>
      </c>
      <c r="AX97">
        <f>TYPE(All_India_Index_Upto_April23__1[[#This Row],[Footwear]])</f>
        <v>1</v>
      </c>
      <c r="AY97">
        <f>TYPE(All_India_Index_Upto_April23__1[[#This Row],[Clothing and footwear]])</f>
        <v>1</v>
      </c>
      <c r="AZ97">
        <f>TYPE(All_India_Index_Upto_April23__1[[#This Row],[Housing]])</f>
        <v>1</v>
      </c>
      <c r="BA97">
        <f>TYPE(All_India_Index_Upto_April23__1[[#This Row],[Fuel and light]])</f>
        <v>1</v>
      </c>
      <c r="BB97">
        <f>TYPE(All_India_Index_Upto_April23__1[[#This Row],[Household goods and services]])</f>
        <v>1</v>
      </c>
      <c r="BC97">
        <f>TYPE(All_India_Index_Upto_April23__1[[#This Row],[Health]])</f>
        <v>1</v>
      </c>
      <c r="BD97">
        <f>TYPE(All_India_Index_Upto_April23__1[[#This Row],[Transport and communication]])</f>
        <v>1</v>
      </c>
      <c r="BE97">
        <f>TYPE(All_India_Index_Upto_April23__1[[#This Row],[Recreation and amusement]])</f>
        <v>1</v>
      </c>
      <c r="BF97">
        <f>TYPE(All_India_Index_Upto_April23__1[[#This Row],[Education]])</f>
        <v>1</v>
      </c>
      <c r="BG97">
        <f>TYPE(All_India_Index_Upto_April23__1[[#This Row],[Personal care and effects]])</f>
        <v>1</v>
      </c>
      <c r="BH97">
        <f>TYPE(All_India_Index_Upto_April23__1[[#This Row],[Miscellaneous]])</f>
        <v>1</v>
      </c>
      <c r="BI97">
        <f>TYPE(All_India_Index_Upto_April23__1[[#This Row],[General index]])</f>
        <v>1</v>
      </c>
    </row>
    <row r="98" spans="1:61" x14ac:dyDescent="0.3">
      <c r="A98" t="s">
        <v>30</v>
      </c>
      <c r="B98">
        <v>2015</v>
      </c>
      <c r="C98" t="s">
        <v>41</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v>0</v>
      </c>
      <c r="V98">
        <v>123.7</v>
      </c>
      <c r="W98">
        <v>124.5</v>
      </c>
      <c r="X98">
        <v>121.4</v>
      </c>
      <c r="Y98">
        <v>113.8</v>
      </c>
      <c r="Z98">
        <v>119.6</v>
      </c>
      <c r="AA98">
        <v>124.5</v>
      </c>
      <c r="AB98">
        <v>113.7</v>
      </c>
      <c r="AC98">
        <v>118.8</v>
      </c>
      <c r="AD98">
        <v>127</v>
      </c>
      <c r="AF98">
        <f>TYPE(All_India_Index_Upto_April23__1[[#This Row],[Sector]])</f>
        <v>2</v>
      </c>
      <c r="AG98">
        <f>TYPE(All_India_Index_Upto_April23__1[[#This Row],[Year]])</f>
        <v>1</v>
      </c>
      <c r="AH98">
        <f>TYPE(All_India_Index_Upto_April23__1[[#This Row],[Month]])</f>
        <v>2</v>
      </c>
      <c r="AI98">
        <f>TYPE(All_India_Index_Upto_April23__1[[#This Row],[Cereals and products]])</f>
        <v>1</v>
      </c>
      <c r="AJ98">
        <f>TYPE(All_India_Index_Upto_April23__1[[#This Row],[Meat and fish]])</f>
        <v>1</v>
      </c>
      <c r="AK98">
        <f>TYPE(All_India_Index_Upto_April23__1[[#This Row],[Egg]])</f>
        <v>1</v>
      </c>
      <c r="AL98">
        <f>TYPE(All_India_Index_Upto_April23__1[[#This Row],[Milk and products]])</f>
        <v>1</v>
      </c>
      <c r="AM98">
        <f>TYPE(All_India_Index_Upto_April23__1[[#This Row],[Oils and fats]])</f>
        <v>1</v>
      </c>
      <c r="AN98">
        <f>TYPE(All_India_Index_Upto_April23__1[[#This Row],[Fruits]])</f>
        <v>1</v>
      </c>
      <c r="AO98">
        <f>TYPE(All_India_Index_Upto_April23__1[[#This Row],[Vegetables]])</f>
        <v>1</v>
      </c>
      <c r="AP98">
        <f>TYPE(All_India_Index_Upto_April23__1[[#This Row],[Pulses and products]])</f>
        <v>1</v>
      </c>
      <c r="AQ98">
        <f>TYPE(All_India_Index_Upto_April23__1[[#This Row],[Sugar and Confectionery]])</f>
        <v>1</v>
      </c>
      <c r="AR98">
        <f>TYPE(All_India_Index_Upto_April23__1[[#This Row],[Spices]])</f>
        <v>1</v>
      </c>
      <c r="AS98">
        <f>TYPE(All_India_Index_Upto_April23__1[[#This Row],[Non-alcoholic beverages]])</f>
        <v>1</v>
      </c>
      <c r="AT98">
        <f>TYPE(All_India_Index_Upto_April23__1[[#This Row],[Prepared meals, snacks, sweets etc.]])</f>
        <v>1</v>
      </c>
      <c r="AU98">
        <f>TYPE(All_India_Index_Upto_April23__1[[#This Row],[Food and beverages]])</f>
        <v>1</v>
      </c>
      <c r="AV98">
        <f>TYPE(All_India_Index_Upto_April23__1[[#This Row],[Pan, tobacco and intoxicants]])</f>
        <v>1</v>
      </c>
      <c r="AW98">
        <f>TYPE(All_India_Index_Upto_April23__1[[#This Row],[Clothing]])</f>
        <v>1</v>
      </c>
      <c r="AX98">
        <f>TYPE(All_India_Index_Upto_April23__1[[#This Row],[Footwear]])</f>
        <v>1</v>
      </c>
      <c r="AY98">
        <f>TYPE(All_India_Index_Upto_April23__1[[#This Row],[Clothing and footwear]])</f>
        <v>1</v>
      </c>
      <c r="AZ98">
        <f>TYPE(All_India_Index_Upto_April23__1[[#This Row],[Housing]])</f>
        <v>1</v>
      </c>
      <c r="BA98">
        <f>TYPE(All_India_Index_Upto_April23__1[[#This Row],[Fuel and light]])</f>
        <v>1</v>
      </c>
      <c r="BB98">
        <f>TYPE(All_India_Index_Upto_April23__1[[#This Row],[Household goods and services]])</f>
        <v>1</v>
      </c>
      <c r="BC98">
        <f>TYPE(All_India_Index_Upto_April23__1[[#This Row],[Health]])</f>
        <v>1</v>
      </c>
      <c r="BD98">
        <f>TYPE(All_India_Index_Upto_April23__1[[#This Row],[Transport and communication]])</f>
        <v>1</v>
      </c>
      <c r="BE98">
        <f>TYPE(All_India_Index_Upto_April23__1[[#This Row],[Recreation and amusement]])</f>
        <v>1</v>
      </c>
      <c r="BF98">
        <f>TYPE(All_India_Index_Upto_April23__1[[#This Row],[Education]])</f>
        <v>1</v>
      </c>
      <c r="BG98">
        <f>TYPE(All_India_Index_Upto_April23__1[[#This Row],[Personal care and effects]])</f>
        <v>1</v>
      </c>
      <c r="BH98">
        <f>TYPE(All_India_Index_Upto_April23__1[[#This Row],[Miscellaneous]])</f>
        <v>1</v>
      </c>
      <c r="BI98">
        <f>TYPE(All_India_Index_Upto_April23__1[[#This Row],[General index]])</f>
        <v>1</v>
      </c>
    </row>
    <row r="99" spans="1:61" x14ac:dyDescent="0.3">
      <c r="A99" t="s">
        <v>32</v>
      </c>
      <c r="B99">
        <v>2015</v>
      </c>
      <c r="C99" t="s">
        <v>41</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c r="AF99">
        <f>TYPE(All_India_Index_Upto_April23__1[[#This Row],[Sector]])</f>
        <v>2</v>
      </c>
      <c r="AG99">
        <f>TYPE(All_India_Index_Upto_April23__1[[#This Row],[Year]])</f>
        <v>1</v>
      </c>
      <c r="AH99">
        <f>TYPE(All_India_Index_Upto_April23__1[[#This Row],[Month]])</f>
        <v>2</v>
      </c>
      <c r="AI99">
        <f>TYPE(All_India_Index_Upto_April23__1[[#This Row],[Cereals and products]])</f>
        <v>1</v>
      </c>
      <c r="AJ99">
        <f>TYPE(All_India_Index_Upto_April23__1[[#This Row],[Meat and fish]])</f>
        <v>1</v>
      </c>
      <c r="AK99">
        <f>TYPE(All_India_Index_Upto_April23__1[[#This Row],[Egg]])</f>
        <v>1</v>
      </c>
      <c r="AL99">
        <f>TYPE(All_India_Index_Upto_April23__1[[#This Row],[Milk and products]])</f>
        <v>1</v>
      </c>
      <c r="AM99">
        <f>TYPE(All_India_Index_Upto_April23__1[[#This Row],[Oils and fats]])</f>
        <v>1</v>
      </c>
      <c r="AN99">
        <f>TYPE(All_India_Index_Upto_April23__1[[#This Row],[Fruits]])</f>
        <v>1</v>
      </c>
      <c r="AO99">
        <f>TYPE(All_India_Index_Upto_April23__1[[#This Row],[Vegetables]])</f>
        <v>1</v>
      </c>
      <c r="AP99">
        <f>TYPE(All_India_Index_Upto_April23__1[[#This Row],[Pulses and products]])</f>
        <v>1</v>
      </c>
      <c r="AQ99">
        <f>TYPE(All_India_Index_Upto_April23__1[[#This Row],[Sugar and Confectionery]])</f>
        <v>1</v>
      </c>
      <c r="AR99">
        <f>TYPE(All_India_Index_Upto_April23__1[[#This Row],[Spices]])</f>
        <v>1</v>
      </c>
      <c r="AS99">
        <f>TYPE(All_India_Index_Upto_April23__1[[#This Row],[Non-alcoholic beverages]])</f>
        <v>1</v>
      </c>
      <c r="AT99">
        <f>TYPE(All_India_Index_Upto_April23__1[[#This Row],[Prepared meals, snacks, sweets etc.]])</f>
        <v>1</v>
      </c>
      <c r="AU99">
        <f>TYPE(All_India_Index_Upto_April23__1[[#This Row],[Food and beverages]])</f>
        <v>1</v>
      </c>
      <c r="AV99">
        <f>TYPE(All_India_Index_Upto_April23__1[[#This Row],[Pan, tobacco and intoxicants]])</f>
        <v>1</v>
      </c>
      <c r="AW99">
        <f>TYPE(All_India_Index_Upto_April23__1[[#This Row],[Clothing]])</f>
        <v>1</v>
      </c>
      <c r="AX99">
        <f>TYPE(All_India_Index_Upto_April23__1[[#This Row],[Footwear]])</f>
        <v>1</v>
      </c>
      <c r="AY99">
        <f>TYPE(All_India_Index_Upto_April23__1[[#This Row],[Clothing and footwear]])</f>
        <v>1</v>
      </c>
      <c r="AZ99">
        <f>TYPE(All_India_Index_Upto_April23__1[[#This Row],[Housing]])</f>
        <v>1</v>
      </c>
      <c r="BA99">
        <f>TYPE(All_India_Index_Upto_April23__1[[#This Row],[Fuel and light]])</f>
        <v>1</v>
      </c>
      <c r="BB99">
        <f>TYPE(All_India_Index_Upto_April23__1[[#This Row],[Household goods and services]])</f>
        <v>1</v>
      </c>
      <c r="BC99">
        <f>TYPE(All_India_Index_Upto_April23__1[[#This Row],[Health]])</f>
        <v>1</v>
      </c>
      <c r="BD99">
        <f>TYPE(All_India_Index_Upto_April23__1[[#This Row],[Transport and communication]])</f>
        <v>1</v>
      </c>
      <c r="BE99">
        <f>TYPE(All_India_Index_Upto_April23__1[[#This Row],[Recreation and amusement]])</f>
        <v>1</v>
      </c>
      <c r="BF99">
        <f>TYPE(All_India_Index_Upto_April23__1[[#This Row],[Education]])</f>
        <v>1</v>
      </c>
      <c r="BG99">
        <f>TYPE(All_India_Index_Upto_April23__1[[#This Row],[Personal care and effects]])</f>
        <v>1</v>
      </c>
      <c r="BH99">
        <f>TYPE(All_India_Index_Upto_April23__1[[#This Row],[Miscellaneous]])</f>
        <v>1</v>
      </c>
      <c r="BI99">
        <f>TYPE(All_India_Index_Upto_April23__1[[#This Row],[General index]])</f>
        <v>1</v>
      </c>
    </row>
    <row r="100" spans="1:61" x14ac:dyDescent="0.3">
      <c r="A100" t="s">
        <v>33</v>
      </c>
      <c r="B100">
        <v>2015</v>
      </c>
      <c r="C100" t="s">
        <v>41</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c r="AF100">
        <f>TYPE(All_India_Index_Upto_April23__1[[#This Row],[Sector]])</f>
        <v>2</v>
      </c>
      <c r="AG100">
        <f>TYPE(All_India_Index_Upto_April23__1[[#This Row],[Year]])</f>
        <v>1</v>
      </c>
      <c r="AH100">
        <f>TYPE(All_India_Index_Upto_April23__1[[#This Row],[Month]])</f>
        <v>2</v>
      </c>
      <c r="AI100">
        <f>TYPE(All_India_Index_Upto_April23__1[[#This Row],[Cereals and products]])</f>
        <v>1</v>
      </c>
      <c r="AJ100">
        <f>TYPE(All_India_Index_Upto_April23__1[[#This Row],[Meat and fish]])</f>
        <v>1</v>
      </c>
      <c r="AK100">
        <f>TYPE(All_India_Index_Upto_April23__1[[#This Row],[Egg]])</f>
        <v>1</v>
      </c>
      <c r="AL100">
        <f>TYPE(All_India_Index_Upto_April23__1[[#This Row],[Milk and products]])</f>
        <v>1</v>
      </c>
      <c r="AM100">
        <f>TYPE(All_India_Index_Upto_April23__1[[#This Row],[Oils and fats]])</f>
        <v>1</v>
      </c>
      <c r="AN100">
        <f>TYPE(All_India_Index_Upto_April23__1[[#This Row],[Fruits]])</f>
        <v>1</v>
      </c>
      <c r="AO100">
        <f>TYPE(All_India_Index_Upto_April23__1[[#This Row],[Vegetables]])</f>
        <v>1</v>
      </c>
      <c r="AP100">
        <f>TYPE(All_India_Index_Upto_April23__1[[#This Row],[Pulses and products]])</f>
        <v>1</v>
      </c>
      <c r="AQ100">
        <f>TYPE(All_India_Index_Upto_April23__1[[#This Row],[Sugar and Confectionery]])</f>
        <v>1</v>
      </c>
      <c r="AR100">
        <f>TYPE(All_India_Index_Upto_April23__1[[#This Row],[Spices]])</f>
        <v>1</v>
      </c>
      <c r="AS100">
        <f>TYPE(All_India_Index_Upto_April23__1[[#This Row],[Non-alcoholic beverages]])</f>
        <v>1</v>
      </c>
      <c r="AT100">
        <f>TYPE(All_India_Index_Upto_April23__1[[#This Row],[Prepared meals, snacks, sweets etc.]])</f>
        <v>1</v>
      </c>
      <c r="AU100">
        <f>TYPE(All_India_Index_Upto_April23__1[[#This Row],[Food and beverages]])</f>
        <v>1</v>
      </c>
      <c r="AV100">
        <f>TYPE(All_India_Index_Upto_April23__1[[#This Row],[Pan, tobacco and intoxicants]])</f>
        <v>1</v>
      </c>
      <c r="AW100">
        <f>TYPE(All_India_Index_Upto_April23__1[[#This Row],[Clothing]])</f>
        <v>1</v>
      </c>
      <c r="AX100">
        <f>TYPE(All_India_Index_Upto_April23__1[[#This Row],[Footwear]])</f>
        <v>1</v>
      </c>
      <c r="AY100">
        <f>TYPE(All_India_Index_Upto_April23__1[[#This Row],[Clothing and footwear]])</f>
        <v>1</v>
      </c>
      <c r="AZ100">
        <f>TYPE(All_India_Index_Upto_April23__1[[#This Row],[Housing]])</f>
        <v>1</v>
      </c>
      <c r="BA100">
        <f>TYPE(All_India_Index_Upto_April23__1[[#This Row],[Fuel and light]])</f>
        <v>1</v>
      </c>
      <c r="BB100">
        <f>TYPE(All_India_Index_Upto_April23__1[[#This Row],[Household goods and services]])</f>
        <v>1</v>
      </c>
      <c r="BC100">
        <f>TYPE(All_India_Index_Upto_April23__1[[#This Row],[Health]])</f>
        <v>1</v>
      </c>
      <c r="BD100">
        <f>TYPE(All_India_Index_Upto_April23__1[[#This Row],[Transport and communication]])</f>
        <v>1</v>
      </c>
      <c r="BE100">
        <f>TYPE(All_India_Index_Upto_April23__1[[#This Row],[Recreation and amusement]])</f>
        <v>1</v>
      </c>
      <c r="BF100">
        <f>TYPE(All_India_Index_Upto_April23__1[[#This Row],[Education]])</f>
        <v>1</v>
      </c>
      <c r="BG100">
        <f>TYPE(All_India_Index_Upto_April23__1[[#This Row],[Personal care and effects]])</f>
        <v>1</v>
      </c>
      <c r="BH100">
        <f>TYPE(All_India_Index_Upto_April23__1[[#This Row],[Miscellaneous]])</f>
        <v>1</v>
      </c>
      <c r="BI100">
        <f>TYPE(All_India_Index_Upto_April23__1[[#This Row],[General index]])</f>
        <v>1</v>
      </c>
    </row>
    <row r="101" spans="1:61" x14ac:dyDescent="0.3">
      <c r="A101" t="s">
        <v>30</v>
      </c>
      <c r="B101">
        <v>2015</v>
      </c>
      <c r="C101" t="s">
        <v>42</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v>0</v>
      </c>
      <c r="V101">
        <v>124.4</v>
      </c>
      <c r="W101">
        <v>125.1</v>
      </c>
      <c r="X101">
        <v>122</v>
      </c>
      <c r="Y101">
        <v>113.8</v>
      </c>
      <c r="Z101">
        <v>120.1</v>
      </c>
      <c r="AA101">
        <v>125.1</v>
      </c>
      <c r="AB101">
        <v>114.2</v>
      </c>
      <c r="AC101">
        <v>119.2</v>
      </c>
      <c r="AD101">
        <v>127.7</v>
      </c>
      <c r="AF101">
        <f>TYPE(All_India_Index_Upto_April23__1[[#This Row],[Sector]])</f>
        <v>2</v>
      </c>
      <c r="AG101">
        <f>TYPE(All_India_Index_Upto_April23__1[[#This Row],[Year]])</f>
        <v>1</v>
      </c>
      <c r="AH101">
        <f>TYPE(All_India_Index_Upto_April23__1[[#This Row],[Month]])</f>
        <v>2</v>
      </c>
      <c r="AI101">
        <f>TYPE(All_India_Index_Upto_April23__1[[#This Row],[Cereals and products]])</f>
        <v>1</v>
      </c>
      <c r="AJ101">
        <f>TYPE(All_India_Index_Upto_April23__1[[#This Row],[Meat and fish]])</f>
        <v>1</v>
      </c>
      <c r="AK101">
        <f>TYPE(All_India_Index_Upto_April23__1[[#This Row],[Egg]])</f>
        <v>1</v>
      </c>
      <c r="AL101">
        <f>TYPE(All_India_Index_Upto_April23__1[[#This Row],[Milk and products]])</f>
        <v>1</v>
      </c>
      <c r="AM101">
        <f>TYPE(All_India_Index_Upto_April23__1[[#This Row],[Oils and fats]])</f>
        <v>1</v>
      </c>
      <c r="AN101">
        <f>TYPE(All_India_Index_Upto_April23__1[[#This Row],[Fruits]])</f>
        <v>1</v>
      </c>
      <c r="AO101">
        <f>TYPE(All_India_Index_Upto_April23__1[[#This Row],[Vegetables]])</f>
        <v>1</v>
      </c>
      <c r="AP101">
        <f>TYPE(All_India_Index_Upto_April23__1[[#This Row],[Pulses and products]])</f>
        <v>1</v>
      </c>
      <c r="AQ101">
        <f>TYPE(All_India_Index_Upto_April23__1[[#This Row],[Sugar and Confectionery]])</f>
        <v>1</v>
      </c>
      <c r="AR101">
        <f>TYPE(All_India_Index_Upto_April23__1[[#This Row],[Spices]])</f>
        <v>1</v>
      </c>
      <c r="AS101">
        <f>TYPE(All_India_Index_Upto_April23__1[[#This Row],[Non-alcoholic beverages]])</f>
        <v>1</v>
      </c>
      <c r="AT101">
        <f>TYPE(All_India_Index_Upto_April23__1[[#This Row],[Prepared meals, snacks, sweets etc.]])</f>
        <v>1</v>
      </c>
      <c r="AU101">
        <f>TYPE(All_India_Index_Upto_April23__1[[#This Row],[Food and beverages]])</f>
        <v>1</v>
      </c>
      <c r="AV101">
        <f>TYPE(All_India_Index_Upto_April23__1[[#This Row],[Pan, tobacco and intoxicants]])</f>
        <v>1</v>
      </c>
      <c r="AW101">
        <f>TYPE(All_India_Index_Upto_April23__1[[#This Row],[Clothing]])</f>
        <v>1</v>
      </c>
      <c r="AX101">
        <f>TYPE(All_India_Index_Upto_April23__1[[#This Row],[Footwear]])</f>
        <v>1</v>
      </c>
      <c r="AY101">
        <f>TYPE(All_India_Index_Upto_April23__1[[#This Row],[Clothing and footwear]])</f>
        <v>1</v>
      </c>
      <c r="AZ101">
        <f>TYPE(All_India_Index_Upto_April23__1[[#This Row],[Housing]])</f>
        <v>1</v>
      </c>
      <c r="BA101">
        <f>TYPE(All_India_Index_Upto_April23__1[[#This Row],[Fuel and light]])</f>
        <v>1</v>
      </c>
      <c r="BB101">
        <f>TYPE(All_India_Index_Upto_April23__1[[#This Row],[Household goods and services]])</f>
        <v>1</v>
      </c>
      <c r="BC101">
        <f>TYPE(All_India_Index_Upto_April23__1[[#This Row],[Health]])</f>
        <v>1</v>
      </c>
      <c r="BD101">
        <f>TYPE(All_India_Index_Upto_April23__1[[#This Row],[Transport and communication]])</f>
        <v>1</v>
      </c>
      <c r="BE101">
        <f>TYPE(All_India_Index_Upto_April23__1[[#This Row],[Recreation and amusement]])</f>
        <v>1</v>
      </c>
      <c r="BF101">
        <f>TYPE(All_India_Index_Upto_April23__1[[#This Row],[Education]])</f>
        <v>1</v>
      </c>
      <c r="BG101">
        <f>TYPE(All_India_Index_Upto_April23__1[[#This Row],[Personal care and effects]])</f>
        <v>1</v>
      </c>
      <c r="BH101">
        <f>TYPE(All_India_Index_Upto_April23__1[[#This Row],[Miscellaneous]])</f>
        <v>1</v>
      </c>
      <c r="BI101">
        <f>TYPE(All_India_Index_Upto_April23__1[[#This Row],[General index]])</f>
        <v>1</v>
      </c>
    </row>
    <row r="102" spans="1:61" x14ac:dyDescent="0.3">
      <c r="A102" t="s">
        <v>32</v>
      </c>
      <c r="B102">
        <v>2015</v>
      </c>
      <c r="C102" t="s">
        <v>42</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c r="AF102">
        <f>TYPE(All_India_Index_Upto_April23__1[[#This Row],[Sector]])</f>
        <v>2</v>
      </c>
      <c r="AG102">
        <f>TYPE(All_India_Index_Upto_April23__1[[#This Row],[Year]])</f>
        <v>1</v>
      </c>
      <c r="AH102">
        <f>TYPE(All_India_Index_Upto_April23__1[[#This Row],[Month]])</f>
        <v>2</v>
      </c>
      <c r="AI102">
        <f>TYPE(All_India_Index_Upto_April23__1[[#This Row],[Cereals and products]])</f>
        <v>1</v>
      </c>
      <c r="AJ102">
        <f>TYPE(All_India_Index_Upto_April23__1[[#This Row],[Meat and fish]])</f>
        <v>1</v>
      </c>
      <c r="AK102">
        <f>TYPE(All_India_Index_Upto_April23__1[[#This Row],[Egg]])</f>
        <v>1</v>
      </c>
      <c r="AL102">
        <f>TYPE(All_India_Index_Upto_April23__1[[#This Row],[Milk and products]])</f>
        <v>1</v>
      </c>
      <c r="AM102">
        <f>TYPE(All_India_Index_Upto_April23__1[[#This Row],[Oils and fats]])</f>
        <v>1</v>
      </c>
      <c r="AN102">
        <f>TYPE(All_India_Index_Upto_April23__1[[#This Row],[Fruits]])</f>
        <v>1</v>
      </c>
      <c r="AO102">
        <f>TYPE(All_India_Index_Upto_April23__1[[#This Row],[Vegetables]])</f>
        <v>1</v>
      </c>
      <c r="AP102">
        <f>TYPE(All_India_Index_Upto_April23__1[[#This Row],[Pulses and products]])</f>
        <v>1</v>
      </c>
      <c r="AQ102">
        <f>TYPE(All_India_Index_Upto_April23__1[[#This Row],[Sugar and Confectionery]])</f>
        <v>1</v>
      </c>
      <c r="AR102">
        <f>TYPE(All_India_Index_Upto_April23__1[[#This Row],[Spices]])</f>
        <v>1</v>
      </c>
      <c r="AS102">
        <f>TYPE(All_India_Index_Upto_April23__1[[#This Row],[Non-alcoholic beverages]])</f>
        <v>1</v>
      </c>
      <c r="AT102">
        <f>TYPE(All_India_Index_Upto_April23__1[[#This Row],[Prepared meals, snacks, sweets etc.]])</f>
        <v>1</v>
      </c>
      <c r="AU102">
        <f>TYPE(All_India_Index_Upto_April23__1[[#This Row],[Food and beverages]])</f>
        <v>1</v>
      </c>
      <c r="AV102">
        <f>TYPE(All_India_Index_Upto_April23__1[[#This Row],[Pan, tobacco and intoxicants]])</f>
        <v>1</v>
      </c>
      <c r="AW102">
        <f>TYPE(All_India_Index_Upto_April23__1[[#This Row],[Clothing]])</f>
        <v>1</v>
      </c>
      <c r="AX102">
        <f>TYPE(All_India_Index_Upto_April23__1[[#This Row],[Footwear]])</f>
        <v>1</v>
      </c>
      <c r="AY102">
        <f>TYPE(All_India_Index_Upto_April23__1[[#This Row],[Clothing and footwear]])</f>
        <v>1</v>
      </c>
      <c r="AZ102">
        <f>TYPE(All_India_Index_Upto_April23__1[[#This Row],[Housing]])</f>
        <v>1</v>
      </c>
      <c r="BA102">
        <f>TYPE(All_India_Index_Upto_April23__1[[#This Row],[Fuel and light]])</f>
        <v>1</v>
      </c>
      <c r="BB102">
        <f>TYPE(All_India_Index_Upto_April23__1[[#This Row],[Household goods and services]])</f>
        <v>1</v>
      </c>
      <c r="BC102">
        <f>TYPE(All_India_Index_Upto_April23__1[[#This Row],[Health]])</f>
        <v>1</v>
      </c>
      <c r="BD102">
        <f>TYPE(All_India_Index_Upto_April23__1[[#This Row],[Transport and communication]])</f>
        <v>1</v>
      </c>
      <c r="BE102">
        <f>TYPE(All_India_Index_Upto_April23__1[[#This Row],[Recreation and amusement]])</f>
        <v>1</v>
      </c>
      <c r="BF102">
        <f>TYPE(All_India_Index_Upto_April23__1[[#This Row],[Education]])</f>
        <v>1</v>
      </c>
      <c r="BG102">
        <f>TYPE(All_India_Index_Upto_April23__1[[#This Row],[Personal care and effects]])</f>
        <v>1</v>
      </c>
      <c r="BH102">
        <f>TYPE(All_India_Index_Upto_April23__1[[#This Row],[Miscellaneous]])</f>
        <v>1</v>
      </c>
      <c r="BI102">
        <f>TYPE(All_India_Index_Upto_April23__1[[#This Row],[General index]])</f>
        <v>1</v>
      </c>
    </row>
    <row r="103" spans="1:61" x14ac:dyDescent="0.3">
      <c r="A103" t="s">
        <v>33</v>
      </c>
      <c r="B103">
        <v>2015</v>
      </c>
      <c r="C103" t="s">
        <v>42</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c r="AF103">
        <f>TYPE(All_India_Index_Upto_April23__1[[#This Row],[Sector]])</f>
        <v>2</v>
      </c>
      <c r="AG103">
        <f>TYPE(All_India_Index_Upto_April23__1[[#This Row],[Year]])</f>
        <v>1</v>
      </c>
      <c r="AH103">
        <f>TYPE(All_India_Index_Upto_April23__1[[#This Row],[Month]])</f>
        <v>2</v>
      </c>
      <c r="AI103">
        <f>TYPE(All_India_Index_Upto_April23__1[[#This Row],[Cereals and products]])</f>
        <v>1</v>
      </c>
      <c r="AJ103">
        <f>TYPE(All_India_Index_Upto_April23__1[[#This Row],[Meat and fish]])</f>
        <v>1</v>
      </c>
      <c r="AK103">
        <f>TYPE(All_India_Index_Upto_April23__1[[#This Row],[Egg]])</f>
        <v>1</v>
      </c>
      <c r="AL103">
        <f>TYPE(All_India_Index_Upto_April23__1[[#This Row],[Milk and products]])</f>
        <v>1</v>
      </c>
      <c r="AM103">
        <f>TYPE(All_India_Index_Upto_April23__1[[#This Row],[Oils and fats]])</f>
        <v>1</v>
      </c>
      <c r="AN103">
        <f>TYPE(All_India_Index_Upto_April23__1[[#This Row],[Fruits]])</f>
        <v>1</v>
      </c>
      <c r="AO103">
        <f>TYPE(All_India_Index_Upto_April23__1[[#This Row],[Vegetables]])</f>
        <v>1</v>
      </c>
      <c r="AP103">
        <f>TYPE(All_India_Index_Upto_April23__1[[#This Row],[Pulses and products]])</f>
        <v>1</v>
      </c>
      <c r="AQ103">
        <f>TYPE(All_India_Index_Upto_April23__1[[#This Row],[Sugar and Confectionery]])</f>
        <v>1</v>
      </c>
      <c r="AR103">
        <f>TYPE(All_India_Index_Upto_April23__1[[#This Row],[Spices]])</f>
        <v>1</v>
      </c>
      <c r="AS103">
        <f>TYPE(All_India_Index_Upto_April23__1[[#This Row],[Non-alcoholic beverages]])</f>
        <v>1</v>
      </c>
      <c r="AT103">
        <f>TYPE(All_India_Index_Upto_April23__1[[#This Row],[Prepared meals, snacks, sweets etc.]])</f>
        <v>1</v>
      </c>
      <c r="AU103">
        <f>TYPE(All_India_Index_Upto_April23__1[[#This Row],[Food and beverages]])</f>
        <v>1</v>
      </c>
      <c r="AV103">
        <f>TYPE(All_India_Index_Upto_April23__1[[#This Row],[Pan, tobacco and intoxicants]])</f>
        <v>1</v>
      </c>
      <c r="AW103">
        <f>TYPE(All_India_Index_Upto_April23__1[[#This Row],[Clothing]])</f>
        <v>1</v>
      </c>
      <c r="AX103">
        <f>TYPE(All_India_Index_Upto_April23__1[[#This Row],[Footwear]])</f>
        <v>1</v>
      </c>
      <c r="AY103">
        <f>TYPE(All_India_Index_Upto_April23__1[[#This Row],[Clothing and footwear]])</f>
        <v>1</v>
      </c>
      <c r="AZ103">
        <f>TYPE(All_India_Index_Upto_April23__1[[#This Row],[Housing]])</f>
        <v>1</v>
      </c>
      <c r="BA103">
        <f>TYPE(All_India_Index_Upto_April23__1[[#This Row],[Fuel and light]])</f>
        <v>1</v>
      </c>
      <c r="BB103">
        <f>TYPE(All_India_Index_Upto_April23__1[[#This Row],[Household goods and services]])</f>
        <v>1</v>
      </c>
      <c r="BC103">
        <f>TYPE(All_India_Index_Upto_April23__1[[#This Row],[Health]])</f>
        <v>1</v>
      </c>
      <c r="BD103">
        <f>TYPE(All_India_Index_Upto_April23__1[[#This Row],[Transport and communication]])</f>
        <v>1</v>
      </c>
      <c r="BE103">
        <f>TYPE(All_India_Index_Upto_April23__1[[#This Row],[Recreation and amusement]])</f>
        <v>1</v>
      </c>
      <c r="BF103">
        <f>TYPE(All_India_Index_Upto_April23__1[[#This Row],[Education]])</f>
        <v>1</v>
      </c>
      <c r="BG103">
        <f>TYPE(All_India_Index_Upto_April23__1[[#This Row],[Personal care and effects]])</f>
        <v>1</v>
      </c>
      <c r="BH103">
        <f>TYPE(All_India_Index_Upto_April23__1[[#This Row],[Miscellaneous]])</f>
        <v>1</v>
      </c>
      <c r="BI103">
        <f>TYPE(All_India_Index_Upto_April23__1[[#This Row],[General index]])</f>
        <v>1</v>
      </c>
    </row>
    <row r="104" spans="1:61" x14ac:dyDescent="0.3">
      <c r="A104" t="s">
        <v>30</v>
      </c>
      <c r="B104">
        <v>2015</v>
      </c>
      <c r="C104" t="s">
        <v>44</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v>0</v>
      </c>
      <c r="V104">
        <v>125.6</v>
      </c>
      <c r="W104">
        <v>125.6</v>
      </c>
      <c r="X104">
        <v>122.6</v>
      </c>
      <c r="Y104">
        <v>114</v>
      </c>
      <c r="Z104">
        <v>120.9</v>
      </c>
      <c r="AA104">
        <v>125.8</v>
      </c>
      <c r="AB104">
        <v>114.2</v>
      </c>
      <c r="AC104">
        <v>119.6</v>
      </c>
      <c r="AD104">
        <v>128.30000000000001</v>
      </c>
      <c r="AF104">
        <f>TYPE(All_India_Index_Upto_April23__1[[#This Row],[Sector]])</f>
        <v>2</v>
      </c>
      <c r="AG104">
        <f>TYPE(All_India_Index_Upto_April23__1[[#This Row],[Year]])</f>
        <v>1</v>
      </c>
      <c r="AH104">
        <f>TYPE(All_India_Index_Upto_April23__1[[#This Row],[Month]])</f>
        <v>2</v>
      </c>
      <c r="AI104">
        <f>TYPE(All_India_Index_Upto_April23__1[[#This Row],[Cereals and products]])</f>
        <v>1</v>
      </c>
      <c r="AJ104">
        <f>TYPE(All_India_Index_Upto_April23__1[[#This Row],[Meat and fish]])</f>
        <v>1</v>
      </c>
      <c r="AK104">
        <f>TYPE(All_India_Index_Upto_April23__1[[#This Row],[Egg]])</f>
        <v>1</v>
      </c>
      <c r="AL104">
        <f>TYPE(All_India_Index_Upto_April23__1[[#This Row],[Milk and products]])</f>
        <v>1</v>
      </c>
      <c r="AM104">
        <f>TYPE(All_India_Index_Upto_April23__1[[#This Row],[Oils and fats]])</f>
        <v>1</v>
      </c>
      <c r="AN104">
        <f>TYPE(All_India_Index_Upto_April23__1[[#This Row],[Fruits]])</f>
        <v>1</v>
      </c>
      <c r="AO104">
        <f>TYPE(All_India_Index_Upto_April23__1[[#This Row],[Vegetables]])</f>
        <v>1</v>
      </c>
      <c r="AP104">
        <f>TYPE(All_India_Index_Upto_April23__1[[#This Row],[Pulses and products]])</f>
        <v>1</v>
      </c>
      <c r="AQ104">
        <f>TYPE(All_India_Index_Upto_April23__1[[#This Row],[Sugar and Confectionery]])</f>
        <v>1</v>
      </c>
      <c r="AR104">
        <f>TYPE(All_India_Index_Upto_April23__1[[#This Row],[Spices]])</f>
        <v>1</v>
      </c>
      <c r="AS104">
        <f>TYPE(All_India_Index_Upto_April23__1[[#This Row],[Non-alcoholic beverages]])</f>
        <v>1</v>
      </c>
      <c r="AT104">
        <f>TYPE(All_India_Index_Upto_April23__1[[#This Row],[Prepared meals, snacks, sweets etc.]])</f>
        <v>1</v>
      </c>
      <c r="AU104">
        <f>TYPE(All_India_Index_Upto_April23__1[[#This Row],[Food and beverages]])</f>
        <v>1</v>
      </c>
      <c r="AV104">
        <f>TYPE(All_India_Index_Upto_April23__1[[#This Row],[Pan, tobacco and intoxicants]])</f>
        <v>1</v>
      </c>
      <c r="AW104">
        <f>TYPE(All_India_Index_Upto_April23__1[[#This Row],[Clothing]])</f>
        <v>1</v>
      </c>
      <c r="AX104">
        <f>TYPE(All_India_Index_Upto_April23__1[[#This Row],[Footwear]])</f>
        <v>1</v>
      </c>
      <c r="AY104">
        <f>TYPE(All_India_Index_Upto_April23__1[[#This Row],[Clothing and footwear]])</f>
        <v>1</v>
      </c>
      <c r="AZ104">
        <f>TYPE(All_India_Index_Upto_April23__1[[#This Row],[Housing]])</f>
        <v>1</v>
      </c>
      <c r="BA104">
        <f>TYPE(All_India_Index_Upto_April23__1[[#This Row],[Fuel and light]])</f>
        <v>1</v>
      </c>
      <c r="BB104">
        <f>TYPE(All_India_Index_Upto_April23__1[[#This Row],[Household goods and services]])</f>
        <v>1</v>
      </c>
      <c r="BC104">
        <f>TYPE(All_India_Index_Upto_April23__1[[#This Row],[Health]])</f>
        <v>1</v>
      </c>
      <c r="BD104">
        <f>TYPE(All_India_Index_Upto_April23__1[[#This Row],[Transport and communication]])</f>
        <v>1</v>
      </c>
      <c r="BE104">
        <f>TYPE(All_India_Index_Upto_April23__1[[#This Row],[Recreation and amusement]])</f>
        <v>1</v>
      </c>
      <c r="BF104">
        <f>TYPE(All_India_Index_Upto_April23__1[[#This Row],[Education]])</f>
        <v>1</v>
      </c>
      <c r="BG104">
        <f>TYPE(All_India_Index_Upto_April23__1[[#This Row],[Personal care and effects]])</f>
        <v>1</v>
      </c>
      <c r="BH104">
        <f>TYPE(All_India_Index_Upto_April23__1[[#This Row],[Miscellaneous]])</f>
        <v>1</v>
      </c>
      <c r="BI104">
        <f>TYPE(All_India_Index_Upto_April23__1[[#This Row],[General index]])</f>
        <v>1</v>
      </c>
    </row>
    <row r="105" spans="1:61" x14ac:dyDescent="0.3">
      <c r="A105" t="s">
        <v>32</v>
      </c>
      <c r="B105">
        <v>2015</v>
      </c>
      <c r="C105" t="s">
        <v>44</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c r="AF105">
        <f>TYPE(All_India_Index_Upto_April23__1[[#This Row],[Sector]])</f>
        <v>2</v>
      </c>
      <c r="AG105">
        <f>TYPE(All_India_Index_Upto_April23__1[[#This Row],[Year]])</f>
        <v>1</v>
      </c>
      <c r="AH105">
        <f>TYPE(All_India_Index_Upto_April23__1[[#This Row],[Month]])</f>
        <v>2</v>
      </c>
      <c r="AI105">
        <f>TYPE(All_India_Index_Upto_April23__1[[#This Row],[Cereals and products]])</f>
        <v>1</v>
      </c>
      <c r="AJ105">
        <f>TYPE(All_India_Index_Upto_April23__1[[#This Row],[Meat and fish]])</f>
        <v>1</v>
      </c>
      <c r="AK105">
        <f>TYPE(All_India_Index_Upto_April23__1[[#This Row],[Egg]])</f>
        <v>1</v>
      </c>
      <c r="AL105">
        <f>TYPE(All_India_Index_Upto_April23__1[[#This Row],[Milk and products]])</f>
        <v>1</v>
      </c>
      <c r="AM105">
        <f>TYPE(All_India_Index_Upto_April23__1[[#This Row],[Oils and fats]])</f>
        <v>1</v>
      </c>
      <c r="AN105">
        <f>TYPE(All_India_Index_Upto_April23__1[[#This Row],[Fruits]])</f>
        <v>1</v>
      </c>
      <c r="AO105">
        <f>TYPE(All_India_Index_Upto_April23__1[[#This Row],[Vegetables]])</f>
        <v>1</v>
      </c>
      <c r="AP105">
        <f>TYPE(All_India_Index_Upto_April23__1[[#This Row],[Pulses and products]])</f>
        <v>1</v>
      </c>
      <c r="AQ105">
        <f>TYPE(All_India_Index_Upto_April23__1[[#This Row],[Sugar and Confectionery]])</f>
        <v>1</v>
      </c>
      <c r="AR105">
        <f>TYPE(All_India_Index_Upto_April23__1[[#This Row],[Spices]])</f>
        <v>1</v>
      </c>
      <c r="AS105">
        <f>TYPE(All_India_Index_Upto_April23__1[[#This Row],[Non-alcoholic beverages]])</f>
        <v>1</v>
      </c>
      <c r="AT105">
        <f>TYPE(All_India_Index_Upto_April23__1[[#This Row],[Prepared meals, snacks, sweets etc.]])</f>
        <v>1</v>
      </c>
      <c r="AU105">
        <f>TYPE(All_India_Index_Upto_April23__1[[#This Row],[Food and beverages]])</f>
        <v>1</v>
      </c>
      <c r="AV105">
        <f>TYPE(All_India_Index_Upto_April23__1[[#This Row],[Pan, tobacco and intoxicants]])</f>
        <v>1</v>
      </c>
      <c r="AW105">
        <f>TYPE(All_India_Index_Upto_April23__1[[#This Row],[Clothing]])</f>
        <v>1</v>
      </c>
      <c r="AX105">
        <f>TYPE(All_India_Index_Upto_April23__1[[#This Row],[Footwear]])</f>
        <v>1</v>
      </c>
      <c r="AY105">
        <f>TYPE(All_India_Index_Upto_April23__1[[#This Row],[Clothing and footwear]])</f>
        <v>1</v>
      </c>
      <c r="AZ105">
        <f>TYPE(All_India_Index_Upto_April23__1[[#This Row],[Housing]])</f>
        <v>1</v>
      </c>
      <c r="BA105">
        <f>TYPE(All_India_Index_Upto_April23__1[[#This Row],[Fuel and light]])</f>
        <v>1</v>
      </c>
      <c r="BB105">
        <f>TYPE(All_India_Index_Upto_April23__1[[#This Row],[Household goods and services]])</f>
        <v>1</v>
      </c>
      <c r="BC105">
        <f>TYPE(All_India_Index_Upto_April23__1[[#This Row],[Health]])</f>
        <v>1</v>
      </c>
      <c r="BD105">
        <f>TYPE(All_India_Index_Upto_April23__1[[#This Row],[Transport and communication]])</f>
        <v>1</v>
      </c>
      <c r="BE105">
        <f>TYPE(All_India_Index_Upto_April23__1[[#This Row],[Recreation and amusement]])</f>
        <v>1</v>
      </c>
      <c r="BF105">
        <f>TYPE(All_India_Index_Upto_April23__1[[#This Row],[Education]])</f>
        <v>1</v>
      </c>
      <c r="BG105">
        <f>TYPE(All_India_Index_Upto_April23__1[[#This Row],[Personal care and effects]])</f>
        <v>1</v>
      </c>
      <c r="BH105">
        <f>TYPE(All_India_Index_Upto_April23__1[[#This Row],[Miscellaneous]])</f>
        <v>1</v>
      </c>
      <c r="BI105">
        <f>TYPE(All_India_Index_Upto_April23__1[[#This Row],[General index]])</f>
        <v>1</v>
      </c>
    </row>
    <row r="106" spans="1:61" x14ac:dyDescent="0.3">
      <c r="A106" t="s">
        <v>33</v>
      </c>
      <c r="B106">
        <v>2015</v>
      </c>
      <c r="C106" t="s">
        <v>44</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c r="AF106">
        <f>TYPE(All_India_Index_Upto_April23__1[[#This Row],[Sector]])</f>
        <v>2</v>
      </c>
      <c r="AG106">
        <f>TYPE(All_India_Index_Upto_April23__1[[#This Row],[Year]])</f>
        <v>1</v>
      </c>
      <c r="AH106">
        <f>TYPE(All_India_Index_Upto_April23__1[[#This Row],[Month]])</f>
        <v>2</v>
      </c>
      <c r="AI106">
        <f>TYPE(All_India_Index_Upto_April23__1[[#This Row],[Cereals and products]])</f>
        <v>1</v>
      </c>
      <c r="AJ106">
        <f>TYPE(All_India_Index_Upto_April23__1[[#This Row],[Meat and fish]])</f>
        <v>1</v>
      </c>
      <c r="AK106">
        <f>TYPE(All_India_Index_Upto_April23__1[[#This Row],[Egg]])</f>
        <v>1</v>
      </c>
      <c r="AL106">
        <f>TYPE(All_India_Index_Upto_April23__1[[#This Row],[Milk and products]])</f>
        <v>1</v>
      </c>
      <c r="AM106">
        <f>TYPE(All_India_Index_Upto_April23__1[[#This Row],[Oils and fats]])</f>
        <v>1</v>
      </c>
      <c r="AN106">
        <f>TYPE(All_India_Index_Upto_April23__1[[#This Row],[Fruits]])</f>
        <v>1</v>
      </c>
      <c r="AO106">
        <f>TYPE(All_India_Index_Upto_April23__1[[#This Row],[Vegetables]])</f>
        <v>1</v>
      </c>
      <c r="AP106">
        <f>TYPE(All_India_Index_Upto_April23__1[[#This Row],[Pulses and products]])</f>
        <v>1</v>
      </c>
      <c r="AQ106">
        <f>TYPE(All_India_Index_Upto_April23__1[[#This Row],[Sugar and Confectionery]])</f>
        <v>1</v>
      </c>
      <c r="AR106">
        <f>TYPE(All_India_Index_Upto_April23__1[[#This Row],[Spices]])</f>
        <v>1</v>
      </c>
      <c r="AS106">
        <f>TYPE(All_India_Index_Upto_April23__1[[#This Row],[Non-alcoholic beverages]])</f>
        <v>1</v>
      </c>
      <c r="AT106">
        <f>TYPE(All_India_Index_Upto_April23__1[[#This Row],[Prepared meals, snacks, sweets etc.]])</f>
        <v>1</v>
      </c>
      <c r="AU106">
        <f>TYPE(All_India_Index_Upto_April23__1[[#This Row],[Food and beverages]])</f>
        <v>1</v>
      </c>
      <c r="AV106">
        <f>TYPE(All_India_Index_Upto_April23__1[[#This Row],[Pan, tobacco and intoxicants]])</f>
        <v>1</v>
      </c>
      <c r="AW106">
        <f>TYPE(All_India_Index_Upto_April23__1[[#This Row],[Clothing]])</f>
        <v>1</v>
      </c>
      <c r="AX106">
        <f>TYPE(All_India_Index_Upto_April23__1[[#This Row],[Footwear]])</f>
        <v>1</v>
      </c>
      <c r="AY106">
        <f>TYPE(All_India_Index_Upto_April23__1[[#This Row],[Clothing and footwear]])</f>
        <v>1</v>
      </c>
      <c r="AZ106">
        <f>TYPE(All_India_Index_Upto_April23__1[[#This Row],[Housing]])</f>
        <v>1</v>
      </c>
      <c r="BA106">
        <f>TYPE(All_India_Index_Upto_April23__1[[#This Row],[Fuel and light]])</f>
        <v>1</v>
      </c>
      <c r="BB106">
        <f>TYPE(All_India_Index_Upto_April23__1[[#This Row],[Household goods and services]])</f>
        <v>1</v>
      </c>
      <c r="BC106">
        <f>TYPE(All_India_Index_Upto_April23__1[[#This Row],[Health]])</f>
        <v>1</v>
      </c>
      <c r="BD106">
        <f>TYPE(All_India_Index_Upto_April23__1[[#This Row],[Transport and communication]])</f>
        <v>1</v>
      </c>
      <c r="BE106">
        <f>TYPE(All_India_Index_Upto_April23__1[[#This Row],[Recreation and amusement]])</f>
        <v>1</v>
      </c>
      <c r="BF106">
        <f>TYPE(All_India_Index_Upto_April23__1[[#This Row],[Education]])</f>
        <v>1</v>
      </c>
      <c r="BG106">
        <f>TYPE(All_India_Index_Upto_April23__1[[#This Row],[Personal care and effects]])</f>
        <v>1</v>
      </c>
      <c r="BH106">
        <f>TYPE(All_India_Index_Upto_April23__1[[#This Row],[Miscellaneous]])</f>
        <v>1</v>
      </c>
      <c r="BI106">
        <f>TYPE(All_India_Index_Upto_April23__1[[#This Row],[General index]])</f>
        <v>1</v>
      </c>
    </row>
    <row r="107" spans="1:61" x14ac:dyDescent="0.3">
      <c r="A107" t="s">
        <v>30</v>
      </c>
      <c r="B107">
        <v>2015</v>
      </c>
      <c r="C107" t="s">
        <v>45</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v>0</v>
      </c>
      <c r="V107">
        <v>125.7</v>
      </c>
      <c r="W107">
        <v>126</v>
      </c>
      <c r="X107">
        <v>123.1</v>
      </c>
      <c r="Y107">
        <v>114</v>
      </c>
      <c r="Z107">
        <v>121.6</v>
      </c>
      <c r="AA107">
        <v>125.6</v>
      </c>
      <c r="AB107">
        <v>114.1</v>
      </c>
      <c r="AC107">
        <v>119.8</v>
      </c>
      <c r="AD107">
        <v>127.9</v>
      </c>
      <c r="AF107">
        <f>TYPE(All_India_Index_Upto_April23__1[[#This Row],[Sector]])</f>
        <v>2</v>
      </c>
      <c r="AG107">
        <f>TYPE(All_India_Index_Upto_April23__1[[#This Row],[Year]])</f>
        <v>1</v>
      </c>
      <c r="AH107">
        <f>TYPE(All_India_Index_Upto_April23__1[[#This Row],[Month]])</f>
        <v>2</v>
      </c>
      <c r="AI107">
        <f>TYPE(All_India_Index_Upto_April23__1[[#This Row],[Cereals and products]])</f>
        <v>1</v>
      </c>
      <c r="AJ107">
        <f>TYPE(All_India_Index_Upto_April23__1[[#This Row],[Meat and fish]])</f>
        <v>1</v>
      </c>
      <c r="AK107">
        <f>TYPE(All_India_Index_Upto_April23__1[[#This Row],[Egg]])</f>
        <v>1</v>
      </c>
      <c r="AL107">
        <f>TYPE(All_India_Index_Upto_April23__1[[#This Row],[Milk and products]])</f>
        <v>1</v>
      </c>
      <c r="AM107">
        <f>TYPE(All_India_Index_Upto_April23__1[[#This Row],[Oils and fats]])</f>
        <v>1</v>
      </c>
      <c r="AN107">
        <f>TYPE(All_India_Index_Upto_April23__1[[#This Row],[Fruits]])</f>
        <v>1</v>
      </c>
      <c r="AO107">
        <f>TYPE(All_India_Index_Upto_April23__1[[#This Row],[Vegetables]])</f>
        <v>1</v>
      </c>
      <c r="AP107">
        <f>TYPE(All_India_Index_Upto_April23__1[[#This Row],[Pulses and products]])</f>
        <v>1</v>
      </c>
      <c r="AQ107">
        <f>TYPE(All_India_Index_Upto_April23__1[[#This Row],[Sugar and Confectionery]])</f>
        <v>1</v>
      </c>
      <c r="AR107">
        <f>TYPE(All_India_Index_Upto_April23__1[[#This Row],[Spices]])</f>
        <v>1</v>
      </c>
      <c r="AS107">
        <f>TYPE(All_India_Index_Upto_April23__1[[#This Row],[Non-alcoholic beverages]])</f>
        <v>1</v>
      </c>
      <c r="AT107">
        <f>TYPE(All_India_Index_Upto_April23__1[[#This Row],[Prepared meals, snacks, sweets etc.]])</f>
        <v>1</v>
      </c>
      <c r="AU107">
        <f>TYPE(All_India_Index_Upto_April23__1[[#This Row],[Food and beverages]])</f>
        <v>1</v>
      </c>
      <c r="AV107">
        <f>TYPE(All_India_Index_Upto_April23__1[[#This Row],[Pan, tobacco and intoxicants]])</f>
        <v>1</v>
      </c>
      <c r="AW107">
        <f>TYPE(All_India_Index_Upto_April23__1[[#This Row],[Clothing]])</f>
        <v>1</v>
      </c>
      <c r="AX107">
        <f>TYPE(All_India_Index_Upto_April23__1[[#This Row],[Footwear]])</f>
        <v>1</v>
      </c>
      <c r="AY107">
        <f>TYPE(All_India_Index_Upto_April23__1[[#This Row],[Clothing and footwear]])</f>
        <v>1</v>
      </c>
      <c r="AZ107">
        <f>TYPE(All_India_Index_Upto_April23__1[[#This Row],[Housing]])</f>
        <v>1</v>
      </c>
      <c r="BA107">
        <f>TYPE(All_India_Index_Upto_April23__1[[#This Row],[Fuel and light]])</f>
        <v>1</v>
      </c>
      <c r="BB107">
        <f>TYPE(All_India_Index_Upto_April23__1[[#This Row],[Household goods and services]])</f>
        <v>1</v>
      </c>
      <c r="BC107">
        <f>TYPE(All_India_Index_Upto_April23__1[[#This Row],[Health]])</f>
        <v>1</v>
      </c>
      <c r="BD107">
        <f>TYPE(All_India_Index_Upto_April23__1[[#This Row],[Transport and communication]])</f>
        <v>1</v>
      </c>
      <c r="BE107">
        <f>TYPE(All_India_Index_Upto_April23__1[[#This Row],[Recreation and amusement]])</f>
        <v>1</v>
      </c>
      <c r="BF107">
        <f>TYPE(All_India_Index_Upto_April23__1[[#This Row],[Education]])</f>
        <v>1</v>
      </c>
      <c r="BG107">
        <f>TYPE(All_India_Index_Upto_April23__1[[#This Row],[Personal care and effects]])</f>
        <v>1</v>
      </c>
      <c r="BH107">
        <f>TYPE(All_India_Index_Upto_April23__1[[#This Row],[Miscellaneous]])</f>
        <v>1</v>
      </c>
      <c r="BI107">
        <f>TYPE(All_India_Index_Upto_April23__1[[#This Row],[General index]])</f>
        <v>1</v>
      </c>
    </row>
    <row r="108" spans="1:61" x14ac:dyDescent="0.3">
      <c r="A108" t="s">
        <v>32</v>
      </c>
      <c r="B108">
        <v>2015</v>
      </c>
      <c r="C108" t="s">
        <v>45</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c r="AF108">
        <f>TYPE(All_India_Index_Upto_April23__1[[#This Row],[Sector]])</f>
        <v>2</v>
      </c>
      <c r="AG108">
        <f>TYPE(All_India_Index_Upto_April23__1[[#This Row],[Year]])</f>
        <v>1</v>
      </c>
      <c r="AH108">
        <f>TYPE(All_India_Index_Upto_April23__1[[#This Row],[Month]])</f>
        <v>2</v>
      </c>
      <c r="AI108">
        <f>TYPE(All_India_Index_Upto_April23__1[[#This Row],[Cereals and products]])</f>
        <v>1</v>
      </c>
      <c r="AJ108">
        <f>TYPE(All_India_Index_Upto_April23__1[[#This Row],[Meat and fish]])</f>
        <v>1</v>
      </c>
      <c r="AK108">
        <f>TYPE(All_India_Index_Upto_April23__1[[#This Row],[Egg]])</f>
        <v>1</v>
      </c>
      <c r="AL108">
        <f>TYPE(All_India_Index_Upto_April23__1[[#This Row],[Milk and products]])</f>
        <v>1</v>
      </c>
      <c r="AM108">
        <f>TYPE(All_India_Index_Upto_April23__1[[#This Row],[Oils and fats]])</f>
        <v>1</v>
      </c>
      <c r="AN108">
        <f>TYPE(All_India_Index_Upto_April23__1[[#This Row],[Fruits]])</f>
        <v>1</v>
      </c>
      <c r="AO108">
        <f>TYPE(All_India_Index_Upto_April23__1[[#This Row],[Vegetables]])</f>
        <v>1</v>
      </c>
      <c r="AP108">
        <f>TYPE(All_India_Index_Upto_April23__1[[#This Row],[Pulses and products]])</f>
        <v>1</v>
      </c>
      <c r="AQ108">
        <f>TYPE(All_India_Index_Upto_April23__1[[#This Row],[Sugar and Confectionery]])</f>
        <v>1</v>
      </c>
      <c r="AR108">
        <f>TYPE(All_India_Index_Upto_April23__1[[#This Row],[Spices]])</f>
        <v>1</v>
      </c>
      <c r="AS108">
        <f>TYPE(All_India_Index_Upto_April23__1[[#This Row],[Non-alcoholic beverages]])</f>
        <v>1</v>
      </c>
      <c r="AT108">
        <f>TYPE(All_India_Index_Upto_April23__1[[#This Row],[Prepared meals, snacks, sweets etc.]])</f>
        <v>1</v>
      </c>
      <c r="AU108">
        <f>TYPE(All_India_Index_Upto_April23__1[[#This Row],[Food and beverages]])</f>
        <v>1</v>
      </c>
      <c r="AV108">
        <f>TYPE(All_India_Index_Upto_April23__1[[#This Row],[Pan, tobacco and intoxicants]])</f>
        <v>1</v>
      </c>
      <c r="AW108">
        <f>TYPE(All_India_Index_Upto_April23__1[[#This Row],[Clothing]])</f>
        <v>1</v>
      </c>
      <c r="AX108">
        <f>TYPE(All_India_Index_Upto_April23__1[[#This Row],[Footwear]])</f>
        <v>1</v>
      </c>
      <c r="AY108">
        <f>TYPE(All_India_Index_Upto_April23__1[[#This Row],[Clothing and footwear]])</f>
        <v>1</v>
      </c>
      <c r="AZ108">
        <f>TYPE(All_India_Index_Upto_April23__1[[#This Row],[Housing]])</f>
        <v>1</v>
      </c>
      <c r="BA108">
        <f>TYPE(All_India_Index_Upto_April23__1[[#This Row],[Fuel and light]])</f>
        <v>1</v>
      </c>
      <c r="BB108">
        <f>TYPE(All_India_Index_Upto_April23__1[[#This Row],[Household goods and services]])</f>
        <v>1</v>
      </c>
      <c r="BC108">
        <f>TYPE(All_India_Index_Upto_April23__1[[#This Row],[Health]])</f>
        <v>1</v>
      </c>
      <c r="BD108">
        <f>TYPE(All_India_Index_Upto_April23__1[[#This Row],[Transport and communication]])</f>
        <v>1</v>
      </c>
      <c r="BE108">
        <f>TYPE(All_India_Index_Upto_April23__1[[#This Row],[Recreation and amusement]])</f>
        <v>1</v>
      </c>
      <c r="BF108">
        <f>TYPE(All_India_Index_Upto_April23__1[[#This Row],[Education]])</f>
        <v>1</v>
      </c>
      <c r="BG108">
        <f>TYPE(All_India_Index_Upto_April23__1[[#This Row],[Personal care and effects]])</f>
        <v>1</v>
      </c>
      <c r="BH108">
        <f>TYPE(All_India_Index_Upto_April23__1[[#This Row],[Miscellaneous]])</f>
        <v>1</v>
      </c>
      <c r="BI108">
        <f>TYPE(All_India_Index_Upto_April23__1[[#This Row],[General index]])</f>
        <v>1</v>
      </c>
    </row>
    <row r="109" spans="1:61" x14ac:dyDescent="0.3">
      <c r="A109" t="s">
        <v>33</v>
      </c>
      <c r="B109">
        <v>2015</v>
      </c>
      <c r="C109" t="s">
        <v>45</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c r="AF109">
        <f>TYPE(All_India_Index_Upto_April23__1[[#This Row],[Sector]])</f>
        <v>2</v>
      </c>
      <c r="AG109">
        <f>TYPE(All_India_Index_Upto_April23__1[[#This Row],[Year]])</f>
        <v>1</v>
      </c>
      <c r="AH109">
        <f>TYPE(All_India_Index_Upto_April23__1[[#This Row],[Month]])</f>
        <v>2</v>
      </c>
      <c r="AI109">
        <f>TYPE(All_India_Index_Upto_April23__1[[#This Row],[Cereals and products]])</f>
        <v>1</v>
      </c>
      <c r="AJ109">
        <f>TYPE(All_India_Index_Upto_April23__1[[#This Row],[Meat and fish]])</f>
        <v>1</v>
      </c>
      <c r="AK109">
        <f>TYPE(All_India_Index_Upto_April23__1[[#This Row],[Egg]])</f>
        <v>1</v>
      </c>
      <c r="AL109">
        <f>TYPE(All_India_Index_Upto_April23__1[[#This Row],[Milk and products]])</f>
        <v>1</v>
      </c>
      <c r="AM109">
        <f>TYPE(All_India_Index_Upto_April23__1[[#This Row],[Oils and fats]])</f>
        <v>1</v>
      </c>
      <c r="AN109">
        <f>TYPE(All_India_Index_Upto_April23__1[[#This Row],[Fruits]])</f>
        <v>1</v>
      </c>
      <c r="AO109">
        <f>TYPE(All_India_Index_Upto_April23__1[[#This Row],[Vegetables]])</f>
        <v>1</v>
      </c>
      <c r="AP109">
        <f>TYPE(All_India_Index_Upto_April23__1[[#This Row],[Pulses and products]])</f>
        <v>1</v>
      </c>
      <c r="AQ109">
        <f>TYPE(All_India_Index_Upto_April23__1[[#This Row],[Sugar and Confectionery]])</f>
        <v>1</v>
      </c>
      <c r="AR109">
        <f>TYPE(All_India_Index_Upto_April23__1[[#This Row],[Spices]])</f>
        <v>1</v>
      </c>
      <c r="AS109">
        <f>TYPE(All_India_Index_Upto_April23__1[[#This Row],[Non-alcoholic beverages]])</f>
        <v>1</v>
      </c>
      <c r="AT109">
        <f>TYPE(All_India_Index_Upto_April23__1[[#This Row],[Prepared meals, snacks, sweets etc.]])</f>
        <v>1</v>
      </c>
      <c r="AU109">
        <f>TYPE(All_India_Index_Upto_April23__1[[#This Row],[Food and beverages]])</f>
        <v>1</v>
      </c>
      <c r="AV109">
        <f>TYPE(All_India_Index_Upto_April23__1[[#This Row],[Pan, tobacco and intoxicants]])</f>
        <v>1</v>
      </c>
      <c r="AW109">
        <f>TYPE(All_India_Index_Upto_April23__1[[#This Row],[Clothing]])</f>
        <v>1</v>
      </c>
      <c r="AX109">
        <f>TYPE(All_India_Index_Upto_April23__1[[#This Row],[Footwear]])</f>
        <v>1</v>
      </c>
      <c r="AY109">
        <f>TYPE(All_India_Index_Upto_April23__1[[#This Row],[Clothing and footwear]])</f>
        <v>1</v>
      </c>
      <c r="AZ109">
        <f>TYPE(All_India_Index_Upto_April23__1[[#This Row],[Housing]])</f>
        <v>1</v>
      </c>
      <c r="BA109">
        <f>TYPE(All_India_Index_Upto_April23__1[[#This Row],[Fuel and light]])</f>
        <v>1</v>
      </c>
      <c r="BB109">
        <f>TYPE(All_India_Index_Upto_April23__1[[#This Row],[Household goods and services]])</f>
        <v>1</v>
      </c>
      <c r="BC109">
        <f>TYPE(All_India_Index_Upto_April23__1[[#This Row],[Health]])</f>
        <v>1</v>
      </c>
      <c r="BD109">
        <f>TYPE(All_India_Index_Upto_April23__1[[#This Row],[Transport and communication]])</f>
        <v>1</v>
      </c>
      <c r="BE109">
        <f>TYPE(All_India_Index_Upto_April23__1[[#This Row],[Recreation and amusement]])</f>
        <v>1</v>
      </c>
      <c r="BF109">
        <f>TYPE(All_India_Index_Upto_April23__1[[#This Row],[Education]])</f>
        <v>1</v>
      </c>
      <c r="BG109">
        <f>TYPE(All_India_Index_Upto_April23__1[[#This Row],[Personal care and effects]])</f>
        <v>1</v>
      </c>
      <c r="BH109">
        <f>TYPE(All_India_Index_Upto_April23__1[[#This Row],[Miscellaneous]])</f>
        <v>1</v>
      </c>
      <c r="BI109">
        <f>TYPE(All_India_Index_Upto_April23__1[[#This Row],[General index]])</f>
        <v>1</v>
      </c>
    </row>
    <row r="110" spans="1:61" x14ac:dyDescent="0.3">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v>0</v>
      </c>
      <c r="V110">
        <v>126.2</v>
      </c>
      <c r="W110">
        <v>126.6</v>
      </c>
      <c r="X110">
        <v>123.7</v>
      </c>
      <c r="Y110">
        <v>113.6</v>
      </c>
      <c r="Z110">
        <v>121.4</v>
      </c>
      <c r="AA110">
        <v>126.2</v>
      </c>
      <c r="AB110">
        <v>114.9</v>
      </c>
      <c r="AC110">
        <v>120.1</v>
      </c>
      <c r="AD110">
        <v>128.1</v>
      </c>
      <c r="AF110">
        <f>TYPE(All_India_Index_Upto_April23__1[[#This Row],[Sector]])</f>
        <v>2</v>
      </c>
      <c r="AG110">
        <f>TYPE(All_India_Index_Upto_April23__1[[#This Row],[Year]])</f>
        <v>1</v>
      </c>
      <c r="AH110">
        <f>TYPE(All_India_Index_Upto_April23__1[[#This Row],[Month]])</f>
        <v>2</v>
      </c>
      <c r="AI110">
        <f>TYPE(All_India_Index_Upto_April23__1[[#This Row],[Cereals and products]])</f>
        <v>1</v>
      </c>
      <c r="AJ110">
        <f>TYPE(All_India_Index_Upto_April23__1[[#This Row],[Meat and fish]])</f>
        <v>1</v>
      </c>
      <c r="AK110">
        <f>TYPE(All_India_Index_Upto_April23__1[[#This Row],[Egg]])</f>
        <v>1</v>
      </c>
      <c r="AL110">
        <f>TYPE(All_India_Index_Upto_April23__1[[#This Row],[Milk and products]])</f>
        <v>1</v>
      </c>
      <c r="AM110">
        <f>TYPE(All_India_Index_Upto_April23__1[[#This Row],[Oils and fats]])</f>
        <v>1</v>
      </c>
      <c r="AN110">
        <f>TYPE(All_India_Index_Upto_April23__1[[#This Row],[Fruits]])</f>
        <v>1</v>
      </c>
      <c r="AO110">
        <f>TYPE(All_India_Index_Upto_April23__1[[#This Row],[Vegetables]])</f>
        <v>1</v>
      </c>
      <c r="AP110">
        <f>TYPE(All_India_Index_Upto_April23__1[[#This Row],[Pulses and products]])</f>
        <v>1</v>
      </c>
      <c r="AQ110">
        <f>TYPE(All_India_Index_Upto_April23__1[[#This Row],[Sugar and Confectionery]])</f>
        <v>1</v>
      </c>
      <c r="AR110">
        <f>TYPE(All_India_Index_Upto_April23__1[[#This Row],[Spices]])</f>
        <v>1</v>
      </c>
      <c r="AS110">
        <f>TYPE(All_India_Index_Upto_April23__1[[#This Row],[Non-alcoholic beverages]])</f>
        <v>1</v>
      </c>
      <c r="AT110">
        <f>TYPE(All_India_Index_Upto_April23__1[[#This Row],[Prepared meals, snacks, sweets etc.]])</f>
        <v>1</v>
      </c>
      <c r="AU110">
        <f>TYPE(All_India_Index_Upto_April23__1[[#This Row],[Food and beverages]])</f>
        <v>1</v>
      </c>
      <c r="AV110">
        <f>TYPE(All_India_Index_Upto_April23__1[[#This Row],[Pan, tobacco and intoxicants]])</f>
        <v>1</v>
      </c>
      <c r="AW110">
        <f>TYPE(All_India_Index_Upto_April23__1[[#This Row],[Clothing]])</f>
        <v>1</v>
      </c>
      <c r="AX110">
        <f>TYPE(All_India_Index_Upto_April23__1[[#This Row],[Footwear]])</f>
        <v>1</v>
      </c>
      <c r="AY110">
        <f>TYPE(All_India_Index_Upto_April23__1[[#This Row],[Clothing and footwear]])</f>
        <v>1</v>
      </c>
      <c r="AZ110">
        <f>TYPE(All_India_Index_Upto_April23__1[[#This Row],[Housing]])</f>
        <v>1</v>
      </c>
      <c r="BA110">
        <f>TYPE(All_India_Index_Upto_April23__1[[#This Row],[Fuel and light]])</f>
        <v>1</v>
      </c>
      <c r="BB110">
        <f>TYPE(All_India_Index_Upto_April23__1[[#This Row],[Household goods and services]])</f>
        <v>1</v>
      </c>
      <c r="BC110">
        <f>TYPE(All_India_Index_Upto_April23__1[[#This Row],[Health]])</f>
        <v>1</v>
      </c>
      <c r="BD110">
        <f>TYPE(All_India_Index_Upto_April23__1[[#This Row],[Transport and communication]])</f>
        <v>1</v>
      </c>
      <c r="BE110">
        <f>TYPE(All_India_Index_Upto_April23__1[[#This Row],[Recreation and amusement]])</f>
        <v>1</v>
      </c>
      <c r="BF110">
        <f>TYPE(All_India_Index_Upto_April23__1[[#This Row],[Education]])</f>
        <v>1</v>
      </c>
      <c r="BG110">
        <f>TYPE(All_India_Index_Upto_April23__1[[#This Row],[Personal care and effects]])</f>
        <v>1</v>
      </c>
      <c r="BH110">
        <f>TYPE(All_India_Index_Upto_April23__1[[#This Row],[Miscellaneous]])</f>
        <v>1</v>
      </c>
      <c r="BI110">
        <f>TYPE(All_India_Index_Upto_April23__1[[#This Row],[General index]])</f>
        <v>1</v>
      </c>
    </row>
    <row r="111" spans="1:61" x14ac:dyDescent="0.3">
      <c r="A111" t="s">
        <v>32</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c r="AF111">
        <f>TYPE(All_India_Index_Upto_April23__1[[#This Row],[Sector]])</f>
        <v>2</v>
      </c>
      <c r="AG111">
        <f>TYPE(All_India_Index_Upto_April23__1[[#This Row],[Year]])</f>
        <v>1</v>
      </c>
      <c r="AH111">
        <f>TYPE(All_India_Index_Upto_April23__1[[#This Row],[Month]])</f>
        <v>2</v>
      </c>
      <c r="AI111">
        <f>TYPE(All_India_Index_Upto_April23__1[[#This Row],[Cereals and products]])</f>
        <v>1</v>
      </c>
      <c r="AJ111">
        <f>TYPE(All_India_Index_Upto_April23__1[[#This Row],[Meat and fish]])</f>
        <v>1</v>
      </c>
      <c r="AK111">
        <f>TYPE(All_India_Index_Upto_April23__1[[#This Row],[Egg]])</f>
        <v>1</v>
      </c>
      <c r="AL111">
        <f>TYPE(All_India_Index_Upto_April23__1[[#This Row],[Milk and products]])</f>
        <v>1</v>
      </c>
      <c r="AM111">
        <f>TYPE(All_India_Index_Upto_April23__1[[#This Row],[Oils and fats]])</f>
        <v>1</v>
      </c>
      <c r="AN111">
        <f>TYPE(All_India_Index_Upto_April23__1[[#This Row],[Fruits]])</f>
        <v>1</v>
      </c>
      <c r="AO111">
        <f>TYPE(All_India_Index_Upto_April23__1[[#This Row],[Vegetables]])</f>
        <v>1</v>
      </c>
      <c r="AP111">
        <f>TYPE(All_India_Index_Upto_April23__1[[#This Row],[Pulses and products]])</f>
        <v>1</v>
      </c>
      <c r="AQ111">
        <f>TYPE(All_India_Index_Upto_April23__1[[#This Row],[Sugar and Confectionery]])</f>
        <v>1</v>
      </c>
      <c r="AR111">
        <f>TYPE(All_India_Index_Upto_April23__1[[#This Row],[Spices]])</f>
        <v>1</v>
      </c>
      <c r="AS111">
        <f>TYPE(All_India_Index_Upto_April23__1[[#This Row],[Non-alcoholic beverages]])</f>
        <v>1</v>
      </c>
      <c r="AT111">
        <f>TYPE(All_India_Index_Upto_April23__1[[#This Row],[Prepared meals, snacks, sweets etc.]])</f>
        <v>1</v>
      </c>
      <c r="AU111">
        <f>TYPE(All_India_Index_Upto_April23__1[[#This Row],[Food and beverages]])</f>
        <v>1</v>
      </c>
      <c r="AV111">
        <f>TYPE(All_India_Index_Upto_April23__1[[#This Row],[Pan, tobacco and intoxicants]])</f>
        <v>1</v>
      </c>
      <c r="AW111">
        <f>TYPE(All_India_Index_Upto_April23__1[[#This Row],[Clothing]])</f>
        <v>1</v>
      </c>
      <c r="AX111">
        <f>TYPE(All_India_Index_Upto_April23__1[[#This Row],[Footwear]])</f>
        <v>1</v>
      </c>
      <c r="AY111">
        <f>TYPE(All_India_Index_Upto_April23__1[[#This Row],[Clothing and footwear]])</f>
        <v>1</v>
      </c>
      <c r="AZ111">
        <f>TYPE(All_India_Index_Upto_April23__1[[#This Row],[Housing]])</f>
        <v>1</v>
      </c>
      <c r="BA111">
        <f>TYPE(All_India_Index_Upto_April23__1[[#This Row],[Fuel and light]])</f>
        <v>1</v>
      </c>
      <c r="BB111">
        <f>TYPE(All_India_Index_Upto_April23__1[[#This Row],[Household goods and services]])</f>
        <v>1</v>
      </c>
      <c r="BC111">
        <f>TYPE(All_India_Index_Upto_April23__1[[#This Row],[Health]])</f>
        <v>1</v>
      </c>
      <c r="BD111">
        <f>TYPE(All_India_Index_Upto_April23__1[[#This Row],[Transport and communication]])</f>
        <v>1</v>
      </c>
      <c r="BE111">
        <f>TYPE(All_India_Index_Upto_April23__1[[#This Row],[Recreation and amusement]])</f>
        <v>1</v>
      </c>
      <c r="BF111">
        <f>TYPE(All_India_Index_Upto_April23__1[[#This Row],[Education]])</f>
        <v>1</v>
      </c>
      <c r="BG111">
        <f>TYPE(All_India_Index_Upto_April23__1[[#This Row],[Personal care and effects]])</f>
        <v>1</v>
      </c>
      <c r="BH111">
        <f>TYPE(All_India_Index_Upto_April23__1[[#This Row],[Miscellaneous]])</f>
        <v>1</v>
      </c>
      <c r="BI111">
        <f>TYPE(All_India_Index_Upto_April23__1[[#This Row],[General index]])</f>
        <v>1</v>
      </c>
    </row>
    <row r="112" spans="1:61" x14ac:dyDescent="0.3">
      <c r="A112" t="s">
        <v>33</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c r="AF112">
        <f>TYPE(All_India_Index_Upto_April23__1[[#This Row],[Sector]])</f>
        <v>2</v>
      </c>
      <c r="AG112">
        <f>TYPE(All_India_Index_Upto_April23__1[[#This Row],[Year]])</f>
        <v>1</v>
      </c>
      <c r="AH112">
        <f>TYPE(All_India_Index_Upto_April23__1[[#This Row],[Month]])</f>
        <v>2</v>
      </c>
      <c r="AI112">
        <f>TYPE(All_India_Index_Upto_April23__1[[#This Row],[Cereals and products]])</f>
        <v>1</v>
      </c>
      <c r="AJ112">
        <f>TYPE(All_India_Index_Upto_April23__1[[#This Row],[Meat and fish]])</f>
        <v>1</v>
      </c>
      <c r="AK112">
        <f>TYPE(All_India_Index_Upto_April23__1[[#This Row],[Egg]])</f>
        <v>1</v>
      </c>
      <c r="AL112">
        <f>TYPE(All_India_Index_Upto_April23__1[[#This Row],[Milk and products]])</f>
        <v>1</v>
      </c>
      <c r="AM112">
        <f>TYPE(All_India_Index_Upto_April23__1[[#This Row],[Oils and fats]])</f>
        <v>1</v>
      </c>
      <c r="AN112">
        <f>TYPE(All_India_Index_Upto_April23__1[[#This Row],[Fruits]])</f>
        <v>1</v>
      </c>
      <c r="AO112">
        <f>TYPE(All_India_Index_Upto_April23__1[[#This Row],[Vegetables]])</f>
        <v>1</v>
      </c>
      <c r="AP112">
        <f>TYPE(All_India_Index_Upto_April23__1[[#This Row],[Pulses and products]])</f>
        <v>1</v>
      </c>
      <c r="AQ112">
        <f>TYPE(All_India_Index_Upto_April23__1[[#This Row],[Sugar and Confectionery]])</f>
        <v>1</v>
      </c>
      <c r="AR112">
        <f>TYPE(All_India_Index_Upto_April23__1[[#This Row],[Spices]])</f>
        <v>1</v>
      </c>
      <c r="AS112">
        <f>TYPE(All_India_Index_Upto_April23__1[[#This Row],[Non-alcoholic beverages]])</f>
        <v>1</v>
      </c>
      <c r="AT112">
        <f>TYPE(All_India_Index_Upto_April23__1[[#This Row],[Prepared meals, snacks, sweets etc.]])</f>
        <v>1</v>
      </c>
      <c r="AU112">
        <f>TYPE(All_India_Index_Upto_April23__1[[#This Row],[Food and beverages]])</f>
        <v>1</v>
      </c>
      <c r="AV112">
        <f>TYPE(All_India_Index_Upto_April23__1[[#This Row],[Pan, tobacco and intoxicants]])</f>
        <v>1</v>
      </c>
      <c r="AW112">
        <f>TYPE(All_India_Index_Upto_April23__1[[#This Row],[Clothing]])</f>
        <v>1</v>
      </c>
      <c r="AX112">
        <f>TYPE(All_India_Index_Upto_April23__1[[#This Row],[Footwear]])</f>
        <v>1</v>
      </c>
      <c r="AY112">
        <f>TYPE(All_India_Index_Upto_April23__1[[#This Row],[Clothing and footwear]])</f>
        <v>1</v>
      </c>
      <c r="AZ112">
        <f>TYPE(All_India_Index_Upto_April23__1[[#This Row],[Housing]])</f>
        <v>1</v>
      </c>
      <c r="BA112">
        <f>TYPE(All_India_Index_Upto_April23__1[[#This Row],[Fuel and light]])</f>
        <v>1</v>
      </c>
      <c r="BB112">
        <f>TYPE(All_India_Index_Upto_April23__1[[#This Row],[Household goods and services]])</f>
        <v>1</v>
      </c>
      <c r="BC112">
        <f>TYPE(All_India_Index_Upto_April23__1[[#This Row],[Health]])</f>
        <v>1</v>
      </c>
      <c r="BD112">
        <f>TYPE(All_India_Index_Upto_April23__1[[#This Row],[Transport and communication]])</f>
        <v>1</v>
      </c>
      <c r="BE112">
        <f>TYPE(All_India_Index_Upto_April23__1[[#This Row],[Recreation and amusement]])</f>
        <v>1</v>
      </c>
      <c r="BF112">
        <f>TYPE(All_India_Index_Upto_April23__1[[#This Row],[Education]])</f>
        <v>1</v>
      </c>
      <c r="BG112">
        <f>TYPE(All_India_Index_Upto_April23__1[[#This Row],[Personal care and effects]])</f>
        <v>1</v>
      </c>
      <c r="BH112">
        <f>TYPE(All_India_Index_Upto_April23__1[[#This Row],[Miscellaneous]])</f>
        <v>1</v>
      </c>
      <c r="BI112">
        <f>TYPE(All_India_Index_Upto_April23__1[[#This Row],[General index]])</f>
        <v>1</v>
      </c>
    </row>
    <row r="113" spans="1:61" x14ac:dyDescent="0.3">
      <c r="A113" t="s">
        <v>30</v>
      </c>
      <c r="B113">
        <v>2016</v>
      </c>
      <c r="C113" t="s">
        <v>34</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v>0</v>
      </c>
      <c r="V113">
        <v>127.5</v>
      </c>
      <c r="W113">
        <v>127.1</v>
      </c>
      <c r="X113">
        <v>124.3</v>
      </c>
      <c r="Y113">
        <v>113.9</v>
      </c>
      <c r="Z113">
        <v>122.3</v>
      </c>
      <c r="AA113">
        <v>127.1</v>
      </c>
      <c r="AB113">
        <v>116.8</v>
      </c>
      <c r="AC113">
        <v>120.9</v>
      </c>
      <c r="AD113">
        <v>127.9</v>
      </c>
      <c r="AF113">
        <f>TYPE(All_India_Index_Upto_April23__1[[#This Row],[Sector]])</f>
        <v>2</v>
      </c>
      <c r="AG113">
        <f>TYPE(All_India_Index_Upto_April23__1[[#This Row],[Year]])</f>
        <v>1</v>
      </c>
      <c r="AH113">
        <f>TYPE(All_India_Index_Upto_April23__1[[#This Row],[Month]])</f>
        <v>2</v>
      </c>
      <c r="AI113">
        <f>TYPE(All_India_Index_Upto_April23__1[[#This Row],[Cereals and products]])</f>
        <v>1</v>
      </c>
      <c r="AJ113">
        <f>TYPE(All_India_Index_Upto_April23__1[[#This Row],[Meat and fish]])</f>
        <v>1</v>
      </c>
      <c r="AK113">
        <f>TYPE(All_India_Index_Upto_April23__1[[#This Row],[Egg]])</f>
        <v>1</v>
      </c>
      <c r="AL113">
        <f>TYPE(All_India_Index_Upto_April23__1[[#This Row],[Milk and products]])</f>
        <v>1</v>
      </c>
      <c r="AM113">
        <f>TYPE(All_India_Index_Upto_April23__1[[#This Row],[Oils and fats]])</f>
        <v>1</v>
      </c>
      <c r="AN113">
        <f>TYPE(All_India_Index_Upto_April23__1[[#This Row],[Fruits]])</f>
        <v>1</v>
      </c>
      <c r="AO113">
        <f>TYPE(All_India_Index_Upto_April23__1[[#This Row],[Vegetables]])</f>
        <v>1</v>
      </c>
      <c r="AP113">
        <f>TYPE(All_India_Index_Upto_April23__1[[#This Row],[Pulses and products]])</f>
        <v>1</v>
      </c>
      <c r="AQ113">
        <f>TYPE(All_India_Index_Upto_April23__1[[#This Row],[Sugar and Confectionery]])</f>
        <v>1</v>
      </c>
      <c r="AR113">
        <f>TYPE(All_India_Index_Upto_April23__1[[#This Row],[Spices]])</f>
        <v>1</v>
      </c>
      <c r="AS113">
        <f>TYPE(All_India_Index_Upto_April23__1[[#This Row],[Non-alcoholic beverages]])</f>
        <v>1</v>
      </c>
      <c r="AT113">
        <f>TYPE(All_India_Index_Upto_April23__1[[#This Row],[Prepared meals, snacks, sweets etc.]])</f>
        <v>1</v>
      </c>
      <c r="AU113">
        <f>TYPE(All_India_Index_Upto_April23__1[[#This Row],[Food and beverages]])</f>
        <v>1</v>
      </c>
      <c r="AV113">
        <f>TYPE(All_India_Index_Upto_April23__1[[#This Row],[Pan, tobacco and intoxicants]])</f>
        <v>1</v>
      </c>
      <c r="AW113">
        <f>TYPE(All_India_Index_Upto_April23__1[[#This Row],[Clothing]])</f>
        <v>1</v>
      </c>
      <c r="AX113">
        <f>TYPE(All_India_Index_Upto_April23__1[[#This Row],[Footwear]])</f>
        <v>1</v>
      </c>
      <c r="AY113">
        <f>TYPE(All_India_Index_Upto_April23__1[[#This Row],[Clothing and footwear]])</f>
        <v>1</v>
      </c>
      <c r="AZ113">
        <f>TYPE(All_India_Index_Upto_April23__1[[#This Row],[Housing]])</f>
        <v>1</v>
      </c>
      <c r="BA113">
        <f>TYPE(All_India_Index_Upto_April23__1[[#This Row],[Fuel and light]])</f>
        <v>1</v>
      </c>
      <c r="BB113">
        <f>TYPE(All_India_Index_Upto_April23__1[[#This Row],[Household goods and services]])</f>
        <v>1</v>
      </c>
      <c r="BC113">
        <f>TYPE(All_India_Index_Upto_April23__1[[#This Row],[Health]])</f>
        <v>1</v>
      </c>
      <c r="BD113">
        <f>TYPE(All_India_Index_Upto_April23__1[[#This Row],[Transport and communication]])</f>
        <v>1</v>
      </c>
      <c r="BE113">
        <f>TYPE(All_India_Index_Upto_April23__1[[#This Row],[Recreation and amusement]])</f>
        <v>1</v>
      </c>
      <c r="BF113">
        <f>TYPE(All_India_Index_Upto_April23__1[[#This Row],[Education]])</f>
        <v>1</v>
      </c>
      <c r="BG113">
        <f>TYPE(All_India_Index_Upto_April23__1[[#This Row],[Personal care and effects]])</f>
        <v>1</v>
      </c>
      <c r="BH113">
        <f>TYPE(All_India_Index_Upto_April23__1[[#This Row],[Miscellaneous]])</f>
        <v>1</v>
      </c>
      <c r="BI113">
        <f>TYPE(All_India_Index_Upto_April23__1[[#This Row],[General index]])</f>
        <v>1</v>
      </c>
    </row>
    <row r="114" spans="1:61" x14ac:dyDescent="0.3">
      <c r="A114" t="s">
        <v>32</v>
      </c>
      <c r="B114">
        <v>2016</v>
      </c>
      <c r="C114" t="s">
        <v>34</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c r="AF114">
        <f>TYPE(All_India_Index_Upto_April23__1[[#This Row],[Sector]])</f>
        <v>2</v>
      </c>
      <c r="AG114">
        <f>TYPE(All_India_Index_Upto_April23__1[[#This Row],[Year]])</f>
        <v>1</v>
      </c>
      <c r="AH114">
        <f>TYPE(All_India_Index_Upto_April23__1[[#This Row],[Month]])</f>
        <v>2</v>
      </c>
      <c r="AI114">
        <f>TYPE(All_India_Index_Upto_April23__1[[#This Row],[Cereals and products]])</f>
        <v>1</v>
      </c>
      <c r="AJ114">
        <f>TYPE(All_India_Index_Upto_April23__1[[#This Row],[Meat and fish]])</f>
        <v>1</v>
      </c>
      <c r="AK114">
        <f>TYPE(All_India_Index_Upto_April23__1[[#This Row],[Egg]])</f>
        <v>1</v>
      </c>
      <c r="AL114">
        <f>TYPE(All_India_Index_Upto_April23__1[[#This Row],[Milk and products]])</f>
        <v>1</v>
      </c>
      <c r="AM114">
        <f>TYPE(All_India_Index_Upto_April23__1[[#This Row],[Oils and fats]])</f>
        <v>1</v>
      </c>
      <c r="AN114">
        <f>TYPE(All_India_Index_Upto_April23__1[[#This Row],[Fruits]])</f>
        <v>1</v>
      </c>
      <c r="AO114">
        <f>TYPE(All_India_Index_Upto_April23__1[[#This Row],[Vegetables]])</f>
        <v>1</v>
      </c>
      <c r="AP114">
        <f>TYPE(All_India_Index_Upto_April23__1[[#This Row],[Pulses and products]])</f>
        <v>1</v>
      </c>
      <c r="AQ114">
        <f>TYPE(All_India_Index_Upto_April23__1[[#This Row],[Sugar and Confectionery]])</f>
        <v>1</v>
      </c>
      <c r="AR114">
        <f>TYPE(All_India_Index_Upto_April23__1[[#This Row],[Spices]])</f>
        <v>1</v>
      </c>
      <c r="AS114">
        <f>TYPE(All_India_Index_Upto_April23__1[[#This Row],[Non-alcoholic beverages]])</f>
        <v>1</v>
      </c>
      <c r="AT114">
        <f>TYPE(All_India_Index_Upto_April23__1[[#This Row],[Prepared meals, snacks, sweets etc.]])</f>
        <v>1</v>
      </c>
      <c r="AU114">
        <f>TYPE(All_India_Index_Upto_April23__1[[#This Row],[Food and beverages]])</f>
        <v>1</v>
      </c>
      <c r="AV114">
        <f>TYPE(All_India_Index_Upto_April23__1[[#This Row],[Pan, tobacco and intoxicants]])</f>
        <v>1</v>
      </c>
      <c r="AW114">
        <f>TYPE(All_India_Index_Upto_April23__1[[#This Row],[Clothing]])</f>
        <v>1</v>
      </c>
      <c r="AX114">
        <f>TYPE(All_India_Index_Upto_April23__1[[#This Row],[Footwear]])</f>
        <v>1</v>
      </c>
      <c r="AY114">
        <f>TYPE(All_India_Index_Upto_April23__1[[#This Row],[Clothing and footwear]])</f>
        <v>1</v>
      </c>
      <c r="AZ114">
        <f>TYPE(All_India_Index_Upto_April23__1[[#This Row],[Housing]])</f>
        <v>1</v>
      </c>
      <c r="BA114">
        <f>TYPE(All_India_Index_Upto_April23__1[[#This Row],[Fuel and light]])</f>
        <v>1</v>
      </c>
      <c r="BB114">
        <f>TYPE(All_India_Index_Upto_April23__1[[#This Row],[Household goods and services]])</f>
        <v>1</v>
      </c>
      <c r="BC114">
        <f>TYPE(All_India_Index_Upto_April23__1[[#This Row],[Health]])</f>
        <v>1</v>
      </c>
      <c r="BD114">
        <f>TYPE(All_India_Index_Upto_April23__1[[#This Row],[Transport and communication]])</f>
        <v>1</v>
      </c>
      <c r="BE114">
        <f>TYPE(All_India_Index_Upto_April23__1[[#This Row],[Recreation and amusement]])</f>
        <v>1</v>
      </c>
      <c r="BF114">
        <f>TYPE(All_India_Index_Upto_April23__1[[#This Row],[Education]])</f>
        <v>1</v>
      </c>
      <c r="BG114">
        <f>TYPE(All_India_Index_Upto_April23__1[[#This Row],[Personal care and effects]])</f>
        <v>1</v>
      </c>
      <c r="BH114">
        <f>TYPE(All_India_Index_Upto_April23__1[[#This Row],[Miscellaneous]])</f>
        <v>1</v>
      </c>
      <c r="BI114">
        <f>TYPE(All_India_Index_Upto_April23__1[[#This Row],[General index]])</f>
        <v>1</v>
      </c>
    </row>
    <row r="115" spans="1:61" x14ac:dyDescent="0.3">
      <c r="A115" t="s">
        <v>33</v>
      </c>
      <c r="B115">
        <v>2016</v>
      </c>
      <c r="C115" t="s">
        <v>34</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c r="AF115">
        <f>TYPE(All_India_Index_Upto_April23__1[[#This Row],[Sector]])</f>
        <v>2</v>
      </c>
      <c r="AG115">
        <f>TYPE(All_India_Index_Upto_April23__1[[#This Row],[Year]])</f>
        <v>1</v>
      </c>
      <c r="AH115">
        <f>TYPE(All_India_Index_Upto_April23__1[[#This Row],[Month]])</f>
        <v>2</v>
      </c>
      <c r="AI115">
        <f>TYPE(All_India_Index_Upto_April23__1[[#This Row],[Cereals and products]])</f>
        <v>1</v>
      </c>
      <c r="AJ115">
        <f>TYPE(All_India_Index_Upto_April23__1[[#This Row],[Meat and fish]])</f>
        <v>1</v>
      </c>
      <c r="AK115">
        <f>TYPE(All_India_Index_Upto_April23__1[[#This Row],[Egg]])</f>
        <v>1</v>
      </c>
      <c r="AL115">
        <f>TYPE(All_India_Index_Upto_April23__1[[#This Row],[Milk and products]])</f>
        <v>1</v>
      </c>
      <c r="AM115">
        <f>TYPE(All_India_Index_Upto_April23__1[[#This Row],[Oils and fats]])</f>
        <v>1</v>
      </c>
      <c r="AN115">
        <f>TYPE(All_India_Index_Upto_April23__1[[#This Row],[Fruits]])</f>
        <v>1</v>
      </c>
      <c r="AO115">
        <f>TYPE(All_India_Index_Upto_April23__1[[#This Row],[Vegetables]])</f>
        <v>1</v>
      </c>
      <c r="AP115">
        <f>TYPE(All_India_Index_Upto_April23__1[[#This Row],[Pulses and products]])</f>
        <v>1</v>
      </c>
      <c r="AQ115">
        <f>TYPE(All_India_Index_Upto_April23__1[[#This Row],[Sugar and Confectionery]])</f>
        <v>1</v>
      </c>
      <c r="AR115">
        <f>TYPE(All_India_Index_Upto_April23__1[[#This Row],[Spices]])</f>
        <v>1</v>
      </c>
      <c r="AS115">
        <f>TYPE(All_India_Index_Upto_April23__1[[#This Row],[Non-alcoholic beverages]])</f>
        <v>1</v>
      </c>
      <c r="AT115">
        <f>TYPE(All_India_Index_Upto_April23__1[[#This Row],[Prepared meals, snacks, sweets etc.]])</f>
        <v>1</v>
      </c>
      <c r="AU115">
        <f>TYPE(All_India_Index_Upto_April23__1[[#This Row],[Food and beverages]])</f>
        <v>1</v>
      </c>
      <c r="AV115">
        <f>TYPE(All_India_Index_Upto_April23__1[[#This Row],[Pan, tobacco and intoxicants]])</f>
        <v>1</v>
      </c>
      <c r="AW115">
        <f>TYPE(All_India_Index_Upto_April23__1[[#This Row],[Clothing]])</f>
        <v>1</v>
      </c>
      <c r="AX115">
        <f>TYPE(All_India_Index_Upto_April23__1[[#This Row],[Footwear]])</f>
        <v>1</v>
      </c>
      <c r="AY115">
        <f>TYPE(All_India_Index_Upto_April23__1[[#This Row],[Clothing and footwear]])</f>
        <v>1</v>
      </c>
      <c r="AZ115">
        <f>TYPE(All_India_Index_Upto_April23__1[[#This Row],[Housing]])</f>
        <v>1</v>
      </c>
      <c r="BA115">
        <f>TYPE(All_India_Index_Upto_April23__1[[#This Row],[Fuel and light]])</f>
        <v>1</v>
      </c>
      <c r="BB115">
        <f>TYPE(All_India_Index_Upto_April23__1[[#This Row],[Household goods and services]])</f>
        <v>1</v>
      </c>
      <c r="BC115">
        <f>TYPE(All_India_Index_Upto_April23__1[[#This Row],[Health]])</f>
        <v>1</v>
      </c>
      <c r="BD115">
        <f>TYPE(All_India_Index_Upto_April23__1[[#This Row],[Transport and communication]])</f>
        <v>1</v>
      </c>
      <c r="BE115">
        <f>TYPE(All_India_Index_Upto_April23__1[[#This Row],[Recreation and amusement]])</f>
        <v>1</v>
      </c>
      <c r="BF115">
        <f>TYPE(All_India_Index_Upto_April23__1[[#This Row],[Education]])</f>
        <v>1</v>
      </c>
      <c r="BG115">
        <f>TYPE(All_India_Index_Upto_April23__1[[#This Row],[Personal care and effects]])</f>
        <v>1</v>
      </c>
      <c r="BH115">
        <f>TYPE(All_India_Index_Upto_April23__1[[#This Row],[Miscellaneous]])</f>
        <v>1</v>
      </c>
      <c r="BI115">
        <f>TYPE(All_India_Index_Upto_April23__1[[#This Row],[General index]])</f>
        <v>1</v>
      </c>
    </row>
    <row r="116" spans="1:61" x14ac:dyDescent="0.3">
      <c r="A116" t="s">
        <v>30</v>
      </c>
      <c r="B116">
        <v>2016</v>
      </c>
      <c r="C116" t="s">
        <v>35</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v>0</v>
      </c>
      <c r="V116">
        <v>127</v>
      </c>
      <c r="W116">
        <v>127.7</v>
      </c>
      <c r="X116">
        <v>124.8</v>
      </c>
      <c r="Y116">
        <v>113.6</v>
      </c>
      <c r="Z116">
        <v>122.5</v>
      </c>
      <c r="AA116">
        <v>127.5</v>
      </c>
      <c r="AB116">
        <v>117.4</v>
      </c>
      <c r="AC116">
        <v>121.1</v>
      </c>
      <c r="AD116">
        <v>128</v>
      </c>
      <c r="AF116">
        <f>TYPE(All_India_Index_Upto_April23__1[[#This Row],[Sector]])</f>
        <v>2</v>
      </c>
      <c r="AG116">
        <f>TYPE(All_India_Index_Upto_April23__1[[#This Row],[Year]])</f>
        <v>1</v>
      </c>
      <c r="AH116">
        <f>TYPE(All_India_Index_Upto_April23__1[[#This Row],[Month]])</f>
        <v>2</v>
      </c>
      <c r="AI116">
        <f>TYPE(All_India_Index_Upto_April23__1[[#This Row],[Cereals and products]])</f>
        <v>1</v>
      </c>
      <c r="AJ116">
        <f>TYPE(All_India_Index_Upto_April23__1[[#This Row],[Meat and fish]])</f>
        <v>1</v>
      </c>
      <c r="AK116">
        <f>TYPE(All_India_Index_Upto_April23__1[[#This Row],[Egg]])</f>
        <v>1</v>
      </c>
      <c r="AL116">
        <f>TYPE(All_India_Index_Upto_April23__1[[#This Row],[Milk and products]])</f>
        <v>1</v>
      </c>
      <c r="AM116">
        <f>TYPE(All_India_Index_Upto_April23__1[[#This Row],[Oils and fats]])</f>
        <v>1</v>
      </c>
      <c r="AN116">
        <f>TYPE(All_India_Index_Upto_April23__1[[#This Row],[Fruits]])</f>
        <v>1</v>
      </c>
      <c r="AO116">
        <f>TYPE(All_India_Index_Upto_April23__1[[#This Row],[Vegetables]])</f>
        <v>1</v>
      </c>
      <c r="AP116">
        <f>TYPE(All_India_Index_Upto_April23__1[[#This Row],[Pulses and products]])</f>
        <v>1</v>
      </c>
      <c r="AQ116">
        <f>TYPE(All_India_Index_Upto_April23__1[[#This Row],[Sugar and Confectionery]])</f>
        <v>1</v>
      </c>
      <c r="AR116">
        <f>TYPE(All_India_Index_Upto_April23__1[[#This Row],[Spices]])</f>
        <v>1</v>
      </c>
      <c r="AS116">
        <f>TYPE(All_India_Index_Upto_April23__1[[#This Row],[Non-alcoholic beverages]])</f>
        <v>1</v>
      </c>
      <c r="AT116">
        <f>TYPE(All_India_Index_Upto_April23__1[[#This Row],[Prepared meals, snacks, sweets etc.]])</f>
        <v>1</v>
      </c>
      <c r="AU116">
        <f>TYPE(All_India_Index_Upto_April23__1[[#This Row],[Food and beverages]])</f>
        <v>1</v>
      </c>
      <c r="AV116">
        <f>TYPE(All_India_Index_Upto_April23__1[[#This Row],[Pan, tobacco and intoxicants]])</f>
        <v>1</v>
      </c>
      <c r="AW116">
        <f>TYPE(All_India_Index_Upto_April23__1[[#This Row],[Clothing]])</f>
        <v>1</v>
      </c>
      <c r="AX116">
        <f>TYPE(All_India_Index_Upto_April23__1[[#This Row],[Footwear]])</f>
        <v>1</v>
      </c>
      <c r="AY116">
        <f>TYPE(All_India_Index_Upto_April23__1[[#This Row],[Clothing and footwear]])</f>
        <v>1</v>
      </c>
      <c r="AZ116">
        <f>TYPE(All_India_Index_Upto_April23__1[[#This Row],[Housing]])</f>
        <v>1</v>
      </c>
      <c r="BA116">
        <f>TYPE(All_India_Index_Upto_April23__1[[#This Row],[Fuel and light]])</f>
        <v>1</v>
      </c>
      <c r="BB116">
        <f>TYPE(All_India_Index_Upto_April23__1[[#This Row],[Household goods and services]])</f>
        <v>1</v>
      </c>
      <c r="BC116">
        <f>TYPE(All_India_Index_Upto_April23__1[[#This Row],[Health]])</f>
        <v>1</v>
      </c>
      <c r="BD116">
        <f>TYPE(All_India_Index_Upto_April23__1[[#This Row],[Transport and communication]])</f>
        <v>1</v>
      </c>
      <c r="BE116">
        <f>TYPE(All_India_Index_Upto_April23__1[[#This Row],[Recreation and amusement]])</f>
        <v>1</v>
      </c>
      <c r="BF116">
        <f>TYPE(All_India_Index_Upto_April23__1[[#This Row],[Education]])</f>
        <v>1</v>
      </c>
      <c r="BG116">
        <f>TYPE(All_India_Index_Upto_April23__1[[#This Row],[Personal care and effects]])</f>
        <v>1</v>
      </c>
      <c r="BH116">
        <f>TYPE(All_India_Index_Upto_April23__1[[#This Row],[Miscellaneous]])</f>
        <v>1</v>
      </c>
      <c r="BI116">
        <f>TYPE(All_India_Index_Upto_April23__1[[#This Row],[General index]])</f>
        <v>1</v>
      </c>
    </row>
    <row r="117" spans="1:61" x14ac:dyDescent="0.3">
      <c r="A117" t="s">
        <v>32</v>
      </c>
      <c r="B117">
        <v>2016</v>
      </c>
      <c r="C117" t="s">
        <v>35</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c r="AF117">
        <f>TYPE(All_India_Index_Upto_April23__1[[#This Row],[Sector]])</f>
        <v>2</v>
      </c>
      <c r="AG117">
        <f>TYPE(All_India_Index_Upto_April23__1[[#This Row],[Year]])</f>
        <v>1</v>
      </c>
      <c r="AH117">
        <f>TYPE(All_India_Index_Upto_April23__1[[#This Row],[Month]])</f>
        <v>2</v>
      </c>
      <c r="AI117">
        <f>TYPE(All_India_Index_Upto_April23__1[[#This Row],[Cereals and products]])</f>
        <v>1</v>
      </c>
      <c r="AJ117">
        <f>TYPE(All_India_Index_Upto_April23__1[[#This Row],[Meat and fish]])</f>
        <v>1</v>
      </c>
      <c r="AK117">
        <f>TYPE(All_India_Index_Upto_April23__1[[#This Row],[Egg]])</f>
        <v>1</v>
      </c>
      <c r="AL117">
        <f>TYPE(All_India_Index_Upto_April23__1[[#This Row],[Milk and products]])</f>
        <v>1</v>
      </c>
      <c r="AM117">
        <f>TYPE(All_India_Index_Upto_April23__1[[#This Row],[Oils and fats]])</f>
        <v>1</v>
      </c>
      <c r="AN117">
        <f>TYPE(All_India_Index_Upto_April23__1[[#This Row],[Fruits]])</f>
        <v>1</v>
      </c>
      <c r="AO117">
        <f>TYPE(All_India_Index_Upto_April23__1[[#This Row],[Vegetables]])</f>
        <v>1</v>
      </c>
      <c r="AP117">
        <f>TYPE(All_India_Index_Upto_April23__1[[#This Row],[Pulses and products]])</f>
        <v>1</v>
      </c>
      <c r="AQ117">
        <f>TYPE(All_India_Index_Upto_April23__1[[#This Row],[Sugar and Confectionery]])</f>
        <v>1</v>
      </c>
      <c r="AR117">
        <f>TYPE(All_India_Index_Upto_April23__1[[#This Row],[Spices]])</f>
        <v>1</v>
      </c>
      <c r="AS117">
        <f>TYPE(All_India_Index_Upto_April23__1[[#This Row],[Non-alcoholic beverages]])</f>
        <v>1</v>
      </c>
      <c r="AT117">
        <f>TYPE(All_India_Index_Upto_April23__1[[#This Row],[Prepared meals, snacks, sweets etc.]])</f>
        <v>1</v>
      </c>
      <c r="AU117">
        <f>TYPE(All_India_Index_Upto_April23__1[[#This Row],[Food and beverages]])</f>
        <v>1</v>
      </c>
      <c r="AV117">
        <f>TYPE(All_India_Index_Upto_April23__1[[#This Row],[Pan, tobacco and intoxicants]])</f>
        <v>1</v>
      </c>
      <c r="AW117">
        <f>TYPE(All_India_Index_Upto_April23__1[[#This Row],[Clothing]])</f>
        <v>1</v>
      </c>
      <c r="AX117">
        <f>TYPE(All_India_Index_Upto_April23__1[[#This Row],[Footwear]])</f>
        <v>1</v>
      </c>
      <c r="AY117">
        <f>TYPE(All_India_Index_Upto_April23__1[[#This Row],[Clothing and footwear]])</f>
        <v>1</v>
      </c>
      <c r="AZ117">
        <f>TYPE(All_India_Index_Upto_April23__1[[#This Row],[Housing]])</f>
        <v>1</v>
      </c>
      <c r="BA117">
        <f>TYPE(All_India_Index_Upto_April23__1[[#This Row],[Fuel and light]])</f>
        <v>1</v>
      </c>
      <c r="BB117">
        <f>TYPE(All_India_Index_Upto_April23__1[[#This Row],[Household goods and services]])</f>
        <v>1</v>
      </c>
      <c r="BC117">
        <f>TYPE(All_India_Index_Upto_April23__1[[#This Row],[Health]])</f>
        <v>1</v>
      </c>
      <c r="BD117">
        <f>TYPE(All_India_Index_Upto_April23__1[[#This Row],[Transport and communication]])</f>
        <v>1</v>
      </c>
      <c r="BE117">
        <f>TYPE(All_India_Index_Upto_April23__1[[#This Row],[Recreation and amusement]])</f>
        <v>1</v>
      </c>
      <c r="BF117">
        <f>TYPE(All_India_Index_Upto_April23__1[[#This Row],[Education]])</f>
        <v>1</v>
      </c>
      <c r="BG117">
        <f>TYPE(All_India_Index_Upto_April23__1[[#This Row],[Personal care and effects]])</f>
        <v>1</v>
      </c>
      <c r="BH117">
        <f>TYPE(All_India_Index_Upto_April23__1[[#This Row],[Miscellaneous]])</f>
        <v>1</v>
      </c>
      <c r="BI117">
        <f>TYPE(All_India_Index_Upto_April23__1[[#This Row],[General index]])</f>
        <v>1</v>
      </c>
    </row>
    <row r="118" spans="1:61" x14ac:dyDescent="0.3">
      <c r="A118" t="s">
        <v>33</v>
      </c>
      <c r="B118">
        <v>2016</v>
      </c>
      <c r="C118" t="s">
        <v>35</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c r="AF118">
        <f>TYPE(All_India_Index_Upto_April23__1[[#This Row],[Sector]])</f>
        <v>2</v>
      </c>
      <c r="AG118">
        <f>TYPE(All_India_Index_Upto_April23__1[[#This Row],[Year]])</f>
        <v>1</v>
      </c>
      <c r="AH118">
        <f>TYPE(All_India_Index_Upto_April23__1[[#This Row],[Month]])</f>
        <v>2</v>
      </c>
      <c r="AI118">
        <f>TYPE(All_India_Index_Upto_April23__1[[#This Row],[Cereals and products]])</f>
        <v>1</v>
      </c>
      <c r="AJ118">
        <f>TYPE(All_India_Index_Upto_April23__1[[#This Row],[Meat and fish]])</f>
        <v>1</v>
      </c>
      <c r="AK118">
        <f>TYPE(All_India_Index_Upto_April23__1[[#This Row],[Egg]])</f>
        <v>1</v>
      </c>
      <c r="AL118">
        <f>TYPE(All_India_Index_Upto_April23__1[[#This Row],[Milk and products]])</f>
        <v>1</v>
      </c>
      <c r="AM118">
        <f>TYPE(All_India_Index_Upto_April23__1[[#This Row],[Oils and fats]])</f>
        <v>1</v>
      </c>
      <c r="AN118">
        <f>TYPE(All_India_Index_Upto_April23__1[[#This Row],[Fruits]])</f>
        <v>1</v>
      </c>
      <c r="AO118">
        <f>TYPE(All_India_Index_Upto_April23__1[[#This Row],[Vegetables]])</f>
        <v>1</v>
      </c>
      <c r="AP118">
        <f>TYPE(All_India_Index_Upto_April23__1[[#This Row],[Pulses and products]])</f>
        <v>1</v>
      </c>
      <c r="AQ118">
        <f>TYPE(All_India_Index_Upto_April23__1[[#This Row],[Sugar and Confectionery]])</f>
        <v>1</v>
      </c>
      <c r="AR118">
        <f>TYPE(All_India_Index_Upto_April23__1[[#This Row],[Spices]])</f>
        <v>1</v>
      </c>
      <c r="AS118">
        <f>TYPE(All_India_Index_Upto_April23__1[[#This Row],[Non-alcoholic beverages]])</f>
        <v>1</v>
      </c>
      <c r="AT118">
        <f>TYPE(All_India_Index_Upto_April23__1[[#This Row],[Prepared meals, snacks, sweets etc.]])</f>
        <v>1</v>
      </c>
      <c r="AU118">
        <f>TYPE(All_India_Index_Upto_April23__1[[#This Row],[Food and beverages]])</f>
        <v>1</v>
      </c>
      <c r="AV118">
        <f>TYPE(All_India_Index_Upto_April23__1[[#This Row],[Pan, tobacco and intoxicants]])</f>
        <v>1</v>
      </c>
      <c r="AW118">
        <f>TYPE(All_India_Index_Upto_April23__1[[#This Row],[Clothing]])</f>
        <v>1</v>
      </c>
      <c r="AX118">
        <f>TYPE(All_India_Index_Upto_April23__1[[#This Row],[Footwear]])</f>
        <v>1</v>
      </c>
      <c r="AY118">
        <f>TYPE(All_India_Index_Upto_April23__1[[#This Row],[Clothing and footwear]])</f>
        <v>1</v>
      </c>
      <c r="AZ118">
        <f>TYPE(All_India_Index_Upto_April23__1[[#This Row],[Housing]])</f>
        <v>1</v>
      </c>
      <c r="BA118">
        <f>TYPE(All_India_Index_Upto_April23__1[[#This Row],[Fuel and light]])</f>
        <v>1</v>
      </c>
      <c r="BB118">
        <f>TYPE(All_India_Index_Upto_April23__1[[#This Row],[Household goods and services]])</f>
        <v>1</v>
      </c>
      <c r="BC118">
        <f>TYPE(All_India_Index_Upto_April23__1[[#This Row],[Health]])</f>
        <v>1</v>
      </c>
      <c r="BD118">
        <f>TYPE(All_India_Index_Upto_April23__1[[#This Row],[Transport and communication]])</f>
        <v>1</v>
      </c>
      <c r="BE118">
        <f>TYPE(All_India_Index_Upto_April23__1[[#This Row],[Recreation and amusement]])</f>
        <v>1</v>
      </c>
      <c r="BF118">
        <f>TYPE(All_India_Index_Upto_April23__1[[#This Row],[Education]])</f>
        <v>1</v>
      </c>
      <c r="BG118">
        <f>TYPE(All_India_Index_Upto_April23__1[[#This Row],[Personal care and effects]])</f>
        <v>1</v>
      </c>
      <c r="BH118">
        <f>TYPE(All_India_Index_Upto_April23__1[[#This Row],[Miscellaneous]])</f>
        <v>1</v>
      </c>
      <c r="BI118">
        <f>TYPE(All_India_Index_Upto_April23__1[[#This Row],[General index]])</f>
        <v>1</v>
      </c>
    </row>
    <row r="119" spans="1:61" x14ac:dyDescent="0.3">
      <c r="A119" t="s">
        <v>30</v>
      </c>
      <c r="B119">
        <v>2016</v>
      </c>
      <c r="C119" t="s">
        <v>36</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v>0</v>
      </c>
      <c r="V119">
        <v>127</v>
      </c>
      <c r="W119">
        <v>128</v>
      </c>
      <c r="X119">
        <v>125.2</v>
      </c>
      <c r="Y119">
        <v>114.4</v>
      </c>
      <c r="Z119">
        <v>123.2</v>
      </c>
      <c r="AA119">
        <v>127.9</v>
      </c>
      <c r="AB119">
        <v>118.4</v>
      </c>
      <c r="AC119">
        <v>121.7</v>
      </c>
      <c r="AD119">
        <v>129</v>
      </c>
      <c r="AF119">
        <f>TYPE(All_India_Index_Upto_April23__1[[#This Row],[Sector]])</f>
        <v>2</v>
      </c>
      <c r="AG119">
        <f>TYPE(All_India_Index_Upto_April23__1[[#This Row],[Year]])</f>
        <v>1</v>
      </c>
      <c r="AH119">
        <f>TYPE(All_India_Index_Upto_April23__1[[#This Row],[Month]])</f>
        <v>2</v>
      </c>
      <c r="AI119">
        <f>TYPE(All_India_Index_Upto_April23__1[[#This Row],[Cereals and products]])</f>
        <v>1</v>
      </c>
      <c r="AJ119">
        <f>TYPE(All_India_Index_Upto_April23__1[[#This Row],[Meat and fish]])</f>
        <v>1</v>
      </c>
      <c r="AK119">
        <f>TYPE(All_India_Index_Upto_April23__1[[#This Row],[Egg]])</f>
        <v>1</v>
      </c>
      <c r="AL119">
        <f>TYPE(All_India_Index_Upto_April23__1[[#This Row],[Milk and products]])</f>
        <v>1</v>
      </c>
      <c r="AM119">
        <f>TYPE(All_India_Index_Upto_April23__1[[#This Row],[Oils and fats]])</f>
        <v>1</v>
      </c>
      <c r="AN119">
        <f>TYPE(All_India_Index_Upto_April23__1[[#This Row],[Fruits]])</f>
        <v>1</v>
      </c>
      <c r="AO119">
        <f>TYPE(All_India_Index_Upto_April23__1[[#This Row],[Vegetables]])</f>
        <v>1</v>
      </c>
      <c r="AP119">
        <f>TYPE(All_India_Index_Upto_April23__1[[#This Row],[Pulses and products]])</f>
        <v>1</v>
      </c>
      <c r="AQ119">
        <f>TYPE(All_India_Index_Upto_April23__1[[#This Row],[Sugar and Confectionery]])</f>
        <v>1</v>
      </c>
      <c r="AR119">
        <f>TYPE(All_India_Index_Upto_April23__1[[#This Row],[Spices]])</f>
        <v>1</v>
      </c>
      <c r="AS119">
        <f>TYPE(All_India_Index_Upto_April23__1[[#This Row],[Non-alcoholic beverages]])</f>
        <v>1</v>
      </c>
      <c r="AT119">
        <f>TYPE(All_India_Index_Upto_April23__1[[#This Row],[Prepared meals, snacks, sweets etc.]])</f>
        <v>1</v>
      </c>
      <c r="AU119">
        <f>TYPE(All_India_Index_Upto_April23__1[[#This Row],[Food and beverages]])</f>
        <v>1</v>
      </c>
      <c r="AV119">
        <f>TYPE(All_India_Index_Upto_April23__1[[#This Row],[Pan, tobacco and intoxicants]])</f>
        <v>1</v>
      </c>
      <c r="AW119">
        <f>TYPE(All_India_Index_Upto_April23__1[[#This Row],[Clothing]])</f>
        <v>1</v>
      </c>
      <c r="AX119">
        <f>TYPE(All_India_Index_Upto_April23__1[[#This Row],[Footwear]])</f>
        <v>1</v>
      </c>
      <c r="AY119">
        <f>TYPE(All_India_Index_Upto_April23__1[[#This Row],[Clothing and footwear]])</f>
        <v>1</v>
      </c>
      <c r="AZ119">
        <f>TYPE(All_India_Index_Upto_April23__1[[#This Row],[Housing]])</f>
        <v>1</v>
      </c>
      <c r="BA119">
        <f>TYPE(All_India_Index_Upto_April23__1[[#This Row],[Fuel and light]])</f>
        <v>1</v>
      </c>
      <c r="BB119">
        <f>TYPE(All_India_Index_Upto_April23__1[[#This Row],[Household goods and services]])</f>
        <v>1</v>
      </c>
      <c r="BC119">
        <f>TYPE(All_India_Index_Upto_April23__1[[#This Row],[Health]])</f>
        <v>1</v>
      </c>
      <c r="BD119">
        <f>TYPE(All_India_Index_Upto_April23__1[[#This Row],[Transport and communication]])</f>
        <v>1</v>
      </c>
      <c r="BE119">
        <f>TYPE(All_India_Index_Upto_April23__1[[#This Row],[Recreation and amusement]])</f>
        <v>1</v>
      </c>
      <c r="BF119">
        <f>TYPE(All_India_Index_Upto_April23__1[[#This Row],[Education]])</f>
        <v>1</v>
      </c>
      <c r="BG119">
        <f>TYPE(All_India_Index_Upto_April23__1[[#This Row],[Personal care and effects]])</f>
        <v>1</v>
      </c>
      <c r="BH119">
        <f>TYPE(All_India_Index_Upto_April23__1[[#This Row],[Miscellaneous]])</f>
        <v>1</v>
      </c>
      <c r="BI119">
        <f>TYPE(All_India_Index_Upto_April23__1[[#This Row],[General index]])</f>
        <v>1</v>
      </c>
    </row>
    <row r="120" spans="1:61" x14ac:dyDescent="0.3">
      <c r="A120" t="s">
        <v>32</v>
      </c>
      <c r="B120">
        <v>2016</v>
      </c>
      <c r="C120" t="s">
        <v>36</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c r="AF120">
        <f>TYPE(All_India_Index_Upto_April23__1[[#This Row],[Sector]])</f>
        <v>2</v>
      </c>
      <c r="AG120">
        <f>TYPE(All_India_Index_Upto_April23__1[[#This Row],[Year]])</f>
        <v>1</v>
      </c>
      <c r="AH120">
        <f>TYPE(All_India_Index_Upto_April23__1[[#This Row],[Month]])</f>
        <v>2</v>
      </c>
      <c r="AI120">
        <f>TYPE(All_India_Index_Upto_April23__1[[#This Row],[Cereals and products]])</f>
        <v>1</v>
      </c>
      <c r="AJ120">
        <f>TYPE(All_India_Index_Upto_April23__1[[#This Row],[Meat and fish]])</f>
        <v>1</v>
      </c>
      <c r="AK120">
        <f>TYPE(All_India_Index_Upto_April23__1[[#This Row],[Egg]])</f>
        <v>1</v>
      </c>
      <c r="AL120">
        <f>TYPE(All_India_Index_Upto_April23__1[[#This Row],[Milk and products]])</f>
        <v>1</v>
      </c>
      <c r="AM120">
        <f>TYPE(All_India_Index_Upto_April23__1[[#This Row],[Oils and fats]])</f>
        <v>1</v>
      </c>
      <c r="AN120">
        <f>TYPE(All_India_Index_Upto_April23__1[[#This Row],[Fruits]])</f>
        <v>1</v>
      </c>
      <c r="AO120">
        <f>TYPE(All_India_Index_Upto_April23__1[[#This Row],[Vegetables]])</f>
        <v>1</v>
      </c>
      <c r="AP120">
        <f>TYPE(All_India_Index_Upto_April23__1[[#This Row],[Pulses and products]])</f>
        <v>1</v>
      </c>
      <c r="AQ120">
        <f>TYPE(All_India_Index_Upto_April23__1[[#This Row],[Sugar and Confectionery]])</f>
        <v>1</v>
      </c>
      <c r="AR120">
        <f>TYPE(All_India_Index_Upto_April23__1[[#This Row],[Spices]])</f>
        <v>1</v>
      </c>
      <c r="AS120">
        <f>TYPE(All_India_Index_Upto_April23__1[[#This Row],[Non-alcoholic beverages]])</f>
        <v>1</v>
      </c>
      <c r="AT120">
        <f>TYPE(All_India_Index_Upto_April23__1[[#This Row],[Prepared meals, snacks, sweets etc.]])</f>
        <v>1</v>
      </c>
      <c r="AU120">
        <f>TYPE(All_India_Index_Upto_April23__1[[#This Row],[Food and beverages]])</f>
        <v>1</v>
      </c>
      <c r="AV120">
        <f>TYPE(All_India_Index_Upto_April23__1[[#This Row],[Pan, tobacco and intoxicants]])</f>
        <v>1</v>
      </c>
      <c r="AW120">
        <f>TYPE(All_India_Index_Upto_April23__1[[#This Row],[Clothing]])</f>
        <v>1</v>
      </c>
      <c r="AX120">
        <f>TYPE(All_India_Index_Upto_April23__1[[#This Row],[Footwear]])</f>
        <v>1</v>
      </c>
      <c r="AY120">
        <f>TYPE(All_India_Index_Upto_April23__1[[#This Row],[Clothing and footwear]])</f>
        <v>1</v>
      </c>
      <c r="AZ120">
        <f>TYPE(All_India_Index_Upto_April23__1[[#This Row],[Housing]])</f>
        <v>1</v>
      </c>
      <c r="BA120">
        <f>TYPE(All_India_Index_Upto_April23__1[[#This Row],[Fuel and light]])</f>
        <v>1</v>
      </c>
      <c r="BB120">
        <f>TYPE(All_India_Index_Upto_April23__1[[#This Row],[Household goods and services]])</f>
        <v>1</v>
      </c>
      <c r="BC120">
        <f>TYPE(All_India_Index_Upto_April23__1[[#This Row],[Health]])</f>
        <v>1</v>
      </c>
      <c r="BD120">
        <f>TYPE(All_India_Index_Upto_April23__1[[#This Row],[Transport and communication]])</f>
        <v>1</v>
      </c>
      <c r="BE120">
        <f>TYPE(All_India_Index_Upto_April23__1[[#This Row],[Recreation and amusement]])</f>
        <v>1</v>
      </c>
      <c r="BF120">
        <f>TYPE(All_India_Index_Upto_April23__1[[#This Row],[Education]])</f>
        <v>1</v>
      </c>
      <c r="BG120">
        <f>TYPE(All_India_Index_Upto_April23__1[[#This Row],[Personal care and effects]])</f>
        <v>1</v>
      </c>
      <c r="BH120">
        <f>TYPE(All_India_Index_Upto_April23__1[[#This Row],[Miscellaneous]])</f>
        <v>1</v>
      </c>
      <c r="BI120">
        <f>TYPE(All_India_Index_Upto_April23__1[[#This Row],[General index]])</f>
        <v>1</v>
      </c>
    </row>
    <row r="121" spans="1:61" x14ac:dyDescent="0.3">
      <c r="A121" t="s">
        <v>33</v>
      </c>
      <c r="B121">
        <v>2016</v>
      </c>
      <c r="C121" t="s">
        <v>36</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c r="AF121">
        <f>TYPE(All_India_Index_Upto_April23__1[[#This Row],[Sector]])</f>
        <v>2</v>
      </c>
      <c r="AG121">
        <f>TYPE(All_India_Index_Upto_April23__1[[#This Row],[Year]])</f>
        <v>1</v>
      </c>
      <c r="AH121">
        <f>TYPE(All_India_Index_Upto_April23__1[[#This Row],[Month]])</f>
        <v>2</v>
      </c>
      <c r="AI121">
        <f>TYPE(All_India_Index_Upto_April23__1[[#This Row],[Cereals and products]])</f>
        <v>1</v>
      </c>
      <c r="AJ121">
        <f>TYPE(All_India_Index_Upto_April23__1[[#This Row],[Meat and fish]])</f>
        <v>1</v>
      </c>
      <c r="AK121">
        <f>TYPE(All_India_Index_Upto_April23__1[[#This Row],[Egg]])</f>
        <v>1</v>
      </c>
      <c r="AL121">
        <f>TYPE(All_India_Index_Upto_April23__1[[#This Row],[Milk and products]])</f>
        <v>1</v>
      </c>
      <c r="AM121">
        <f>TYPE(All_India_Index_Upto_April23__1[[#This Row],[Oils and fats]])</f>
        <v>1</v>
      </c>
      <c r="AN121">
        <f>TYPE(All_India_Index_Upto_April23__1[[#This Row],[Fruits]])</f>
        <v>1</v>
      </c>
      <c r="AO121">
        <f>TYPE(All_India_Index_Upto_April23__1[[#This Row],[Vegetables]])</f>
        <v>1</v>
      </c>
      <c r="AP121">
        <f>TYPE(All_India_Index_Upto_April23__1[[#This Row],[Pulses and products]])</f>
        <v>1</v>
      </c>
      <c r="AQ121">
        <f>TYPE(All_India_Index_Upto_April23__1[[#This Row],[Sugar and Confectionery]])</f>
        <v>1</v>
      </c>
      <c r="AR121">
        <f>TYPE(All_India_Index_Upto_April23__1[[#This Row],[Spices]])</f>
        <v>1</v>
      </c>
      <c r="AS121">
        <f>TYPE(All_India_Index_Upto_April23__1[[#This Row],[Non-alcoholic beverages]])</f>
        <v>1</v>
      </c>
      <c r="AT121">
        <f>TYPE(All_India_Index_Upto_April23__1[[#This Row],[Prepared meals, snacks, sweets etc.]])</f>
        <v>1</v>
      </c>
      <c r="AU121">
        <f>TYPE(All_India_Index_Upto_April23__1[[#This Row],[Food and beverages]])</f>
        <v>1</v>
      </c>
      <c r="AV121">
        <f>TYPE(All_India_Index_Upto_April23__1[[#This Row],[Pan, tobacco and intoxicants]])</f>
        <v>1</v>
      </c>
      <c r="AW121">
        <f>TYPE(All_India_Index_Upto_April23__1[[#This Row],[Clothing]])</f>
        <v>1</v>
      </c>
      <c r="AX121">
        <f>TYPE(All_India_Index_Upto_April23__1[[#This Row],[Footwear]])</f>
        <v>1</v>
      </c>
      <c r="AY121">
        <f>TYPE(All_India_Index_Upto_April23__1[[#This Row],[Clothing and footwear]])</f>
        <v>1</v>
      </c>
      <c r="AZ121">
        <f>TYPE(All_India_Index_Upto_April23__1[[#This Row],[Housing]])</f>
        <v>1</v>
      </c>
      <c r="BA121">
        <f>TYPE(All_India_Index_Upto_April23__1[[#This Row],[Fuel and light]])</f>
        <v>1</v>
      </c>
      <c r="BB121">
        <f>TYPE(All_India_Index_Upto_April23__1[[#This Row],[Household goods and services]])</f>
        <v>1</v>
      </c>
      <c r="BC121">
        <f>TYPE(All_India_Index_Upto_April23__1[[#This Row],[Health]])</f>
        <v>1</v>
      </c>
      <c r="BD121">
        <f>TYPE(All_India_Index_Upto_April23__1[[#This Row],[Transport and communication]])</f>
        <v>1</v>
      </c>
      <c r="BE121">
        <f>TYPE(All_India_Index_Upto_April23__1[[#This Row],[Recreation and amusement]])</f>
        <v>1</v>
      </c>
      <c r="BF121">
        <f>TYPE(All_India_Index_Upto_April23__1[[#This Row],[Education]])</f>
        <v>1</v>
      </c>
      <c r="BG121">
        <f>TYPE(All_India_Index_Upto_April23__1[[#This Row],[Personal care and effects]])</f>
        <v>1</v>
      </c>
      <c r="BH121">
        <f>TYPE(All_India_Index_Upto_April23__1[[#This Row],[Miscellaneous]])</f>
        <v>1</v>
      </c>
      <c r="BI121">
        <f>TYPE(All_India_Index_Upto_April23__1[[#This Row],[General index]])</f>
        <v>1</v>
      </c>
    </row>
    <row r="122" spans="1:61" x14ac:dyDescent="0.3">
      <c r="A122" t="s">
        <v>30</v>
      </c>
      <c r="B122">
        <v>2016</v>
      </c>
      <c r="C122" t="s">
        <v>37</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v>0</v>
      </c>
      <c r="V122">
        <v>127.4</v>
      </c>
      <c r="W122">
        <v>128.5</v>
      </c>
      <c r="X122">
        <v>125.8</v>
      </c>
      <c r="Y122">
        <v>115.1</v>
      </c>
      <c r="Z122">
        <v>123.6</v>
      </c>
      <c r="AA122">
        <v>129.1</v>
      </c>
      <c r="AB122">
        <v>119.7</v>
      </c>
      <c r="AC122">
        <v>122.5</v>
      </c>
      <c r="AD122">
        <v>130.30000000000001</v>
      </c>
      <c r="AF122">
        <f>TYPE(All_India_Index_Upto_April23__1[[#This Row],[Sector]])</f>
        <v>2</v>
      </c>
      <c r="AG122">
        <f>TYPE(All_India_Index_Upto_April23__1[[#This Row],[Year]])</f>
        <v>1</v>
      </c>
      <c r="AH122">
        <f>TYPE(All_India_Index_Upto_April23__1[[#This Row],[Month]])</f>
        <v>2</v>
      </c>
      <c r="AI122">
        <f>TYPE(All_India_Index_Upto_April23__1[[#This Row],[Cereals and products]])</f>
        <v>1</v>
      </c>
      <c r="AJ122">
        <f>TYPE(All_India_Index_Upto_April23__1[[#This Row],[Meat and fish]])</f>
        <v>1</v>
      </c>
      <c r="AK122">
        <f>TYPE(All_India_Index_Upto_April23__1[[#This Row],[Egg]])</f>
        <v>1</v>
      </c>
      <c r="AL122">
        <f>TYPE(All_India_Index_Upto_April23__1[[#This Row],[Milk and products]])</f>
        <v>1</v>
      </c>
      <c r="AM122">
        <f>TYPE(All_India_Index_Upto_April23__1[[#This Row],[Oils and fats]])</f>
        <v>1</v>
      </c>
      <c r="AN122">
        <f>TYPE(All_India_Index_Upto_April23__1[[#This Row],[Fruits]])</f>
        <v>1</v>
      </c>
      <c r="AO122">
        <f>TYPE(All_India_Index_Upto_April23__1[[#This Row],[Vegetables]])</f>
        <v>1</v>
      </c>
      <c r="AP122">
        <f>TYPE(All_India_Index_Upto_April23__1[[#This Row],[Pulses and products]])</f>
        <v>1</v>
      </c>
      <c r="AQ122">
        <f>TYPE(All_India_Index_Upto_April23__1[[#This Row],[Sugar and Confectionery]])</f>
        <v>1</v>
      </c>
      <c r="AR122">
        <f>TYPE(All_India_Index_Upto_April23__1[[#This Row],[Spices]])</f>
        <v>1</v>
      </c>
      <c r="AS122">
        <f>TYPE(All_India_Index_Upto_April23__1[[#This Row],[Non-alcoholic beverages]])</f>
        <v>1</v>
      </c>
      <c r="AT122">
        <f>TYPE(All_India_Index_Upto_April23__1[[#This Row],[Prepared meals, snacks, sweets etc.]])</f>
        <v>1</v>
      </c>
      <c r="AU122">
        <f>TYPE(All_India_Index_Upto_April23__1[[#This Row],[Food and beverages]])</f>
        <v>1</v>
      </c>
      <c r="AV122">
        <f>TYPE(All_India_Index_Upto_April23__1[[#This Row],[Pan, tobacco and intoxicants]])</f>
        <v>1</v>
      </c>
      <c r="AW122">
        <f>TYPE(All_India_Index_Upto_April23__1[[#This Row],[Clothing]])</f>
        <v>1</v>
      </c>
      <c r="AX122">
        <f>TYPE(All_India_Index_Upto_April23__1[[#This Row],[Footwear]])</f>
        <v>1</v>
      </c>
      <c r="AY122">
        <f>TYPE(All_India_Index_Upto_April23__1[[#This Row],[Clothing and footwear]])</f>
        <v>1</v>
      </c>
      <c r="AZ122">
        <f>TYPE(All_India_Index_Upto_April23__1[[#This Row],[Housing]])</f>
        <v>1</v>
      </c>
      <c r="BA122">
        <f>TYPE(All_India_Index_Upto_April23__1[[#This Row],[Fuel and light]])</f>
        <v>1</v>
      </c>
      <c r="BB122">
        <f>TYPE(All_India_Index_Upto_April23__1[[#This Row],[Household goods and services]])</f>
        <v>1</v>
      </c>
      <c r="BC122">
        <f>TYPE(All_India_Index_Upto_April23__1[[#This Row],[Health]])</f>
        <v>1</v>
      </c>
      <c r="BD122">
        <f>TYPE(All_India_Index_Upto_April23__1[[#This Row],[Transport and communication]])</f>
        <v>1</v>
      </c>
      <c r="BE122">
        <f>TYPE(All_India_Index_Upto_April23__1[[#This Row],[Recreation and amusement]])</f>
        <v>1</v>
      </c>
      <c r="BF122">
        <f>TYPE(All_India_Index_Upto_April23__1[[#This Row],[Education]])</f>
        <v>1</v>
      </c>
      <c r="BG122">
        <f>TYPE(All_India_Index_Upto_April23__1[[#This Row],[Personal care and effects]])</f>
        <v>1</v>
      </c>
      <c r="BH122">
        <f>TYPE(All_India_Index_Upto_April23__1[[#This Row],[Miscellaneous]])</f>
        <v>1</v>
      </c>
      <c r="BI122">
        <f>TYPE(All_India_Index_Upto_April23__1[[#This Row],[General index]])</f>
        <v>1</v>
      </c>
    </row>
    <row r="123" spans="1:61" x14ac:dyDescent="0.3">
      <c r="A123" t="s">
        <v>32</v>
      </c>
      <c r="B123">
        <v>2016</v>
      </c>
      <c r="C123" t="s">
        <v>37</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c r="AF123">
        <f>TYPE(All_India_Index_Upto_April23__1[[#This Row],[Sector]])</f>
        <v>2</v>
      </c>
      <c r="AG123">
        <f>TYPE(All_India_Index_Upto_April23__1[[#This Row],[Year]])</f>
        <v>1</v>
      </c>
      <c r="AH123">
        <f>TYPE(All_India_Index_Upto_April23__1[[#This Row],[Month]])</f>
        <v>2</v>
      </c>
      <c r="AI123">
        <f>TYPE(All_India_Index_Upto_April23__1[[#This Row],[Cereals and products]])</f>
        <v>1</v>
      </c>
      <c r="AJ123">
        <f>TYPE(All_India_Index_Upto_April23__1[[#This Row],[Meat and fish]])</f>
        <v>1</v>
      </c>
      <c r="AK123">
        <f>TYPE(All_India_Index_Upto_April23__1[[#This Row],[Egg]])</f>
        <v>1</v>
      </c>
      <c r="AL123">
        <f>TYPE(All_India_Index_Upto_April23__1[[#This Row],[Milk and products]])</f>
        <v>1</v>
      </c>
      <c r="AM123">
        <f>TYPE(All_India_Index_Upto_April23__1[[#This Row],[Oils and fats]])</f>
        <v>1</v>
      </c>
      <c r="AN123">
        <f>TYPE(All_India_Index_Upto_April23__1[[#This Row],[Fruits]])</f>
        <v>1</v>
      </c>
      <c r="AO123">
        <f>TYPE(All_India_Index_Upto_April23__1[[#This Row],[Vegetables]])</f>
        <v>1</v>
      </c>
      <c r="AP123">
        <f>TYPE(All_India_Index_Upto_April23__1[[#This Row],[Pulses and products]])</f>
        <v>1</v>
      </c>
      <c r="AQ123">
        <f>TYPE(All_India_Index_Upto_April23__1[[#This Row],[Sugar and Confectionery]])</f>
        <v>1</v>
      </c>
      <c r="AR123">
        <f>TYPE(All_India_Index_Upto_April23__1[[#This Row],[Spices]])</f>
        <v>1</v>
      </c>
      <c r="AS123">
        <f>TYPE(All_India_Index_Upto_April23__1[[#This Row],[Non-alcoholic beverages]])</f>
        <v>1</v>
      </c>
      <c r="AT123">
        <f>TYPE(All_India_Index_Upto_April23__1[[#This Row],[Prepared meals, snacks, sweets etc.]])</f>
        <v>1</v>
      </c>
      <c r="AU123">
        <f>TYPE(All_India_Index_Upto_April23__1[[#This Row],[Food and beverages]])</f>
        <v>1</v>
      </c>
      <c r="AV123">
        <f>TYPE(All_India_Index_Upto_April23__1[[#This Row],[Pan, tobacco and intoxicants]])</f>
        <v>1</v>
      </c>
      <c r="AW123">
        <f>TYPE(All_India_Index_Upto_April23__1[[#This Row],[Clothing]])</f>
        <v>1</v>
      </c>
      <c r="AX123">
        <f>TYPE(All_India_Index_Upto_April23__1[[#This Row],[Footwear]])</f>
        <v>1</v>
      </c>
      <c r="AY123">
        <f>TYPE(All_India_Index_Upto_April23__1[[#This Row],[Clothing and footwear]])</f>
        <v>1</v>
      </c>
      <c r="AZ123">
        <f>TYPE(All_India_Index_Upto_April23__1[[#This Row],[Housing]])</f>
        <v>1</v>
      </c>
      <c r="BA123">
        <f>TYPE(All_India_Index_Upto_April23__1[[#This Row],[Fuel and light]])</f>
        <v>1</v>
      </c>
      <c r="BB123">
        <f>TYPE(All_India_Index_Upto_April23__1[[#This Row],[Household goods and services]])</f>
        <v>1</v>
      </c>
      <c r="BC123">
        <f>TYPE(All_India_Index_Upto_April23__1[[#This Row],[Health]])</f>
        <v>1</v>
      </c>
      <c r="BD123">
        <f>TYPE(All_India_Index_Upto_April23__1[[#This Row],[Transport and communication]])</f>
        <v>1</v>
      </c>
      <c r="BE123">
        <f>TYPE(All_India_Index_Upto_April23__1[[#This Row],[Recreation and amusement]])</f>
        <v>1</v>
      </c>
      <c r="BF123">
        <f>TYPE(All_India_Index_Upto_April23__1[[#This Row],[Education]])</f>
        <v>1</v>
      </c>
      <c r="BG123">
        <f>TYPE(All_India_Index_Upto_April23__1[[#This Row],[Personal care and effects]])</f>
        <v>1</v>
      </c>
      <c r="BH123">
        <f>TYPE(All_India_Index_Upto_April23__1[[#This Row],[Miscellaneous]])</f>
        <v>1</v>
      </c>
      <c r="BI123">
        <f>TYPE(All_India_Index_Upto_April23__1[[#This Row],[General index]])</f>
        <v>1</v>
      </c>
    </row>
    <row r="124" spans="1:61" x14ac:dyDescent="0.3">
      <c r="A124" t="s">
        <v>33</v>
      </c>
      <c r="B124">
        <v>2016</v>
      </c>
      <c r="C124" t="s">
        <v>37</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c r="AF124">
        <f>TYPE(All_India_Index_Upto_April23__1[[#This Row],[Sector]])</f>
        <v>2</v>
      </c>
      <c r="AG124">
        <f>TYPE(All_India_Index_Upto_April23__1[[#This Row],[Year]])</f>
        <v>1</v>
      </c>
      <c r="AH124">
        <f>TYPE(All_India_Index_Upto_April23__1[[#This Row],[Month]])</f>
        <v>2</v>
      </c>
      <c r="AI124">
        <f>TYPE(All_India_Index_Upto_April23__1[[#This Row],[Cereals and products]])</f>
        <v>1</v>
      </c>
      <c r="AJ124">
        <f>TYPE(All_India_Index_Upto_April23__1[[#This Row],[Meat and fish]])</f>
        <v>1</v>
      </c>
      <c r="AK124">
        <f>TYPE(All_India_Index_Upto_April23__1[[#This Row],[Egg]])</f>
        <v>1</v>
      </c>
      <c r="AL124">
        <f>TYPE(All_India_Index_Upto_April23__1[[#This Row],[Milk and products]])</f>
        <v>1</v>
      </c>
      <c r="AM124">
        <f>TYPE(All_India_Index_Upto_April23__1[[#This Row],[Oils and fats]])</f>
        <v>1</v>
      </c>
      <c r="AN124">
        <f>TYPE(All_India_Index_Upto_April23__1[[#This Row],[Fruits]])</f>
        <v>1</v>
      </c>
      <c r="AO124">
        <f>TYPE(All_India_Index_Upto_April23__1[[#This Row],[Vegetables]])</f>
        <v>1</v>
      </c>
      <c r="AP124">
        <f>TYPE(All_India_Index_Upto_April23__1[[#This Row],[Pulses and products]])</f>
        <v>1</v>
      </c>
      <c r="AQ124">
        <f>TYPE(All_India_Index_Upto_April23__1[[#This Row],[Sugar and Confectionery]])</f>
        <v>1</v>
      </c>
      <c r="AR124">
        <f>TYPE(All_India_Index_Upto_April23__1[[#This Row],[Spices]])</f>
        <v>1</v>
      </c>
      <c r="AS124">
        <f>TYPE(All_India_Index_Upto_April23__1[[#This Row],[Non-alcoholic beverages]])</f>
        <v>1</v>
      </c>
      <c r="AT124">
        <f>TYPE(All_India_Index_Upto_April23__1[[#This Row],[Prepared meals, snacks, sweets etc.]])</f>
        <v>1</v>
      </c>
      <c r="AU124">
        <f>TYPE(All_India_Index_Upto_April23__1[[#This Row],[Food and beverages]])</f>
        <v>1</v>
      </c>
      <c r="AV124">
        <f>TYPE(All_India_Index_Upto_April23__1[[#This Row],[Pan, tobacco and intoxicants]])</f>
        <v>1</v>
      </c>
      <c r="AW124">
        <f>TYPE(All_India_Index_Upto_April23__1[[#This Row],[Clothing]])</f>
        <v>1</v>
      </c>
      <c r="AX124">
        <f>TYPE(All_India_Index_Upto_April23__1[[#This Row],[Footwear]])</f>
        <v>1</v>
      </c>
      <c r="AY124">
        <f>TYPE(All_India_Index_Upto_April23__1[[#This Row],[Clothing and footwear]])</f>
        <v>1</v>
      </c>
      <c r="AZ124">
        <f>TYPE(All_India_Index_Upto_April23__1[[#This Row],[Housing]])</f>
        <v>1</v>
      </c>
      <c r="BA124">
        <f>TYPE(All_India_Index_Upto_April23__1[[#This Row],[Fuel and light]])</f>
        <v>1</v>
      </c>
      <c r="BB124">
        <f>TYPE(All_India_Index_Upto_April23__1[[#This Row],[Household goods and services]])</f>
        <v>1</v>
      </c>
      <c r="BC124">
        <f>TYPE(All_India_Index_Upto_April23__1[[#This Row],[Health]])</f>
        <v>1</v>
      </c>
      <c r="BD124">
        <f>TYPE(All_India_Index_Upto_April23__1[[#This Row],[Transport and communication]])</f>
        <v>1</v>
      </c>
      <c r="BE124">
        <f>TYPE(All_India_Index_Upto_April23__1[[#This Row],[Recreation and amusement]])</f>
        <v>1</v>
      </c>
      <c r="BF124">
        <f>TYPE(All_India_Index_Upto_April23__1[[#This Row],[Education]])</f>
        <v>1</v>
      </c>
      <c r="BG124">
        <f>TYPE(All_India_Index_Upto_April23__1[[#This Row],[Personal care and effects]])</f>
        <v>1</v>
      </c>
      <c r="BH124">
        <f>TYPE(All_India_Index_Upto_April23__1[[#This Row],[Miscellaneous]])</f>
        <v>1</v>
      </c>
      <c r="BI124">
        <f>TYPE(All_India_Index_Upto_April23__1[[#This Row],[General index]])</f>
        <v>1</v>
      </c>
    </row>
    <row r="125" spans="1:61" x14ac:dyDescent="0.3">
      <c r="A125" t="s">
        <v>30</v>
      </c>
      <c r="B125">
        <v>2016</v>
      </c>
      <c r="C125" t="s">
        <v>38</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v>0</v>
      </c>
      <c r="V125">
        <v>128</v>
      </c>
      <c r="W125">
        <v>129.30000000000001</v>
      </c>
      <c r="X125">
        <v>126.2</v>
      </c>
      <c r="Y125">
        <v>116.3</v>
      </c>
      <c r="Z125">
        <v>124.1</v>
      </c>
      <c r="AA125">
        <v>130.19999999999999</v>
      </c>
      <c r="AB125">
        <v>119.9</v>
      </c>
      <c r="AC125">
        <v>123.3</v>
      </c>
      <c r="AD125">
        <v>131.9</v>
      </c>
      <c r="AF125">
        <f>TYPE(All_India_Index_Upto_April23__1[[#This Row],[Sector]])</f>
        <v>2</v>
      </c>
      <c r="AG125">
        <f>TYPE(All_India_Index_Upto_April23__1[[#This Row],[Year]])</f>
        <v>1</v>
      </c>
      <c r="AH125">
        <f>TYPE(All_India_Index_Upto_April23__1[[#This Row],[Month]])</f>
        <v>2</v>
      </c>
      <c r="AI125">
        <f>TYPE(All_India_Index_Upto_April23__1[[#This Row],[Cereals and products]])</f>
        <v>1</v>
      </c>
      <c r="AJ125">
        <f>TYPE(All_India_Index_Upto_April23__1[[#This Row],[Meat and fish]])</f>
        <v>1</v>
      </c>
      <c r="AK125">
        <f>TYPE(All_India_Index_Upto_April23__1[[#This Row],[Egg]])</f>
        <v>1</v>
      </c>
      <c r="AL125">
        <f>TYPE(All_India_Index_Upto_April23__1[[#This Row],[Milk and products]])</f>
        <v>1</v>
      </c>
      <c r="AM125">
        <f>TYPE(All_India_Index_Upto_April23__1[[#This Row],[Oils and fats]])</f>
        <v>1</v>
      </c>
      <c r="AN125">
        <f>TYPE(All_India_Index_Upto_April23__1[[#This Row],[Fruits]])</f>
        <v>1</v>
      </c>
      <c r="AO125">
        <f>TYPE(All_India_Index_Upto_April23__1[[#This Row],[Vegetables]])</f>
        <v>1</v>
      </c>
      <c r="AP125">
        <f>TYPE(All_India_Index_Upto_April23__1[[#This Row],[Pulses and products]])</f>
        <v>1</v>
      </c>
      <c r="AQ125">
        <f>TYPE(All_India_Index_Upto_April23__1[[#This Row],[Sugar and Confectionery]])</f>
        <v>1</v>
      </c>
      <c r="AR125">
        <f>TYPE(All_India_Index_Upto_April23__1[[#This Row],[Spices]])</f>
        <v>1</v>
      </c>
      <c r="AS125">
        <f>TYPE(All_India_Index_Upto_April23__1[[#This Row],[Non-alcoholic beverages]])</f>
        <v>1</v>
      </c>
      <c r="AT125">
        <f>TYPE(All_India_Index_Upto_April23__1[[#This Row],[Prepared meals, snacks, sweets etc.]])</f>
        <v>1</v>
      </c>
      <c r="AU125">
        <f>TYPE(All_India_Index_Upto_April23__1[[#This Row],[Food and beverages]])</f>
        <v>1</v>
      </c>
      <c r="AV125">
        <f>TYPE(All_India_Index_Upto_April23__1[[#This Row],[Pan, tobacco and intoxicants]])</f>
        <v>1</v>
      </c>
      <c r="AW125">
        <f>TYPE(All_India_Index_Upto_April23__1[[#This Row],[Clothing]])</f>
        <v>1</v>
      </c>
      <c r="AX125">
        <f>TYPE(All_India_Index_Upto_April23__1[[#This Row],[Footwear]])</f>
        <v>1</v>
      </c>
      <c r="AY125">
        <f>TYPE(All_India_Index_Upto_April23__1[[#This Row],[Clothing and footwear]])</f>
        <v>1</v>
      </c>
      <c r="AZ125">
        <f>TYPE(All_India_Index_Upto_April23__1[[#This Row],[Housing]])</f>
        <v>1</v>
      </c>
      <c r="BA125">
        <f>TYPE(All_India_Index_Upto_April23__1[[#This Row],[Fuel and light]])</f>
        <v>1</v>
      </c>
      <c r="BB125">
        <f>TYPE(All_India_Index_Upto_April23__1[[#This Row],[Household goods and services]])</f>
        <v>1</v>
      </c>
      <c r="BC125">
        <f>TYPE(All_India_Index_Upto_April23__1[[#This Row],[Health]])</f>
        <v>1</v>
      </c>
      <c r="BD125">
        <f>TYPE(All_India_Index_Upto_April23__1[[#This Row],[Transport and communication]])</f>
        <v>1</v>
      </c>
      <c r="BE125">
        <f>TYPE(All_India_Index_Upto_April23__1[[#This Row],[Recreation and amusement]])</f>
        <v>1</v>
      </c>
      <c r="BF125">
        <f>TYPE(All_India_Index_Upto_April23__1[[#This Row],[Education]])</f>
        <v>1</v>
      </c>
      <c r="BG125">
        <f>TYPE(All_India_Index_Upto_April23__1[[#This Row],[Personal care and effects]])</f>
        <v>1</v>
      </c>
      <c r="BH125">
        <f>TYPE(All_India_Index_Upto_April23__1[[#This Row],[Miscellaneous]])</f>
        <v>1</v>
      </c>
      <c r="BI125">
        <f>TYPE(All_India_Index_Upto_April23__1[[#This Row],[General index]])</f>
        <v>1</v>
      </c>
    </row>
    <row r="126" spans="1:61" x14ac:dyDescent="0.3">
      <c r="A126" t="s">
        <v>32</v>
      </c>
      <c r="B126">
        <v>2016</v>
      </c>
      <c r="C126" t="s">
        <v>38</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c r="AF126">
        <f>TYPE(All_India_Index_Upto_April23__1[[#This Row],[Sector]])</f>
        <v>2</v>
      </c>
      <c r="AG126">
        <f>TYPE(All_India_Index_Upto_April23__1[[#This Row],[Year]])</f>
        <v>1</v>
      </c>
      <c r="AH126">
        <f>TYPE(All_India_Index_Upto_April23__1[[#This Row],[Month]])</f>
        <v>2</v>
      </c>
      <c r="AI126">
        <f>TYPE(All_India_Index_Upto_April23__1[[#This Row],[Cereals and products]])</f>
        <v>1</v>
      </c>
      <c r="AJ126">
        <f>TYPE(All_India_Index_Upto_April23__1[[#This Row],[Meat and fish]])</f>
        <v>1</v>
      </c>
      <c r="AK126">
        <f>TYPE(All_India_Index_Upto_April23__1[[#This Row],[Egg]])</f>
        <v>1</v>
      </c>
      <c r="AL126">
        <f>TYPE(All_India_Index_Upto_April23__1[[#This Row],[Milk and products]])</f>
        <v>1</v>
      </c>
      <c r="AM126">
        <f>TYPE(All_India_Index_Upto_April23__1[[#This Row],[Oils and fats]])</f>
        <v>1</v>
      </c>
      <c r="AN126">
        <f>TYPE(All_India_Index_Upto_April23__1[[#This Row],[Fruits]])</f>
        <v>1</v>
      </c>
      <c r="AO126">
        <f>TYPE(All_India_Index_Upto_April23__1[[#This Row],[Vegetables]])</f>
        <v>1</v>
      </c>
      <c r="AP126">
        <f>TYPE(All_India_Index_Upto_April23__1[[#This Row],[Pulses and products]])</f>
        <v>1</v>
      </c>
      <c r="AQ126">
        <f>TYPE(All_India_Index_Upto_April23__1[[#This Row],[Sugar and Confectionery]])</f>
        <v>1</v>
      </c>
      <c r="AR126">
        <f>TYPE(All_India_Index_Upto_April23__1[[#This Row],[Spices]])</f>
        <v>1</v>
      </c>
      <c r="AS126">
        <f>TYPE(All_India_Index_Upto_April23__1[[#This Row],[Non-alcoholic beverages]])</f>
        <v>1</v>
      </c>
      <c r="AT126">
        <f>TYPE(All_India_Index_Upto_April23__1[[#This Row],[Prepared meals, snacks, sweets etc.]])</f>
        <v>1</v>
      </c>
      <c r="AU126">
        <f>TYPE(All_India_Index_Upto_April23__1[[#This Row],[Food and beverages]])</f>
        <v>1</v>
      </c>
      <c r="AV126">
        <f>TYPE(All_India_Index_Upto_April23__1[[#This Row],[Pan, tobacco and intoxicants]])</f>
        <v>1</v>
      </c>
      <c r="AW126">
        <f>TYPE(All_India_Index_Upto_April23__1[[#This Row],[Clothing]])</f>
        <v>1</v>
      </c>
      <c r="AX126">
        <f>TYPE(All_India_Index_Upto_April23__1[[#This Row],[Footwear]])</f>
        <v>1</v>
      </c>
      <c r="AY126">
        <f>TYPE(All_India_Index_Upto_April23__1[[#This Row],[Clothing and footwear]])</f>
        <v>1</v>
      </c>
      <c r="AZ126">
        <f>TYPE(All_India_Index_Upto_April23__1[[#This Row],[Housing]])</f>
        <v>1</v>
      </c>
      <c r="BA126">
        <f>TYPE(All_India_Index_Upto_April23__1[[#This Row],[Fuel and light]])</f>
        <v>1</v>
      </c>
      <c r="BB126">
        <f>TYPE(All_India_Index_Upto_April23__1[[#This Row],[Household goods and services]])</f>
        <v>1</v>
      </c>
      <c r="BC126">
        <f>TYPE(All_India_Index_Upto_April23__1[[#This Row],[Health]])</f>
        <v>1</v>
      </c>
      <c r="BD126">
        <f>TYPE(All_India_Index_Upto_April23__1[[#This Row],[Transport and communication]])</f>
        <v>1</v>
      </c>
      <c r="BE126">
        <f>TYPE(All_India_Index_Upto_April23__1[[#This Row],[Recreation and amusement]])</f>
        <v>1</v>
      </c>
      <c r="BF126">
        <f>TYPE(All_India_Index_Upto_April23__1[[#This Row],[Education]])</f>
        <v>1</v>
      </c>
      <c r="BG126">
        <f>TYPE(All_India_Index_Upto_April23__1[[#This Row],[Personal care and effects]])</f>
        <v>1</v>
      </c>
      <c r="BH126">
        <f>TYPE(All_India_Index_Upto_April23__1[[#This Row],[Miscellaneous]])</f>
        <v>1</v>
      </c>
      <c r="BI126">
        <f>TYPE(All_India_Index_Upto_April23__1[[#This Row],[General index]])</f>
        <v>1</v>
      </c>
    </row>
    <row r="127" spans="1:61" x14ac:dyDescent="0.3">
      <c r="A127" t="s">
        <v>33</v>
      </c>
      <c r="B127">
        <v>2016</v>
      </c>
      <c r="C127" t="s">
        <v>38</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c r="AF127">
        <f>TYPE(All_India_Index_Upto_April23__1[[#This Row],[Sector]])</f>
        <v>2</v>
      </c>
      <c r="AG127">
        <f>TYPE(All_India_Index_Upto_April23__1[[#This Row],[Year]])</f>
        <v>1</v>
      </c>
      <c r="AH127">
        <f>TYPE(All_India_Index_Upto_April23__1[[#This Row],[Month]])</f>
        <v>2</v>
      </c>
      <c r="AI127">
        <f>TYPE(All_India_Index_Upto_April23__1[[#This Row],[Cereals and products]])</f>
        <v>1</v>
      </c>
      <c r="AJ127">
        <f>TYPE(All_India_Index_Upto_April23__1[[#This Row],[Meat and fish]])</f>
        <v>1</v>
      </c>
      <c r="AK127">
        <f>TYPE(All_India_Index_Upto_April23__1[[#This Row],[Egg]])</f>
        <v>1</v>
      </c>
      <c r="AL127">
        <f>TYPE(All_India_Index_Upto_April23__1[[#This Row],[Milk and products]])</f>
        <v>1</v>
      </c>
      <c r="AM127">
        <f>TYPE(All_India_Index_Upto_April23__1[[#This Row],[Oils and fats]])</f>
        <v>1</v>
      </c>
      <c r="AN127">
        <f>TYPE(All_India_Index_Upto_April23__1[[#This Row],[Fruits]])</f>
        <v>1</v>
      </c>
      <c r="AO127">
        <f>TYPE(All_India_Index_Upto_April23__1[[#This Row],[Vegetables]])</f>
        <v>1</v>
      </c>
      <c r="AP127">
        <f>TYPE(All_India_Index_Upto_April23__1[[#This Row],[Pulses and products]])</f>
        <v>1</v>
      </c>
      <c r="AQ127">
        <f>TYPE(All_India_Index_Upto_April23__1[[#This Row],[Sugar and Confectionery]])</f>
        <v>1</v>
      </c>
      <c r="AR127">
        <f>TYPE(All_India_Index_Upto_April23__1[[#This Row],[Spices]])</f>
        <v>1</v>
      </c>
      <c r="AS127">
        <f>TYPE(All_India_Index_Upto_April23__1[[#This Row],[Non-alcoholic beverages]])</f>
        <v>1</v>
      </c>
      <c r="AT127">
        <f>TYPE(All_India_Index_Upto_April23__1[[#This Row],[Prepared meals, snacks, sweets etc.]])</f>
        <v>1</v>
      </c>
      <c r="AU127">
        <f>TYPE(All_India_Index_Upto_April23__1[[#This Row],[Food and beverages]])</f>
        <v>1</v>
      </c>
      <c r="AV127">
        <f>TYPE(All_India_Index_Upto_April23__1[[#This Row],[Pan, tobacco and intoxicants]])</f>
        <v>1</v>
      </c>
      <c r="AW127">
        <f>TYPE(All_India_Index_Upto_April23__1[[#This Row],[Clothing]])</f>
        <v>1</v>
      </c>
      <c r="AX127">
        <f>TYPE(All_India_Index_Upto_April23__1[[#This Row],[Footwear]])</f>
        <v>1</v>
      </c>
      <c r="AY127">
        <f>TYPE(All_India_Index_Upto_April23__1[[#This Row],[Clothing and footwear]])</f>
        <v>1</v>
      </c>
      <c r="AZ127">
        <f>TYPE(All_India_Index_Upto_April23__1[[#This Row],[Housing]])</f>
        <v>1</v>
      </c>
      <c r="BA127">
        <f>TYPE(All_India_Index_Upto_April23__1[[#This Row],[Fuel and light]])</f>
        <v>1</v>
      </c>
      <c r="BB127">
        <f>TYPE(All_India_Index_Upto_April23__1[[#This Row],[Household goods and services]])</f>
        <v>1</v>
      </c>
      <c r="BC127">
        <f>TYPE(All_India_Index_Upto_April23__1[[#This Row],[Health]])</f>
        <v>1</v>
      </c>
      <c r="BD127">
        <f>TYPE(All_India_Index_Upto_April23__1[[#This Row],[Transport and communication]])</f>
        <v>1</v>
      </c>
      <c r="BE127">
        <f>TYPE(All_India_Index_Upto_April23__1[[#This Row],[Recreation and amusement]])</f>
        <v>1</v>
      </c>
      <c r="BF127">
        <f>TYPE(All_India_Index_Upto_April23__1[[#This Row],[Education]])</f>
        <v>1</v>
      </c>
      <c r="BG127">
        <f>TYPE(All_India_Index_Upto_April23__1[[#This Row],[Personal care and effects]])</f>
        <v>1</v>
      </c>
      <c r="BH127">
        <f>TYPE(All_India_Index_Upto_April23__1[[#This Row],[Miscellaneous]])</f>
        <v>1</v>
      </c>
      <c r="BI127">
        <f>TYPE(All_India_Index_Upto_April23__1[[#This Row],[General index]])</f>
        <v>1</v>
      </c>
    </row>
    <row r="128" spans="1:61" x14ac:dyDescent="0.3">
      <c r="A128" t="s">
        <v>30</v>
      </c>
      <c r="B128">
        <v>2016</v>
      </c>
      <c r="C128" t="s">
        <v>39</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v>0</v>
      </c>
      <c r="V128">
        <v>128.19999999999999</v>
      </c>
      <c r="W128">
        <v>130</v>
      </c>
      <c r="X128">
        <v>126.7</v>
      </c>
      <c r="Y128">
        <v>116.4</v>
      </c>
      <c r="Z128">
        <v>125.2</v>
      </c>
      <c r="AA128">
        <v>130.80000000000001</v>
      </c>
      <c r="AB128">
        <v>120.9</v>
      </c>
      <c r="AC128">
        <v>123.8</v>
      </c>
      <c r="AD128">
        <v>133</v>
      </c>
      <c r="AF128">
        <f>TYPE(All_India_Index_Upto_April23__1[[#This Row],[Sector]])</f>
        <v>2</v>
      </c>
      <c r="AG128">
        <f>TYPE(All_India_Index_Upto_April23__1[[#This Row],[Year]])</f>
        <v>1</v>
      </c>
      <c r="AH128">
        <f>TYPE(All_India_Index_Upto_April23__1[[#This Row],[Month]])</f>
        <v>2</v>
      </c>
      <c r="AI128">
        <f>TYPE(All_India_Index_Upto_April23__1[[#This Row],[Cereals and products]])</f>
        <v>1</v>
      </c>
      <c r="AJ128">
        <f>TYPE(All_India_Index_Upto_April23__1[[#This Row],[Meat and fish]])</f>
        <v>1</v>
      </c>
      <c r="AK128">
        <f>TYPE(All_India_Index_Upto_April23__1[[#This Row],[Egg]])</f>
        <v>1</v>
      </c>
      <c r="AL128">
        <f>TYPE(All_India_Index_Upto_April23__1[[#This Row],[Milk and products]])</f>
        <v>1</v>
      </c>
      <c r="AM128">
        <f>TYPE(All_India_Index_Upto_April23__1[[#This Row],[Oils and fats]])</f>
        <v>1</v>
      </c>
      <c r="AN128">
        <f>TYPE(All_India_Index_Upto_April23__1[[#This Row],[Fruits]])</f>
        <v>1</v>
      </c>
      <c r="AO128">
        <f>TYPE(All_India_Index_Upto_April23__1[[#This Row],[Vegetables]])</f>
        <v>1</v>
      </c>
      <c r="AP128">
        <f>TYPE(All_India_Index_Upto_April23__1[[#This Row],[Pulses and products]])</f>
        <v>1</v>
      </c>
      <c r="AQ128">
        <f>TYPE(All_India_Index_Upto_April23__1[[#This Row],[Sugar and Confectionery]])</f>
        <v>1</v>
      </c>
      <c r="AR128">
        <f>TYPE(All_India_Index_Upto_April23__1[[#This Row],[Spices]])</f>
        <v>1</v>
      </c>
      <c r="AS128">
        <f>TYPE(All_India_Index_Upto_April23__1[[#This Row],[Non-alcoholic beverages]])</f>
        <v>1</v>
      </c>
      <c r="AT128">
        <f>TYPE(All_India_Index_Upto_April23__1[[#This Row],[Prepared meals, snacks, sweets etc.]])</f>
        <v>1</v>
      </c>
      <c r="AU128">
        <f>TYPE(All_India_Index_Upto_April23__1[[#This Row],[Food and beverages]])</f>
        <v>1</v>
      </c>
      <c r="AV128">
        <f>TYPE(All_India_Index_Upto_April23__1[[#This Row],[Pan, tobacco and intoxicants]])</f>
        <v>1</v>
      </c>
      <c r="AW128">
        <f>TYPE(All_India_Index_Upto_April23__1[[#This Row],[Clothing]])</f>
        <v>1</v>
      </c>
      <c r="AX128">
        <f>TYPE(All_India_Index_Upto_April23__1[[#This Row],[Footwear]])</f>
        <v>1</v>
      </c>
      <c r="AY128">
        <f>TYPE(All_India_Index_Upto_April23__1[[#This Row],[Clothing and footwear]])</f>
        <v>1</v>
      </c>
      <c r="AZ128">
        <f>TYPE(All_India_Index_Upto_April23__1[[#This Row],[Housing]])</f>
        <v>1</v>
      </c>
      <c r="BA128">
        <f>TYPE(All_India_Index_Upto_April23__1[[#This Row],[Fuel and light]])</f>
        <v>1</v>
      </c>
      <c r="BB128">
        <f>TYPE(All_India_Index_Upto_April23__1[[#This Row],[Household goods and services]])</f>
        <v>1</v>
      </c>
      <c r="BC128">
        <f>TYPE(All_India_Index_Upto_April23__1[[#This Row],[Health]])</f>
        <v>1</v>
      </c>
      <c r="BD128">
        <f>TYPE(All_India_Index_Upto_April23__1[[#This Row],[Transport and communication]])</f>
        <v>1</v>
      </c>
      <c r="BE128">
        <f>TYPE(All_India_Index_Upto_April23__1[[#This Row],[Recreation and amusement]])</f>
        <v>1</v>
      </c>
      <c r="BF128">
        <f>TYPE(All_India_Index_Upto_April23__1[[#This Row],[Education]])</f>
        <v>1</v>
      </c>
      <c r="BG128">
        <f>TYPE(All_India_Index_Upto_April23__1[[#This Row],[Personal care and effects]])</f>
        <v>1</v>
      </c>
      <c r="BH128">
        <f>TYPE(All_India_Index_Upto_April23__1[[#This Row],[Miscellaneous]])</f>
        <v>1</v>
      </c>
      <c r="BI128">
        <f>TYPE(All_India_Index_Upto_April23__1[[#This Row],[General index]])</f>
        <v>1</v>
      </c>
    </row>
    <row r="129" spans="1:61" x14ac:dyDescent="0.3">
      <c r="A129" t="s">
        <v>32</v>
      </c>
      <c r="B129">
        <v>2016</v>
      </c>
      <c r="C129" t="s">
        <v>39</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c r="AF129">
        <f>TYPE(All_India_Index_Upto_April23__1[[#This Row],[Sector]])</f>
        <v>2</v>
      </c>
      <c r="AG129">
        <f>TYPE(All_India_Index_Upto_April23__1[[#This Row],[Year]])</f>
        <v>1</v>
      </c>
      <c r="AH129">
        <f>TYPE(All_India_Index_Upto_April23__1[[#This Row],[Month]])</f>
        <v>2</v>
      </c>
      <c r="AI129">
        <f>TYPE(All_India_Index_Upto_April23__1[[#This Row],[Cereals and products]])</f>
        <v>1</v>
      </c>
      <c r="AJ129">
        <f>TYPE(All_India_Index_Upto_April23__1[[#This Row],[Meat and fish]])</f>
        <v>1</v>
      </c>
      <c r="AK129">
        <f>TYPE(All_India_Index_Upto_April23__1[[#This Row],[Egg]])</f>
        <v>1</v>
      </c>
      <c r="AL129">
        <f>TYPE(All_India_Index_Upto_April23__1[[#This Row],[Milk and products]])</f>
        <v>1</v>
      </c>
      <c r="AM129">
        <f>TYPE(All_India_Index_Upto_April23__1[[#This Row],[Oils and fats]])</f>
        <v>1</v>
      </c>
      <c r="AN129">
        <f>TYPE(All_India_Index_Upto_April23__1[[#This Row],[Fruits]])</f>
        <v>1</v>
      </c>
      <c r="AO129">
        <f>TYPE(All_India_Index_Upto_April23__1[[#This Row],[Vegetables]])</f>
        <v>1</v>
      </c>
      <c r="AP129">
        <f>TYPE(All_India_Index_Upto_April23__1[[#This Row],[Pulses and products]])</f>
        <v>1</v>
      </c>
      <c r="AQ129">
        <f>TYPE(All_India_Index_Upto_April23__1[[#This Row],[Sugar and Confectionery]])</f>
        <v>1</v>
      </c>
      <c r="AR129">
        <f>TYPE(All_India_Index_Upto_April23__1[[#This Row],[Spices]])</f>
        <v>1</v>
      </c>
      <c r="AS129">
        <f>TYPE(All_India_Index_Upto_April23__1[[#This Row],[Non-alcoholic beverages]])</f>
        <v>1</v>
      </c>
      <c r="AT129">
        <f>TYPE(All_India_Index_Upto_April23__1[[#This Row],[Prepared meals, snacks, sweets etc.]])</f>
        <v>1</v>
      </c>
      <c r="AU129">
        <f>TYPE(All_India_Index_Upto_April23__1[[#This Row],[Food and beverages]])</f>
        <v>1</v>
      </c>
      <c r="AV129">
        <f>TYPE(All_India_Index_Upto_April23__1[[#This Row],[Pan, tobacco and intoxicants]])</f>
        <v>1</v>
      </c>
      <c r="AW129">
        <f>TYPE(All_India_Index_Upto_April23__1[[#This Row],[Clothing]])</f>
        <v>1</v>
      </c>
      <c r="AX129">
        <f>TYPE(All_India_Index_Upto_April23__1[[#This Row],[Footwear]])</f>
        <v>1</v>
      </c>
      <c r="AY129">
        <f>TYPE(All_India_Index_Upto_April23__1[[#This Row],[Clothing and footwear]])</f>
        <v>1</v>
      </c>
      <c r="AZ129">
        <f>TYPE(All_India_Index_Upto_April23__1[[#This Row],[Housing]])</f>
        <v>1</v>
      </c>
      <c r="BA129">
        <f>TYPE(All_India_Index_Upto_April23__1[[#This Row],[Fuel and light]])</f>
        <v>1</v>
      </c>
      <c r="BB129">
        <f>TYPE(All_India_Index_Upto_April23__1[[#This Row],[Household goods and services]])</f>
        <v>1</v>
      </c>
      <c r="BC129">
        <f>TYPE(All_India_Index_Upto_April23__1[[#This Row],[Health]])</f>
        <v>1</v>
      </c>
      <c r="BD129">
        <f>TYPE(All_India_Index_Upto_April23__1[[#This Row],[Transport and communication]])</f>
        <v>1</v>
      </c>
      <c r="BE129">
        <f>TYPE(All_India_Index_Upto_April23__1[[#This Row],[Recreation and amusement]])</f>
        <v>1</v>
      </c>
      <c r="BF129">
        <f>TYPE(All_India_Index_Upto_April23__1[[#This Row],[Education]])</f>
        <v>1</v>
      </c>
      <c r="BG129">
        <f>TYPE(All_India_Index_Upto_April23__1[[#This Row],[Personal care and effects]])</f>
        <v>1</v>
      </c>
      <c r="BH129">
        <f>TYPE(All_India_Index_Upto_April23__1[[#This Row],[Miscellaneous]])</f>
        <v>1</v>
      </c>
      <c r="BI129">
        <f>TYPE(All_India_Index_Upto_April23__1[[#This Row],[General index]])</f>
        <v>1</v>
      </c>
    </row>
    <row r="130" spans="1:61" x14ac:dyDescent="0.3">
      <c r="A130" t="s">
        <v>33</v>
      </c>
      <c r="B130">
        <v>2016</v>
      </c>
      <c r="C130" t="s">
        <v>39</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c r="AF130">
        <f>TYPE(All_India_Index_Upto_April23__1[[#This Row],[Sector]])</f>
        <v>2</v>
      </c>
      <c r="AG130">
        <f>TYPE(All_India_Index_Upto_April23__1[[#This Row],[Year]])</f>
        <v>1</v>
      </c>
      <c r="AH130">
        <f>TYPE(All_India_Index_Upto_April23__1[[#This Row],[Month]])</f>
        <v>2</v>
      </c>
      <c r="AI130">
        <f>TYPE(All_India_Index_Upto_April23__1[[#This Row],[Cereals and products]])</f>
        <v>1</v>
      </c>
      <c r="AJ130">
        <f>TYPE(All_India_Index_Upto_April23__1[[#This Row],[Meat and fish]])</f>
        <v>1</v>
      </c>
      <c r="AK130">
        <f>TYPE(All_India_Index_Upto_April23__1[[#This Row],[Egg]])</f>
        <v>1</v>
      </c>
      <c r="AL130">
        <f>TYPE(All_India_Index_Upto_April23__1[[#This Row],[Milk and products]])</f>
        <v>1</v>
      </c>
      <c r="AM130">
        <f>TYPE(All_India_Index_Upto_April23__1[[#This Row],[Oils and fats]])</f>
        <v>1</v>
      </c>
      <c r="AN130">
        <f>TYPE(All_India_Index_Upto_April23__1[[#This Row],[Fruits]])</f>
        <v>1</v>
      </c>
      <c r="AO130">
        <f>TYPE(All_India_Index_Upto_April23__1[[#This Row],[Vegetables]])</f>
        <v>1</v>
      </c>
      <c r="AP130">
        <f>TYPE(All_India_Index_Upto_April23__1[[#This Row],[Pulses and products]])</f>
        <v>1</v>
      </c>
      <c r="AQ130">
        <f>TYPE(All_India_Index_Upto_April23__1[[#This Row],[Sugar and Confectionery]])</f>
        <v>1</v>
      </c>
      <c r="AR130">
        <f>TYPE(All_India_Index_Upto_April23__1[[#This Row],[Spices]])</f>
        <v>1</v>
      </c>
      <c r="AS130">
        <f>TYPE(All_India_Index_Upto_April23__1[[#This Row],[Non-alcoholic beverages]])</f>
        <v>1</v>
      </c>
      <c r="AT130">
        <f>TYPE(All_India_Index_Upto_April23__1[[#This Row],[Prepared meals, snacks, sweets etc.]])</f>
        <v>1</v>
      </c>
      <c r="AU130">
        <f>TYPE(All_India_Index_Upto_April23__1[[#This Row],[Food and beverages]])</f>
        <v>1</v>
      </c>
      <c r="AV130">
        <f>TYPE(All_India_Index_Upto_April23__1[[#This Row],[Pan, tobacco and intoxicants]])</f>
        <v>1</v>
      </c>
      <c r="AW130">
        <f>TYPE(All_India_Index_Upto_April23__1[[#This Row],[Clothing]])</f>
        <v>1</v>
      </c>
      <c r="AX130">
        <f>TYPE(All_India_Index_Upto_April23__1[[#This Row],[Footwear]])</f>
        <v>1</v>
      </c>
      <c r="AY130">
        <f>TYPE(All_India_Index_Upto_April23__1[[#This Row],[Clothing and footwear]])</f>
        <v>1</v>
      </c>
      <c r="AZ130">
        <f>TYPE(All_India_Index_Upto_April23__1[[#This Row],[Housing]])</f>
        <v>1</v>
      </c>
      <c r="BA130">
        <f>TYPE(All_India_Index_Upto_April23__1[[#This Row],[Fuel and light]])</f>
        <v>1</v>
      </c>
      <c r="BB130">
        <f>TYPE(All_India_Index_Upto_April23__1[[#This Row],[Household goods and services]])</f>
        <v>1</v>
      </c>
      <c r="BC130">
        <f>TYPE(All_India_Index_Upto_April23__1[[#This Row],[Health]])</f>
        <v>1</v>
      </c>
      <c r="BD130">
        <f>TYPE(All_India_Index_Upto_April23__1[[#This Row],[Transport and communication]])</f>
        <v>1</v>
      </c>
      <c r="BE130">
        <f>TYPE(All_India_Index_Upto_April23__1[[#This Row],[Recreation and amusement]])</f>
        <v>1</v>
      </c>
      <c r="BF130">
        <f>TYPE(All_India_Index_Upto_April23__1[[#This Row],[Education]])</f>
        <v>1</v>
      </c>
      <c r="BG130">
        <f>TYPE(All_India_Index_Upto_April23__1[[#This Row],[Personal care and effects]])</f>
        <v>1</v>
      </c>
      <c r="BH130">
        <f>TYPE(All_India_Index_Upto_April23__1[[#This Row],[Miscellaneous]])</f>
        <v>1</v>
      </c>
      <c r="BI130">
        <f>TYPE(All_India_Index_Upto_April23__1[[#This Row],[General index]])</f>
        <v>1</v>
      </c>
    </row>
    <row r="131" spans="1:61" x14ac:dyDescent="0.3">
      <c r="A131" t="s">
        <v>30</v>
      </c>
      <c r="B131">
        <v>2016</v>
      </c>
      <c r="C131" t="s">
        <v>40</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v>0</v>
      </c>
      <c r="V131">
        <v>129.1</v>
      </c>
      <c r="W131">
        <v>130.6</v>
      </c>
      <c r="X131">
        <v>127</v>
      </c>
      <c r="Y131">
        <v>116</v>
      </c>
      <c r="Z131">
        <v>125.5</v>
      </c>
      <c r="AA131">
        <v>131.9</v>
      </c>
      <c r="AB131">
        <v>122</v>
      </c>
      <c r="AC131">
        <v>124.2</v>
      </c>
      <c r="AD131">
        <v>133.5</v>
      </c>
      <c r="AF131">
        <f>TYPE(All_India_Index_Upto_April23__1[[#This Row],[Sector]])</f>
        <v>2</v>
      </c>
      <c r="AG131">
        <f>TYPE(All_India_Index_Upto_April23__1[[#This Row],[Year]])</f>
        <v>1</v>
      </c>
      <c r="AH131">
        <f>TYPE(All_India_Index_Upto_April23__1[[#This Row],[Month]])</f>
        <v>2</v>
      </c>
      <c r="AI131">
        <f>TYPE(All_India_Index_Upto_April23__1[[#This Row],[Cereals and products]])</f>
        <v>1</v>
      </c>
      <c r="AJ131">
        <f>TYPE(All_India_Index_Upto_April23__1[[#This Row],[Meat and fish]])</f>
        <v>1</v>
      </c>
      <c r="AK131">
        <f>TYPE(All_India_Index_Upto_April23__1[[#This Row],[Egg]])</f>
        <v>1</v>
      </c>
      <c r="AL131">
        <f>TYPE(All_India_Index_Upto_April23__1[[#This Row],[Milk and products]])</f>
        <v>1</v>
      </c>
      <c r="AM131">
        <f>TYPE(All_India_Index_Upto_April23__1[[#This Row],[Oils and fats]])</f>
        <v>1</v>
      </c>
      <c r="AN131">
        <f>TYPE(All_India_Index_Upto_April23__1[[#This Row],[Fruits]])</f>
        <v>1</v>
      </c>
      <c r="AO131">
        <f>TYPE(All_India_Index_Upto_April23__1[[#This Row],[Vegetables]])</f>
        <v>1</v>
      </c>
      <c r="AP131">
        <f>TYPE(All_India_Index_Upto_April23__1[[#This Row],[Pulses and products]])</f>
        <v>1</v>
      </c>
      <c r="AQ131">
        <f>TYPE(All_India_Index_Upto_April23__1[[#This Row],[Sugar and Confectionery]])</f>
        <v>1</v>
      </c>
      <c r="AR131">
        <f>TYPE(All_India_Index_Upto_April23__1[[#This Row],[Spices]])</f>
        <v>1</v>
      </c>
      <c r="AS131">
        <f>TYPE(All_India_Index_Upto_April23__1[[#This Row],[Non-alcoholic beverages]])</f>
        <v>1</v>
      </c>
      <c r="AT131">
        <f>TYPE(All_India_Index_Upto_April23__1[[#This Row],[Prepared meals, snacks, sweets etc.]])</f>
        <v>1</v>
      </c>
      <c r="AU131">
        <f>TYPE(All_India_Index_Upto_April23__1[[#This Row],[Food and beverages]])</f>
        <v>1</v>
      </c>
      <c r="AV131">
        <f>TYPE(All_India_Index_Upto_April23__1[[#This Row],[Pan, tobacco and intoxicants]])</f>
        <v>1</v>
      </c>
      <c r="AW131">
        <f>TYPE(All_India_Index_Upto_April23__1[[#This Row],[Clothing]])</f>
        <v>1</v>
      </c>
      <c r="AX131">
        <f>TYPE(All_India_Index_Upto_April23__1[[#This Row],[Footwear]])</f>
        <v>1</v>
      </c>
      <c r="AY131">
        <f>TYPE(All_India_Index_Upto_April23__1[[#This Row],[Clothing and footwear]])</f>
        <v>1</v>
      </c>
      <c r="AZ131">
        <f>TYPE(All_India_Index_Upto_April23__1[[#This Row],[Housing]])</f>
        <v>1</v>
      </c>
      <c r="BA131">
        <f>TYPE(All_India_Index_Upto_April23__1[[#This Row],[Fuel and light]])</f>
        <v>1</v>
      </c>
      <c r="BB131">
        <f>TYPE(All_India_Index_Upto_April23__1[[#This Row],[Household goods and services]])</f>
        <v>1</v>
      </c>
      <c r="BC131">
        <f>TYPE(All_India_Index_Upto_April23__1[[#This Row],[Health]])</f>
        <v>1</v>
      </c>
      <c r="BD131">
        <f>TYPE(All_India_Index_Upto_April23__1[[#This Row],[Transport and communication]])</f>
        <v>1</v>
      </c>
      <c r="BE131">
        <f>TYPE(All_India_Index_Upto_April23__1[[#This Row],[Recreation and amusement]])</f>
        <v>1</v>
      </c>
      <c r="BF131">
        <f>TYPE(All_India_Index_Upto_April23__1[[#This Row],[Education]])</f>
        <v>1</v>
      </c>
      <c r="BG131">
        <f>TYPE(All_India_Index_Upto_April23__1[[#This Row],[Personal care and effects]])</f>
        <v>1</v>
      </c>
      <c r="BH131">
        <f>TYPE(All_India_Index_Upto_April23__1[[#This Row],[Miscellaneous]])</f>
        <v>1</v>
      </c>
      <c r="BI131">
        <f>TYPE(All_India_Index_Upto_April23__1[[#This Row],[General index]])</f>
        <v>1</v>
      </c>
    </row>
    <row r="132" spans="1:61" x14ac:dyDescent="0.3">
      <c r="A132" t="s">
        <v>32</v>
      </c>
      <c r="B132">
        <v>2016</v>
      </c>
      <c r="C132" t="s">
        <v>40</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c r="AF132">
        <f>TYPE(All_India_Index_Upto_April23__1[[#This Row],[Sector]])</f>
        <v>2</v>
      </c>
      <c r="AG132">
        <f>TYPE(All_India_Index_Upto_April23__1[[#This Row],[Year]])</f>
        <v>1</v>
      </c>
      <c r="AH132">
        <f>TYPE(All_India_Index_Upto_April23__1[[#This Row],[Month]])</f>
        <v>2</v>
      </c>
      <c r="AI132">
        <f>TYPE(All_India_Index_Upto_April23__1[[#This Row],[Cereals and products]])</f>
        <v>1</v>
      </c>
      <c r="AJ132">
        <f>TYPE(All_India_Index_Upto_April23__1[[#This Row],[Meat and fish]])</f>
        <v>1</v>
      </c>
      <c r="AK132">
        <f>TYPE(All_India_Index_Upto_April23__1[[#This Row],[Egg]])</f>
        <v>1</v>
      </c>
      <c r="AL132">
        <f>TYPE(All_India_Index_Upto_April23__1[[#This Row],[Milk and products]])</f>
        <v>1</v>
      </c>
      <c r="AM132">
        <f>TYPE(All_India_Index_Upto_April23__1[[#This Row],[Oils and fats]])</f>
        <v>1</v>
      </c>
      <c r="AN132">
        <f>TYPE(All_India_Index_Upto_April23__1[[#This Row],[Fruits]])</f>
        <v>1</v>
      </c>
      <c r="AO132">
        <f>TYPE(All_India_Index_Upto_April23__1[[#This Row],[Vegetables]])</f>
        <v>1</v>
      </c>
      <c r="AP132">
        <f>TYPE(All_India_Index_Upto_April23__1[[#This Row],[Pulses and products]])</f>
        <v>1</v>
      </c>
      <c r="AQ132">
        <f>TYPE(All_India_Index_Upto_April23__1[[#This Row],[Sugar and Confectionery]])</f>
        <v>1</v>
      </c>
      <c r="AR132">
        <f>TYPE(All_India_Index_Upto_April23__1[[#This Row],[Spices]])</f>
        <v>1</v>
      </c>
      <c r="AS132">
        <f>TYPE(All_India_Index_Upto_April23__1[[#This Row],[Non-alcoholic beverages]])</f>
        <v>1</v>
      </c>
      <c r="AT132">
        <f>TYPE(All_India_Index_Upto_April23__1[[#This Row],[Prepared meals, snacks, sweets etc.]])</f>
        <v>1</v>
      </c>
      <c r="AU132">
        <f>TYPE(All_India_Index_Upto_April23__1[[#This Row],[Food and beverages]])</f>
        <v>1</v>
      </c>
      <c r="AV132">
        <f>TYPE(All_India_Index_Upto_April23__1[[#This Row],[Pan, tobacco and intoxicants]])</f>
        <v>1</v>
      </c>
      <c r="AW132">
        <f>TYPE(All_India_Index_Upto_April23__1[[#This Row],[Clothing]])</f>
        <v>1</v>
      </c>
      <c r="AX132">
        <f>TYPE(All_India_Index_Upto_April23__1[[#This Row],[Footwear]])</f>
        <v>1</v>
      </c>
      <c r="AY132">
        <f>TYPE(All_India_Index_Upto_April23__1[[#This Row],[Clothing and footwear]])</f>
        <v>1</v>
      </c>
      <c r="AZ132">
        <f>TYPE(All_India_Index_Upto_April23__1[[#This Row],[Housing]])</f>
        <v>1</v>
      </c>
      <c r="BA132">
        <f>TYPE(All_India_Index_Upto_April23__1[[#This Row],[Fuel and light]])</f>
        <v>1</v>
      </c>
      <c r="BB132">
        <f>TYPE(All_India_Index_Upto_April23__1[[#This Row],[Household goods and services]])</f>
        <v>1</v>
      </c>
      <c r="BC132">
        <f>TYPE(All_India_Index_Upto_April23__1[[#This Row],[Health]])</f>
        <v>1</v>
      </c>
      <c r="BD132">
        <f>TYPE(All_India_Index_Upto_April23__1[[#This Row],[Transport and communication]])</f>
        <v>1</v>
      </c>
      <c r="BE132">
        <f>TYPE(All_India_Index_Upto_April23__1[[#This Row],[Recreation and amusement]])</f>
        <v>1</v>
      </c>
      <c r="BF132">
        <f>TYPE(All_India_Index_Upto_April23__1[[#This Row],[Education]])</f>
        <v>1</v>
      </c>
      <c r="BG132">
        <f>TYPE(All_India_Index_Upto_April23__1[[#This Row],[Personal care and effects]])</f>
        <v>1</v>
      </c>
      <c r="BH132">
        <f>TYPE(All_India_Index_Upto_April23__1[[#This Row],[Miscellaneous]])</f>
        <v>1</v>
      </c>
      <c r="BI132">
        <f>TYPE(All_India_Index_Upto_April23__1[[#This Row],[General index]])</f>
        <v>1</v>
      </c>
    </row>
    <row r="133" spans="1:61" x14ac:dyDescent="0.3">
      <c r="A133" t="s">
        <v>33</v>
      </c>
      <c r="B133">
        <v>2016</v>
      </c>
      <c r="C133" t="s">
        <v>40</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c r="AF133">
        <f>TYPE(All_India_Index_Upto_April23__1[[#This Row],[Sector]])</f>
        <v>2</v>
      </c>
      <c r="AG133">
        <f>TYPE(All_India_Index_Upto_April23__1[[#This Row],[Year]])</f>
        <v>1</v>
      </c>
      <c r="AH133">
        <f>TYPE(All_India_Index_Upto_April23__1[[#This Row],[Month]])</f>
        <v>2</v>
      </c>
      <c r="AI133">
        <f>TYPE(All_India_Index_Upto_April23__1[[#This Row],[Cereals and products]])</f>
        <v>1</v>
      </c>
      <c r="AJ133">
        <f>TYPE(All_India_Index_Upto_April23__1[[#This Row],[Meat and fish]])</f>
        <v>1</v>
      </c>
      <c r="AK133">
        <f>TYPE(All_India_Index_Upto_April23__1[[#This Row],[Egg]])</f>
        <v>1</v>
      </c>
      <c r="AL133">
        <f>TYPE(All_India_Index_Upto_April23__1[[#This Row],[Milk and products]])</f>
        <v>1</v>
      </c>
      <c r="AM133">
        <f>TYPE(All_India_Index_Upto_April23__1[[#This Row],[Oils and fats]])</f>
        <v>1</v>
      </c>
      <c r="AN133">
        <f>TYPE(All_India_Index_Upto_April23__1[[#This Row],[Fruits]])</f>
        <v>1</v>
      </c>
      <c r="AO133">
        <f>TYPE(All_India_Index_Upto_April23__1[[#This Row],[Vegetables]])</f>
        <v>1</v>
      </c>
      <c r="AP133">
        <f>TYPE(All_India_Index_Upto_April23__1[[#This Row],[Pulses and products]])</f>
        <v>1</v>
      </c>
      <c r="AQ133">
        <f>TYPE(All_India_Index_Upto_April23__1[[#This Row],[Sugar and Confectionery]])</f>
        <v>1</v>
      </c>
      <c r="AR133">
        <f>TYPE(All_India_Index_Upto_April23__1[[#This Row],[Spices]])</f>
        <v>1</v>
      </c>
      <c r="AS133">
        <f>TYPE(All_India_Index_Upto_April23__1[[#This Row],[Non-alcoholic beverages]])</f>
        <v>1</v>
      </c>
      <c r="AT133">
        <f>TYPE(All_India_Index_Upto_April23__1[[#This Row],[Prepared meals, snacks, sweets etc.]])</f>
        <v>1</v>
      </c>
      <c r="AU133">
        <f>TYPE(All_India_Index_Upto_April23__1[[#This Row],[Food and beverages]])</f>
        <v>1</v>
      </c>
      <c r="AV133">
        <f>TYPE(All_India_Index_Upto_April23__1[[#This Row],[Pan, tobacco and intoxicants]])</f>
        <v>1</v>
      </c>
      <c r="AW133">
        <f>TYPE(All_India_Index_Upto_April23__1[[#This Row],[Clothing]])</f>
        <v>1</v>
      </c>
      <c r="AX133">
        <f>TYPE(All_India_Index_Upto_April23__1[[#This Row],[Footwear]])</f>
        <v>1</v>
      </c>
      <c r="AY133">
        <f>TYPE(All_India_Index_Upto_April23__1[[#This Row],[Clothing and footwear]])</f>
        <v>1</v>
      </c>
      <c r="AZ133">
        <f>TYPE(All_India_Index_Upto_April23__1[[#This Row],[Housing]])</f>
        <v>1</v>
      </c>
      <c r="BA133">
        <f>TYPE(All_India_Index_Upto_April23__1[[#This Row],[Fuel and light]])</f>
        <v>1</v>
      </c>
      <c r="BB133">
        <f>TYPE(All_India_Index_Upto_April23__1[[#This Row],[Household goods and services]])</f>
        <v>1</v>
      </c>
      <c r="BC133">
        <f>TYPE(All_India_Index_Upto_April23__1[[#This Row],[Health]])</f>
        <v>1</v>
      </c>
      <c r="BD133">
        <f>TYPE(All_India_Index_Upto_April23__1[[#This Row],[Transport and communication]])</f>
        <v>1</v>
      </c>
      <c r="BE133">
        <f>TYPE(All_India_Index_Upto_April23__1[[#This Row],[Recreation and amusement]])</f>
        <v>1</v>
      </c>
      <c r="BF133">
        <f>TYPE(All_India_Index_Upto_April23__1[[#This Row],[Education]])</f>
        <v>1</v>
      </c>
      <c r="BG133">
        <f>TYPE(All_India_Index_Upto_April23__1[[#This Row],[Personal care and effects]])</f>
        <v>1</v>
      </c>
      <c r="BH133">
        <f>TYPE(All_India_Index_Upto_April23__1[[#This Row],[Miscellaneous]])</f>
        <v>1</v>
      </c>
      <c r="BI133">
        <f>TYPE(All_India_Index_Upto_April23__1[[#This Row],[General index]])</f>
        <v>1</v>
      </c>
    </row>
    <row r="134" spans="1:61" x14ac:dyDescent="0.3">
      <c r="A134" t="s">
        <v>30</v>
      </c>
      <c r="B134">
        <v>2016</v>
      </c>
      <c r="C134" t="s">
        <v>41</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v>0</v>
      </c>
      <c r="V134">
        <v>129.69999999999999</v>
      </c>
      <c r="W134">
        <v>131.1</v>
      </c>
      <c r="X134">
        <v>127.8</v>
      </c>
      <c r="Y134">
        <v>117</v>
      </c>
      <c r="Z134">
        <v>125.7</v>
      </c>
      <c r="AA134">
        <v>132.19999999999999</v>
      </c>
      <c r="AB134">
        <v>122.8</v>
      </c>
      <c r="AC134">
        <v>124.9</v>
      </c>
      <c r="AD134">
        <v>133.4</v>
      </c>
      <c r="AF134">
        <f>TYPE(All_India_Index_Upto_April23__1[[#This Row],[Sector]])</f>
        <v>2</v>
      </c>
      <c r="AG134">
        <f>TYPE(All_India_Index_Upto_April23__1[[#This Row],[Year]])</f>
        <v>1</v>
      </c>
      <c r="AH134">
        <f>TYPE(All_India_Index_Upto_April23__1[[#This Row],[Month]])</f>
        <v>2</v>
      </c>
      <c r="AI134">
        <f>TYPE(All_India_Index_Upto_April23__1[[#This Row],[Cereals and products]])</f>
        <v>1</v>
      </c>
      <c r="AJ134">
        <f>TYPE(All_India_Index_Upto_April23__1[[#This Row],[Meat and fish]])</f>
        <v>1</v>
      </c>
      <c r="AK134">
        <f>TYPE(All_India_Index_Upto_April23__1[[#This Row],[Egg]])</f>
        <v>1</v>
      </c>
      <c r="AL134">
        <f>TYPE(All_India_Index_Upto_April23__1[[#This Row],[Milk and products]])</f>
        <v>1</v>
      </c>
      <c r="AM134">
        <f>TYPE(All_India_Index_Upto_April23__1[[#This Row],[Oils and fats]])</f>
        <v>1</v>
      </c>
      <c r="AN134">
        <f>TYPE(All_India_Index_Upto_April23__1[[#This Row],[Fruits]])</f>
        <v>1</v>
      </c>
      <c r="AO134">
        <f>TYPE(All_India_Index_Upto_April23__1[[#This Row],[Vegetables]])</f>
        <v>1</v>
      </c>
      <c r="AP134">
        <f>TYPE(All_India_Index_Upto_April23__1[[#This Row],[Pulses and products]])</f>
        <v>1</v>
      </c>
      <c r="AQ134">
        <f>TYPE(All_India_Index_Upto_April23__1[[#This Row],[Sugar and Confectionery]])</f>
        <v>1</v>
      </c>
      <c r="AR134">
        <f>TYPE(All_India_Index_Upto_April23__1[[#This Row],[Spices]])</f>
        <v>1</v>
      </c>
      <c r="AS134">
        <f>TYPE(All_India_Index_Upto_April23__1[[#This Row],[Non-alcoholic beverages]])</f>
        <v>1</v>
      </c>
      <c r="AT134">
        <f>TYPE(All_India_Index_Upto_April23__1[[#This Row],[Prepared meals, snacks, sweets etc.]])</f>
        <v>1</v>
      </c>
      <c r="AU134">
        <f>TYPE(All_India_Index_Upto_April23__1[[#This Row],[Food and beverages]])</f>
        <v>1</v>
      </c>
      <c r="AV134">
        <f>TYPE(All_India_Index_Upto_April23__1[[#This Row],[Pan, tobacco and intoxicants]])</f>
        <v>1</v>
      </c>
      <c r="AW134">
        <f>TYPE(All_India_Index_Upto_April23__1[[#This Row],[Clothing]])</f>
        <v>1</v>
      </c>
      <c r="AX134">
        <f>TYPE(All_India_Index_Upto_April23__1[[#This Row],[Footwear]])</f>
        <v>1</v>
      </c>
      <c r="AY134">
        <f>TYPE(All_India_Index_Upto_April23__1[[#This Row],[Clothing and footwear]])</f>
        <v>1</v>
      </c>
      <c r="AZ134">
        <f>TYPE(All_India_Index_Upto_April23__1[[#This Row],[Housing]])</f>
        <v>1</v>
      </c>
      <c r="BA134">
        <f>TYPE(All_India_Index_Upto_April23__1[[#This Row],[Fuel and light]])</f>
        <v>1</v>
      </c>
      <c r="BB134">
        <f>TYPE(All_India_Index_Upto_April23__1[[#This Row],[Household goods and services]])</f>
        <v>1</v>
      </c>
      <c r="BC134">
        <f>TYPE(All_India_Index_Upto_April23__1[[#This Row],[Health]])</f>
        <v>1</v>
      </c>
      <c r="BD134">
        <f>TYPE(All_India_Index_Upto_April23__1[[#This Row],[Transport and communication]])</f>
        <v>1</v>
      </c>
      <c r="BE134">
        <f>TYPE(All_India_Index_Upto_April23__1[[#This Row],[Recreation and amusement]])</f>
        <v>1</v>
      </c>
      <c r="BF134">
        <f>TYPE(All_India_Index_Upto_April23__1[[#This Row],[Education]])</f>
        <v>1</v>
      </c>
      <c r="BG134">
        <f>TYPE(All_India_Index_Upto_April23__1[[#This Row],[Personal care and effects]])</f>
        <v>1</v>
      </c>
      <c r="BH134">
        <f>TYPE(All_India_Index_Upto_April23__1[[#This Row],[Miscellaneous]])</f>
        <v>1</v>
      </c>
      <c r="BI134">
        <f>TYPE(All_India_Index_Upto_April23__1[[#This Row],[General index]])</f>
        <v>1</v>
      </c>
    </row>
    <row r="135" spans="1:61" x14ac:dyDescent="0.3">
      <c r="A135" t="s">
        <v>32</v>
      </c>
      <c r="B135">
        <v>2016</v>
      </c>
      <c r="C135" t="s">
        <v>41</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c r="AF135">
        <f>TYPE(All_India_Index_Upto_April23__1[[#This Row],[Sector]])</f>
        <v>2</v>
      </c>
      <c r="AG135">
        <f>TYPE(All_India_Index_Upto_April23__1[[#This Row],[Year]])</f>
        <v>1</v>
      </c>
      <c r="AH135">
        <f>TYPE(All_India_Index_Upto_April23__1[[#This Row],[Month]])</f>
        <v>2</v>
      </c>
      <c r="AI135">
        <f>TYPE(All_India_Index_Upto_April23__1[[#This Row],[Cereals and products]])</f>
        <v>1</v>
      </c>
      <c r="AJ135">
        <f>TYPE(All_India_Index_Upto_April23__1[[#This Row],[Meat and fish]])</f>
        <v>1</v>
      </c>
      <c r="AK135">
        <f>TYPE(All_India_Index_Upto_April23__1[[#This Row],[Egg]])</f>
        <v>1</v>
      </c>
      <c r="AL135">
        <f>TYPE(All_India_Index_Upto_April23__1[[#This Row],[Milk and products]])</f>
        <v>1</v>
      </c>
      <c r="AM135">
        <f>TYPE(All_India_Index_Upto_April23__1[[#This Row],[Oils and fats]])</f>
        <v>1</v>
      </c>
      <c r="AN135">
        <f>TYPE(All_India_Index_Upto_April23__1[[#This Row],[Fruits]])</f>
        <v>1</v>
      </c>
      <c r="AO135">
        <f>TYPE(All_India_Index_Upto_April23__1[[#This Row],[Vegetables]])</f>
        <v>1</v>
      </c>
      <c r="AP135">
        <f>TYPE(All_India_Index_Upto_April23__1[[#This Row],[Pulses and products]])</f>
        <v>1</v>
      </c>
      <c r="AQ135">
        <f>TYPE(All_India_Index_Upto_April23__1[[#This Row],[Sugar and Confectionery]])</f>
        <v>1</v>
      </c>
      <c r="AR135">
        <f>TYPE(All_India_Index_Upto_April23__1[[#This Row],[Spices]])</f>
        <v>1</v>
      </c>
      <c r="AS135">
        <f>TYPE(All_India_Index_Upto_April23__1[[#This Row],[Non-alcoholic beverages]])</f>
        <v>1</v>
      </c>
      <c r="AT135">
        <f>TYPE(All_India_Index_Upto_April23__1[[#This Row],[Prepared meals, snacks, sweets etc.]])</f>
        <v>1</v>
      </c>
      <c r="AU135">
        <f>TYPE(All_India_Index_Upto_April23__1[[#This Row],[Food and beverages]])</f>
        <v>1</v>
      </c>
      <c r="AV135">
        <f>TYPE(All_India_Index_Upto_April23__1[[#This Row],[Pan, tobacco and intoxicants]])</f>
        <v>1</v>
      </c>
      <c r="AW135">
        <f>TYPE(All_India_Index_Upto_April23__1[[#This Row],[Clothing]])</f>
        <v>1</v>
      </c>
      <c r="AX135">
        <f>TYPE(All_India_Index_Upto_April23__1[[#This Row],[Footwear]])</f>
        <v>1</v>
      </c>
      <c r="AY135">
        <f>TYPE(All_India_Index_Upto_April23__1[[#This Row],[Clothing and footwear]])</f>
        <v>1</v>
      </c>
      <c r="AZ135">
        <f>TYPE(All_India_Index_Upto_April23__1[[#This Row],[Housing]])</f>
        <v>1</v>
      </c>
      <c r="BA135">
        <f>TYPE(All_India_Index_Upto_April23__1[[#This Row],[Fuel and light]])</f>
        <v>1</v>
      </c>
      <c r="BB135">
        <f>TYPE(All_India_Index_Upto_April23__1[[#This Row],[Household goods and services]])</f>
        <v>1</v>
      </c>
      <c r="BC135">
        <f>TYPE(All_India_Index_Upto_April23__1[[#This Row],[Health]])</f>
        <v>1</v>
      </c>
      <c r="BD135">
        <f>TYPE(All_India_Index_Upto_April23__1[[#This Row],[Transport and communication]])</f>
        <v>1</v>
      </c>
      <c r="BE135">
        <f>TYPE(All_India_Index_Upto_April23__1[[#This Row],[Recreation and amusement]])</f>
        <v>1</v>
      </c>
      <c r="BF135">
        <f>TYPE(All_India_Index_Upto_April23__1[[#This Row],[Education]])</f>
        <v>1</v>
      </c>
      <c r="BG135">
        <f>TYPE(All_India_Index_Upto_April23__1[[#This Row],[Personal care and effects]])</f>
        <v>1</v>
      </c>
      <c r="BH135">
        <f>TYPE(All_India_Index_Upto_April23__1[[#This Row],[Miscellaneous]])</f>
        <v>1</v>
      </c>
      <c r="BI135">
        <f>TYPE(All_India_Index_Upto_April23__1[[#This Row],[General index]])</f>
        <v>1</v>
      </c>
    </row>
    <row r="136" spans="1:61" x14ac:dyDescent="0.3">
      <c r="A136" t="s">
        <v>33</v>
      </c>
      <c r="B136">
        <v>2016</v>
      </c>
      <c r="C136" t="s">
        <v>41</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c r="AF136">
        <f>TYPE(All_India_Index_Upto_April23__1[[#This Row],[Sector]])</f>
        <v>2</v>
      </c>
      <c r="AG136">
        <f>TYPE(All_India_Index_Upto_April23__1[[#This Row],[Year]])</f>
        <v>1</v>
      </c>
      <c r="AH136">
        <f>TYPE(All_India_Index_Upto_April23__1[[#This Row],[Month]])</f>
        <v>2</v>
      </c>
      <c r="AI136">
        <f>TYPE(All_India_Index_Upto_April23__1[[#This Row],[Cereals and products]])</f>
        <v>1</v>
      </c>
      <c r="AJ136">
        <f>TYPE(All_India_Index_Upto_April23__1[[#This Row],[Meat and fish]])</f>
        <v>1</v>
      </c>
      <c r="AK136">
        <f>TYPE(All_India_Index_Upto_April23__1[[#This Row],[Egg]])</f>
        <v>1</v>
      </c>
      <c r="AL136">
        <f>TYPE(All_India_Index_Upto_April23__1[[#This Row],[Milk and products]])</f>
        <v>1</v>
      </c>
      <c r="AM136">
        <f>TYPE(All_India_Index_Upto_April23__1[[#This Row],[Oils and fats]])</f>
        <v>1</v>
      </c>
      <c r="AN136">
        <f>TYPE(All_India_Index_Upto_April23__1[[#This Row],[Fruits]])</f>
        <v>1</v>
      </c>
      <c r="AO136">
        <f>TYPE(All_India_Index_Upto_April23__1[[#This Row],[Vegetables]])</f>
        <v>1</v>
      </c>
      <c r="AP136">
        <f>TYPE(All_India_Index_Upto_April23__1[[#This Row],[Pulses and products]])</f>
        <v>1</v>
      </c>
      <c r="AQ136">
        <f>TYPE(All_India_Index_Upto_April23__1[[#This Row],[Sugar and Confectionery]])</f>
        <v>1</v>
      </c>
      <c r="AR136">
        <f>TYPE(All_India_Index_Upto_April23__1[[#This Row],[Spices]])</f>
        <v>1</v>
      </c>
      <c r="AS136">
        <f>TYPE(All_India_Index_Upto_April23__1[[#This Row],[Non-alcoholic beverages]])</f>
        <v>1</v>
      </c>
      <c r="AT136">
        <f>TYPE(All_India_Index_Upto_April23__1[[#This Row],[Prepared meals, snacks, sweets etc.]])</f>
        <v>1</v>
      </c>
      <c r="AU136">
        <f>TYPE(All_India_Index_Upto_April23__1[[#This Row],[Food and beverages]])</f>
        <v>1</v>
      </c>
      <c r="AV136">
        <f>TYPE(All_India_Index_Upto_April23__1[[#This Row],[Pan, tobacco and intoxicants]])</f>
        <v>1</v>
      </c>
      <c r="AW136">
        <f>TYPE(All_India_Index_Upto_April23__1[[#This Row],[Clothing]])</f>
        <v>1</v>
      </c>
      <c r="AX136">
        <f>TYPE(All_India_Index_Upto_April23__1[[#This Row],[Footwear]])</f>
        <v>1</v>
      </c>
      <c r="AY136">
        <f>TYPE(All_India_Index_Upto_April23__1[[#This Row],[Clothing and footwear]])</f>
        <v>1</v>
      </c>
      <c r="AZ136">
        <f>TYPE(All_India_Index_Upto_April23__1[[#This Row],[Housing]])</f>
        <v>1</v>
      </c>
      <c r="BA136">
        <f>TYPE(All_India_Index_Upto_April23__1[[#This Row],[Fuel and light]])</f>
        <v>1</v>
      </c>
      <c r="BB136">
        <f>TYPE(All_India_Index_Upto_April23__1[[#This Row],[Household goods and services]])</f>
        <v>1</v>
      </c>
      <c r="BC136">
        <f>TYPE(All_India_Index_Upto_April23__1[[#This Row],[Health]])</f>
        <v>1</v>
      </c>
      <c r="BD136">
        <f>TYPE(All_India_Index_Upto_April23__1[[#This Row],[Transport and communication]])</f>
        <v>1</v>
      </c>
      <c r="BE136">
        <f>TYPE(All_India_Index_Upto_April23__1[[#This Row],[Recreation and amusement]])</f>
        <v>1</v>
      </c>
      <c r="BF136">
        <f>TYPE(All_India_Index_Upto_April23__1[[#This Row],[Education]])</f>
        <v>1</v>
      </c>
      <c r="BG136">
        <f>TYPE(All_India_Index_Upto_April23__1[[#This Row],[Personal care and effects]])</f>
        <v>1</v>
      </c>
      <c r="BH136">
        <f>TYPE(All_India_Index_Upto_April23__1[[#This Row],[Miscellaneous]])</f>
        <v>1</v>
      </c>
      <c r="BI136">
        <f>TYPE(All_India_Index_Upto_April23__1[[#This Row],[General index]])</f>
        <v>1</v>
      </c>
    </row>
    <row r="137" spans="1:61" x14ac:dyDescent="0.3">
      <c r="A137" t="s">
        <v>30</v>
      </c>
      <c r="B137">
        <v>2016</v>
      </c>
      <c r="C137" t="s">
        <v>42</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v>0</v>
      </c>
      <c r="V137">
        <v>129.80000000000001</v>
      </c>
      <c r="W137">
        <v>131.80000000000001</v>
      </c>
      <c r="X137">
        <v>128.69999999999999</v>
      </c>
      <c r="Y137">
        <v>117.8</v>
      </c>
      <c r="Z137">
        <v>126.5</v>
      </c>
      <c r="AA137">
        <v>133</v>
      </c>
      <c r="AB137">
        <v>123</v>
      </c>
      <c r="AC137">
        <v>125.7</v>
      </c>
      <c r="AD137">
        <v>133.80000000000001</v>
      </c>
      <c r="AF137">
        <f>TYPE(All_India_Index_Upto_April23__1[[#This Row],[Sector]])</f>
        <v>2</v>
      </c>
      <c r="AG137">
        <f>TYPE(All_India_Index_Upto_April23__1[[#This Row],[Year]])</f>
        <v>1</v>
      </c>
      <c r="AH137">
        <f>TYPE(All_India_Index_Upto_April23__1[[#This Row],[Month]])</f>
        <v>2</v>
      </c>
      <c r="AI137">
        <f>TYPE(All_India_Index_Upto_April23__1[[#This Row],[Cereals and products]])</f>
        <v>1</v>
      </c>
      <c r="AJ137">
        <f>TYPE(All_India_Index_Upto_April23__1[[#This Row],[Meat and fish]])</f>
        <v>1</v>
      </c>
      <c r="AK137">
        <f>TYPE(All_India_Index_Upto_April23__1[[#This Row],[Egg]])</f>
        <v>1</v>
      </c>
      <c r="AL137">
        <f>TYPE(All_India_Index_Upto_April23__1[[#This Row],[Milk and products]])</f>
        <v>1</v>
      </c>
      <c r="AM137">
        <f>TYPE(All_India_Index_Upto_April23__1[[#This Row],[Oils and fats]])</f>
        <v>1</v>
      </c>
      <c r="AN137">
        <f>TYPE(All_India_Index_Upto_April23__1[[#This Row],[Fruits]])</f>
        <v>1</v>
      </c>
      <c r="AO137">
        <f>TYPE(All_India_Index_Upto_April23__1[[#This Row],[Vegetables]])</f>
        <v>1</v>
      </c>
      <c r="AP137">
        <f>TYPE(All_India_Index_Upto_April23__1[[#This Row],[Pulses and products]])</f>
        <v>1</v>
      </c>
      <c r="AQ137">
        <f>TYPE(All_India_Index_Upto_April23__1[[#This Row],[Sugar and Confectionery]])</f>
        <v>1</v>
      </c>
      <c r="AR137">
        <f>TYPE(All_India_Index_Upto_April23__1[[#This Row],[Spices]])</f>
        <v>1</v>
      </c>
      <c r="AS137">
        <f>TYPE(All_India_Index_Upto_April23__1[[#This Row],[Non-alcoholic beverages]])</f>
        <v>1</v>
      </c>
      <c r="AT137">
        <f>TYPE(All_India_Index_Upto_April23__1[[#This Row],[Prepared meals, snacks, sweets etc.]])</f>
        <v>1</v>
      </c>
      <c r="AU137">
        <f>TYPE(All_India_Index_Upto_April23__1[[#This Row],[Food and beverages]])</f>
        <v>1</v>
      </c>
      <c r="AV137">
        <f>TYPE(All_India_Index_Upto_April23__1[[#This Row],[Pan, tobacco and intoxicants]])</f>
        <v>1</v>
      </c>
      <c r="AW137">
        <f>TYPE(All_India_Index_Upto_April23__1[[#This Row],[Clothing]])</f>
        <v>1</v>
      </c>
      <c r="AX137">
        <f>TYPE(All_India_Index_Upto_April23__1[[#This Row],[Footwear]])</f>
        <v>1</v>
      </c>
      <c r="AY137">
        <f>TYPE(All_India_Index_Upto_April23__1[[#This Row],[Clothing and footwear]])</f>
        <v>1</v>
      </c>
      <c r="AZ137">
        <f>TYPE(All_India_Index_Upto_April23__1[[#This Row],[Housing]])</f>
        <v>1</v>
      </c>
      <c r="BA137">
        <f>TYPE(All_India_Index_Upto_April23__1[[#This Row],[Fuel and light]])</f>
        <v>1</v>
      </c>
      <c r="BB137">
        <f>TYPE(All_India_Index_Upto_April23__1[[#This Row],[Household goods and services]])</f>
        <v>1</v>
      </c>
      <c r="BC137">
        <f>TYPE(All_India_Index_Upto_April23__1[[#This Row],[Health]])</f>
        <v>1</v>
      </c>
      <c r="BD137">
        <f>TYPE(All_India_Index_Upto_April23__1[[#This Row],[Transport and communication]])</f>
        <v>1</v>
      </c>
      <c r="BE137">
        <f>TYPE(All_India_Index_Upto_April23__1[[#This Row],[Recreation and amusement]])</f>
        <v>1</v>
      </c>
      <c r="BF137">
        <f>TYPE(All_India_Index_Upto_April23__1[[#This Row],[Education]])</f>
        <v>1</v>
      </c>
      <c r="BG137">
        <f>TYPE(All_India_Index_Upto_April23__1[[#This Row],[Personal care and effects]])</f>
        <v>1</v>
      </c>
      <c r="BH137">
        <f>TYPE(All_India_Index_Upto_April23__1[[#This Row],[Miscellaneous]])</f>
        <v>1</v>
      </c>
      <c r="BI137">
        <f>TYPE(All_India_Index_Upto_April23__1[[#This Row],[General index]])</f>
        <v>1</v>
      </c>
    </row>
    <row r="138" spans="1:61" x14ac:dyDescent="0.3">
      <c r="A138" t="s">
        <v>32</v>
      </c>
      <c r="B138">
        <v>2016</v>
      </c>
      <c r="C138" t="s">
        <v>42</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c r="AF138">
        <f>TYPE(All_India_Index_Upto_April23__1[[#This Row],[Sector]])</f>
        <v>2</v>
      </c>
      <c r="AG138">
        <f>TYPE(All_India_Index_Upto_April23__1[[#This Row],[Year]])</f>
        <v>1</v>
      </c>
      <c r="AH138">
        <f>TYPE(All_India_Index_Upto_April23__1[[#This Row],[Month]])</f>
        <v>2</v>
      </c>
      <c r="AI138">
        <f>TYPE(All_India_Index_Upto_April23__1[[#This Row],[Cereals and products]])</f>
        <v>1</v>
      </c>
      <c r="AJ138">
        <f>TYPE(All_India_Index_Upto_April23__1[[#This Row],[Meat and fish]])</f>
        <v>1</v>
      </c>
      <c r="AK138">
        <f>TYPE(All_India_Index_Upto_April23__1[[#This Row],[Egg]])</f>
        <v>1</v>
      </c>
      <c r="AL138">
        <f>TYPE(All_India_Index_Upto_April23__1[[#This Row],[Milk and products]])</f>
        <v>1</v>
      </c>
      <c r="AM138">
        <f>TYPE(All_India_Index_Upto_April23__1[[#This Row],[Oils and fats]])</f>
        <v>1</v>
      </c>
      <c r="AN138">
        <f>TYPE(All_India_Index_Upto_April23__1[[#This Row],[Fruits]])</f>
        <v>1</v>
      </c>
      <c r="AO138">
        <f>TYPE(All_India_Index_Upto_April23__1[[#This Row],[Vegetables]])</f>
        <v>1</v>
      </c>
      <c r="AP138">
        <f>TYPE(All_India_Index_Upto_April23__1[[#This Row],[Pulses and products]])</f>
        <v>1</v>
      </c>
      <c r="AQ138">
        <f>TYPE(All_India_Index_Upto_April23__1[[#This Row],[Sugar and Confectionery]])</f>
        <v>1</v>
      </c>
      <c r="AR138">
        <f>TYPE(All_India_Index_Upto_April23__1[[#This Row],[Spices]])</f>
        <v>1</v>
      </c>
      <c r="AS138">
        <f>TYPE(All_India_Index_Upto_April23__1[[#This Row],[Non-alcoholic beverages]])</f>
        <v>1</v>
      </c>
      <c r="AT138">
        <f>TYPE(All_India_Index_Upto_April23__1[[#This Row],[Prepared meals, snacks, sweets etc.]])</f>
        <v>1</v>
      </c>
      <c r="AU138">
        <f>TYPE(All_India_Index_Upto_April23__1[[#This Row],[Food and beverages]])</f>
        <v>1</v>
      </c>
      <c r="AV138">
        <f>TYPE(All_India_Index_Upto_April23__1[[#This Row],[Pan, tobacco and intoxicants]])</f>
        <v>1</v>
      </c>
      <c r="AW138">
        <f>TYPE(All_India_Index_Upto_April23__1[[#This Row],[Clothing]])</f>
        <v>1</v>
      </c>
      <c r="AX138">
        <f>TYPE(All_India_Index_Upto_April23__1[[#This Row],[Footwear]])</f>
        <v>1</v>
      </c>
      <c r="AY138">
        <f>TYPE(All_India_Index_Upto_April23__1[[#This Row],[Clothing and footwear]])</f>
        <v>1</v>
      </c>
      <c r="AZ138">
        <f>TYPE(All_India_Index_Upto_April23__1[[#This Row],[Housing]])</f>
        <v>1</v>
      </c>
      <c r="BA138">
        <f>TYPE(All_India_Index_Upto_April23__1[[#This Row],[Fuel and light]])</f>
        <v>1</v>
      </c>
      <c r="BB138">
        <f>TYPE(All_India_Index_Upto_April23__1[[#This Row],[Household goods and services]])</f>
        <v>1</v>
      </c>
      <c r="BC138">
        <f>TYPE(All_India_Index_Upto_April23__1[[#This Row],[Health]])</f>
        <v>1</v>
      </c>
      <c r="BD138">
        <f>TYPE(All_India_Index_Upto_April23__1[[#This Row],[Transport and communication]])</f>
        <v>1</v>
      </c>
      <c r="BE138">
        <f>TYPE(All_India_Index_Upto_April23__1[[#This Row],[Recreation and amusement]])</f>
        <v>1</v>
      </c>
      <c r="BF138">
        <f>TYPE(All_India_Index_Upto_April23__1[[#This Row],[Education]])</f>
        <v>1</v>
      </c>
      <c r="BG138">
        <f>TYPE(All_India_Index_Upto_April23__1[[#This Row],[Personal care and effects]])</f>
        <v>1</v>
      </c>
      <c r="BH138">
        <f>TYPE(All_India_Index_Upto_April23__1[[#This Row],[Miscellaneous]])</f>
        <v>1</v>
      </c>
      <c r="BI138">
        <f>TYPE(All_India_Index_Upto_April23__1[[#This Row],[General index]])</f>
        <v>1</v>
      </c>
    </row>
    <row r="139" spans="1:61" x14ac:dyDescent="0.3">
      <c r="A139" t="s">
        <v>33</v>
      </c>
      <c r="B139">
        <v>2016</v>
      </c>
      <c r="C139" t="s">
        <v>42</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c r="AF139">
        <f>TYPE(All_India_Index_Upto_April23__1[[#This Row],[Sector]])</f>
        <v>2</v>
      </c>
      <c r="AG139">
        <f>TYPE(All_India_Index_Upto_April23__1[[#This Row],[Year]])</f>
        <v>1</v>
      </c>
      <c r="AH139">
        <f>TYPE(All_India_Index_Upto_April23__1[[#This Row],[Month]])</f>
        <v>2</v>
      </c>
      <c r="AI139">
        <f>TYPE(All_India_Index_Upto_April23__1[[#This Row],[Cereals and products]])</f>
        <v>1</v>
      </c>
      <c r="AJ139">
        <f>TYPE(All_India_Index_Upto_April23__1[[#This Row],[Meat and fish]])</f>
        <v>1</v>
      </c>
      <c r="AK139">
        <f>TYPE(All_India_Index_Upto_April23__1[[#This Row],[Egg]])</f>
        <v>1</v>
      </c>
      <c r="AL139">
        <f>TYPE(All_India_Index_Upto_April23__1[[#This Row],[Milk and products]])</f>
        <v>1</v>
      </c>
      <c r="AM139">
        <f>TYPE(All_India_Index_Upto_April23__1[[#This Row],[Oils and fats]])</f>
        <v>1</v>
      </c>
      <c r="AN139">
        <f>TYPE(All_India_Index_Upto_April23__1[[#This Row],[Fruits]])</f>
        <v>1</v>
      </c>
      <c r="AO139">
        <f>TYPE(All_India_Index_Upto_April23__1[[#This Row],[Vegetables]])</f>
        <v>1</v>
      </c>
      <c r="AP139">
        <f>TYPE(All_India_Index_Upto_April23__1[[#This Row],[Pulses and products]])</f>
        <v>1</v>
      </c>
      <c r="AQ139">
        <f>TYPE(All_India_Index_Upto_April23__1[[#This Row],[Sugar and Confectionery]])</f>
        <v>1</v>
      </c>
      <c r="AR139">
        <f>TYPE(All_India_Index_Upto_April23__1[[#This Row],[Spices]])</f>
        <v>1</v>
      </c>
      <c r="AS139">
        <f>TYPE(All_India_Index_Upto_April23__1[[#This Row],[Non-alcoholic beverages]])</f>
        <v>1</v>
      </c>
      <c r="AT139">
        <f>TYPE(All_India_Index_Upto_April23__1[[#This Row],[Prepared meals, snacks, sweets etc.]])</f>
        <v>1</v>
      </c>
      <c r="AU139">
        <f>TYPE(All_India_Index_Upto_April23__1[[#This Row],[Food and beverages]])</f>
        <v>1</v>
      </c>
      <c r="AV139">
        <f>TYPE(All_India_Index_Upto_April23__1[[#This Row],[Pan, tobacco and intoxicants]])</f>
        <v>1</v>
      </c>
      <c r="AW139">
        <f>TYPE(All_India_Index_Upto_April23__1[[#This Row],[Clothing]])</f>
        <v>1</v>
      </c>
      <c r="AX139">
        <f>TYPE(All_India_Index_Upto_April23__1[[#This Row],[Footwear]])</f>
        <v>1</v>
      </c>
      <c r="AY139">
        <f>TYPE(All_India_Index_Upto_April23__1[[#This Row],[Clothing and footwear]])</f>
        <v>1</v>
      </c>
      <c r="AZ139">
        <f>TYPE(All_India_Index_Upto_April23__1[[#This Row],[Housing]])</f>
        <v>1</v>
      </c>
      <c r="BA139">
        <f>TYPE(All_India_Index_Upto_April23__1[[#This Row],[Fuel and light]])</f>
        <v>1</v>
      </c>
      <c r="BB139">
        <f>TYPE(All_India_Index_Upto_April23__1[[#This Row],[Household goods and services]])</f>
        <v>1</v>
      </c>
      <c r="BC139">
        <f>TYPE(All_India_Index_Upto_April23__1[[#This Row],[Health]])</f>
        <v>1</v>
      </c>
      <c r="BD139">
        <f>TYPE(All_India_Index_Upto_April23__1[[#This Row],[Transport and communication]])</f>
        <v>1</v>
      </c>
      <c r="BE139">
        <f>TYPE(All_India_Index_Upto_April23__1[[#This Row],[Recreation and amusement]])</f>
        <v>1</v>
      </c>
      <c r="BF139">
        <f>TYPE(All_India_Index_Upto_April23__1[[#This Row],[Education]])</f>
        <v>1</v>
      </c>
      <c r="BG139">
        <f>TYPE(All_India_Index_Upto_April23__1[[#This Row],[Personal care and effects]])</f>
        <v>1</v>
      </c>
      <c r="BH139">
        <f>TYPE(All_India_Index_Upto_April23__1[[#This Row],[Miscellaneous]])</f>
        <v>1</v>
      </c>
      <c r="BI139">
        <f>TYPE(All_India_Index_Upto_April23__1[[#This Row],[General index]])</f>
        <v>1</v>
      </c>
    </row>
    <row r="140" spans="1:61" x14ac:dyDescent="0.3">
      <c r="A140" t="s">
        <v>30</v>
      </c>
      <c r="B140">
        <v>2016</v>
      </c>
      <c r="C140" t="s">
        <v>44</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v>0</v>
      </c>
      <c r="V140">
        <v>130.30000000000001</v>
      </c>
      <c r="W140">
        <v>132.1</v>
      </c>
      <c r="X140">
        <v>129.1</v>
      </c>
      <c r="Y140">
        <v>118.2</v>
      </c>
      <c r="Z140">
        <v>126.9</v>
      </c>
      <c r="AA140">
        <v>133.69999999999999</v>
      </c>
      <c r="AB140">
        <v>123.5</v>
      </c>
      <c r="AC140">
        <v>126.1</v>
      </c>
      <c r="AD140">
        <v>133.6</v>
      </c>
      <c r="AF140">
        <f>TYPE(All_India_Index_Upto_April23__1[[#This Row],[Sector]])</f>
        <v>2</v>
      </c>
      <c r="AG140">
        <f>TYPE(All_India_Index_Upto_April23__1[[#This Row],[Year]])</f>
        <v>1</v>
      </c>
      <c r="AH140">
        <f>TYPE(All_India_Index_Upto_April23__1[[#This Row],[Month]])</f>
        <v>2</v>
      </c>
      <c r="AI140">
        <f>TYPE(All_India_Index_Upto_April23__1[[#This Row],[Cereals and products]])</f>
        <v>1</v>
      </c>
      <c r="AJ140">
        <f>TYPE(All_India_Index_Upto_April23__1[[#This Row],[Meat and fish]])</f>
        <v>1</v>
      </c>
      <c r="AK140">
        <f>TYPE(All_India_Index_Upto_April23__1[[#This Row],[Egg]])</f>
        <v>1</v>
      </c>
      <c r="AL140">
        <f>TYPE(All_India_Index_Upto_April23__1[[#This Row],[Milk and products]])</f>
        <v>1</v>
      </c>
      <c r="AM140">
        <f>TYPE(All_India_Index_Upto_April23__1[[#This Row],[Oils and fats]])</f>
        <v>1</v>
      </c>
      <c r="AN140">
        <f>TYPE(All_India_Index_Upto_April23__1[[#This Row],[Fruits]])</f>
        <v>1</v>
      </c>
      <c r="AO140">
        <f>TYPE(All_India_Index_Upto_April23__1[[#This Row],[Vegetables]])</f>
        <v>1</v>
      </c>
      <c r="AP140">
        <f>TYPE(All_India_Index_Upto_April23__1[[#This Row],[Pulses and products]])</f>
        <v>1</v>
      </c>
      <c r="AQ140">
        <f>TYPE(All_India_Index_Upto_April23__1[[#This Row],[Sugar and Confectionery]])</f>
        <v>1</v>
      </c>
      <c r="AR140">
        <f>TYPE(All_India_Index_Upto_April23__1[[#This Row],[Spices]])</f>
        <v>1</v>
      </c>
      <c r="AS140">
        <f>TYPE(All_India_Index_Upto_April23__1[[#This Row],[Non-alcoholic beverages]])</f>
        <v>1</v>
      </c>
      <c r="AT140">
        <f>TYPE(All_India_Index_Upto_April23__1[[#This Row],[Prepared meals, snacks, sweets etc.]])</f>
        <v>1</v>
      </c>
      <c r="AU140">
        <f>TYPE(All_India_Index_Upto_April23__1[[#This Row],[Food and beverages]])</f>
        <v>1</v>
      </c>
      <c r="AV140">
        <f>TYPE(All_India_Index_Upto_April23__1[[#This Row],[Pan, tobacco and intoxicants]])</f>
        <v>1</v>
      </c>
      <c r="AW140">
        <f>TYPE(All_India_Index_Upto_April23__1[[#This Row],[Clothing]])</f>
        <v>1</v>
      </c>
      <c r="AX140">
        <f>TYPE(All_India_Index_Upto_April23__1[[#This Row],[Footwear]])</f>
        <v>1</v>
      </c>
      <c r="AY140">
        <f>TYPE(All_India_Index_Upto_April23__1[[#This Row],[Clothing and footwear]])</f>
        <v>1</v>
      </c>
      <c r="AZ140">
        <f>TYPE(All_India_Index_Upto_April23__1[[#This Row],[Housing]])</f>
        <v>1</v>
      </c>
      <c r="BA140">
        <f>TYPE(All_India_Index_Upto_April23__1[[#This Row],[Fuel and light]])</f>
        <v>1</v>
      </c>
      <c r="BB140">
        <f>TYPE(All_India_Index_Upto_April23__1[[#This Row],[Household goods and services]])</f>
        <v>1</v>
      </c>
      <c r="BC140">
        <f>TYPE(All_India_Index_Upto_April23__1[[#This Row],[Health]])</f>
        <v>1</v>
      </c>
      <c r="BD140">
        <f>TYPE(All_India_Index_Upto_April23__1[[#This Row],[Transport and communication]])</f>
        <v>1</v>
      </c>
      <c r="BE140">
        <f>TYPE(All_India_Index_Upto_April23__1[[#This Row],[Recreation and amusement]])</f>
        <v>1</v>
      </c>
      <c r="BF140">
        <f>TYPE(All_India_Index_Upto_April23__1[[#This Row],[Education]])</f>
        <v>1</v>
      </c>
      <c r="BG140">
        <f>TYPE(All_India_Index_Upto_April23__1[[#This Row],[Personal care and effects]])</f>
        <v>1</v>
      </c>
      <c r="BH140">
        <f>TYPE(All_India_Index_Upto_April23__1[[#This Row],[Miscellaneous]])</f>
        <v>1</v>
      </c>
      <c r="BI140">
        <f>TYPE(All_India_Index_Upto_April23__1[[#This Row],[General index]])</f>
        <v>1</v>
      </c>
    </row>
    <row r="141" spans="1:61" x14ac:dyDescent="0.3">
      <c r="A141" t="s">
        <v>32</v>
      </c>
      <c r="B141">
        <v>2016</v>
      </c>
      <c r="C141" t="s">
        <v>44</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c r="AF141">
        <f>TYPE(All_India_Index_Upto_April23__1[[#This Row],[Sector]])</f>
        <v>2</v>
      </c>
      <c r="AG141">
        <f>TYPE(All_India_Index_Upto_April23__1[[#This Row],[Year]])</f>
        <v>1</v>
      </c>
      <c r="AH141">
        <f>TYPE(All_India_Index_Upto_April23__1[[#This Row],[Month]])</f>
        <v>2</v>
      </c>
      <c r="AI141">
        <f>TYPE(All_India_Index_Upto_April23__1[[#This Row],[Cereals and products]])</f>
        <v>1</v>
      </c>
      <c r="AJ141">
        <f>TYPE(All_India_Index_Upto_April23__1[[#This Row],[Meat and fish]])</f>
        <v>1</v>
      </c>
      <c r="AK141">
        <f>TYPE(All_India_Index_Upto_April23__1[[#This Row],[Egg]])</f>
        <v>1</v>
      </c>
      <c r="AL141">
        <f>TYPE(All_India_Index_Upto_April23__1[[#This Row],[Milk and products]])</f>
        <v>1</v>
      </c>
      <c r="AM141">
        <f>TYPE(All_India_Index_Upto_April23__1[[#This Row],[Oils and fats]])</f>
        <v>1</v>
      </c>
      <c r="AN141">
        <f>TYPE(All_India_Index_Upto_April23__1[[#This Row],[Fruits]])</f>
        <v>1</v>
      </c>
      <c r="AO141">
        <f>TYPE(All_India_Index_Upto_April23__1[[#This Row],[Vegetables]])</f>
        <v>1</v>
      </c>
      <c r="AP141">
        <f>TYPE(All_India_Index_Upto_April23__1[[#This Row],[Pulses and products]])</f>
        <v>1</v>
      </c>
      <c r="AQ141">
        <f>TYPE(All_India_Index_Upto_April23__1[[#This Row],[Sugar and Confectionery]])</f>
        <v>1</v>
      </c>
      <c r="AR141">
        <f>TYPE(All_India_Index_Upto_April23__1[[#This Row],[Spices]])</f>
        <v>1</v>
      </c>
      <c r="AS141">
        <f>TYPE(All_India_Index_Upto_April23__1[[#This Row],[Non-alcoholic beverages]])</f>
        <v>1</v>
      </c>
      <c r="AT141">
        <f>TYPE(All_India_Index_Upto_April23__1[[#This Row],[Prepared meals, snacks, sweets etc.]])</f>
        <v>1</v>
      </c>
      <c r="AU141">
        <f>TYPE(All_India_Index_Upto_April23__1[[#This Row],[Food and beverages]])</f>
        <v>1</v>
      </c>
      <c r="AV141">
        <f>TYPE(All_India_Index_Upto_April23__1[[#This Row],[Pan, tobacco and intoxicants]])</f>
        <v>1</v>
      </c>
      <c r="AW141">
        <f>TYPE(All_India_Index_Upto_April23__1[[#This Row],[Clothing]])</f>
        <v>1</v>
      </c>
      <c r="AX141">
        <f>TYPE(All_India_Index_Upto_April23__1[[#This Row],[Footwear]])</f>
        <v>1</v>
      </c>
      <c r="AY141">
        <f>TYPE(All_India_Index_Upto_April23__1[[#This Row],[Clothing and footwear]])</f>
        <v>1</v>
      </c>
      <c r="AZ141">
        <f>TYPE(All_India_Index_Upto_April23__1[[#This Row],[Housing]])</f>
        <v>1</v>
      </c>
      <c r="BA141">
        <f>TYPE(All_India_Index_Upto_April23__1[[#This Row],[Fuel and light]])</f>
        <v>1</v>
      </c>
      <c r="BB141">
        <f>TYPE(All_India_Index_Upto_April23__1[[#This Row],[Household goods and services]])</f>
        <v>1</v>
      </c>
      <c r="BC141">
        <f>TYPE(All_India_Index_Upto_April23__1[[#This Row],[Health]])</f>
        <v>1</v>
      </c>
      <c r="BD141">
        <f>TYPE(All_India_Index_Upto_April23__1[[#This Row],[Transport and communication]])</f>
        <v>1</v>
      </c>
      <c r="BE141">
        <f>TYPE(All_India_Index_Upto_April23__1[[#This Row],[Recreation and amusement]])</f>
        <v>1</v>
      </c>
      <c r="BF141">
        <f>TYPE(All_India_Index_Upto_April23__1[[#This Row],[Education]])</f>
        <v>1</v>
      </c>
      <c r="BG141">
        <f>TYPE(All_India_Index_Upto_April23__1[[#This Row],[Personal care and effects]])</f>
        <v>1</v>
      </c>
      <c r="BH141">
        <f>TYPE(All_India_Index_Upto_April23__1[[#This Row],[Miscellaneous]])</f>
        <v>1</v>
      </c>
      <c r="BI141">
        <f>TYPE(All_India_Index_Upto_April23__1[[#This Row],[General index]])</f>
        <v>1</v>
      </c>
    </row>
    <row r="142" spans="1:61" x14ac:dyDescent="0.3">
      <c r="A142" t="s">
        <v>33</v>
      </c>
      <c r="B142">
        <v>2016</v>
      </c>
      <c r="C142" t="s">
        <v>44</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c r="AF142">
        <f>TYPE(All_India_Index_Upto_April23__1[[#This Row],[Sector]])</f>
        <v>2</v>
      </c>
      <c r="AG142">
        <f>TYPE(All_India_Index_Upto_April23__1[[#This Row],[Year]])</f>
        <v>1</v>
      </c>
      <c r="AH142">
        <f>TYPE(All_India_Index_Upto_April23__1[[#This Row],[Month]])</f>
        <v>2</v>
      </c>
      <c r="AI142">
        <f>TYPE(All_India_Index_Upto_April23__1[[#This Row],[Cereals and products]])</f>
        <v>1</v>
      </c>
      <c r="AJ142">
        <f>TYPE(All_India_Index_Upto_April23__1[[#This Row],[Meat and fish]])</f>
        <v>1</v>
      </c>
      <c r="AK142">
        <f>TYPE(All_India_Index_Upto_April23__1[[#This Row],[Egg]])</f>
        <v>1</v>
      </c>
      <c r="AL142">
        <f>TYPE(All_India_Index_Upto_April23__1[[#This Row],[Milk and products]])</f>
        <v>1</v>
      </c>
      <c r="AM142">
        <f>TYPE(All_India_Index_Upto_April23__1[[#This Row],[Oils and fats]])</f>
        <v>1</v>
      </c>
      <c r="AN142">
        <f>TYPE(All_India_Index_Upto_April23__1[[#This Row],[Fruits]])</f>
        <v>1</v>
      </c>
      <c r="AO142">
        <f>TYPE(All_India_Index_Upto_April23__1[[#This Row],[Vegetables]])</f>
        <v>1</v>
      </c>
      <c r="AP142">
        <f>TYPE(All_India_Index_Upto_April23__1[[#This Row],[Pulses and products]])</f>
        <v>1</v>
      </c>
      <c r="AQ142">
        <f>TYPE(All_India_Index_Upto_April23__1[[#This Row],[Sugar and Confectionery]])</f>
        <v>1</v>
      </c>
      <c r="AR142">
        <f>TYPE(All_India_Index_Upto_April23__1[[#This Row],[Spices]])</f>
        <v>1</v>
      </c>
      <c r="AS142">
        <f>TYPE(All_India_Index_Upto_April23__1[[#This Row],[Non-alcoholic beverages]])</f>
        <v>1</v>
      </c>
      <c r="AT142">
        <f>TYPE(All_India_Index_Upto_April23__1[[#This Row],[Prepared meals, snacks, sweets etc.]])</f>
        <v>1</v>
      </c>
      <c r="AU142">
        <f>TYPE(All_India_Index_Upto_April23__1[[#This Row],[Food and beverages]])</f>
        <v>1</v>
      </c>
      <c r="AV142">
        <f>TYPE(All_India_Index_Upto_April23__1[[#This Row],[Pan, tobacco and intoxicants]])</f>
        <v>1</v>
      </c>
      <c r="AW142">
        <f>TYPE(All_India_Index_Upto_April23__1[[#This Row],[Clothing]])</f>
        <v>1</v>
      </c>
      <c r="AX142">
        <f>TYPE(All_India_Index_Upto_April23__1[[#This Row],[Footwear]])</f>
        <v>1</v>
      </c>
      <c r="AY142">
        <f>TYPE(All_India_Index_Upto_April23__1[[#This Row],[Clothing and footwear]])</f>
        <v>1</v>
      </c>
      <c r="AZ142">
        <f>TYPE(All_India_Index_Upto_April23__1[[#This Row],[Housing]])</f>
        <v>1</v>
      </c>
      <c r="BA142">
        <f>TYPE(All_India_Index_Upto_April23__1[[#This Row],[Fuel and light]])</f>
        <v>1</v>
      </c>
      <c r="BB142">
        <f>TYPE(All_India_Index_Upto_April23__1[[#This Row],[Household goods and services]])</f>
        <v>1</v>
      </c>
      <c r="BC142">
        <f>TYPE(All_India_Index_Upto_April23__1[[#This Row],[Health]])</f>
        <v>1</v>
      </c>
      <c r="BD142">
        <f>TYPE(All_India_Index_Upto_April23__1[[#This Row],[Transport and communication]])</f>
        <v>1</v>
      </c>
      <c r="BE142">
        <f>TYPE(All_India_Index_Upto_April23__1[[#This Row],[Recreation and amusement]])</f>
        <v>1</v>
      </c>
      <c r="BF142">
        <f>TYPE(All_India_Index_Upto_April23__1[[#This Row],[Education]])</f>
        <v>1</v>
      </c>
      <c r="BG142">
        <f>TYPE(All_India_Index_Upto_April23__1[[#This Row],[Personal care and effects]])</f>
        <v>1</v>
      </c>
      <c r="BH142">
        <f>TYPE(All_India_Index_Upto_April23__1[[#This Row],[Miscellaneous]])</f>
        <v>1</v>
      </c>
      <c r="BI142">
        <f>TYPE(All_India_Index_Upto_April23__1[[#This Row],[General index]])</f>
        <v>1</v>
      </c>
    </row>
    <row r="143" spans="1:61" x14ac:dyDescent="0.3">
      <c r="A143" t="s">
        <v>30</v>
      </c>
      <c r="B143">
        <v>2016</v>
      </c>
      <c r="C143" t="s">
        <v>45</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v>0</v>
      </c>
      <c r="V143">
        <v>132</v>
      </c>
      <c r="W143">
        <v>132.9</v>
      </c>
      <c r="X143">
        <v>129.69999999999999</v>
      </c>
      <c r="Y143">
        <v>118.6</v>
      </c>
      <c r="Z143">
        <v>127.3</v>
      </c>
      <c r="AA143">
        <v>134.19999999999999</v>
      </c>
      <c r="AB143">
        <v>121.9</v>
      </c>
      <c r="AC143">
        <v>126.3</v>
      </c>
      <c r="AD143">
        <v>132.80000000000001</v>
      </c>
      <c r="AF143">
        <f>TYPE(All_India_Index_Upto_April23__1[[#This Row],[Sector]])</f>
        <v>2</v>
      </c>
      <c r="AG143">
        <f>TYPE(All_India_Index_Upto_April23__1[[#This Row],[Year]])</f>
        <v>1</v>
      </c>
      <c r="AH143">
        <f>TYPE(All_India_Index_Upto_April23__1[[#This Row],[Month]])</f>
        <v>2</v>
      </c>
      <c r="AI143">
        <f>TYPE(All_India_Index_Upto_April23__1[[#This Row],[Cereals and products]])</f>
        <v>1</v>
      </c>
      <c r="AJ143">
        <f>TYPE(All_India_Index_Upto_April23__1[[#This Row],[Meat and fish]])</f>
        <v>1</v>
      </c>
      <c r="AK143">
        <f>TYPE(All_India_Index_Upto_April23__1[[#This Row],[Egg]])</f>
        <v>1</v>
      </c>
      <c r="AL143">
        <f>TYPE(All_India_Index_Upto_April23__1[[#This Row],[Milk and products]])</f>
        <v>1</v>
      </c>
      <c r="AM143">
        <f>TYPE(All_India_Index_Upto_April23__1[[#This Row],[Oils and fats]])</f>
        <v>1</v>
      </c>
      <c r="AN143">
        <f>TYPE(All_India_Index_Upto_April23__1[[#This Row],[Fruits]])</f>
        <v>1</v>
      </c>
      <c r="AO143">
        <f>TYPE(All_India_Index_Upto_April23__1[[#This Row],[Vegetables]])</f>
        <v>1</v>
      </c>
      <c r="AP143">
        <f>TYPE(All_India_Index_Upto_April23__1[[#This Row],[Pulses and products]])</f>
        <v>1</v>
      </c>
      <c r="AQ143">
        <f>TYPE(All_India_Index_Upto_April23__1[[#This Row],[Sugar and Confectionery]])</f>
        <v>1</v>
      </c>
      <c r="AR143">
        <f>TYPE(All_India_Index_Upto_April23__1[[#This Row],[Spices]])</f>
        <v>1</v>
      </c>
      <c r="AS143">
        <f>TYPE(All_India_Index_Upto_April23__1[[#This Row],[Non-alcoholic beverages]])</f>
        <v>1</v>
      </c>
      <c r="AT143">
        <f>TYPE(All_India_Index_Upto_April23__1[[#This Row],[Prepared meals, snacks, sweets etc.]])</f>
        <v>1</v>
      </c>
      <c r="AU143">
        <f>TYPE(All_India_Index_Upto_April23__1[[#This Row],[Food and beverages]])</f>
        <v>1</v>
      </c>
      <c r="AV143">
        <f>TYPE(All_India_Index_Upto_April23__1[[#This Row],[Pan, tobacco and intoxicants]])</f>
        <v>1</v>
      </c>
      <c r="AW143">
        <f>TYPE(All_India_Index_Upto_April23__1[[#This Row],[Clothing]])</f>
        <v>1</v>
      </c>
      <c r="AX143">
        <f>TYPE(All_India_Index_Upto_April23__1[[#This Row],[Footwear]])</f>
        <v>1</v>
      </c>
      <c r="AY143">
        <f>TYPE(All_India_Index_Upto_April23__1[[#This Row],[Clothing and footwear]])</f>
        <v>1</v>
      </c>
      <c r="AZ143">
        <f>TYPE(All_India_Index_Upto_April23__1[[#This Row],[Housing]])</f>
        <v>1</v>
      </c>
      <c r="BA143">
        <f>TYPE(All_India_Index_Upto_April23__1[[#This Row],[Fuel and light]])</f>
        <v>1</v>
      </c>
      <c r="BB143">
        <f>TYPE(All_India_Index_Upto_April23__1[[#This Row],[Household goods and services]])</f>
        <v>1</v>
      </c>
      <c r="BC143">
        <f>TYPE(All_India_Index_Upto_April23__1[[#This Row],[Health]])</f>
        <v>1</v>
      </c>
      <c r="BD143">
        <f>TYPE(All_India_Index_Upto_April23__1[[#This Row],[Transport and communication]])</f>
        <v>1</v>
      </c>
      <c r="BE143">
        <f>TYPE(All_India_Index_Upto_April23__1[[#This Row],[Recreation and amusement]])</f>
        <v>1</v>
      </c>
      <c r="BF143">
        <f>TYPE(All_India_Index_Upto_April23__1[[#This Row],[Education]])</f>
        <v>1</v>
      </c>
      <c r="BG143">
        <f>TYPE(All_India_Index_Upto_April23__1[[#This Row],[Personal care and effects]])</f>
        <v>1</v>
      </c>
      <c r="BH143">
        <f>TYPE(All_India_Index_Upto_April23__1[[#This Row],[Miscellaneous]])</f>
        <v>1</v>
      </c>
      <c r="BI143">
        <f>TYPE(All_India_Index_Upto_April23__1[[#This Row],[General index]])</f>
        <v>1</v>
      </c>
    </row>
    <row r="144" spans="1:61" x14ac:dyDescent="0.3">
      <c r="A144" t="s">
        <v>32</v>
      </c>
      <c r="B144">
        <v>2016</v>
      </c>
      <c r="C144" t="s">
        <v>45</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c r="AF144">
        <f>TYPE(All_India_Index_Upto_April23__1[[#This Row],[Sector]])</f>
        <v>2</v>
      </c>
      <c r="AG144">
        <f>TYPE(All_India_Index_Upto_April23__1[[#This Row],[Year]])</f>
        <v>1</v>
      </c>
      <c r="AH144">
        <f>TYPE(All_India_Index_Upto_April23__1[[#This Row],[Month]])</f>
        <v>2</v>
      </c>
      <c r="AI144">
        <f>TYPE(All_India_Index_Upto_April23__1[[#This Row],[Cereals and products]])</f>
        <v>1</v>
      </c>
      <c r="AJ144">
        <f>TYPE(All_India_Index_Upto_April23__1[[#This Row],[Meat and fish]])</f>
        <v>1</v>
      </c>
      <c r="AK144">
        <f>TYPE(All_India_Index_Upto_April23__1[[#This Row],[Egg]])</f>
        <v>1</v>
      </c>
      <c r="AL144">
        <f>TYPE(All_India_Index_Upto_April23__1[[#This Row],[Milk and products]])</f>
        <v>1</v>
      </c>
      <c r="AM144">
        <f>TYPE(All_India_Index_Upto_April23__1[[#This Row],[Oils and fats]])</f>
        <v>1</v>
      </c>
      <c r="AN144">
        <f>TYPE(All_India_Index_Upto_April23__1[[#This Row],[Fruits]])</f>
        <v>1</v>
      </c>
      <c r="AO144">
        <f>TYPE(All_India_Index_Upto_April23__1[[#This Row],[Vegetables]])</f>
        <v>1</v>
      </c>
      <c r="AP144">
        <f>TYPE(All_India_Index_Upto_April23__1[[#This Row],[Pulses and products]])</f>
        <v>1</v>
      </c>
      <c r="AQ144">
        <f>TYPE(All_India_Index_Upto_April23__1[[#This Row],[Sugar and Confectionery]])</f>
        <v>1</v>
      </c>
      <c r="AR144">
        <f>TYPE(All_India_Index_Upto_April23__1[[#This Row],[Spices]])</f>
        <v>1</v>
      </c>
      <c r="AS144">
        <f>TYPE(All_India_Index_Upto_April23__1[[#This Row],[Non-alcoholic beverages]])</f>
        <v>1</v>
      </c>
      <c r="AT144">
        <f>TYPE(All_India_Index_Upto_April23__1[[#This Row],[Prepared meals, snacks, sweets etc.]])</f>
        <v>1</v>
      </c>
      <c r="AU144">
        <f>TYPE(All_India_Index_Upto_April23__1[[#This Row],[Food and beverages]])</f>
        <v>1</v>
      </c>
      <c r="AV144">
        <f>TYPE(All_India_Index_Upto_April23__1[[#This Row],[Pan, tobacco and intoxicants]])</f>
        <v>1</v>
      </c>
      <c r="AW144">
        <f>TYPE(All_India_Index_Upto_April23__1[[#This Row],[Clothing]])</f>
        <v>1</v>
      </c>
      <c r="AX144">
        <f>TYPE(All_India_Index_Upto_April23__1[[#This Row],[Footwear]])</f>
        <v>1</v>
      </c>
      <c r="AY144">
        <f>TYPE(All_India_Index_Upto_April23__1[[#This Row],[Clothing and footwear]])</f>
        <v>1</v>
      </c>
      <c r="AZ144">
        <f>TYPE(All_India_Index_Upto_April23__1[[#This Row],[Housing]])</f>
        <v>1</v>
      </c>
      <c r="BA144">
        <f>TYPE(All_India_Index_Upto_April23__1[[#This Row],[Fuel and light]])</f>
        <v>1</v>
      </c>
      <c r="BB144">
        <f>TYPE(All_India_Index_Upto_April23__1[[#This Row],[Household goods and services]])</f>
        <v>1</v>
      </c>
      <c r="BC144">
        <f>TYPE(All_India_Index_Upto_April23__1[[#This Row],[Health]])</f>
        <v>1</v>
      </c>
      <c r="BD144">
        <f>TYPE(All_India_Index_Upto_April23__1[[#This Row],[Transport and communication]])</f>
        <v>1</v>
      </c>
      <c r="BE144">
        <f>TYPE(All_India_Index_Upto_April23__1[[#This Row],[Recreation and amusement]])</f>
        <v>1</v>
      </c>
      <c r="BF144">
        <f>TYPE(All_India_Index_Upto_April23__1[[#This Row],[Education]])</f>
        <v>1</v>
      </c>
      <c r="BG144">
        <f>TYPE(All_India_Index_Upto_April23__1[[#This Row],[Personal care and effects]])</f>
        <v>1</v>
      </c>
      <c r="BH144">
        <f>TYPE(All_India_Index_Upto_April23__1[[#This Row],[Miscellaneous]])</f>
        <v>1</v>
      </c>
      <c r="BI144">
        <f>TYPE(All_India_Index_Upto_April23__1[[#This Row],[General index]])</f>
        <v>1</v>
      </c>
    </row>
    <row r="145" spans="1:61" x14ac:dyDescent="0.3">
      <c r="A145" t="s">
        <v>33</v>
      </c>
      <c r="B145">
        <v>2016</v>
      </c>
      <c r="C145" t="s">
        <v>45</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c r="AF145">
        <f>TYPE(All_India_Index_Upto_April23__1[[#This Row],[Sector]])</f>
        <v>2</v>
      </c>
      <c r="AG145">
        <f>TYPE(All_India_Index_Upto_April23__1[[#This Row],[Year]])</f>
        <v>1</v>
      </c>
      <c r="AH145">
        <f>TYPE(All_India_Index_Upto_April23__1[[#This Row],[Month]])</f>
        <v>2</v>
      </c>
      <c r="AI145">
        <f>TYPE(All_India_Index_Upto_April23__1[[#This Row],[Cereals and products]])</f>
        <v>1</v>
      </c>
      <c r="AJ145">
        <f>TYPE(All_India_Index_Upto_April23__1[[#This Row],[Meat and fish]])</f>
        <v>1</v>
      </c>
      <c r="AK145">
        <f>TYPE(All_India_Index_Upto_April23__1[[#This Row],[Egg]])</f>
        <v>1</v>
      </c>
      <c r="AL145">
        <f>TYPE(All_India_Index_Upto_April23__1[[#This Row],[Milk and products]])</f>
        <v>1</v>
      </c>
      <c r="AM145">
        <f>TYPE(All_India_Index_Upto_April23__1[[#This Row],[Oils and fats]])</f>
        <v>1</v>
      </c>
      <c r="AN145">
        <f>TYPE(All_India_Index_Upto_April23__1[[#This Row],[Fruits]])</f>
        <v>1</v>
      </c>
      <c r="AO145">
        <f>TYPE(All_India_Index_Upto_April23__1[[#This Row],[Vegetables]])</f>
        <v>1</v>
      </c>
      <c r="AP145">
        <f>TYPE(All_India_Index_Upto_April23__1[[#This Row],[Pulses and products]])</f>
        <v>1</v>
      </c>
      <c r="AQ145">
        <f>TYPE(All_India_Index_Upto_April23__1[[#This Row],[Sugar and Confectionery]])</f>
        <v>1</v>
      </c>
      <c r="AR145">
        <f>TYPE(All_India_Index_Upto_April23__1[[#This Row],[Spices]])</f>
        <v>1</v>
      </c>
      <c r="AS145">
        <f>TYPE(All_India_Index_Upto_April23__1[[#This Row],[Non-alcoholic beverages]])</f>
        <v>1</v>
      </c>
      <c r="AT145">
        <f>TYPE(All_India_Index_Upto_April23__1[[#This Row],[Prepared meals, snacks, sweets etc.]])</f>
        <v>1</v>
      </c>
      <c r="AU145">
        <f>TYPE(All_India_Index_Upto_April23__1[[#This Row],[Food and beverages]])</f>
        <v>1</v>
      </c>
      <c r="AV145">
        <f>TYPE(All_India_Index_Upto_April23__1[[#This Row],[Pan, tobacco and intoxicants]])</f>
        <v>1</v>
      </c>
      <c r="AW145">
        <f>TYPE(All_India_Index_Upto_April23__1[[#This Row],[Clothing]])</f>
        <v>1</v>
      </c>
      <c r="AX145">
        <f>TYPE(All_India_Index_Upto_April23__1[[#This Row],[Footwear]])</f>
        <v>1</v>
      </c>
      <c r="AY145">
        <f>TYPE(All_India_Index_Upto_April23__1[[#This Row],[Clothing and footwear]])</f>
        <v>1</v>
      </c>
      <c r="AZ145">
        <f>TYPE(All_India_Index_Upto_April23__1[[#This Row],[Housing]])</f>
        <v>1</v>
      </c>
      <c r="BA145">
        <f>TYPE(All_India_Index_Upto_April23__1[[#This Row],[Fuel and light]])</f>
        <v>1</v>
      </c>
      <c r="BB145">
        <f>TYPE(All_India_Index_Upto_April23__1[[#This Row],[Household goods and services]])</f>
        <v>1</v>
      </c>
      <c r="BC145">
        <f>TYPE(All_India_Index_Upto_April23__1[[#This Row],[Health]])</f>
        <v>1</v>
      </c>
      <c r="BD145">
        <f>TYPE(All_India_Index_Upto_April23__1[[#This Row],[Transport and communication]])</f>
        <v>1</v>
      </c>
      <c r="BE145">
        <f>TYPE(All_India_Index_Upto_April23__1[[#This Row],[Recreation and amusement]])</f>
        <v>1</v>
      </c>
      <c r="BF145">
        <f>TYPE(All_India_Index_Upto_April23__1[[#This Row],[Education]])</f>
        <v>1</v>
      </c>
      <c r="BG145">
        <f>TYPE(All_India_Index_Upto_April23__1[[#This Row],[Personal care and effects]])</f>
        <v>1</v>
      </c>
      <c r="BH145">
        <f>TYPE(All_India_Index_Upto_April23__1[[#This Row],[Miscellaneous]])</f>
        <v>1</v>
      </c>
      <c r="BI145">
        <f>TYPE(All_India_Index_Upto_April23__1[[#This Row],[General index]])</f>
        <v>1</v>
      </c>
    </row>
    <row r="146" spans="1:61" x14ac:dyDescent="0.3">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v>0</v>
      </c>
      <c r="V146">
        <v>132.1</v>
      </c>
      <c r="W146">
        <v>133.19999999999999</v>
      </c>
      <c r="X146">
        <v>129.9</v>
      </c>
      <c r="Y146">
        <v>119.1</v>
      </c>
      <c r="Z146">
        <v>127</v>
      </c>
      <c r="AA146">
        <v>134.6</v>
      </c>
      <c r="AB146">
        <v>122.3</v>
      </c>
      <c r="AC146">
        <v>126.6</v>
      </c>
      <c r="AD146">
        <v>132.4</v>
      </c>
      <c r="AF146">
        <f>TYPE(All_India_Index_Upto_April23__1[[#This Row],[Sector]])</f>
        <v>2</v>
      </c>
      <c r="AG146">
        <f>TYPE(All_India_Index_Upto_April23__1[[#This Row],[Year]])</f>
        <v>1</v>
      </c>
      <c r="AH146">
        <f>TYPE(All_India_Index_Upto_April23__1[[#This Row],[Month]])</f>
        <v>2</v>
      </c>
      <c r="AI146">
        <f>TYPE(All_India_Index_Upto_April23__1[[#This Row],[Cereals and products]])</f>
        <v>1</v>
      </c>
      <c r="AJ146">
        <f>TYPE(All_India_Index_Upto_April23__1[[#This Row],[Meat and fish]])</f>
        <v>1</v>
      </c>
      <c r="AK146">
        <f>TYPE(All_India_Index_Upto_April23__1[[#This Row],[Egg]])</f>
        <v>1</v>
      </c>
      <c r="AL146">
        <f>TYPE(All_India_Index_Upto_April23__1[[#This Row],[Milk and products]])</f>
        <v>1</v>
      </c>
      <c r="AM146">
        <f>TYPE(All_India_Index_Upto_April23__1[[#This Row],[Oils and fats]])</f>
        <v>1</v>
      </c>
      <c r="AN146">
        <f>TYPE(All_India_Index_Upto_April23__1[[#This Row],[Fruits]])</f>
        <v>1</v>
      </c>
      <c r="AO146">
        <f>TYPE(All_India_Index_Upto_April23__1[[#This Row],[Vegetables]])</f>
        <v>1</v>
      </c>
      <c r="AP146">
        <f>TYPE(All_India_Index_Upto_April23__1[[#This Row],[Pulses and products]])</f>
        <v>1</v>
      </c>
      <c r="AQ146">
        <f>TYPE(All_India_Index_Upto_April23__1[[#This Row],[Sugar and Confectionery]])</f>
        <v>1</v>
      </c>
      <c r="AR146">
        <f>TYPE(All_India_Index_Upto_April23__1[[#This Row],[Spices]])</f>
        <v>1</v>
      </c>
      <c r="AS146">
        <f>TYPE(All_India_Index_Upto_April23__1[[#This Row],[Non-alcoholic beverages]])</f>
        <v>1</v>
      </c>
      <c r="AT146">
        <f>TYPE(All_India_Index_Upto_April23__1[[#This Row],[Prepared meals, snacks, sweets etc.]])</f>
        <v>1</v>
      </c>
      <c r="AU146">
        <f>TYPE(All_India_Index_Upto_April23__1[[#This Row],[Food and beverages]])</f>
        <v>1</v>
      </c>
      <c r="AV146">
        <f>TYPE(All_India_Index_Upto_April23__1[[#This Row],[Pan, tobacco and intoxicants]])</f>
        <v>1</v>
      </c>
      <c r="AW146">
        <f>TYPE(All_India_Index_Upto_April23__1[[#This Row],[Clothing]])</f>
        <v>1</v>
      </c>
      <c r="AX146">
        <f>TYPE(All_India_Index_Upto_April23__1[[#This Row],[Footwear]])</f>
        <v>1</v>
      </c>
      <c r="AY146">
        <f>TYPE(All_India_Index_Upto_April23__1[[#This Row],[Clothing and footwear]])</f>
        <v>1</v>
      </c>
      <c r="AZ146">
        <f>TYPE(All_India_Index_Upto_April23__1[[#This Row],[Housing]])</f>
        <v>1</v>
      </c>
      <c r="BA146">
        <f>TYPE(All_India_Index_Upto_April23__1[[#This Row],[Fuel and light]])</f>
        <v>1</v>
      </c>
      <c r="BB146">
        <f>TYPE(All_India_Index_Upto_April23__1[[#This Row],[Household goods and services]])</f>
        <v>1</v>
      </c>
      <c r="BC146">
        <f>TYPE(All_India_Index_Upto_April23__1[[#This Row],[Health]])</f>
        <v>1</v>
      </c>
      <c r="BD146">
        <f>TYPE(All_India_Index_Upto_April23__1[[#This Row],[Transport and communication]])</f>
        <v>1</v>
      </c>
      <c r="BE146">
        <f>TYPE(All_India_Index_Upto_April23__1[[#This Row],[Recreation and amusement]])</f>
        <v>1</v>
      </c>
      <c r="BF146">
        <f>TYPE(All_India_Index_Upto_April23__1[[#This Row],[Education]])</f>
        <v>1</v>
      </c>
      <c r="BG146">
        <f>TYPE(All_India_Index_Upto_April23__1[[#This Row],[Personal care and effects]])</f>
        <v>1</v>
      </c>
      <c r="BH146">
        <f>TYPE(All_India_Index_Upto_April23__1[[#This Row],[Miscellaneous]])</f>
        <v>1</v>
      </c>
      <c r="BI146">
        <f>TYPE(All_India_Index_Upto_April23__1[[#This Row],[General index]])</f>
        <v>1</v>
      </c>
    </row>
    <row r="147" spans="1:61" x14ac:dyDescent="0.3">
      <c r="A147" t="s">
        <v>32</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c r="AF147">
        <f>TYPE(All_India_Index_Upto_April23__1[[#This Row],[Sector]])</f>
        <v>2</v>
      </c>
      <c r="AG147">
        <f>TYPE(All_India_Index_Upto_April23__1[[#This Row],[Year]])</f>
        <v>1</v>
      </c>
      <c r="AH147">
        <f>TYPE(All_India_Index_Upto_April23__1[[#This Row],[Month]])</f>
        <v>2</v>
      </c>
      <c r="AI147">
        <f>TYPE(All_India_Index_Upto_April23__1[[#This Row],[Cereals and products]])</f>
        <v>1</v>
      </c>
      <c r="AJ147">
        <f>TYPE(All_India_Index_Upto_April23__1[[#This Row],[Meat and fish]])</f>
        <v>1</v>
      </c>
      <c r="AK147">
        <f>TYPE(All_India_Index_Upto_April23__1[[#This Row],[Egg]])</f>
        <v>1</v>
      </c>
      <c r="AL147">
        <f>TYPE(All_India_Index_Upto_April23__1[[#This Row],[Milk and products]])</f>
        <v>1</v>
      </c>
      <c r="AM147">
        <f>TYPE(All_India_Index_Upto_April23__1[[#This Row],[Oils and fats]])</f>
        <v>1</v>
      </c>
      <c r="AN147">
        <f>TYPE(All_India_Index_Upto_April23__1[[#This Row],[Fruits]])</f>
        <v>1</v>
      </c>
      <c r="AO147">
        <f>TYPE(All_India_Index_Upto_April23__1[[#This Row],[Vegetables]])</f>
        <v>1</v>
      </c>
      <c r="AP147">
        <f>TYPE(All_India_Index_Upto_April23__1[[#This Row],[Pulses and products]])</f>
        <v>1</v>
      </c>
      <c r="AQ147">
        <f>TYPE(All_India_Index_Upto_April23__1[[#This Row],[Sugar and Confectionery]])</f>
        <v>1</v>
      </c>
      <c r="AR147">
        <f>TYPE(All_India_Index_Upto_April23__1[[#This Row],[Spices]])</f>
        <v>1</v>
      </c>
      <c r="AS147">
        <f>TYPE(All_India_Index_Upto_April23__1[[#This Row],[Non-alcoholic beverages]])</f>
        <v>1</v>
      </c>
      <c r="AT147">
        <f>TYPE(All_India_Index_Upto_April23__1[[#This Row],[Prepared meals, snacks, sweets etc.]])</f>
        <v>1</v>
      </c>
      <c r="AU147">
        <f>TYPE(All_India_Index_Upto_April23__1[[#This Row],[Food and beverages]])</f>
        <v>1</v>
      </c>
      <c r="AV147">
        <f>TYPE(All_India_Index_Upto_April23__1[[#This Row],[Pan, tobacco and intoxicants]])</f>
        <v>1</v>
      </c>
      <c r="AW147">
        <f>TYPE(All_India_Index_Upto_April23__1[[#This Row],[Clothing]])</f>
        <v>1</v>
      </c>
      <c r="AX147">
        <f>TYPE(All_India_Index_Upto_April23__1[[#This Row],[Footwear]])</f>
        <v>1</v>
      </c>
      <c r="AY147">
        <f>TYPE(All_India_Index_Upto_April23__1[[#This Row],[Clothing and footwear]])</f>
        <v>1</v>
      </c>
      <c r="AZ147">
        <f>TYPE(All_India_Index_Upto_April23__1[[#This Row],[Housing]])</f>
        <v>1</v>
      </c>
      <c r="BA147">
        <f>TYPE(All_India_Index_Upto_April23__1[[#This Row],[Fuel and light]])</f>
        <v>1</v>
      </c>
      <c r="BB147">
        <f>TYPE(All_India_Index_Upto_April23__1[[#This Row],[Household goods and services]])</f>
        <v>1</v>
      </c>
      <c r="BC147">
        <f>TYPE(All_India_Index_Upto_April23__1[[#This Row],[Health]])</f>
        <v>1</v>
      </c>
      <c r="BD147">
        <f>TYPE(All_India_Index_Upto_April23__1[[#This Row],[Transport and communication]])</f>
        <v>1</v>
      </c>
      <c r="BE147">
        <f>TYPE(All_India_Index_Upto_April23__1[[#This Row],[Recreation and amusement]])</f>
        <v>1</v>
      </c>
      <c r="BF147">
        <f>TYPE(All_India_Index_Upto_April23__1[[#This Row],[Education]])</f>
        <v>1</v>
      </c>
      <c r="BG147">
        <f>TYPE(All_India_Index_Upto_April23__1[[#This Row],[Personal care and effects]])</f>
        <v>1</v>
      </c>
      <c r="BH147">
        <f>TYPE(All_India_Index_Upto_April23__1[[#This Row],[Miscellaneous]])</f>
        <v>1</v>
      </c>
      <c r="BI147">
        <f>TYPE(All_India_Index_Upto_April23__1[[#This Row],[General index]])</f>
        <v>1</v>
      </c>
    </row>
    <row r="148" spans="1:61" x14ac:dyDescent="0.3">
      <c r="A148" t="s">
        <v>33</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c r="AF148">
        <f>TYPE(All_India_Index_Upto_April23__1[[#This Row],[Sector]])</f>
        <v>2</v>
      </c>
      <c r="AG148">
        <f>TYPE(All_India_Index_Upto_April23__1[[#This Row],[Year]])</f>
        <v>1</v>
      </c>
      <c r="AH148">
        <f>TYPE(All_India_Index_Upto_April23__1[[#This Row],[Month]])</f>
        <v>2</v>
      </c>
      <c r="AI148">
        <f>TYPE(All_India_Index_Upto_April23__1[[#This Row],[Cereals and products]])</f>
        <v>1</v>
      </c>
      <c r="AJ148">
        <f>TYPE(All_India_Index_Upto_April23__1[[#This Row],[Meat and fish]])</f>
        <v>1</v>
      </c>
      <c r="AK148">
        <f>TYPE(All_India_Index_Upto_April23__1[[#This Row],[Egg]])</f>
        <v>1</v>
      </c>
      <c r="AL148">
        <f>TYPE(All_India_Index_Upto_April23__1[[#This Row],[Milk and products]])</f>
        <v>1</v>
      </c>
      <c r="AM148">
        <f>TYPE(All_India_Index_Upto_April23__1[[#This Row],[Oils and fats]])</f>
        <v>1</v>
      </c>
      <c r="AN148">
        <f>TYPE(All_India_Index_Upto_April23__1[[#This Row],[Fruits]])</f>
        <v>1</v>
      </c>
      <c r="AO148">
        <f>TYPE(All_India_Index_Upto_April23__1[[#This Row],[Vegetables]])</f>
        <v>1</v>
      </c>
      <c r="AP148">
        <f>TYPE(All_India_Index_Upto_April23__1[[#This Row],[Pulses and products]])</f>
        <v>1</v>
      </c>
      <c r="AQ148">
        <f>TYPE(All_India_Index_Upto_April23__1[[#This Row],[Sugar and Confectionery]])</f>
        <v>1</v>
      </c>
      <c r="AR148">
        <f>TYPE(All_India_Index_Upto_April23__1[[#This Row],[Spices]])</f>
        <v>1</v>
      </c>
      <c r="AS148">
        <f>TYPE(All_India_Index_Upto_April23__1[[#This Row],[Non-alcoholic beverages]])</f>
        <v>1</v>
      </c>
      <c r="AT148">
        <f>TYPE(All_India_Index_Upto_April23__1[[#This Row],[Prepared meals, snacks, sweets etc.]])</f>
        <v>1</v>
      </c>
      <c r="AU148">
        <f>TYPE(All_India_Index_Upto_April23__1[[#This Row],[Food and beverages]])</f>
        <v>1</v>
      </c>
      <c r="AV148">
        <f>TYPE(All_India_Index_Upto_April23__1[[#This Row],[Pan, tobacco and intoxicants]])</f>
        <v>1</v>
      </c>
      <c r="AW148">
        <f>TYPE(All_India_Index_Upto_April23__1[[#This Row],[Clothing]])</f>
        <v>1</v>
      </c>
      <c r="AX148">
        <f>TYPE(All_India_Index_Upto_April23__1[[#This Row],[Footwear]])</f>
        <v>1</v>
      </c>
      <c r="AY148">
        <f>TYPE(All_India_Index_Upto_April23__1[[#This Row],[Clothing and footwear]])</f>
        <v>1</v>
      </c>
      <c r="AZ148">
        <f>TYPE(All_India_Index_Upto_April23__1[[#This Row],[Housing]])</f>
        <v>1</v>
      </c>
      <c r="BA148">
        <f>TYPE(All_India_Index_Upto_April23__1[[#This Row],[Fuel and light]])</f>
        <v>1</v>
      </c>
      <c r="BB148">
        <f>TYPE(All_India_Index_Upto_April23__1[[#This Row],[Household goods and services]])</f>
        <v>1</v>
      </c>
      <c r="BC148">
        <f>TYPE(All_India_Index_Upto_April23__1[[#This Row],[Health]])</f>
        <v>1</v>
      </c>
      <c r="BD148">
        <f>TYPE(All_India_Index_Upto_April23__1[[#This Row],[Transport and communication]])</f>
        <v>1</v>
      </c>
      <c r="BE148">
        <f>TYPE(All_India_Index_Upto_April23__1[[#This Row],[Recreation and amusement]])</f>
        <v>1</v>
      </c>
      <c r="BF148">
        <f>TYPE(All_India_Index_Upto_April23__1[[#This Row],[Education]])</f>
        <v>1</v>
      </c>
      <c r="BG148">
        <f>TYPE(All_India_Index_Upto_April23__1[[#This Row],[Personal care and effects]])</f>
        <v>1</v>
      </c>
      <c r="BH148">
        <f>TYPE(All_India_Index_Upto_April23__1[[#This Row],[Miscellaneous]])</f>
        <v>1</v>
      </c>
      <c r="BI148">
        <f>TYPE(All_India_Index_Upto_April23__1[[#This Row],[General index]])</f>
        <v>1</v>
      </c>
    </row>
    <row r="149" spans="1:61" x14ac:dyDescent="0.3">
      <c r="A149" t="s">
        <v>30</v>
      </c>
      <c r="B149">
        <v>2017</v>
      </c>
      <c r="C149" t="s">
        <v>34</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v>0</v>
      </c>
      <c r="V149">
        <v>133.19999999999999</v>
      </c>
      <c r="W149">
        <v>133.6</v>
      </c>
      <c r="X149">
        <v>130.1</v>
      </c>
      <c r="Y149">
        <v>119.5</v>
      </c>
      <c r="Z149">
        <v>127.7</v>
      </c>
      <c r="AA149">
        <v>134.9</v>
      </c>
      <c r="AB149">
        <v>123.2</v>
      </c>
      <c r="AC149">
        <v>127</v>
      </c>
      <c r="AD149">
        <v>132.6</v>
      </c>
      <c r="AF149">
        <f>TYPE(All_India_Index_Upto_April23__1[[#This Row],[Sector]])</f>
        <v>2</v>
      </c>
      <c r="AG149">
        <f>TYPE(All_India_Index_Upto_April23__1[[#This Row],[Year]])</f>
        <v>1</v>
      </c>
      <c r="AH149">
        <f>TYPE(All_India_Index_Upto_April23__1[[#This Row],[Month]])</f>
        <v>2</v>
      </c>
      <c r="AI149">
        <f>TYPE(All_India_Index_Upto_April23__1[[#This Row],[Cereals and products]])</f>
        <v>1</v>
      </c>
      <c r="AJ149">
        <f>TYPE(All_India_Index_Upto_April23__1[[#This Row],[Meat and fish]])</f>
        <v>1</v>
      </c>
      <c r="AK149">
        <f>TYPE(All_India_Index_Upto_April23__1[[#This Row],[Egg]])</f>
        <v>1</v>
      </c>
      <c r="AL149">
        <f>TYPE(All_India_Index_Upto_April23__1[[#This Row],[Milk and products]])</f>
        <v>1</v>
      </c>
      <c r="AM149">
        <f>TYPE(All_India_Index_Upto_April23__1[[#This Row],[Oils and fats]])</f>
        <v>1</v>
      </c>
      <c r="AN149">
        <f>TYPE(All_India_Index_Upto_April23__1[[#This Row],[Fruits]])</f>
        <v>1</v>
      </c>
      <c r="AO149">
        <f>TYPE(All_India_Index_Upto_April23__1[[#This Row],[Vegetables]])</f>
        <v>1</v>
      </c>
      <c r="AP149">
        <f>TYPE(All_India_Index_Upto_April23__1[[#This Row],[Pulses and products]])</f>
        <v>1</v>
      </c>
      <c r="AQ149">
        <f>TYPE(All_India_Index_Upto_April23__1[[#This Row],[Sugar and Confectionery]])</f>
        <v>1</v>
      </c>
      <c r="AR149">
        <f>TYPE(All_India_Index_Upto_April23__1[[#This Row],[Spices]])</f>
        <v>1</v>
      </c>
      <c r="AS149">
        <f>TYPE(All_India_Index_Upto_April23__1[[#This Row],[Non-alcoholic beverages]])</f>
        <v>1</v>
      </c>
      <c r="AT149">
        <f>TYPE(All_India_Index_Upto_April23__1[[#This Row],[Prepared meals, snacks, sweets etc.]])</f>
        <v>1</v>
      </c>
      <c r="AU149">
        <f>TYPE(All_India_Index_Upto_April23__1[[#This Row],[Food and beverages]])</f>
        <v>1</v>
      </c>
      <c r="AV149">
        <f>TYPE(All_India_Index_Upto_April23__1[[#This Row],[Pan, tobacco and intoxicants]])</f>
        <v>1</v>
      </c>
      <c r="AW149">
        <f>TYPE(All_India_Index_Upto_April23__1[[#This Row],[Clothing]])</f>
        <v>1</v>
      </c>
      <c r="AX149">
        <f>TYPE(All_India_Index_Upto_April23__1[[#This Row],[Footwear]])</f>
        <v>1</v>
      </c>
      <c r="AY149">
        <f>TYPE(All_India_Index_Upto_April23__1[[#This Row],[Clothing and footwear]])</f>
        <v>1</v>
      </c>
      <c r="AZ149">
        <f>TYPE(All_India_Index_Upto_April23__1[[#This Row],[Housing]])</f>
        <v>1</v>
      </c>
      <c r="BA149">
        <f>TYPE(All_India_Index_Upto_April23__1[[#This Row],[Fuel and light]])</f>
        <v>1</v>
      </c>
      <c r="BB149">
        <f>TYPE(All_India_Index_Upto_April23__1[[#This Row],[Household goods and services]])</f>
        <v>1</v>
      </c>
      <c r="BC149">
        <f>TYPE(All_India_Index_Upto_April23__1[[#This Row],[Health]])</f>
        <v>1</v>
      </c>
      <c r="BD149">
        <f>TYPE(All_India_Index_Upto_April23__1[[#This Row],[Transport and communication]])</f>
        <v>1</v>
      </c>
      <c r="BE149">
        <f>TYPE(All_India_Index_Upto_April23__1[[#This Row],[Recreation and amusement]])</f>
        <v>1</v>
      </c>
      <c r="BF149">
        <f>TYPE(All_India_Index_Upto_April23__1[[#This Row],[Education]])</f>
        <v>1</v>
      </c>
      <c r="BG149">
        <f>TYPE(All_India_Index_Upto_April23__1[[#This Row],[Personal care and effects]])</f>
        <v>1</v>
      </c>
      <c r="BH149">
        <f>TYPE(All_India_Index_Upto_April23__1[[#This Row],[Miscellaneous]])</f>
        <v>1</v>
      </c>
      <c r="BI149">
        <f>TYPE(All_India_Index_Upto_April23__1[[#This Row],[General index]])</f>
        <v>1</v>
      </c>
    </row>
    <row r="150" spans="1:61" x14ac:dyDescent="0.3">
      <c r="A150" t="s">
        <v>32</v>
      </c>
      <c r="B150">
        <v>2017</v>
      </c>
      <c r="C150" t="s">
        <v>34</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c r="AF150">
        <f>TYPE(All_India_Index_Upto_April23__1[[#This Row],[Sector]])</f>
        <v>2</v>
      </c>
      <c r="AG150">
        <f>TYPE(All_India_Index_Upto_April23__1[[#This Row],[Year]])</f>
        <v>1</v>
      </c>
      <c r="AH150">
        <f>TYPE(All_India_Index_Upto_April23__1[[#This Row],[Month]])</f>
        <v>2</v>
      </c>
      <c r="AI150">
        <f>TYPE(All_India_Index_Upto_April23__1[[#This Row],[Cereals and products]])</f>
        <v>1</v>
      </c>
      <c r="AJ150">
        <f>TYPE(All_India_Index_Upto_April23__1[[#This Row],[Meat and fish]])</f>
        <v>1</v>
      </c>
      <c r="AK150">
        <f>TYPE(All_India_Index_Upto_April23__1[[#This Row],[Egg]])</f>
        <v>1</v>
      </c>
      <c r="AL150">
        <f>TYPE(All_India_Index_Upto_April23__1[[#This Row],[Milk and products]])</f>
        <v>1</v>
      </c>
      <c r="AM150">
        <f>TYPE(All_India_Index_Upto_April23__1[[#This Row],[Oils and fats]])</f>
        <v>1</v>
      </c>
      <c r="AN150">
        <f>TYPE(All_India_Index_Upto_April23__1[[#This Row],[Fruits]])</f>
        <v>1</v>
      </c>
      <c r="AO150">
        <f>TYPE(All_India_Index_Upto_April23__1[[#This Row],[Vegetables]])</f>
        <v>1</v>
      </c>
      <c r="AP150">
        <f>TYPE(All_India_Index_Upto_April23__1[[#This Row],[Pulses and products]])</f>
        <v>1</v>
      </c>
      <c r="AQ150">
        <f>TYPE(All_India_Index_Upto_April23__1[[#This Row],[Sugar and Confectionery]])</f>
        <v>1</v>
      </c>
      <c r="AR150">
        <f>TYPE(All_India_Index_Upto_April23__1[[#This Row],[Spices]])</f>
        <v>1</v>
      </c>
      <c r="AS150">
        <f>TYPE(All_India_Index_Upto_April23__1[[#This Row],[Non-alcoholic beverages]])</f>
        <v>1</v>
      </c>
      <c r="AT150">
        <f>TYPE(All_India_Index_Upto_April23__1[[#This Row],[Prepared meals, snacks, sweets etc.]])</f>
        <v>1</v>
      </c>
      <c r="AU150">
        <f>TYPE(All_India_Index_Upto_April23__1[[#This Row],[Food and beverages]])</f>
        <v>1</v>
      </c>
      <c r="AV150">
        <f>TYPE(All_India_Index_Upto_April23__1[[#This Row],[Pan, tobacco and intoxicants]])</f>
        <v>1</v>
      </c>
      <c r="AW150">
        <f>TYPE(All_India_Index_Upto_April23__1[[#This Row],[Clothing]])</f>
        <v>1</v>
      </c>
      <c r="AX150">
        <f>TYPE(All_India_Index_Upto_April23__1[[#This Row],[Footwear]])</f>
        <v>1</v>
      </c>
      <c r="AY150">
        <f>TYPE(All_India_Index_Upto_April23__1[[#This Row],[Clothing and footwear]])</f>
        <v>1</v>
      </c>
      <c r="AZ150">
        <f>TYPE(All_India_Index_Upto_April23__1[[#This Row],[Housing]])</f>
        <v>1</v>
      </c>
      <c r="BA150">
        <f>TYPE(All_India_Index_Upto_April23__1[[#This Row],[Fuel and light]])</f>
        <v>1</v>
      </c>
      <c r="BB150">
        <f>TYPE(All_India_Index_Upto_April23__1[[#This Row],[Household goods and services]])</f>
        <v>1</v>
      </c>
      <c r="BC150">
        <f>TYPE(All_India_Index_Upto_April23__1[[#This Row],[Health]])</f>
        <v>1</v>
      </c>
      <c r="BD150">
        <f>TYPE(All_India_Index_Upto_April23__1[[#This Row],[Transport and communication]])</f>
        <v>1</v>
      </c>
      <c r="BE150">
        <f>TYPE(All_India_Index_Upto_April23__1[[#This Row],[Recreation and amusement]])</f>
        <v>1</v>
      </c>
      <c r="BF150">
        <f>TYPE(All_India_Index_Upto_April23__1[[#This Row],[Education]])</f>
        <v>1</v>
      </c>
      <c r="BG150">
        <f>TYPE(All_India_Index_Upto_April23__1[[#This Row],[Personal care and effects]])</f>
        <v>1</v>
      </c>
      <c r="BH150">
        <f>TYPE(All_India_Index_Upto_April23__1[[#This Row],[Miscellaneous]])</f>
        <v>1</v>
      </c>
      <c r="BI150">
        <f>TYPE(All_India_Index_Upto_April23__1[[#This Row],[General index]])</f>
        <v>1</v>
      </c>
    </row>
    <row r="151" spans="1:61" x14ac:dyDescent="0.3">
      <c r="A151" t="s">
        <v>33</v>
      </c>
      <c r="B151">
        <v>2017</v>
      </c>
      <c r="C151" t="s">
        <v>34</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c r="AF151">
        <f>TYPE(All_India_Index_Upto_April23__1[[#This Row],[Sector]])</f>
        <v>2</v>
      </c>
      <c r="AG151">
        <f>TYPE(All_India_Index_Upto_April23__1[[#This Row],[Year]])</f>
        <v>1</v>
      </c>
      <c r="AH151">
        <f>TYPE(All_India_Index_Upto_April23__1[[#This Row],[Month]])</f>
        <v>2</v>
      </c>
      <c r="AI151">
        <f>TYPE(All_India_Index_Upto_April23__1[[#This Row],[Cereals and products]])</f>
        <v>1</v>
      </c>
      <c r="AJ151">
        <f>TYPE(All_India_Index_Upto_April23__1[[#This Row],[Meat and fish]])</f>
        <v>1</v>
      </c>
      <c r="AK151">
        <f>TYPE(All_India_Index_Upto_April23__1[[#This Row],[Egg]])</f>
        <v>1</v>
      </c>
      <c r="AL151">
        <f>TYPE(All_India_Index_Upto_April23__1[[#This Row],[Milk and products]])</f>
        <v>1</v>
      </c>
      <c r="AM151">
        <f>TYPE(All_India_Index_Upto_April23__1[[#This Row],[Oils and fats]])</f>
        <v>1</v>
      </c>
      <c r="AN151">
        <f>TYPE(All_India_Index_Upto_April23__1[[#This Row],[Fruits]])</f>
        <v>1</v>
      </c>
      <c r="AO151">
        <f>TYPE(All_India_Index_Upto_April23__1[[#This Row],[Vegetables]])</f>
        <v>1</v>
      </c>
      <c r="AP151">
        <f>TYPE(All_India_Index_Upto_April23__1[[#This Row],[Pulses and products]])</f>
        <v>1</v>
      </c>
      <c r="AQ151">
        <f>TYPE(All_India_Index_Upto_April23__1[[#This Row],[Sugar and Confectionery]])</f>
        <v>1</v>
      </c>
      <c r="AR151">
        <f>TYPE(All_India_Index_Upto_April23__1[[#This Row],[Spices]])</f>
        <v>1</v>
      </c>
      <c r="AS151">
        <f>TYPE(All_India_Index_Upto_April23__1[[#This Row],[Non-alcoholic beverages]])</f>
        <v>1</v>
      </c>
      <c r="AT151">
        <f>TYPE(All_India_Index_Upto_April23__1[[#This Row],[Prepared meals, snacks, sweets etc.]])</f>
        <v>1</v>
      </c>
      <c r="AU151">
        <f>TYPE(All_India_Index_Upto_April23__1[[#This Row],[Food and beverages]])</f>
        <v>1</v>
      </c>
      <c r="AV151">
        <f>TYPE(All_India_Index_Upto_April23__1[[#This Row],[Pan, tobacco and intoxicants]])</f>
        <v>1</v>
      </c>
      <c r="AW151">
        <f>TYPE(All_India_Index_Upto_April23__1[[#This Row],[Clothing]])</f>
        <v>1</v>
      </c>
      <c r="AX151">
        <f>TYPE(All_India_Index_Upto_April23__1[[#This Row],[Footwear]])</f>
        <v>1</v>
      </c>
      <c r="AY151">
        <f>TYPE(All_India_Index_Upto_April23__1[[#This Row],[Clothing and footwear]])</f>
        <v>1</v>
      </c>
      <c r="AZ151">
        <f>TYPE(All_India_Index_Upto_April23__1[[#This Row],[Housing]])</f>
        <v>1</v>
      </c>
      <c r="BA151">
        <f>TYPE(All_India_Index_Upto_April23__1[[#This Row],[Fuel and light]])</f>
        <v>1</v>
      </c>
      <c r="BB151">
        <f>TYPE(All_India_Index_Upto_April23__1[[#This Row],[Household goods and services]])</f>
        <v>1</v>
      </c>
      <c r="BC151">
        <f>TYPE(All_India_Index_Upto_April23__1[[#This Row],[Health]])</f>
        <v>1</v>
      </c>
      <c r="BD151">
        <f>TYPE(All_India_Index_Upto_April23__1[[#This Row],[Transport and communication]])</f>
        <v>1</v>
      </c>
      <c r="BE151">
        <f>TYPE(All_India_Index_Upto_April23__1[[#This Row],[Recreation and amusement]])</f>
        <v>1</v>
      </c>
      <c r="BF151">
        <f>TYPE(All_India_Index_Upto_April23__1[[#This Row],[Education]])</f>
        <v>1</v>
      </c>
      <c r="BG151">
        <f>TYPE(All_India_Index_Upto_April23__1[[#This Row],[Personal care and effects]])</f>
        <v>1</v>
      </c>
      <c r="BH151">
        <f>TYPE(All_India_Index_Upto_April23__1[[#This Row],[Miscellaneous]])</f>
        <v>1</v>
      </c>
      <c r="BI151">
        <f>TYPE(All_India_Index_Upto_April23__1[[#This Row],[General index]])</f>
        <v>1</v>
      </c>
    </row>
    <row r="152" spans="1:61" x14ac:dyDescent="0.3">
      <c r="A152" t="s">
        <v>30</v>
      </c>
      <c r="B152">
        <v>2017</v>
      </c>
      <c r="C152" t="s">
        <v>35</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v>0</v>
      </c>
      <c r="V152">
        <v>134.19999999999999</v>
      </c>
      <c r="W152">
        <v>134.1</v>
      </c>
      <c r="X152">
        <v>130.6</v>
      </c>
      <c r="Y152">
        <v>119.8</v>
      </c>
      <c r="Z152">
        <v>128.30000000000001</v>
      </c>
      <c r="AA152">
        <v>135.19999999999999</v>
      </c>
      <c r="AB152">
        <v>123.3</v>
      </c>
      <c r="AC152">
        <v>127.4</v>
      </c>
      <c r="AD152">
        <v>132.80000000000001</v>
      </c>
      <c r="AF152">
        <f>TYPE(All_India_Index_Upto_April23__1[[#This Row],[Sector]])</f>
        <v>2</v>
      </c>
      <c r="AG152">
        <f>TYPE(All_India_Index_Upto_April23__1[[#This Row],[Year]])</f>
        <v>1</v>
      </c>
      <c r="AH152">
        <f>TYPE(All_India_Index_Upto_April23__1[[#This Row],[Month]])</f>
        <v>2</v>
      </c>
      <c r="AI152">
        <f>TYPE(All_India_Index_Upto_April23__1[[#This Row],[Cereals and products]])</f>
        <v>1</v>
      </c>
      <c r="AJ152">
        <f>TYPE(All_India_Index_Upto_April23__1[[#This Row],[Meat and fish]])</f>
        <v>1</v>
      </c>
      <c r="AK152">
        <f>TYPE(All_India_Index_Upto_April23__1[[#This Row],[Egg]])</f>
        <v>1</v>
      </c>
      <c r="AL152">
        <f>TYPE(All_India_Index_Upto_April23__1[[#This Row],[Milk and products]])</f>
        <v>1</v>
      </c>
      <c r="AM152">
        <f>TYPE(All_India_Index_Upto_April23__1[[#This Row],[Oils and fats]])</f>
        <v>1</v>
      </c>
      <c r="AN152">
        <f>TYPE(All_India_Index_Upto_April23__1[[#This Row],[Fruits]])</f>
        <v>1</v>
      </c>
      <c r="AO152">
        <f>TYPE(All_India_Index_Upto_April23__1[[#This Row],[Vegetables]])</f>
        <v>1</v>
      </c>
      <c r="AP152">
        <f>TYPE(All_India_Index_Upto_April23__1[[#This Row],[Pulses and products]])</f>
        <v>1</v>
      </c>
      <c r="AQ152">
        <f>TYPE(All_India_Index_Upto_April23__1[[#This Row],[Sugar and Confectionery]])</f>
        <v>1</v>
      </c>
      <c r="AR152">
        <f>TYPE(All_India_Index_Upto_April23__1[[#This Row],[Spices]])</f>
        <v>1</v>
      </c>
      <c r="AS152">
        <f>TYPE(All_India_Index_Upto_April23__1[[#This Row],[Non-alcoholic beverages]])</f>
        <v>1</v>
      </c>
      <c r="AT152">
        <f>TYPE(All_India_Index_Upto_April23__1[[#This Row],[Prepared meals, snacks, sweets etc.]])</f>
        <v>1</v>
      </c>
      <c r="AU152">
        <f>TYPE(All_India_Index_Upto_April23__1[[#This Row],[Food and beverages]])</f>
        <v>1</v>
      </c>
      <c r="AV152">
        <f>TYPE(All_India_Index_Upto_April23__1[[#This Row],[Pan, tobacco and intoxicants]])</f>
        <v>1</v>
      </c>
      <c r="AW152">
        <f>TYPE(All_India_Index_Upto_April23__1[[#This Row],[Clothing]])</f>
        <v>1</v>
      </c>
      <c r="AX152">
        <f>TYPE(All_India_Index_Upto_April23__1[[#This Row],[Footwear]])</f>
        <v>1</v>
      </c>
      <c r="AY152">
        <f>TYPE(All_India_Index_Upto_April23__1[[#This Row],[Clothing and footwear]])</f>
        <v>1</v>
      </c>
      <c r="AZ152">
        <f>TYPE(All_India_Index_Upto_April23__1[[#This Row],[Housing]])</f>
        <v>1</v>
      </c>
      <c r="BA152">
        <f>TYPE(All_India_Index_Upto_April23__1[[#This Row],[Fuel and light]])</f>
        <v>1</v>
      </c>
      <c r="BB152">
        <f>TYPE(All_India_Index_Upto_April23__1[[#This Row],[Household goods and services]])</f>
        <v>1</v>
      </c>
      <c r="BC152">
        <f>TYPE(All_India_Index_Upto_April23__1[[#This Row],[Health]])</f>
        <v>1</v>
      </c>
      <c r="BD152">
        <f>TYPE(All_India_Index_Upto_April23__1[[#This Row],[Transport and communication]])</f>
        <v>1</v>
      </c>
      <c r="BE152">
        <f>TYPE(All_India_Index_Upto_April23__1[[#This Row],[Recreation and amusement]])</f>
        <v>1</v>
      </c>
      <c r="BF152">
        <f>TYPE(All_India_Index_Upto_April23__1[[#This Row],[Education]])</f>
        <v>1</v>
      </c>
      <c r="BG152">
        <f>TYPE(All_India_Index_Upto_April23__1[[#This Row],[Personal care and effects]])</f>
        <v>1</v>
      </c>
      <c r="BH152">
        <f>TYPE(All_India_Index_Upto_April23__1[[#This Row],[Miscellaneous]])</f>
        <v>1</v>
      </c>
      <c r="BI152">
        <f>TYPE(All_India_Index_Upto_April23__1[[#This Row],[General index]])</f>
        <v>1</v>
      </c>
    </row>
    <row r="153" spans="1:61" x14ac:dyDescent="0.3">
      <c r="A153" t="s">
        <v>32</v>
      </c>
      <c r="B153">
        <v>2017</v>
      </c>
      <c r="C153" t="s">
        <v>35</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c r="AF153">
        <f>TYPE(All_India_Index_Upto_April23__1[[#This Row],[Sector]])</f>
        <v>2</v>
      </c>
      <c r="AG153">
        <f>TYPE(All_India_Index_Upto_April23__1[[#This Row],[Year]])</f>
        <v>1</v>
      </c>
      <c r="AH153">
        <f>TYPE(All_India_Index_Upto_April23__1[[#This Row],[Month]])</f>
        <v>2</v>
      </c>
      <c r="AI153">
        <f>TYPE(All_India_Index_Upto_April23__1[[#This Row],[Cereals and products]])</f>
        <v>1</v>
      </c>
      <c r="AJ153">
        <f>TYPE(All_India_Index_Upto_April23__1[[#This Row],[Meat and fish]])</f>
        <v>1</v>
      </c>
      <c r="AK153">
        <f>TYPE(All_India_Index_Upto_April23__1[[#This Row],[Egg]])</f>
        <v>1</v>
      </c>
      <c r="AL153">
        <f>TYPE(All_India_Index_Upto_April23__1[[#This Row],[Milk and products]])</f>
        <v>1</v>
      </c>
      <c r="AM153">
        <f>TYPE(All_India_Index_Upto_April23__1[[#This Row],[Oils and fats]])</f>
        <v>1</v>
      </c>
      <c r="AN153">
        <f>TYPE(All_India_Index_Upto_April23__1[[#This Row],[Fruits]])</f>
        <v>1</v>
      </c>
      <c r="AO153">
        <f>TYPE(All_India_Index_Upto_April23__1[[#This Row],[Vegetables]])</f>
        <v>1</v>
      </c>
      <c r="AP153">
        <f>TYPE(All_India_Index_Upto_April23__1[[#This Row],[Pulses and products]])</f>
        <v>1</v>
      </c>
      <c r="AQ153">
        <f>TYPE(All_India_Index_Upto_April23__1[[#This Row],[Sugar and Confectionery]])</f>
        <v>1</v>
      </c>
      <c r="AR153">
        <f>TYPE(All_India_Index_Upto_April23__1[[#This Row],[Spices]])</f>
        <v>1</v>
      </c>
      <c r="AS153">
        <f>TYPE(All_India_Index_Upto_April23__1[[#This Row],[Non-alcoholic beverages]])</f>
        <v>1</v>
      </c>
      <c r="AT153">
        <f>TYPE(All_India_Index_Upto_April23__1[[#This Row],[Prepared meals, snacks, sweets etc.]])</f>
        <v>1</v>
      </c>
      <c r="AU153">
        <f>TYPE(All_India_Index_Upto_April23__1[[#This Row],[Food and beverages]])</f>
        <v>1</v>
      </c>
      <c r="AV153">
        <f>TYPE(All_India_Index_Upto_April23__1[[#This Row],[Pan, tobacco and intoxicants]])</f>
        <v>1</v>
      </c>
      <c r="AW153">
        <f>TYPE(All_India_Index_Upto_April23__1[[#This Row],[Clothing]])</f>
        <v>1</v>
      </c>
      <c r="AX153">
        <f>TYPE(All_India_Index_Upto_April23__1[[#This Row],[Footwear]])</f>
        <v>1</v>
      </c>
      <c r="AY153">
        <f>TYPE(All_India_Index_Upto_April23__1[[#This Row],[Clothing and footwear]])</f>
        <v>1</v>
      </c>
      <c r="AZ153">
        <f>TYPE(All_India_Index_Upto_April23__1[[#This Row],[Housing]])</f>
        <v>1</v>
      </c>
      <c r="BA153">
        <f>TYPE(All_India_Index_Upto_April23__1[[#This Row],[Fuel and light]])</f>
        <v>1</v>
      </c>
      <c r="BB153">
        <f>TYPE(All_India_Index_Upto_April23__1[[#This Row],[Household goods and services]])</f>
        <v>1</v>
      </c>
      <c r="BC153">
        <f>TYPE(All_India_Index_Upto_April23__1[[#This Row],[Health]])</f>
        <v>1</v>
      </c>
      <c r="BD153">
        <f>TYPE(All_India_Index_Upto_April23__1[[#This Row],[Transport and communication]])</f>
        <v>1</v>
      </c>
      <c r="BE153">
        <f>TYPE(All_India_Index_Upto_April23__1[[#This Row],[Recreation and amusement]])</f>
        <v>1</v>
      </c>
      <c r="BF153">
        <f>TYPE(All_India_Index_Upto_April23__1[[#This Row],[Education]])</f>
        <v>1</v>
      </c>
      <c r="BG153">
        <f>TYPE(All_India_Index_Upto_April23__1[[#This Row],[Personal care and effects]])</f>
        <v>1</v>
      </c>
      <c r="BH153">
        <f>TYPE(All_India_Index_Upto_April23__1[[#This Row],[Miscellaneous]])</f>
        <v>1</v>
      </c>
      <c r="BI153">
        <f>TYPE(All_India_Index_Upto_April23__1[[#This Row],[General index]])</f>
        <v>1</v>
      </c>
    </row>
    <row r="154" spans="1:61" x14ac:dyDescent="0.3">
      <c r="A154" t="s">
        <v>33</v>
      </c>
      <c r="B154">
        <v>2017</v>
      </c>
      <c r="C154" t="s">
        <v>35</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c r="AF154">
        <f>TYPE(All_India_Index_Upto_April23__1[[#This Row],[Sector]])</f>
        <v>2</v>
      </c>
      <c r="AG154">
        <f>TYPE(All_India_Index_Upto_April23__1[[#This Row],[Year]])</f>
        <v>1</v>
      </c>
      <c r="AH154">
        <f>TYPE(All_India_Index_Upto_April23__1[[#This Row],[Month]])</f>
        <v>2</v>
      </c>
      <c r="AI154">
        <f>TYPE(All_India_Index_Upto_April23__1[[#This Row],[Cereals and products]])</f>
        <v>1</v>
      </c>
      <c r="AJ154">
        <f>TYPE(All_India_Index_Upto_April23__1[[#This Row],[Meat and fish]])</f>
        <v>1</v>
      </c>
      <c r="AK154">
        <f>TYPE(All_India_Index_Upto_April23__1[[#This Row],[Egg]])</f>
        <v>1</v>
      </c>
      <c r="AL154">
        <f>TYPE(All_India_Index_Upto_April23__1[[#This Row],[Milk and products]])</f>
        <v>1</v>
      </c>
      <c r="AM154">
        <f>TYPE(All_India_Index_Upto_April23__1[[#This Row],[Oils and fats]])</f>
        <v>1</v>
      </c>
      <c r="AN154">
        <f>TYPE(All_India_Index_Upto_April23__1[[#This Row],[Fruits]])</f>
        <v>1</v>
      </c>
      <c r="AO154">
        <f>TYPE(All_India_Index_Upto_April23__1[[#This Row],[Vegetables]])</f>
        <v>1</v>
      </c>
      <c r="AP154">
        <f>TYPE(All_India_Index_Upto_April23__1[[#This Row],[Pulses and products]])</f>
        <v>1</v>
      </c>
      <c r="AQ154">
        <f>TYPE(All_India_Index_Upto_April23__1[[#This Row],[Sugar and Confectionery]])</f>
        <v>1</v>
      </c>
      <c r="AR154">
        <f>TYPE(All_India_Index_Upto_April23__1[[#This Row],[Spices]])</f>
        <v>1</v>
      </c>
      <c r="AS154">
        <f>TYPE(All_India_Index_Upto_April23__1[[#This Row],[Non-alcoholic beverages]])</f>
        <v>1</v>
      </c>
      <c r="AT154">
        <f>TYPE(All_India_Index_Upto_April23__1[[#This Row],[Prepared meals, snacks, sweets etc.]])</f>
        <v>1</v>
      </c>
      <c r="AU154">
        <f>TYPE(All_India_Index_Upto_April23__1[[#This Row],[Food and beverages]])</f>
        <v>1</v>
      </c>
      <c r="AV154">
        <f>TYPE(All_India_Index_Upto_April23__1[[#This Row],[Pan, tobacco and intoxicants]])</f>
        <v>1</v>
      </c>
      <c r="AW154">
        <f>TYPE(All_India_Index_Upto_April23__1[[#This Row],[Clothing]])</f>
        <v>1</v>
      </c>
      <c r="AX154">
        <f>TYPE(All_India_Index_Upto_April23__1[[#This Row],[Footwear]])</f>
        <v>1</v>
      </c>
      <c r="AY154">
        <f>TYPE(All_India_Index_Upto_April23__1[[#This Row],[Clothing and footwear]])</f>
        <v>1</v>
      </c>
      <c r="AZ154">
        <f>TYPE(All_India_Index_Upto_April23__1[[#This Row],[Housing]])</f>
        <v>1</v>
      </c>
      <c r="BA154">
        <f>TYPE(All_India_Index_Upto_April23__1[[#This Row],[Fuel and light]])</f>
        <v>1</v>
      </c>
      <c r="BB154">
        <f>TYPE(All_India_Index_Upto_April23__1[[#This Row],[Household goods and services]])</f>
        <v>1</v>
      </c>
      <c r="BC154">
        <f>TYPE(All_India_Index_Upto_April23__1[[#This Row],[Health]])</f>
        <v>1</v>
      </c>
      <c r="BD154">
        <f>TYPE(All_India_Index_Upto_April23__1[[#This Row],[Transport and communication]])</f>
        <v>1</v>
      </c>
      <c r="BE154">
        <f>TYPE(All_India_Index_Upto_April23__1[[#This Row],[Recreation and amusement]])</f>
        <v>1</v>
      </c>
      <c r="BF154">
        <f>TYPE(All_India_Index_Upto_April23__1[[#This Row],[Education]])</f>
        <v>1</v>
      </c>
      <c r="BG154">
        <f>TYPE(All_India_Index_Upto_April23__1[[#This Row],[Personal care and effects]])</f>
        <v>1</v>
      </c>
      <c r="BH154">
        <f>TYPE(All_India_Index_Upto_April23__1[[#This Row],[Miscellaneous]])</f>
        <v>1</v>
      </c>
      <c r="BI154">
        <f>TYPE(All_India_Index_Upto_April23__1[[#This Row],[General index]])</f>
        <v>1</v>
      </c>
    </row>
    <row r="155" spans="1:61" x14ac:dyDescent="0.3">
      <c r="A155" t="s">
        <v>30</v>
      </c>
      <c r="B155">
        <v>2017</v>
      </c>
      <c r="C155" t="s">
        <v>36</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v>0</v>
      </c>
      <c r="V155">
        <v>135</v>
      </c>
      <c r="W155">
        <v>134.30000000000001</v>
      </c>
      <c r="X155">
        <v>131</v>
      </c>
      <c r="Y155">
        <v>119.2</v>
      </c>
      <c r="Z155">
        <v>128.30000000000001</v>
      </c>
      <c r="AA155">
        <v>135.69999999999999</v>
      </c>
      <c r="AB155">
        <v>123.7</v>
      </c>
      <c r="AC155">
        <v>127.5</v>
      </c>
      <c r="AD155">
        <v>132.9</v>
      </c>
      <c r="AF155">
        <f>TYPE(All_India_Index_Upto_April23__1[[#This Row],[Sector]])</f>
        <v>2</v>
      </c>
      <c r="AG155">
        <f>TYPE(All_India_Index_Upto_April23__1[[#This Row],[Year]])</f>
        <v>1</v>
      </c>
      <c r="AH155">
        <f>TYPE(All_India_Index_Upto_April23__1[[#This Row],[Month]])</f>
        <v>2</v>
      </c>
      <c r="AI155">
        <f>TYPE(All_India_Index_Upto_April23__1[[#This Row],[Cereals and products]])</f>
        <v>1</v>
      </c>
      <c r="AJ155">
        <f>TYPE(All_India_Index_Upto_April23__1[[#This Row],[Meat and fish]])</f>
        <v>1</v>
      </c>
      <c r="AK155">
        <f>TYPE(All_India_Index_Upto_April23__1[[#This Row],[Egg]])</f>
        <v>1</v>
      </c>
      <c r="AL155">
        <f>TYPE(All_India_Index_Upto_April23__1[[#This Row],[Milk and products]])</f>
        <v>1</v>
      </c>
      <c r="AM155">
        <f>TYPE(All_India_Index_Upto_April23__1[[#This Row],[Oils and fats]])</f>
        <v>1</v>
      </c>
      <c r="AN155">
        <f>TYPE(All_India_Index_Upto_April23__1[[#This Row],[Fruits]])</f>
        <v>1</v>
      </c>
      <c r="AO155">
        <f>TYPE(All_India_Index_Upto_April23__1[[#This Row],[Vegetables]])</f>
        <v>1</v>
      </c>
      <c r="AP155">
        <f>TYPE(All_India_Index_Upto_April23__1[[#This Row],[Pulses and products]])</f>
        <v>1</v>
      </c>
      <c r="AQ155">
        <f>TYPE(All_India_Index_Upto_April23__1[[#This Row],[Sugar and Confectionery]])</f>
        <v>1</v>
      </c>
      <c r="AR155">
        <f>TYPE(All_India_Index_Upto_April23__1[[#This Row],[Spices]])</f>
        <v>1</v>
      </c>
      <c r="AS155">
        <f>TYPE(All_India_Index_Upto_April23__1[[#This Row],[Non-alcoholic beverages]])</f>
        <v>1</v>
      </c>
      <c r="AT155">
        <f>TYPE(All_India_Index_Upto_April23__1[[#This Row],[Prepared meals, snacks, sweets etc.]])</f>
        <v>1</v>
      </c>
      <c r="AU155">
        <f>TYPE(All_India_Index_Upto_April23__1[[#This Row],[Food and beverages]])</f>
        <v>1</v>
      </c>
      <c r="AV155">
        <f>TYPE(All_India_Index_Upto_April23__1[[#This Row],[Pan, tobacco and intoxicants]])</f>
        <v>1</v>
      </c>
      <c r="AW155">
        <f>TYPE(All_India_Index_Upto_April23__1[[#This Row],[Clothing]])</f>
        <v>1</v>
      </c>
      <c r="AX155">
        <f>TYPE(All_India_Index_Upto_April23__1[[#This Row],[Footwear]])</f>
        <v>1</v>
      </c>
      <c r="AY155">
        <f>TYPE(All_India_Index_Upto_April23__1[[#This Row],[Clothing and footwear]])</f>
        <v>1</v>
      </c>
      <c r="AZ155">
        <f>TYPE(All_India_Index_Upto_April23__1[[#This Row],[Housing]])</f>
        <v>1</v>
      </c>
      <c r="BA155">
        <f>TYPE(All_India_Index_Upto_April23__1[[#This Row],[Fuel and light]])</f>
        <v>1</v>
      </c>
      <c r="BB155">
        <f>TYPE(All_India_Index_Upto_April23__1[[#This Row],[Household goods and services]])</f>
        <v>1</v>
      </c>
      <c r="BC155">
        <f>TYPE(All_India_Index_Upto_April23__1[[#This Row],[Health]])</f>
        <v>1</v>
      </c>
      <c r="BD155">
        <f>TYPE(All_India_Index_Upto_April23__1[[#This Row],[Transport and communication]])</f>
        <v>1</v>
      </c>
      <c r="BE155">
        <f>TYPE(All_India_Index_Upto_April23__1[[#This Row],[Recreation and amusement]])</f>
        <v>1</v>
      </c>
      <c r="BF155">
        <f>TYPE(All_India_Index_Upto_April23__1[[#This Row],[Education]])</f>
        <v>1</v>
      </c>
      <c r="BG155">
        <f>TYPE(All_India_Index_Upto_April23__1[[#This Row],[Personal care and effects]])</f>
        <v>1</v>
      </c>
      <c r="BH155">
        <f>TYPE(All_India_Index_Upto_April23__1[[#This Row],[Miscellaneous]])</f>
        <v>1</v>
      </c>
      <c r="BI155">
        <f>TYPE(All_India_Index_Upto_April23__1[[#This Row],[General index]])</f>
        <v>1</v>
      </c>
    </row>
    <row r="156" spans="1:61" x14ac:dyDescent="0.3">
      <c r="A156" t="s">
        <v>32</v>
      </c>
      <c r="B156">
        <v>2017</v>
      </c>
      <c r="C156" t="s">
        <v>36</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c r="AF156">
        <f>TYPE(All_India_Index_Upto_April23__1[[#This Row],[Sector]])</f>
        <v>2</v>
      </c>
      <c r="AG156">
        <f>TYPE(All_India_Index_Upto_April23__1[[#This Row],[Year]])</f>
        <v>1</v>
      </c>
      <c r="AH156">
        <f>TYPE(All_India_Index_Upto_April23__1[[#This Row],[Month]])</f>
        <v>2</v>
      </c>
      <c r="AI156">
        <f>TYPE(All_India_Index_Upto_April23__1[[#This Row],[Cereals and products]])</f>
        <v>1</v>
      </c>
      <c r="AJ156">
        <f>TYPE(All_India_Index_Upto_April23__1[[#This Row],[Meat and fish]])</f>
        <v>1</v>
      </c>
      <c r="AK156">
        <f>TYPE(All_India_Index_Upto_April23__1[[#This Row],[Egg]])</f>
        <v>1</v>
      </c>
      <c r="AL156">
        <f>TYPE(All_India_Index_Upto_April23__1[[#This Row],[Milk and products]])</f>
        <v>1</v>
      </c>
      <c r="AM156">
        <f>TYPE(All_India_Index_Upto_April23__1[[#This Row],[Oils and fats]])</f>
        <v>1</v>
      </c>
      <c r="AN156">
        <f>TYPE(All_India_Index_Upto_April23__1[[#This Row],[Fruits]])</f>
        <v>1</v>
      </c>
      <c r="AO156">
        <f>TYPE(All_India_Index_Upto_April23__1[[#This Row],[Vegetables]])</f>
        <v>1</v>
      </c>
      <c r="AP156">
        <f>TYPE(All_India_Index_Upto_April23__1[[#This Row],[Pulses and products]])</f>
        <v>1</v>
      </c>
      <c r="AQ156">
        <f>TYPE(All_India_Index_Upto_April23__1[[#This Row],[Sugar and Confectionery]])</f>
        <v>1</v>
      </c>
      <c r="AR156">
        <f>TYPE(All_India_Index_Upto_April23__1[[#This Row],[Spices]])</f>
        <v>1</v>
      </c>
      <c r="AS156">
        <f>TYPE(All_India_Index_Upto_April23__1[[#This Row],[Non-alcoholic beverages]])</f>
        <v>1</v>
      </c>
      <c r="AT156">
        <f>TYPE(All_India_Index_Upto_April23__1[[#This Row],[Prepared meals, snacks, sweets etc.]])</f>
        <v>1</v>
      </c>
      <c r="AU156">
        <f>TYPE(All_India_Index_Upto_April23__1[[#This Row],[Food and beverages]])</f>
        <v>1</v>
      </c>
      <c r="AV156">
        <f>TYPE(All_India_Index_Upto_April23__1[[#This Row],[Pan, tobacco and intoxicants]])</f>
        <v>1</v>
      </c>
      <c r="AW156">
        <f>TYPE(All_India_Index_Upto_April23__1[[#This Row],[Clothing]])</f>
        <v>1</v>
      </c>
      <c r="AX156">
        <f>TYPE(All_India_Index_Upto_April23__1[[#This Row],[Footwear]])</f>
        <v>1</v>
      </c>
      <c r="AY156">
        <f>TYPE(All_India_Index_Upto_April23__1[[#This Row],[Clothing and footwear]])</f>
        <v>1</v>
      </c>
      <c r="AZ156">
        <f>TYPE(All_India_Index_Upto_April23__1[[#This Row],[Housing]])</f>
        <v>1</v>
      </c>
      <c r="BA156">
        <f>TYPE(All_India_Index_Upto_April23__1[[#This Row],[Fuel and light]])</f>
        <v>1</v>
      </c>
      <c r="BB156">
        <f>TYPE(All_India_Index_Upto_April23__1[[#This Row],[Household goods and services]])</f>
        <v>1</v>
      </c>
      <c r="BC156">
        <f>TYPE(All_India_Index_Upto_April23__1[[#This Row],[Health]])</f>
        <v>1</v>
      </c>
      <c r="BD156">
        <f>TYPE(All_India_Index_Upto_April23__1[[#This Row],[Transport and communication]])</f>
        <v>1</v>
      </c>
      <c r="BE156">
        <f>TYPE(All_India_Index_Upto_April23__1[[#This Row],[Recreation and amusement]])</f>
        <v>1</v>
      </c>
      <c r="BF156">
        <f>TYPE(All_India_Index_Upto_April23__1[[#This Row],[Education]])</f>
        <v>1</v>
      </c>
      <c r="BG156">
        <f>TYPE(All_India_Index_Upto_April23__1[[#This Row],[Personal care and effects]])</f>
        <v>1</v>
      </c>
      <c r="BH156">
        <f>TYPE(All_India_Index_Upto_April23__1[[#This Row],[Miscellaneous]])</f>
        <v>1</v>
      </c>
      <c r="BI156">
        <f>TYPE(All_India_Index_Upto_April23__1[[#This Row],[General index]])</f>
        <v>1</v>
      </c>
    </row>
    <row r="157" spans="1:61" x14ac:dyDescent="0.3">
      <c r="A157" t="s">
        <v>33</v>
      </c>
      <c r="B157">
        <v>2017</v>
      </c>
      <c r="C157" t="s">
        <v>36</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c r="AF157">
        <f>TYPE(All_India_Index_Upto_April23__1[[#This Row],[Sector]])</f>
        <v>2</v>
      </c>
      <c r="AG157">
        <f>TYPE(All_India_Index_Upto_April23__1[[#This Row],[Year]])</f>
        <v>1</v>
      </c>
      <c r="AH157">
        <f>TYPE(All_India_Index_Upto_April23__1[[#This Row],[Month]])</f>
        <v>2</v>
      </c>
      <c r="AI157">
        <f>TYPE(All_India_Index_Upto_April23__1[[#This Row],[Cereals and products]])</f>
        <v>1</v>
      </c>
      <c r="AJ157">
        <f>TYPE(All_India_Index_Upto_April23__1[[#This Row],[Meat and fish]])</f>
        <v>1</v>
      </c>
      <c r="AK157">
        <f>TYPE(All_India_Index_Upto_April23__1[[#This Row],[Egg]])</f>
        <v>1</v>
      </c>
      <c r="AL157">
        <f>TYPE(All_India_Index_Upto_April23__1[[#This Row],[Milk and products]])</f>
        <v>1</v>
      </c>
      <c r="AM157">
        <f>TYPE(All_India_Index_Upto_April23__1[[#This Row],[Oils and fats]])</f>
        <v>1</v>
      </c>
      <c r="AN157">
        <f>TYPE(All_India_Index_Upto_April23__1[[#This Row],[Fruits]])</f>
        <v>1</v>
      </c>
      <c r="AO157">
        <f>TYPE(All_India_Index_Upto_April23__1[[#This Row],[Vegetables]])</f>
        <v>1</v>
      </c>
      <c r="AP157">
        <f>TYPE(All_India_Index_Upto_April23__1[[#This Row],[Pulses and products]])</f>
        <v>1</v>
      </c>
      <c r="AQ157">
        <f>TYPE(All_India_Index_Upto_April23__1[[#This Row],[Sugar and Confectionery]])</f>
        <v>1</v>
      </c>
      <c r="AR157">
        <f>TYPE(All_India_Index_Upto_April23__1[[#This Row],[Spices]])</f>
        <v>1</v>
      </c>
      <c r="AS157">
        <f>TYPE(All_India_Index_Upto_April23__1[[#This Row],[Non-alcoholic beverages]])</f>
        <v>1</v>
      </c>
      <c r="AT157">
        <f>TYPE(All_India_Index_Upto_April23__1[[#This Row],[Prepared meals, snacks, sweets etc.]])</f>
        <v>1</v>
      </c>
      <c r="AU157">
        <f>TYPE(All_India_Index_Upto_April23__1[[#This Row],[Food and beverages]])</f>
        <v>1</v>
      </c>
      <c r="AV157">
        <f>TYPE(All_India_Index_Upto_April23__1[[#This Row],[Pan, tobacco and intoxicants]])</f>
        <v>1</v>
      </c>
      <c r="AW157">
        <f>TYPE(All_India_Index_Upto_April23__1[[#This Row],[Clothing]])</f>
        <v>1</v>
      </c>
      <c r="AX157">
        <f>TYPE(All_India_Index_Upto_April23__1[[#This Row],[Footwear]])</f>
        <v>1</v>
      </c>
      <c r="AY157">
        <f>TYPE(All_India_Index_Upto_April23__1[[#This Row],[Clothing and footwear]])</f>
        <v>1</v>
      </c>
      <c r="AZ157">
        <f>TYPE(All_India_Index_Upto_April23__1[[#This Row],[Housing]])</f>
        <v>1</v>
      </c>
      <c r="BA157">
        <f>TYPE(All_India_Index_Upto_April23__1[[#This Row],[Fuel and light]])</f>
        <v>1</v>
      </c>
      <c r="BB157">
        <f>TYPE(All_India_Index_Upto_April23__1[[#This Row],[Household goods and services]])</f>
        <v>1</v>
      </c>
      <c r="BC157">
        <f>TYPE(All_India_Index_Upto_April23__1[[#This Row],[Health]])</f>
        <v>1</v>
      </c>
      <c r="BD157">
        <f>TYPE(All_India_Index_Upto_April23__1[[#This Row],[Transport and communication]])</f>
        <v>1</v>
      </c>
      <c r="BE157">
        <f>TYPE(All_India_Index_Upto_April23__1[[#This Row],[Recreation and amusement]])</f>
        <v>1</v>
      </c>
      <c r="BF157">
        <f>TYPE(All_India_Index_Upto_April23__1[[#This Row],[Education]])</f>
        <v>1</v>
      </c>
      <c r="BG157">
        <f>TYPE(All_India_Index_Upto_April23__1[[#This Row],[Personal care and effects]])</f>
        <v>1</v>
      </c>
      <c r="BH157">
        <f>TYPE(All_India_Index_Upto_April23__1[[#This Row],[Miscellaneous]])</f>
        <v>1</v>
      </c>
      <c r="BI157">
        <f>TYPE(All_India_Index_Upto_April23__1[[#This Row],[General index]])</f>
        <v>1</v>
      </c>
    </row>
    <row r="158" spans="1:61" x14ac:dyDescent="0.3">
      <c r="A158" t="s">
        <v>30</v>
      </c>
      <c r="B158">
        <v>2017</v>
      </c>
      <c r="C158" t="s">
        <v>37</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v>0</v>
      </c>
      <c r="V158">
        <v>135</v>
      </c>
      <c r="W158">
        <v>134.9</v>
      </c>
      <c r="X158">
        <v>131.4</v>
      </c>
      <c r="Y158">
        <v>119.4</v>
      </c>
      <c r="Z158">
        <v>129.4</v>
      </c>
      <c r="AA158">
        <v>136.30000000000001</v>
      </c>
      <c r="AB158">
        <v>123.7</v>
      </c>
      <c r="AC158">
        <v>127.9</v>
      </c>
      <c r="AD158">
        <v>133.30000000000001</v>
      </c>
      <c r="AF158">
        <f>TYPE(All_India_Index_Upto_April23__1[[#This Row],[Sector]])</f>
        <v>2</v>
      </c>
      <c r="AG158">
        <f>TYPE(All_India_Index_Upto_April23__1[[#This Row],[Year]])</f>
        <v>1</v>
      </c>
      <c r="AH158">
        <f>TYPE(All_India_Index_Upto_April23__1[[#This Row],[Month]])</f>
        <v>2</v>
      </c>
      <c r="AI158">
        <f>TYPE(All_India_Index_Upto_April23__1[[#This Row],[Cereals and products]])</f>
        <v>1</v>
      </c>
      <c r="AJ158">
        <f>TYPE(All_India_Index_Upto_April23__1[[#This Row],[Meat and fish]])</f>
        <v>1</v>
      </c>
      <c r="AK158">
        <f>TYPE(All_India_Index_Upto_April23__1[[#This Row],[Egg]])</f>
        <v>1</v>
      </c>
      <c r="AL158">
        <f>TYPE(All_India_Index_Upto_April23__1[[#This Row],[Milk and products]])</f>
        <v>1</v>
      </c>
      <c r="AM158">
        <f>TYPE(All_India_Index_Upto_April23__1[[#This Row],[Oils and fats]])</f>
        <v>1</v>
      </c>
      <c r="AN158">
        <f>TYPE(All_India_Index_Upto_April23__1[[#This Row],[Fruits]])</f>
        <v>1</v>
      </c>
      <c r="AO158">
        <f>TYPE(All_India_Index_Upto_April23__1[[#This Row],[Vegetables]])</f>
        <v>1</v>
      </c>
      <c r="AP158">
        <f>TYPE(All_India_Index_Upto_April23__1[[#This Row],[Pulses and products]])</f>
        <v>1</v>
      </c>
      <c r="AQ158">
        <f>TYPE(All_India_Index_Upto_April23__1[[#This Row],[Sugar and Confectionery]])</f>
        <v>1</v>
      </c>
      <c r="AR158">
        <f>TYPE(All_India_Index_Upto_April23__1[[#This Row],[Spices]])</f>
        <v>1</v>
      </c>
      <c r="AS158">
        <f>TYPE(All_India_Index_Upto_April23__1[[#This Row],[Non-alcoholic beverages]])</f>
        <v>1</v>
      </c>
      <c r="AT158">
        <f>TYPE(All_India_Index_Upto_April23__1[[#This Row],[Prepared meals, snacks, sweets etc.]])</f>
        <v>1</v>
      </c>
      <c r="AU158">
        <f>TYPE(All_India_Index_Upto_April23__1[[#This Row],[Food and beverages]])</f>
        <v>1</v>
      </c>
      <c r="AV158">
        <f>TYPE(All_India_Index_Upto_April23__1[[#This Row],[Pan, tobacco and intoxicants]])</f>
        <v>1</v>
      </c>
      <c r="AW158">
        <f>TYPE(All_India_Index_Upto_April23__1[[#This Row],[Clothing]])</f>
        <v>1</v>
      </c>
      <c r="AX158">
        <f>TYPE(All_India_Index_Upto_April23__1[[#This Row],[Footwear]])</f>
        <v>1</v>
      </c>
      <c r="AY158">
        <f>TYPE(All_India_Index_Upto_April23__1[[#This Row],[Clothing and footwear]])</f>
        <v>1</v>
      </c>
      <c r="AZ158">
        <f>TYPE(All_India_Index_Upto_April23__1[[#This Row],[Housing]])</f>
        <v>1</v>
      </c>
      <c r="BA158">
        <f>TYPE(All_India_Index_Upto_April23__1[[#This Row],[Fuel and light]])</f>
        <v>1</v>
      </c>
      <c r="BB158">
        <f>TYPE(All_India_Index_Upto_April23__1[[#This Row],[Household goods and services]])</f>
        <v>1</v>
      </c>
      <c r="BC158">
        <f>TYPE(All_India_Index_Upto_April23__1[[#This Row],[Health]])</f>
        <v>1</v>
      </c>
      <c r="BD158">
        <f>TYPE(All_India_Index_Upto_April23__1[[#This Row],[Transport and communication]])</f>
        <v>1</v>
      </c>
      <c r="BE158">
        <f>TYPE(All_India_Index_Upto_April23__1[[#This Row],[Recreation and amusement]])</f>
        <v>1</v>
      </c>
      <c r="BF158">
        <f>TYPE(All_India_Index_Upto_April23__1[[#This Row],[Education]])</f>
        <v>1</v>
      </c>
      <c r="BG158">
        <f>TYPE(All_India_Index_Upto_April23__1[[#This Row],[Personal care and effects]])</f>
        <v>1</v>
      </c>
      <c r="BH158">
        <f>TYPE(All_India_Index_Upto_April23__1[[#This Row],[Miscellaneous]])</f>
        <v>1</v>
      </c>
      <c r="BI158">
        <f>TYPE(All_India_Index_Upto_April23__1[[#This Row],[General index]])</f>
        <v>1</v>
      </c>
    </row>
    <row r="159" spans="1:61" x14ac:dyDescent="0.3">
      <c r="A159" t="s">
        <v>32</v>
      </c>
      <c r="B159">
        <v>2017</v>
      </c>
      <c r="C159" t="s">
        <v>37</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c r="AF159">
        <f>TYPE(All_India_Index_Upto_April23__1[[#This Row],[Sector]])</f>
        <v>2</v>
      </c>
      <c r="AG159">
        <f>TYPE(All_India_Index_Upto_April23__1[[#This Row],[Year]])</f>
        <v>1</v>
      </c>
      <c r="AH159">
        <f>TYPE(All_India_Index_Upto_April23__1[[#This Row],[Month]])</f>
        <v>2</v>
      </c>
      <c r="AI159">
        <f>TYPE(All_India_Index_Upto_April23__1[[#This Row],[Cereals and products]])</f>
        <v>1</v>
      </c>
      <c r="AJ159">
        <f>TYPE(All_India_Index_Upto_April23__1[[#This Row],[Meat and fish]])</f>
        <v>1</v>
      </c>
      <c r="AK159">
        <f>TYPE(All_India_Index_Upto_April23__1[[#This Row],[Egg]])</f>
        <v>1</v>
      </c>
      <c r="AL159">
        <f>TYPE(All_India_Index_Upto_April23__1[[#This Row],[Milk and products]])</f>
        <v>1</v>
      </c>
      <c r="AM159">
        <f>TYPE(All_India_Index_Upto_April23__1[[#This Row],[Oils and fats]])</f>
        <v>1</v>
      </c>
      <c r="AN159">
        <f>TYPE(All_India_Index_Upto_April23__1[[#This Row],[Fruits]])</f>
        <v>1</v>
      </c>
      <c r="AO159">
        <f>TYPE(All_India_Index_Upto_April23__1[[#This Row],[Vegetables]])</f>
        <v>1</v>
      </c>
      <c r="AP159">
        <f>TYPE(All_India_Index_Upto_April23__1[[#This Row],[Pulses and products]])</f>
        <v>1</v>
      </c>
      <c r="AQ159">
        <f>TYPE(All_India_Index_Upto_April23__1[[#This Row],[Sugar and Confectionery]])</f>
        <v>1</v>
      </c>
      <c r="AR159">
        <f>TYPE(All_India_Index_Upto_April23__1[[#This Row],[Spices]])</f>
        <v>1</v>
      </c>
      <c r="AS159">
        <f>TYPE(All_India_Index_Upto_April23__1[[#This Row],[Non-alcoholic beverages]])</f>
        <v>1</v>
      </c>
      <c r="AT159">
        <f>TYPE(All_India_Index_Upto_April23__1[[#This Row],[Prepared meals, snacks, sweets etc.]])</f>
        <v>1</v>
      </c>
      <c r="AU159">
        <f>TYPE(All_India_Index_Upto_April23__1[[#This Row],[Food and beverages]])</f>
        <v>1</v>
      </c>
      <c r="AV159">
        <f>TYPE(All_India_Index_Upto_April23__1[[#This Row],[Pan, tobacco and intoxicants]])</f>
        <v>1</v>
      </c>
      <c r="AW159">
        <f>TYPE(All_India_Index_Upto_April23__1[[#This Row],[Clothing]])</f>
        <v>1</v>
      </c>
      <c r="AX159">
        <f>TYPE(All_India_Index_Upto_April23__1[[#This Row],[Footwear]])</f>
        <v>1</v>
      </c>
      <c r="AY159">
        <f>TYPE(All_India_Index_Upto_April23__1[[#This Row],[Clothing and footwear]])</f>
        <v>1</v>
      </c>
      <c r="AZ159">
        <f>TYPE(All_India_Index_Upto_April23__1[[#This Row],[Housing]])</f>
        <v>1</v>
      </c>
      <c r="BA159">
        <f>TYPE(All_India_Index_Upto_April23__1[[#This Row],[Fuel and light]])</f>
        <v>1</v>
      </c>
      <c r="BB159">
        <f>TYPE(All_India_Index_Upto_April23__1[[#This Row],[Household goods and services]])</f>
        <v>1</v>
      </c>
      <c r="BC159">
        <f>TYPE(All_India_Index_Upto_April23__1[[#This Row],[Health]])</f>
        <v>1</v>
      </c>
      <c r="BD159">
        <f>TYPE(All_India_Index_Upto_April23__1[[#This Row],[Transport and communication]])</f>
        <v>1</v>
      </c>
      <c r="BE159">
        <f>TYPE(All_India_Index_Upto_April23__1[[#This Row],[Recreation and amusement]])</f>
        <v>1</v>
      </c>
      <c r="BF159">
        <f>TYPE(All_India_Index_Upto_April23__1[[#This Row],[Education]])</f>
        <v>1</v>
      </c>
      <c r="BG159">
        <f>TYPE(All_India_Index_Upto_April23__1[[#This Row],[Personal care and effects]])</f>
        <v>1</v>
      </c>
      <c r="BH159">
        <f>TYPE(All_India_Index_Upto_April23__1[[#This Row],[Miscellaneous]])</f>
        <v>1</v>
      </c>
      <c r="BI159">
        <f>TYPE(All_India_Index_Upto_April23__1[[#This Row],[General index]])</f>
        <v>1</v>
      </c>
    </row>
    <row r="160" spans="1:61" x14ac:dyDescent="0.3">
      <c r="A160" t="s">
        <v>33</v>
      </c>
      <c r="B160">
        <v>2017</v>
      </c>
      <c r="C160" t="s">
        <v>37</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c r="AF160">
        <f>TYPE(All_India_Index_Upto_April23__1[[#This Row],[Sector]])</f>
        <v>2</v>
      </c>
      <c r="AG160">
        <f>TYPE(All_India_Index_Upto_April23__1[[#This Row],[Year]])</f>
        <v>1</v>
      </c>
      <c r="AH160">
        <f>TYPE(All_India_Index_Upto_April23__1[[#This Row],[Month]])</f>
        <v>2</v>
      </c>
      <c r="AI160">
        <f>TYPE(All_India_Index_Upto_April23__1[[#This Row],[Cereals and products]])</f>
        <v>1</v>
      </c>
      <c r="AJ160">
        <f>TYPE(All_India_Index_Upto_April23__1[[#This Row],[Meat and fish]])</f>
        <v>1</v>
      </c>
      <c r="AK160">
        <f>TYPE(All_India_Index_Upto_April23__1[[#This Row],[Egg]])</f>
        <v>1</v>
      </c>
      <c r="AL160">
        <f>TYPE(All_India_Index_Upto_April23__1[[#This Row],[Milk and products]])</f>
        <v>1</v>
      </c>
      <c r="AM160">
        <f>TYPE(All_India_Index_Upto_April23__1[[#This Row],[Oils and fats]])</f>
        <v>1</v>
      </c>
      <c r="AN160">
        <f>TYPE(All_India_Index_Upto_April23__1[[#This Row],[Fruits]])</f>
        <v>1</v>
      </c>
      <c r="AO160">
        <f>TYPE(All_India_Index_Upto_April23__1[[#This Row],[Vegetables]])</f>
        <v>1</v>
      </c>
      <c r="AP160">
        <f>TYPE(All_India_Index_Upto_April23__1[[#This Row],[Pulses and products]])</f>
        <v>1</v>
      </c>
      <c r="AQ160">
        <f>TYPE(All_India_Index_Upto_April23__1[[#This Row],[Sugar and Confectionery]])</f>
        <v>1</v>
      </c>
      <c r="AR160">
        <f>TYPE(All_India_Index_Upto_April23__1[[#This Row],[Spices]])</f>
        <v>1</v>
      </c>
      <c r="AS160">
        <f>TYPE(All_India_Index_Upto_April23__1[[#This Row],[Non-alcoholic beverages]])</f>
        <v>1</v>
      </c>
      <c r="AT160">
        <f>TYPE(All_India_Index_Upto_April23__1[[#This Row],[Prepared meals, snacks, sweets etc.]])</f>
        <v>1</v>
      </c>
      <c r="AU160">
        <f>TYPE(All_India_Index_Upto_April23__1[[#This Row],[Food and beverages]])</f>
        <v>1</v>
      </c>
      <c r="AV160">
        <f>TYPE(All_India_Index_Upto_April23__1[[#This Row],[Pan, tobacco and intoxicants]])</f>
        <v>1</v>
      </c>
      <c r="AW160">
        <f>TYPE(All_India_Index_Upto_April23__1[[#This Row],[Clothing]])</f>
        <v>1</v>
      </c>
      <c r="AX160">
        <f>TYPE(All_India_Index_Upto_April23__1[[#This Row],[Footwear]])</f>
        <v>1</v>
      </c>
      <c r="AY160">
        <f>TYPE(All_India_Index_Upto_April23__1[[#This Row],[Clothing and footwear]])</f>
        <v>1</v>
      </c>
      <c r="AZ160">
        <f>TYPE(All_India_Index_Upto_April23__1[[#This Row],[Housing]])</f>
        <v>1</v>
      </c>
      <c r="BA160">
        <f>TYPE(All_India_Index_Upto_April23__1[[#This Row],[Fuel and light]])</f>
        <v>1</v>
      </c>
      <c r="BB160">
        <f>TYPE(All_India_Index_Upto_April23__1[[#This Row],[Household goods and services]])</f>
        <v>1</v>
      </c>
      <c r="BC160">
        <f>TYPE(All_India_Index_Upto_April23__1[[#This Row],[Health]])</f>
        <v>1</v>
      </c>
      <c r="BD160">
        <f>TYPE(All_India_Index_Upto_April23__1[[#This Row],[Transport and communication]])</f>
        <v>1</v>
      </c>
      <c r="BE160">
        <f>TYPE(All_India_Index_Upto_April23__1[[#This Row],[Recreation and amusement]])</f>
        <v>1</v>
      </c>
      <c r="BF160">
        <f>TYPE(All_India_Index_Upto_April23__1[[#This Row],[Education]])</f>
        <v>1</v>
      </c>
      <c r="BG160">
        <f>TYPE(All_India_Index_Upto_April23__1[[#This Row],[Personal care and effects]])</f>
        <v>1</v>
      </c>
      <c r="BH160">
        <f>TYPE(All_India_Index_Upto_April23__1[[#This Row],[Miscellaneous]])</f>
        <v>1</v>
      </c>
      <c r="BI160">
        <f>TYPE(All_India_Index_Upto_April23__1[[#This Row],[General index]])</f>
        <v>1</v>
      </c>
    </row>
    <row r="161" spans="1:61" x14ac:dyDescent="0.3">
      <c r="A161" t="s">
        <v>30</v>
      </c>
      <c r="B161">
        <v>2017</v>
      </c>
      <c r="C161" t="s">
        <v>38</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v>0</v>
      </c>
      <c r="V161">
        <v>134.80000000000001</v>
      </c>
      <c r="W161">
        <v>135.19999999999999</v>
      </c>
      <c r="X161">
        <v>131.30000000000001</v>
      </c>
      <c r="Y161">
        <v>119.4</v>
      </c>
      <c r="Z161">
        <v>129.80000000000001</v>
      </c>
      <c r="AA161">
        <v>136.9</v>
      </c>
      <c r="AB161">
        <v>124.1</v>
      </c>
      <c r="AC161">
        <v>128.1</v>
      </c>
      <c r="AD161">
        <v>133.9</v>
      </c>
      <c r="AF161">
        <f>TYPE(All_India_Index_Upto_April23__1[[#This Row],[Sector]])</f>
        <v>2</v>
      </c>
      <c r="AG161">
        <f>TYPE(All_India_Index_Upto_April23__1[[#This Row],[Year]])</f>
        <v>1</v>
      </c>
      <c r="AH161">
        <f>TYPE(All_India_Index_Upto_April23__1[[#This Row],[Month]])</f>
        <v>2</v>
      </c>
      <c r="AI161">
        <f>TYPE(All_India_Index_Upto_April23__1[[#This Row],[Cereals and products]])</f>
        <v>1</v>
      </c>
      <c r="AJ161">
        <f>TYPE(All_India_Index_Upto_April23__1[[#This Row],[Meat and fish]])</f>
        <v>1</v>
      </c>
      <c r="AK161">
        <f>TYPE(All_India_Index_Upto_April23__1[[#This Row],[Egg]])</f>
        <v>1</v>
      </c>
      <c r="AL161">
        <f>TYPE(All_India_Index_Upto_April23__1[[#This Row],[Milk and products]])</f>
        <v>1</v>
      </c>
      <c r="AM161">
        <f>TYPE(All_India_Index_Upto_April23__1[[#This Row],[Oils and fats]])</f>
        <v>1</v>
      </c>
      <c r="AN161">
        <f>TYPE(All_India_Index_Upto_April23__1[[#This Row],[Fruits]])</f>
        <v>1</v>
      </c>
      <c r="AO161">
        <f>TYPE(All_India_Index_Upto_April23__1[[#This Row],[Vegetables]])</f>
        <v>1</v>
      </c>
      <c r="AP161">
        <f>TYPE(All_India_Index_Upto_April23__1[[#This Row],[Pulses and products]])</f>
        <v>1</v>
      </c>
      <c r="AQ161">
        <f>TYPE(All_India_Index_Upto_April23__1[[#This Row],[Sugar and Confectionery]])</f>
        <v>1</v>
      </c>
      <c r="AR161">
        <f>TYPE(All_India_Index_Upto_April23__1[[#This Row],[Spices]])</f>
        <v>1</v>
      </c>
      <c r="AS161">
        <f>TYPE(All_India_Index_Upto_April23__1[[#This Row],[Non-alcoholic beverages]])</f>
        <v>1</v>
      </c>
      <c r="AT161">
        <f>TYPE(All_India_Index_Upto_April23__1[[#This Row],[Prepared meals, snacks, sweets etc.]])</f>
        <v>1</v>
      </c>
      <c r="AU161">
        <f>TYPE(All_India_Index_Upto_April23__1[[#This Row],[Food and beverages]])</f>
        <v>1</v>
      </c>
      <c r="AV161">
        <f>TYPE(All_India_Index_Upto_April23__1[[#This Row],[Pan, tobacco and intoxicants]])</f>
        <v>1</v>
      </c>
      <c r="AW161">
        <f>TYPE(All_India_Index_Upto_April23__1[[#This Row],[Clothing]])</f>
        <v>1</v>
      </c>
      <c r="AX161">
        <f>TYPE(All_India_Index_Upto_April23__1[[#This Row],[Footwear]])</f>
        <v>1</v>
      </c>
      <c r="AY161">
        <f>TYPE(All_India_Index_Upto_April23__1[[#This Row],[Clothing and footwear]])</f>
        <v>1</v>
      </c>
      <c r="AZ161">
        <f>TYPE(All_India_Index_Upto_April23__1[[#This Row],[Housing]])</f>
        <v>1</v>
      </c>
      <c r="BA161">
        <f>TYPE(All_India_Index_Upto_April23__1[[#This Row],[Fuel and light]])</f>
        <v>1</v>
      </c>
      <c r="BB161">
        <f>TYPE(All_India_Index_Upto_April23__1[[#This Row],[Household goods and services]])</f>
        <v>1</v>
      </c>
      <c r="BC161">
        <f>TYPE(All_India_Index_Upto_April23__1[[#This Row],[Health]])</f>
        <v>1</v>
      </c>
      <c r="BD161">
        <f>TYPE(All_India_Index_Upto_April23__1[[#This Row],[Transport and communication]])</f>
        <v>1</v>
      </c>
      <c r="BE161">
        <f>TYPE(All_India_Index_Upto_April23__1[[#This Row],[Recreation and amusement]])</f>
        <v>1</v>
      </c>
      <c r="BF161">
        <f>TYPE(All_India_Index_Upto_April23__1[[#This Row],[Education]])</f>
        <v>1</v>
      </c>
      <c r="BG161">
        <f>TYPE(All_India_Index_Upto_April23__1[[#This Row],[Personal care and effects]])</f>
        <v>1</v>
      </c>
      <c r="BH161">
        <f>TYPE(All_India_Index_Upto_April23__1[[#This Row],[Miscellaneous]])</f>
        <v>1</v>
      </c>
      <c r="BI161">
        <f>TYPE(All_India_Index_Upto_April23__1[[#This Row],[General index]])</f>
        <v>1</v>
      </c>
    </row>
    <row r="162" spans="1:61" x14ac:dyDescent="0.3">
      <c r="A162" t="s">
        <v>32</v>
      </c>
      <c r="B162">
        <v>2017</v>
      </c>
      <c r="C162" t="s">
        <v>38</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c r="AF162">
        <f>TYPE(All_India_Index_Upto_April23__1[[#This Row],[Sector]])</f>
        <v>2</v>
      </c>
      <c r="AG162">
        <f>TYPE(All_India_Index_Upto_April23__1[[#This Row],[Year]])</f>
        <v>1</v>
      </c>
      <c r="AH162">
        <f>TYPE(All_India_Index_Upto_April23__1[[#This Row],[Month]])</f>
        <v>2</v>
      </c>
      <c r="AI162">
        <f>TYPE(All_India_Index_Upto_April23__1[[#This Row],[Cereals and products]])</f>
        <v>1</v>
      </c>
      <c r="AJ162">
        <f>TYPE(All_India_Index_Upto_April23__1[[#This Row],[Meat and fish]])</f>
        <v>1</v>
      </c>
      <c r="AK162">
        <f>TYPE(All_India_Index_Upto_April23__1[[#This Row],[Egg]])</f>
        <v>1</v>
      </c>
      <c r="AL162">
        <f>TYPE(All_India_Index_Upto_April23__1[[#This Row],[Milk and products]])</f>
        <v>1</v>
      </c>
      <c r="AM162">
        <f>TYPE(All_India_Index_Upto_April23__1[[#This Row],[Oils and fats]])</f>
        <v>1</v>
      </c>
      <c r="AN162">
        <f>TYPE(All_India_Index_Upto_April23__1[[#This Row],[Fruits]])</f>
        <v>1</v>
      </c>
      <c r="AO162">
        <f>TYPE(All_India_Index_Upto_April23__1[[#This Row],[Vegetables]])</f>
        <v>1</v>
      </c>
      <c r="AP162">
        <f>TYPE(All_India_Index_Upto_April23__1[[#This Row],[Pulses and products]])</f>
        <v>1</v>
      </c>
      <c r="AQ162">
        <f>TYPE(All_India_Index_Upto_April23__1[[#This Row],[Sugar and Confectionery]])</f>
        <v>1</v>
      </c>
      <c r="AR162">
        <f>TYPE(All_India_Index_Upto_April23__1[[#This Row],[Spices]])</f>
        <v>1</v>
      </c>
      <c r="AS162">
        <f>TYPE(All_India_Index_Upto_April23__1[[#This Row],[Non-alcoholic beverages]])</f>
        <v>1</v>
      </c>
      <c r="AT162">
        <f>TYPE(All_India_Index_Upto_April23__1[[#This Row],[Prepared meals, snacks, sweets etc.]])</f>
        <v>1</v>
      </c>
      <c r="AU162">
        <f>TYPE(All_India_Index_Upto_April23__1[[#This Row],[Food and beverages]])</f>
        <v>1</v>
      </c>
      <c r="AV162">
        <f>TYPE(All_India_Index_Upto_April23__1[[#This Row],[Pan, tobacco and intoxicants]])</f>
        <v>1</v>
      </c>
      <c r="AW162">
        <f>TYPE(All_India_Index_Upto_April23__1[[#This Row],[Clothing]])</f>
        <v>1</v>
      </c>
      <c r="AX162">
        <f>TYPE(All_India_Index_Upto_April23__1[[#This Row],[Footwear]])</f>
        <v>1</v>
      </c>
      <c r="AY162">
        <f>TYPE(All_India_Index_Upto_April23__1[[#This Row],[Clothing and footwear]])</f>
        <v>1</v>
      </c>
      <c r="AZ162">
        <f>TYPE(All_India_Index_Upto_April23__1[[#This Row],[Housing]])</f>
        <v>1</v>
      </c>
      <c r="BA162">
        <f>TYPE(All_India_Index_Upto_April23__1[[#This Row],[Fuel and light]])</f>
        <v>1</v>
      </c>
      <c r="BB162">
        <f>TYPE(All_India_Index_Upto_April23__1[[#This Row],[Household goods and services]])</f>
        <v>1</v>
      </c>
      <c r="BC162">
        <f>TYPE(All_India_Index_Upto_April23__1[[#This Row],[Health]])</f>
        <v>1</v>
      </c>
      <c r="BD162">
        <f>TYPE(All_India_Index_Upto_April23__1[[#This Row],[Transport and communication]])</f>
        <v>1</v>
      </c>
      <c r="BE162">
        <f>TYPE(All_India_Index_Upto_April23__1[[#This Row],[Recreation and amusement]])</f>
        <v>1</v>
      </c>
      <c r="BF162">
        <f>TYPE(All_India_Index_Upto_April23__1[[#This Row],[Education]])</f>
        <v>1</v>
      </c>
      <c r="BG162">
        <f>TYPE(All_India_Index_Upto_April23__1[[#This Row],[Personal care and effects]])</f>
        <v>1</v>
      </c>
      <c r="BH162">
        <f>TYPE(All_India_Index_Upto_April23__1[[#This Row],[Miscellaneous]])</f>
        <v>1</v>
      </c>
      <c r="BI162">
        <f>TYPE(All_India_Index_Upto_April23__1[[#This Row],[General index]])</f>
        <v>1</v>
      </c>
    </row>
    <row r="163" spans="1:61" x14ac:dyDescent="0.3">
      <c r="A163" t="s">
        <v>33</v>
      </c>
      <c r="B163">
        <v>2017</v>
      </c>
      <c r="C163" t="s">
        <v>38</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c r="AF163">
        <f>TYPE(All_India_Index_Upto_April23__1[[#This Row],[Sector]])</f>
        <v>2</v>
      </c>
      <c r="AG163">
        <f>TYPE(All_India_Index_Upto_April23__1[[#This Row],[Year]])</f>
        <v>1</v>
      </c>
      <c r="AH163">
        <f>TYPE(All_India_Index_Upto_April23__1[[#This Row],[Month]])</f>
        <v>2</v>
      </c>
      <c r="AI163">
        <f>TYPE(All_India_Index_Upto_April23__1[[#This Row],[Cereals and products]])</f>
        <v>1</v>
      </c>
      <c r="AJ163">
        <f>TYPE(All_India_Index_Upto_April23__1[[#This Row],[Meat and fish]])</f>
        <v>1</v>
      </c>
      <c r="AK163">
        <f>TYPE(All_India_Index_Upto_April23__1[[#This Row],[Egg]])</f>
        <v>1</v>
      </c>
      <c r="AL163">
        <f>TYPE(All_India_Index_Upto_April23__1[[#This Row],[Milk and products]])</f>
        <v>1</v>
      </c>
      <c r="AM163">
        <f>TYPE(All_India_Index_Upto_April23__1[[#This Row],[Oils and fats]])</f>
        <v>1</v>
      </c>
      <c r="AN163">
        <f>TYPE(All_India_Index_Upto_April23__1[[#This Row],[Fruits]])</f>
        <v>1</v>
      </c>
      <c r="AO163">
        <f>TYPE(All_India_Index_Upto_April23__1[[#This Row],[Vegetables]])</f>
        <v>1</v>
      </c>
      <c r="AP163">
        <f>TYPE(All_India_Index_Upto_April23__1[[#This Row],[Pulses and products]])</f>
        <v>1</v>
      </c>
      <c r="AQ163">
        <f>TYPE(All_India_Index_Upto_April23__1[[#This Row],[Sugar and Confectionery]])</f>
        <v>1</v>
      </c>
      <c r="AR163">
        <f>TYPE(All_India_Index_Upto_April23__1[[#This Row],[Spices]])</f>
        <v>1</v>
      </c>
      <c r="AS163">
        <f>TYPE(All_India_Index_Upto_April23__1[[#This Row],[Non-alcoholic beverages]])</f>
        <v>1</v>
      </c>
      <c r="AT163">
        <f>TYPE(All_India_Index_Upto_April23__1[[#This Row],[Prepared meals, snacks, sweets etc.]])</f>
        <v>1</v>
      </c>
      <c r="AU163">
        <f>TYPE(All_India_Index_Upto_April23__1[[#This Row],[Food and beverages]])</f>
        <v>1</v>
      </c>
      <c r="AV163">
        <f>TYPE(All_India_Index_Upto_April23__1[[#This Row],[Pan, tobacco and intoxicants]])</f>
        <v>1</v>
      </c>
      <c r="AW163">
        <f>TYPE(All_India_Index_Upto_April23__1[[#This Row],[Clothing]])</f>
        <v>1</v>
      </c>
      <c r="AX163">
        <f>TYPE(All_India_Index_Upto_April23__1[[#This Row],[Footwear]])</f>
        <v>1</v>
      </c>
      <c r="AY163">
        <f>TYPE(All_India_Index_Upto_April23__1[[#This Row],[Clothing and footwear]])</f>
        <v>1</v>
      </c>
      <c r="AZ163">
        <f>TYPE(All_India_Index_Upto_April23__1[[#This Row],[Housing]])</f>
        <v>1</v>
      </c>
      <c r="BA163">
        <f>TYPE(All_India_Index_Upto_April23__1[[#This Row],[Fuel and light]])</f>
        <v>1</v>
      </c>
      <c r="BB163">
        <f>TYPE(All_India_Index_Upto_April23__1[[#This Row],[Household goods and services]])</f>
        <v>1</v>
      </c>
      <c r="BC163">
        <f>TYPE(All_India_Index_Upto_April23__1[[#This Row],[Health]])</f>
        <v>1</v>
      </c>
      <c r="BD163">
        <f>TYPE(All_India_Index_Upto_April23__1[[#This Row],[Transport and communication]])</f>
        <v>1</v>
      </c>
      <c r="BE163">
        <f>TYPE(All_India_Index_Upto_April23__1[[#This Row],[Recreation and amusement]])</f>
        <v>1</v>
      </c>
      <c r="BF163">
        <f>TYPE(All_India_Index_Upto_April23__1[[#This Row],[Education]])</f>
        <v>1</v>
      </c>
      <c r="BG163">
        <f>TYPE(All_India_Index_Upto_April23__1[[#This Row],[Personal care and effects]])</f>
        <v>1</v>
      </c>
      <c r="BH163">
        <f>TYPE(All_India_Index_Upto_April23__1[[#This Row],[Miscellaneous]])</f>
        <v>1</v>
      </c>
      <c r="BI163">
        <f>TYPE(All_India_Index_Upto_April23__1[[#This Row],[General index]])</f>
        <v>1</v>
      </c>
    </row>
    <row r="164" spans="1:61" x14ac:dyDescent="0.3">
      <c r="A164" t="s">
        <v>30</v>
      </c>
      <c r="B164">
        <v>2017</v>
      </c>
      <c r="C164" t="s">
        <v>39</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v>0</v>
      </c>
      <c r="V164">
        <v>135.30000000000001</v>
      </c>
      <c r="W164">
        <v>136.1</v>
      </c>
      <c r="X164">
        <v>132.1</v>
      </c>
      <c r="Y164">
        <v>119.1</v>
      </c>
      <c r="Z164">
        <v>130.6</v>
      </c>
      <c r="AA164">
        <v>138.6</v>
      </c>
      <c r="AB164">
        <v>124.4</v>
      </c>
      <c r="AC164">
        <v>128.6</v>
      </c>
      <c r="AD164">
        <v>136.19999999999999</v>
      </c>
      <c r="AF164">
        <f>TYPE(All_India_Index_Upto_April23__1[[#This Row],[Sector]])</f>
        <v>2</v>
      </c>
      <c r="AG164">
        <f>TYPE(All_India_Index_Upto_April23__1[[#This Row],[Year]])</f>
        <v>1</v>
      </c>
      <c r="AH164">
        <f>TYPE(All_India_Index_Upto_April23__1[[#This Row],[Month]])</f>
        <v>2</v>
      </c>
      <c r="AI164">
        <f>TYPE(All_India_Index_Upto_April23__1[[#This Row],[Cereals and products]])</f>
        <v>1</v>
      </c>
      <c r="AJ164">
        <f>TYPE(All_India_Index_Upto_April23__1[[#This Row],[Meat and fish]])</f>
        <v>1</v>
      </c>
      <c r="AK164">
        <f>TYPE(All_India_Index_Upto_April23__1[[#This Row],[Egg]])</f>
        <v>1</v>
      </c>
      <c r="AL164">
        <f>TYPE(All_India_Index_Upto_April23__1[[#This Row],[Milk and products]])</f>
        <v>1</v>
      </c>
      <c r="AM164">
        <f>TYPE(All_India_Index_Upto_April23__1[[#This Row],[Oils and fats]])</f>
        <v>1</v>
      </c>
      <c r="AN164">
        <f>TYPE(All_India_Index_Upto_April23__1[[#This Row],[Fruits]])</f>
        <v>1</v>
      </c>
      <c r="AO164">
        <f>TYPE(All_India_Index_Upto_April23__1[[#This Row],[Vegetables]])</f>
        <v>1</v>
      </c>
      <c r="AP164">
        <f>TYPE(All_India_Index_Upto_April23__1[[#This Row],[Pulses and products]])</f>
        <v>1</v>
      </c>
      <c r="AQ164">
        <f>TYPE(All_India_Index_Upto_April23__1[[#This Row],[Sugar and Confectionery]])</f>
        <v>1</v>
      </c>
      <c r="AR164">
        <f>TYPE(All_India_Index_Upto_April23__1[[#This Row],[Spices]])</f>
        <v>1</v>
      </c>
      <c r="AS164">
        <f>TYPE(All_India_Index_Upto_April23__1[[#This Row],[Non-alcoholic beverages]])</f>
        <v>1</v>
      </c>
      <c r="AT164">
        <f>TYPE(All_India_Index_Upto_April23__1[[#This Row],[Prepared meals, snacks, sweets etc.]])</f>
        <v>1</v>
      </c>
      <c r="AU164">
        <f>TYPE(All_India_Index_Upto_April23__1[[#This Row],[Food and beverages]])</f>
        <v>1</v>
      </c>
      <c r="AV164">
        <f>TYPE(All_India_Index_Upto_April23__1[[#This Row],[Pan, tobacco and intoxicants]])</f>
        <v>1</v>
      </c>
      <c r="AW164">
        <f>TYPE(All_India_Index_Upto_April23__1[[#This Row],[Clothing]])</f>
        <v>1</v>
      </c>
      <c r="AX164">
        <f>TYPE(All_India_Index_Upto_April23__1[[#This Row],[Footwear]])</f>
        <v>1</v>
      </c>
      <c r="AY164">
        <f>TYPE(All_India_Index_Upto_April23__1[[#This Row],[Clothing and footwear]])</f>
        <v>1</v>
      </c>
      <c r="AZ164">
        <f>TYPE(All_India_Index_Upto_April23__1[[#This Row],[Housing]])</f>
        <v>1</v>
      </c>
      <c r="BA164">
        <f>TYPE(All_India_Index_Upto_April23__1[[#This Row],[Fuel and light]])</f>
        <v>1</v>
      </c>
      <c r="BB164">
        <f>TYPE(All_India_Index_Upto_April23__1[[#This Row],[Household goods and services]])</f>
        <v>1</v>
      </c>
      <c r="BC164">
        <f>TYPE(All_India_Index_Upto_April23__1[[#This Row],[Health]])</f>
        <v>1</v>
      </c>
      <c r="BD164">
        <f>TYPE(All_India_Index_Upto_April23__1[[#This Row],[Transport and communication]])</f>
        <v>1</v>
      </c>
      <c r="BE164">
        <f>TYPE(All_India_Index_Upto_April23__1[[#This Row],[Recreation and amusement]])</f>
        <v>1</v>
      </c>
      <c r="BF164">
        <f>TYPE(All_India_Index_Upto_April23__1[[#This Row],[Education]])</f>
        <v>1</v>
      </c>
      <c r="BG164">
        <f>TYPE(All_India_Index_Upto_April23__1[[#This Row],[Personal care and effects]])</f>
        <v>1</v>
      </c>
      <c r="BH164">
        <f>TYPE(All_India_Index_Upto_April23__1[[#This Row],[Miscellaneous]])</f>
        <v>1</v>
      </c>
      <c r="BI164">
        <f>TYPE(All_India_Index_Upto_April23__1[[#This Row],[General index]])</f>
        <v>1</v>
      </c>
    </row>
    <row r="165" spans="1:61" x14ac:dyDescent="0.3">
      <c r="A165" t="s">
        <v>32</v>
      </c>
      <c r="B165">
        <v>2017</v>
      </c>
      <c r="C165" t="s">
        <v>39</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c r="AF165">
        <f>TYPE(All_India_Index_Upto_April23__1[[#This Row],[Sector]])</f>
        <v>2</v>
      </c>
      <c r="AG165">
        <f>TYPE(All_India_Index_Upto_April23__1[[#This Row],[Year]])</f>
        <v>1</v>
      </c>
      <c r="AH165">
        <f>TYPE(All_India_Index_Upto_April23__1[[#This Row],[Month]])</f>
        <v>2</v>
      </c>
      <c r="AI165">
        <f>TYPE(All_India_Index_Upto_April23__1[[#This Row],[Cereals and products]])</f>
        <v>1</v>
      </c>
      <c r="AJ165">
        <f>TYPE(All_India_Index_Upto_April23__1[[#This Row],[Meat and fish]])</f>
        <v>1</v>
      </c>
      <c r="AK165">
        <f>TYPE(All_India_Index_Upto_April23__1[[#This Row],[Egg]])</f>
        <v>1</v>
      </c>
      <c r="AL165">
        <f>TYPE(All_India_Index_Upto_April23__1[[#This Row],[Milk and products]])</f>
        <v>1</v>
      </c>
      <c r="AM165">
        <f>TYPE(All_India_Index_Upto_April23__1[[#This Row],[Oils and fats]])</f>
        <v>1</v>
      </c>
      <c r="AN165">
        <f>TYPE(All_India_Index_Upto_April23__1[[#This Row],[Fruits]])</f>
        <v>1</v>
      </c>
      <c r="AO165">
        <f>TYPE(All_India_Index_Upto_April23__1[[#This Row],[Vegetables]])</f>
        <v>1</v>
      </c>
      <c r="AP165">
        <f>TYPE(All_India_Index_Upto_April23__1[[#This Row],[Pulses and products]])</f>
        <v>1</v>
      </c>
      <c r="AQ165">
        <f>TYPE(All_India_Index_Upto_April23__1[[#This Row],[Sugar and Confectionery]])</f>
        <v>1</v>
      </c>
      <c r="AR165">
        <f>TYPE(All_India_Index_Upto_April23__1[[#This Row],[Spices]])</f>
        <v>1</v>
      </c>
      <c r="AS165">
        <f>TYPE(All_India_Index_Upto_April23__1[[#This Row],[Non-alcoholic beverages]])</f>
        <v>1</v>
      </c>
      <c r="AT165">
        <f>TYPE(All_India_Index_Upto_April23__1[[#This Row],[Prepared meals, snacks, sweets etc.]])</f>
        <v>1</v>
      </c>
      <c r="AU165">
        <f>TYPE(All_India_Index_Upto_April23__1[[#This Row],[Food and beverages]])</f>
        <v>1</v>
      </c>
      <c r="AV165">
        <f>TYPE(All_India_Index_Upto_April23__1[[#This Row],[Pan, tobacco and intoxicants]])</f>
        <v>1</v>
      </c>
      <c r="AW165">
        <f>TYPE(All_India_Index_Upto_April23__1[[#This Row],[Clothing]])</f>
        <v>1</v>
      </c>
      <c r="AX165">
        <f>TYPE(All_India_Index_Upto_April23__1[[#This Row],[Footwear]])</f>
        <v>1</v>
      </c>
      <c r="AY165">
        <f>TYPE(All_India_Index_Upto_April23__1[[#This Row],[Clothing and footwear]])</f>
        <v>1</v>
      </c>
      <c r="AZ165">
        <f>TYPE(All_India_Index_Upto_April23__1[[#This Row],[Housing]])</f>
        <v>1</v>
      </c>
      <c r="BA165">
        <f>TYPE(All_India_Index_Upto_April23__1[[#This Row],[Fuel and light]])</f>
        <v>1</v>
      </c>
      <c r="BB165">
        <f>TYPE(All_India_Index_Upto_April23__1[[#This Row],[Household goods and services]])</f>
        <v>1</v>
      </c>
      <c r="BC165">
        <f>TYPE(All_India_Index_Upto_April23__1[[#This Row],[Health]])</f>
        <v>1</v>
      </c>
      <c r="BD165">
        <f>TYPE(All_India_Index_Upto_April23__1[[#This Row],[Transport and communication]])</f>
        <v>1</v>
      </c>
      <c r="BE165">
        <f>TYPE(All_India_Index_Upto_April23__1[[#This Row],[Recreation and amusement]])</f>
        <v>1</v>
      </c>
      <c r="BF165">
        <f>TYPE(All_India_Index_Upto_April23__1[[#This Row],[Education]])</f>
        <v>1</v>
      </c>
      <c r="BG165">
        <f>TYPE(All_India_Index_Upto_April23__1[[#This Row],[Personal care and effects]])</f>
        <v>1</v>
      </c>
      <c r="BH165">
        <f>TYPE(All_India_Index_Upto_April23__1[[#This Row],[Miscellaneous]])</f>
        <v>1</v>
      </c>
      <c r="BI165">
        <f>TYPE(All_India_Index_Upto_April23__1[[#This Row],[General index]])</f>
        <v>1</v>
      </c>
    </row>
    <row r="166" spans="1:61" x14ac:dyDescent="0.3">
      <c r="A166" t="s">
        <v>33</v>
      </c>
      <c r="B166">
        <v>2017</v>
      </c>
      <c r="C166" t="s">
        <v>39</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c r="AF166">
        <f>TYPE(All_India_Index_Upto_April23__1[[#This Row],[Sector]])</f>
        <v>2</v>
      </c>
      <c r="AG166">
        <f>TYPE(All_India_Index_Upto_April23__1[[#This Row],[Year]])</f>
        <v>1</v>
      </c>
      <c r="AH166">
        <f>TYPE(All_India_Index_Upto_April23__1[[#This Row],[Month]])</f>
        <v>2</v>
      </c>
      <c r="AI166">
        <f>TYPE(All_India_Index_Upto_April23__1[[#This Row],[Cereals and products]])</f>
        <v>1</v>
      </c>
      <c r="AJ166">
        <f>TYPE(All_India_Index_Upto_April23__1[[#This Row],[Meat and fish]])</f>
        <v>1</v>
      </c>
      <c r="AK166">
        <f>TYPE(All_India_Index_Upto_April23__1[[#This Row],[Egg]])</f>
        <v>1</v>
      </c>
      <c r="AL166">
        <f>TYPE(All_India_Index_Upto_April23__1[[#This Row],[Milk and products]])</f>
        <v>1</v>
      </c>
      <c r="AM166">
        <f>TYPE(All_India_Index_Upto_April23__1[[#This Row],[Oils and fats]])</f>
        <v>1</v>
      </c>
      <c r="AN166">
        <f>TYPE(All_India_Index_Upto_April23__1[[#This Row],[Fruits]])</f>
        <v>1</v>
      </c>
      <c r="AO166">
        <f>TYPE(All_India_Index_Upto_April23__1[[#This Row],[Vegetables]])</f>
        <v>1</v>
      </c>
      <c r="AP166">
        <f>TYPE(All_India_Index_Upto_April23__1[[#This Row],[Pulses and products]])</f>
        <v>1</v>
      </c>
      <c r="AQ166">
        <f>TYPE(All_India_Index_Upto_April23__1[[#This Row],[Sugar and Confectionery]])</f>
        <v>1</v>
      </c>
      <c r="AR166">
        <f>TYPE(All_India_Index_Upto_April23__1[[#This Row],[Spices]])</f>
        <v>1</v>
      </c>
      <c r="AS166">
        <f>TYPE(All_India_Index_Upto_April23__1[[#This Row],[Non-alcoholic beverages]])</f>
        <v>1</v>
      </c>
      <c r="AT166">
        <f>TYPE(All_India_Index_Upto_April23__1[[#This Row],[Prepared meals, snacks, sweets etc.]])</f>
        <v>1</v>
      </c>
      <c r="AU166">
        <f>TYPE(All_India_Index_Upto_April23__1[[#This Row],[Food and beverages]])</f>
        <v>1</v>
      </c>
      <c r="AV166">
        <f>TYPE(All_India_Index_Upto_April23__1[[#This Row],[Pan, tobacco and intoxicants]])</f>
        <v>1</v>
      </c>
      <c r="AW166">
        <f>TYPE(All_India_Index_Upto_April23__1[[#This Row],[Clothing]])</f>
        <v>1</v>
      </c>
      <c r="AX166">
        <f>TYPE(All_India_Index_Upto_April23__1[[#This Row],[Footwear]])</f>
        <v>1</v>
      </c>
      <c r="AY166">
        <f>TYPE(All_India_Index_Upto_April23__1[[#This Row],[Clothing and footwear]])</f>
        <v>1</v>
      </c>
      <c r="AZ166">
        <f>TYPE(All_India_Index_Upto_April23__1[[#This Row],[Housing]])</f>
        <v>1</v>
      </c>
      <c r="BA166">
        <f>TYPE(All_India_Index_Upto_April23__1[[#This Row],[Fuel and light]])</f>
        <v>1</v>
      </c>
      <c r="BB166">
        <f>TYPE(All_India_Index_Upto_April23__1[[#This Row],[Household goods and services]])</f>
        <v>1</v>
      </c>
      <c r="BC166">
        <f>TYPE(All_India_Index_Upto_April23__1[[#This Row],[Health]])</f>
        <v>1</v>
      </c>
      <c r="BD166">
        <f>TYPE(All_India_Index_Upto_April23__1[[#This Row],[Transport and communication]])</f>
        <v>1</v>
      </c>
      <c r="BE166">
        <f>TYPE(All_India_Index_Upto_April23__1[[#This Row],[Recreation and amusement]])</f>
        <v>1</v>
      </c>
      <c r="BF166">
        <f>TYPE(All_India_Index_Upto_April23__1[[#This Row],[Education]])</f>
        <v>1</v>
      </c>
      <c r="BG166">
        <f>TYPE(All_India_Index_Upto_April23__1[[#This Row],[Personal care and effects]])</f>
        <v>1</v>
      </c>
      <c r="BH166">
        <f>TYPE(All_India_Index_Upto_April23__1[[#This Row],[Miscellaneous]])</f>
        <v>1</v>
      </c>
      <c r="BI166">
        <f>TYPE(All_India_Index_Upto_April23__1[[#This Row],[General index]])</f>
        <v>1</v>
      </c>
    </row>
    <row r="167" spans="1:61" x14ac:dyDescent="0.3">
      <c r="A167" t="s">
        <v>30</v>
      </c>
      <c r="B167">
        <v>2017</v>
      </c>
      <c r="C167" t="s">
        <v>40</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v>0</v>
      </c>
      <c r="V167">
        <v>136.4</v>
      </c>
      <c r="W167">
        <v>137.30000000000001</v>
      </c>
      <c r="X167">
        <v>133</v>
      </c>
      <c r="Y167">
        <v>120.3</v>
      </c>
      <c r="Z167">
        <v>131.5</v>
      </c>
      <c r="AA167">
        <v>140.19999999999999</v>
      </c>
      <c r="AB167">
        <v>125.4</v>
      </c>
      <c r="AC167">
        <v>129.69999999999999</v>
      </c>
      <c r="AD167">
        <v>137.80000000000001</v>
      </c>
      <c r="AF167">
        <f>TYPE(All_India_Index_Upto_April23__1[[#This Row],[Sector]])</f>
        <v>2</v>
      </c>
      <c r="AG167">
        <f>TYPE(All_India_Index_Upto_April23__1[[#This Row],[Year]])</f>
        <v>1</v>
      </c>
      <c r="AH167">
        <f>TYPE(All_India_Index_Upto_April23__1[[#This Row],[Month]])</f>
        <v>2</v>
      </c>
      <c r="AI167">
        <f>TYPE(All_India_Index_Upto_April23__1[[#This Row],[Cereals and products]])</f>
        <v>1</v>
      </c>
      <c r="AJ167">
        <f>TYPE(All_India_Index_Upto_April23__1[[#This Row],[Meat and fish]])</f>
        <v>1</v>
      </c>
      <c r="AK167">
        <f>TYPE(All_India_Index_Upto_April23__1[[#This Row],[Egg]])</f>
        <v>1</v>
      </c>
      <c r="AL167">
        <f>TYPE(All_India_Index_Upto_April23__1[[#This Row],[Milk and products]])</f>
        <v>1</v>
      </c>
      <c r="AM167">
        <f>TYPE(All_India_Index_Upto_April23__1[[#This Row],[Oils and fats]])</f>
        <v>1</v>
      </c>
      <c r="AN167">
        <f>TYPE(All_India_Index_Upto_April23__1[[#This Row],[Fruits]])</f>
        <v>1</v>
      </c>
      <c r="AO167">
        <f>TYPE(All_India_Index_Upto_April23__1[[#This Row],[Vegetables]])</f>
        <v>1</v>
      </c>
      <c r="AP167">
        <f>TYPE(All_India_Index_Upto_April23__1[[#This Row],[Pulses and products]])</f>
        <v>1</v>
      </c>
      <c r="AQ167">
        <f>TYPE(All_India_Index_Upto_April23__1[[#This Row],[Sugar and Confectionery]])</f>
        <v>1</v>
      </c>
      <c r="AR167">
        <f>TYPE(All_India_Index_Upto_April23__1[[#This Row],[Spices]])</f>
        <v>1</v>
      </c>
      <c r="AS167">
        <f>TYPE(All_India_Index_Upto_April23__1[[#This Row],[Non-alcoholic beverages]])</f>
        <v>1</v>
      </c>
      <c r="AT167">
        <f>TYPE(All_India_Index_Upto_April23__1[[#This Row],[Prepared meals, snacks, sweets etc.]])</f>
        <v>1</v>
      </c>
      <c r="AU167">
        <f>TYPE(All_India_Index_Upto_April23__1[[#This Row],[Food and beverages]])</f>
        <v>1</v>
      </c>
      <c r="AV167">
        <f>TYPE(All_India_Index_Upto_April23__1[[#This Row],[Pan, tobacco and intoxicants]])</f>
        <v>1</v>
      </c>
      <c r="AW167">
        <f>TYPE(All_India_Index_Upto_April23__1[[#This Row],[Clothing]])</f>
        <v>1</v>
      </c>
      <c r="AX167">
        <f>TYPE(All_India_Index_Upto_April23__1[[#This Row],[Footwear]])</f>
        <v>1</v>
      </c>
      <c r="AY167">
        <f>TYPE(All_India_Index_Upto_April23__1[[#This Row],[Clothing and footwear]])</f>
        <v>1</v>
      </c>
      <c r="AZ167">
        <f>TYPE(All_India_Index_Upto_April23__1[[#This Row],[Housing]])</f>
        <v>1</v>
      </c>
      <c r="BA167">
        <f>TYPE(All_India_Index_Upto_April23__1[[#This Row],[Fuel and light]])</f>
        <v>1</v>
      </c>
      <c r="BB167">
        <f>TYPE(All_India_Index_Upto_April23__1[[#This Row],[Household goods and services]])</f>
        <v>1</v>
      </c>
      <c r="BC167">
        <f>TYPE(All_India_Index_Upto_April23__1[[#This Row],[Health]])</f>
        <v>1</v>
      </c>
      <c r="BD167">
        <f>TYPE(All_India_Index_Upto_April23__1[[#This Row],[Transport and communication]])</f>
        <v>1</v>
      </c>
      <c r="BE167">
        <f>TYPE(All_India_Index_Upto_April23__1[[#This Row],[Recreation and amusement]])</f>
        <v>1</v>
      </c>
      <c r="BF167">
        <f>TYPE(All_India_Index_Upto_April23__1[[#This Row],[Education]])</f>
        <v>1</v>
      </c>
      <c r="BG167">
        <f>TYPE(All_India_Index_Upto_April23__1[[#This Row],[Personal care and effects]])</f>
        <v>1</v>
      </c>
      <c r="BH167">
        <f>TYPE(All_India_Index_Upto_April23__1[[#This Row],[Miscellaneous]])</f>
        <v>1</v>
      </c>
      <c r="BI167">
        <f>TYPE(All_India_Index_Upto_April23__1[[#This Row],[General index]])</f>
        <v>1</v>
      </c>
    </row>
    <row r="168" spans="1:61" x14ac:dyDescent="0.3">
      <c r="A168" t="s">
        <v>32</v>
      </c>
      <c r="B168">
        <v>2017</v>
      </c>
      <c r="C168" t="s">
        <v>40</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c r="AF168">
        <f>TYPE(All_India_Index_Upto_April23__1[[#This Row],[Sector]])</f>
        <v>2</v>
      </c>
      <c r="AG168">
        <f>TYPE(All_India_Index_Upto_April23__1[[#This Row],[Year]])</f>
        <v>1</v>
      </c>
      <c r="AH168">
        <f>TYPE(All_India_Index_Upto_April23__1[[#This Row],[Month]])</f>
        <v>2</v>
      </c>
      <c r="AI168">
        <f>TYPE(All_India_Index_Upto_April23__1[[#This Row],[Cereals and products]])</f>
        <v>1</v>
      </c>
      <c r="AJ168">
        <f>TYPE(All_India_Index_Upto_April23__1[[#This Row],[Meat and fish]])</f>
        <v>1</v>
      </c>
      <c r="AK168">
        <f>TYPE(All_India_Index_Upto_April23__1[[#This Row],[Egg]])</f>
        <v>1</v>
      </c>
      <c r="AL168">
        <f>TYPE(All_India_Index_Upto_April23__1[[#This Row],[Milk and products]])</f>
        <v>1</v>
      </c>
      <c r="AM168">
        <f>TYPE(All_India_Index_Upto_April23__1[[#This Row],[Oils and fats]])</f>
        <v>1</v>
      </c>
      <c r="AN168">
        <f>TYPE(All_India_Index_Upto_April23__1[[#This Row],[Fruits]])</f>
        <v>1</v>
      </c>
      <c r="AO168">
        <f>TYPE(All_India_Index_Upto_April23__1[[#This Row],[Vegetables]])</f>
        <v>1</v>
      </c>
      <c r="AP168">
        <f>TYPE(All_India_Index_Upto_April23__1[[#This Row],[Pulses and products]])</f>
        <v>1</v>
      </c>
      <c r="AQ168">
        <f>TYPE(All_India_Index_Upto_April23__1[[#This Row],[Sugar and Confectionery]])</f>
        <v>1</v>
      </c>
      <c r="AR168">
        <f>TYPE(All_India_Index_Upto_April23__1[[#This Row],[Spices]])</f>
        <v>1</v>
      </c>
      <c r="AS168">
        <f>TYPE(All_India_Index_Upto_April23__1[[#This Row],[Non-alcoholic beverages]])</f>
        <v>1</v>
      </c>
      <c r="AT168">
        <f>TYPE(All_India_Index_Upto_April23__1[[#This Row],[Prepared meals, snacks, sweets etc.]])</f>
        <v>1</v>
      </c>
      <c r="AU168">
        <f>TYPE(All_India_Index_Upto_April23__1[[#This Row],[Food and beverages]])</f>
        <v>1</v>
      </c>
      <c r="AV168">
        <f>TYPE(All_India_Index_Upto_April23__1[[#This Row],[Pan, tobacco and intoxicants]])</f>
        <v>1</v>
      </c>
      <c r="AW168">
        <f>TYPE(All_India_Index_Upto_April23__1[[#This Row],[Clothing]])</f>
        <v>1</v>
      </c>
      <c r="AX168">
        <f>TYPE(All_India_Index_Upto_April23__1[[#This Row],[Footwear]])</f>
        <v>1</v>
      </c>
      <c r="AY168">
        <f>TYPE(All_India_Index_Upto_April23__1[[#This Row],[Clothing and footwear]])</f>
        <v>1</v>
      </c>
      <c r="AZ168">
        <f>TYPE(All_India_Index_Upto_April23__1[[#This Row],[Housing]])</f>
        <v>1</v>
      </c>
      <c r="BA168">
        <f>TYPE(All_India_Index_Upto_April23__1[[#This Row],[Fuel and light]])</f>
        <v>1</v>
      </c>
      <c r="BB168">
        <f>TYPE(All_India_Index_Upto_April23__1[[#This Row],[Household goods and services]])</f>
        <v>1</v>
      </c>
      <c r="BC168">
        <f>TYPE(All_India_Index_Upto_April23__1[[#This Row],[Health]])</f>
        <v>1</v>
      </c>
      <c r="BD168">
        <f>TYPE(All_India_Index_Upto_April23__1[[#This Row],[Transport and communication]])</f>
        <v>1</v>
      </c>
      <c r="BE168">
        <f>TYPE(All_India_Index_Upto_April23__1[[#This Row],[Recreation and amusement]])</f>
        <v>1</v>
      </c>
      <c r="BF168">
        <f>TYPE(All_India_Index_Upto_April23__1[[#This Row],[Education]])</f>
        <v>1</v>
      </c>
      <c r="BG168">
        <f>TYPE(All_India_Index_Upto_April23__1[[#This Row],[Personal care and effects]])</f>
        <v>1</v>
      </c>
      <c r="BH168">
        <f>TYPE(All_India_Index_Upto_April23__1[[#This Row],[Miscellaneous]])</f>
        <v>1</v>
      </c>
      <c r="BI168">
        <f>TYPE(All_India_Index_Upto_April23__1[[#This Row],[General index]])</f>
        <v>1</v>
      </c>
    </row>
    <row r="169" spans="1:61" x14ac:dyDescent="0.3">
      <c r="A169" t="s">
        <v>33</v>
      </c>
      <c r="B169">
        <v>2017</v>
      </c>
      <c r="C169" t="s">
        <v>40</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c r="AF169">
        <f>TYPE(All_India_Index_Upto_April23__1[[#This Row],[Sector]])</f>
        <v>2</v>
      </c>
      <c r="AG169">
        <f>TYPE(All_India_Index_Upto_April23__1[[#This Row],[Year]])</f>
        <v>1</v>
      </c>
      <c r="AH169">
        <f>TYPE(All_India_Index_Upto_April23__1[[#This Row],[Month]])</f>
        <v>2</v>
      </c>
      <c r="AI169">
        <f>TYPE(All_India_Index_Upto_April23__1[[#This Row],[Cereals and products]])</f>
        <v>1</v>
      </c>
      <c r="AJ169">
        <f>TYPE(All_India_Index_Upto_April23__1[[#This Row],[Meat and fish]])</f>
        <v>1</v>
      </c>
      <c r="AK169">
        <f>TYPE(All_India_Index_Upto_April23__1[[#This Row],[Egg]])</f>
        <v>1</v>
      </c>
      <c r="AL169">
        <f>TYPE(All_India_Index_Upto_April23__1[[#This Row],[Milk and products]])</f>
        <v>1</v>
      </c>
      <c r="AM169">
        <f>TYPE(All_India_Index_Upto_April23__1[[#This Row],[Oils and fats]])</f>
        <v>1</v>
      </c>
      <c r="AN169">
        <f>TYPE(All_India_Index_Upto_April23__1[[#This Row],[Fruits]])</f>
        <v>1</v>
      </c>
      <c r="AO169">
        <f>TYPE(All_India_Index_Upto_April23__1[[#This Row],[Vegetables]])</f>
        <v>1</v>
      </c>
      <c r="AP169">
        <f>TYPE(All_India_Index_Upto_April23__1[[#This Row],[Pulses and products]])</f>
        <v>1</v>
      </c>
      <c r="AQ169">
        <f>TYPE(All_India_Index_Upto_April23__1[[#This Row],[Sugar and Confectionery]])</f>
        <v>1</v>
      </c>
      <c r="AR169">
        <f>TYPE(All_India_Index_Upto_April23__1[[#This Row],[Spices]])</f>
        <v>1</v>
      </c>
      <c r="AS169">
        <f>TYPE(All_India_Index_Upto_April23__1[[#This Row],[Non-alcoholic beverages]])</f>
        <v>1</v>
      </c>
      <c r="AT169">
        <f>TYPE(All_India_Index_Upto_April23__1[[#This Row],[Prepared meals, snacks, sweets etc.]])</f>
        <v>1</v>
      </c>
      <c r="AU169">
        <f>TYPE(All_India_Index_Upto_April23__1[[#This Row],[Food and beverages]])</f>
        <v>1</v>
      </c>
      <c r="AV169">
        <f>TYPE(All_India_Index_Upto_April23__1[[#This Row],[Pan, tobacco and intoxicants]])</f>
        <v>1</v>
      </c>
      <c r="AW169">
        <f>TYPE(All_India_Index_Upto_April23__1[[#This Row],[Clothing]])</f>
        <v>1</v>
      </c>
      <c r="AX169">
        <f>TYPE(All_India_Index_Upto_April23__1[[#This Row],[Footwear]])</f>
        <v>1</v>
      </c>
      <c r="AY169">
        <f>TYPE(All_India_Index_Upto_April23__1[[#This Row],[Clothing and footwear]])</f>
        <v>1</v>
      </c>
      <c r="AZ169">
        <f>TYPE(All_India_Index_Upto_April23__1[[#This Row],[Housing]])</f>
        <v>1</v>
      </c>
      <c r="BA169">
        <f>TYPE(All_India_Index_Upto_April23__1[[#This Row],[Fuel and light]])</f>
        <v>1</v>
      </c>
      <c r="BB169">
        <f>TYPE(All_India_Index_Upto_April23__1[[#This Row],[Household goods and services]])</f>
        <v>1</v>
      </c>
      <c r="BC169">
        <f>TYPE(All_India_Index_Upto_April23__1[[#This Row],[Health]])</f>
        <v>1</v>
      </c>
      <c r="BD169">
        <f>TYPE(All_India_Index_Upto_April23__1[[#This Row],[Transport and communication]])</f>
        <v>1</v>
      </c>
      <c r="BE169">
        <f>TYPE(All_India_Index_Upto_April23__1[[#This Row],[Recreation and amusement]])</f>
        <v>1</v>
      </c>
      <c r="BF169">
        <f>TYPE(All_India_Index_Upto_April23__1[[#This Row],[Education]])</f>
        <v>1</v>
      </c>
      <c r="BG169">
        <f>TYPE(All_India_Index_Upto_April23__1[[#This Row],[Personal care and effects]])</f>
        <v>1</v>
      </c>
      <c r="BH169">
        <f>TYPE(All_India_Index_Upto_April23__1[[#This Row],[Miscellaneous]])</f>
        <v>1</v>
      </c>
      <c r="BI169">
        <f>TYPE(All_India_Index_Upto_April23__1[[#This Row],[General index]])</f>
        <v>1</v>
      </c>
    </row>
    <row r="170" spans="1:61" x14ac:dyDescent="0.3">
      <c r="A170" t="s">
        <v>30</v>
      </c>
      <c r="B170">
        <v>2017</v>
      </c>
      <c r="C170" t="s">
        <v>41</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v>0</v>
      </c>
      <c r="V170">
        <v>137.4</v>
      </c>
      <c r="W170">
        <v>137.9</v>
      </c>
      <c r="X170">
        <v>133.4</v>
      </c>
      <c r="Y170">
        <v>121.2</v>
      </c>
      <c r="Z170">
        <v>132.30000000000001</v>
      </c>
      <c r="AA170">
        <v>139.6</v>
      </c>
      <c r="AB170">
        <v>126.7</v>
      </c>
      <c r="AC170">
        <v>130.30000000000001</v>
      </c>
      <c r="AD170">
        <v>137.6</v>
      </c>
      <c r="AF170">
        <f>TYPE(All_India_Index_Upto_April23__1[[#This Row],[Sector]])</f>
        <v>2</v>
      </c>
      <c r="AG170">
        <f>TYPE(All_India_Index_Upto_April23__1[[#This Row],[Year]])</f>
        <v>1</v>
      </c>
      <c r="AH170">
        <f>TYPE(All_India_Index_Upto_April23__1[[#This Row],[Month]])</f>
        <v>2</v>
      </c>
      <c r="AI170">
        <f>TYPE(All_India_Index_Upto_April23__1[[#This Row],[Cereals and products]])</f>
        <v>1</v>
      </c>
      <c r="AJ170">
        <f>TYPE(All_India_Index_Upto_April23__1[[#This Row],[Meat and fish]])</f>
        <v>1</v>
      </c>
      <c r="AK170">
        <f>TYPE(All_India_Index_Upto_April23__1[[#This Row],[Egg]])</f>
        <v>1</v>
      </c>
      <c r="AL170">
        <f>TYPE(All_India_Index_Upto_April23__1[[#This Row],[Milk and products]])</f>
        <v>1</v>
      </c>
      <c r="AM170">
        <f>TYPE(All_India_Index_Upto_April23__1[[#This Row],[Oils and fats]])</f>
        <v>1</v>
      </c>
      <c r="AN170">
        <f>TYPE(All_India_Index_Upto_April23__1[[#This Row],[Fruits]])</f>
        <v>1</v>
      </c>
      <c r="AO170">
        <f>TYPE(All_India_Index_Upto_April23__1[[#This Row],[Vegetables]])</f>
        <v>1</v>
      </c>
      <c r="AP170">
        <f>TYPE(All_India_Index_Upto_April23__1[[#This Row],[Pulses and products]])</f>
        <v>1</v>
      </c>
      <c r="AQ170">
        <f>TYPE(All_India_Index_Upto_April23__1[[#This Row],[Sugar and Confectionery]])</f>
        <v>1</v>
      </c>
      <c r="AR170">
        <f>TYPE(All_India_Index_Upto_April23__1[[#This Row],[Spices]])</f>
        <v>1</v>
      </c>
      <c r="AS170">
        <f>TYPE(All_India_Index_Upto_April23__1[[#This Row],[Non-alcoholic beverages]])</f>
        <v>1</v>
      </c>
      <c r="AT170">
        <f>TYPE(All_India_Index_Upto_April23__1[[#This Row],[Prepared meals, snacks, sweets etc.]])</f>
        <v>1</v>
      </c>
      <c r="AU170">
        <f>TYPE(All_India_Index_Upto_April23__1[[#This Row],[Food and beverages]])</f>
        <v>1</v>
      </c>
      <c r="AV170">
        <f>TYPE(All_India_Index_Upto_April23__1[[#This Row],[Pan, tobacco and intoxicants]])</f>
        <v>1</v>
      </c>
      <c r="AW170">
        <f>TYPE(All_India_Index_Upto_April23__1[[#This Row],[Clothing]])</f>
        <v>1</v>
      </c>
      <c r="AX170">
        <f>TYPE(All_India_Index_Upto_April23__1[[#This Row],[Footwear]])</f>
        <v>1</v>
      </c>
      <c r="AY170">
        <f>TYPE(All_India_Index_Upto_April23__1[[#This Row],[Clothing and footwear]])</f>
        <v>1</v>
      </c>
      <c r="AZ170">
        <f>TYPE(All_India_Index_Upto_April23__1[[#This Row],[Housing]])</f>
        <v>1</v>
      </c>
      <c r="BA170">
        <f>TYPE(All_India_Index_Upto_April23__1[[#This Row],[Fuel and light]])</f>
        <v>1</v>
      </c>
      <c r="BB170">
        <f>TYPE(All_India_Index_Upto_April23__1[[#This Row],[Household goods and services]])</f>
        <v>1</v>
      </c>
      <c r="BC170">
        <f>TYPE(All_India_Index_Upto_April23__1[[#This Row],[Health]])</f>
        <v>1</v>
      </c>
      <c r="BD170">
        <f>TYPE(All_India_Index_Upto_April23__1[[#This Row],[Transport and communication]])</f>
        <v>1</v>
      </c>
      <c r="BE170">
        <f>TYPE(All_India_Index_Upto_April23__1[[#This Row],[Recreation and amusement]])</f>
        <v>1</v>
      </c>
      <c r="BF170">
        <f>TYPE(All_India_Index_Upto_April23__1[[#This Row],[Education]])</f>
        <v>1</v>
      </c>
      <c r="BG170">
        <f>TYPE(All_India_Index_Upto_April23__1[[#This Row],[Personal care and effects]])</f>
        <v>1</v>
      </c>
      <c r="BH170">
        <f>TYPE(All_India_Index_Upto_April23__1[[#This Row],[Miscellaneous]])</f>
        <v>1</v>
      </c>
      <c r="BI170">
        <f>TYPE(All_India_Index_Upto_April23__1[[#This Row],[General index]])</f>
        <v>1</v>
      </c>
    </row>
    <row r="171" spans="1:61" x14ac:dyDescent="0.3">
      <c r="A171" t="s">
        <v>32</v>
      </c>
      <c r="B171">
        <v>2017</v>
      </c>
      <c r="C171" t="s">
        <v>41</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c r="AF171">
        <f>TYPE(All_India_Index_Upto_April23__1[[#This Row],[Sector]])</f>
        <v>2</v>
      </c>
      <c r="AG171">
        <f>TYPE(All_India_Index_Upto_April23__1[[#This Row],[Year]])</f>
        <v>1</v>
      </c>
      <c r="AH171">
        <f>TYPE(All_India_Index_Upto_April23__1[[#This Row],[Month]])</f>
        <v>2</v>
      </c>
      <c r="AI171">
        <f>TYPE(All_India_Index_Upto_April23__1[[#This Row],[Cereals and products]])</f>
        <v>1</v>
      </c>
      <c r="AJ171">
        <f>TYPE(All_India_Index_Upto_April23__1[[#This Row],[Meat and fish]])</f>
        <v>1</v>
      </c>
      <c r="AK171">
        <f>TYPE(All_India_Index_Upto_April23__1[[#This Row],[Egg]])</f>
        <v>1</v>
      </c>
      <c r="AL171">
        <f>TYPE(All_India_Index_Upto_April23__1[[#This Row],[Milk and products]])</f>
        <v>1</v>
      </c>
      <c r="AM171">
        <f>TYPE(All_India_Index_Upto_April23__1[[#This Row],[Oils and fats]])</f>
        <v>1</v>
      </c>
      <c r="AN171">
        <f>TYPE(All_India_Index_Upto_April23__1[[#This Row],[Fruits]])</f>
        <v>1</v>
      </c>
      <c r="AO171">
        <f>TYPE(All_India_Index_Upto_April23__1[[#This Row],[Vegetables]])</f>
        <v>1</v>
      </c>
      <c r="AP171">
        <f>TYPE(All_India_Index_Upto_April23__1[[#This Row],[Pulses and products]])</f>
        <v>1</v>
      </c>
      <c r="AQ171">
        <f>TYPE(All_India_Index_Upto_April23__1[[#This Row],[Sugar and Confectionery]])</f>
        <v>1</v>
      </c>
      <c r="AR171">
        <f>TYPE(All_India_Index_Upto_April23__1[[#This Row],[Spices]])</f>
        <v>1</v>
      </c>
      <c r="AS171">
        <f>TYPE(All_India_Index_Upto_April23__1[[#This Row],[Non-alcoholic beverages]])</f>
        <v>1</v>
      </c>
      <c r="AT171">
        <f>TYPE(All_India_Index_Upto_April23__1[[#This Row],[Prepared meals, snacks, sweets etc.]])</f>
        <v>1</v>
      </c>
      <c r="AU171">
        <f>TYPE(All_India_Index_Upto_April23__1[[#This Row],[Food and beverages]])</f>
        <v>1</v>
      </c>
      <c r="AV171">
        <f>TYPE(All_India_Index_Upto_April23__1[[#This Row],[Pan, tobacco and intoxicants]])</f>
        <v>1</v>
      </c>
      <c r="AW171">
        <f>TYPE(All_India_Index_Upto_April23__1[[#This Row],[Clothing]])</f>
        <v>1</v>
      </c>
      <c r="AX171">
        <f>TYPE(All_India_Index_Upto_April23__1[[#This Row],[Footwear]])</f>
        <v>1</v>
      </c>
      <c r="AY171">
        <f>TYPE(All_India_Index_Upto_April23__1[[#This Row],[Clothing and footwear]])</f>
        <v>1</v>
      </c>
      <c r="AZ171">
        <f>TYPE(All_India_Index_Upto_April23__1[[#This Row],[Housing]])</f>
        <v>1</v>
      </c>
      <c r="BA171">
        <f>TYPE(All_India_Index_Upto_April23__1[[#This Row],[Fuel and light]])</f>
        <v>1</v>
      </c>
      <c r="BB171">
        <f>TYPE(All_India_Index_Upto_April23__1[[#This Row],[Household goods and services]])</f>
        <v>1</v>
      </c>
      <c r="BC171">
        <f>TYPE(All_India_Index_Upto_April23__1[[#This Row],[Health]])</f>
        <v>1</v>
      </c>
      <c r="BD171">
        <f>TYPE(All_India_Index_Upto_April23__1[[#This Row],[Transport and communication]])</f>
        <v>1</v>
      </c>
      <c r="BE171">
        <f>TYPE(All_India_Index_Upto_April23__1[[#This Row],[Recreation and amusement]])</f>
        <v>1</v>
      </c>
      <c r="BF171">
        <f>TYPE(All_India_Index_Upto_April23__1[[#This Row],[Education]])</f>
        <v>1</v>
      </c>
      <c r="BG171">
        <f>TYPE(All_India_Index_Upto_April23__1[[#This Row],[Personal care and effects]])</f>
        <v>1</v>
      </c>
      <c r="BH171">
        <f>TYPE(All_India_Index_Upto_April23__1[[#This Row],[Miscellaneous]])</f>
        <v>1</v>
      </c>
      <c r="BI171">
        <f>TYPE(All_India_Index_Upto_April23__1[[#This Row],[General index]])</f>
        <v>1</v>
      </c>
    </row>
    <row r="172" spans="1:61" x14ac:dyDescent="0.3">
      <c r="A172" t="s">
        <v>33</v>
      </c>
      <c r="B172">
        <v>2017</v>
      </c>
      <c r="C172" t="s">
        <v>41</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c r="AF172">
        <f>TYPE(All_India_Index_Upto_April23__1[[#This Row],[Sector]])</f>
        <v>2</v>
      </c>
      <c r="AG172">
        <f>TYPE(All_India_Index_Upto_April23__1[[#This Row],[Year]])</f>
        <v>1</v>
      </c>
      <c r="AH172">
        <f>TYPE(All_India_Index_Upto_April23__1[[#This Row],[Month]])</f>
        <v>2</v>
      </c>
      <c r="AI172">
        <f>TYPE(All_India_Index_Upto_April23__1[[#This Row],[Cereals and products]])</f>
        <v>1</v>
      </c>
      <c r="AJ172">
        <f>TYPE(All_India_Index_Upto_April23__1[[#This Row],[Meat and fish]])</f>
        <v>1</v>
      </c>
      <c r="AK172">
        <f>TYPE(All_India_Index_Upto_April23__1[[#This Row],[Egg]])</f>
        <v>1</v>
      </c>
      <c r="AL172">
        <f>TYPE(All_India_Index_Upto_April23__1[[#This Row],[Milk and products]])</f>
        <v>1</v>
      </c>
      <c r="AM172">
        <f>TYPE(All_India_Index_Upto_April23__1[[#This Row],[Oils and fats]])</f>
        <v>1</v>
      </c>
      <c r="AN172">
        <f>TYPE(All_India_Index_Upto_April23__1[[#This Row],[Fruits]])</f>
        <v>1</v>
      </c>
      <c r="AO172">
        <f>TYPE(All_India_Index_Upto_April23__1[[#This Row],[Vegetables]])</f>
        <v>1</v>
      </c>
      <c r="AP172">
        <f>TYPE(All_India_Index_Upto_April23__1[[#This Row],[Pulses and products]])</f>
        <v>1</v>
      </c>
      <c r="AQ172">
        <f>TYPE(All_India_Index_Upto_April23__1[[#This Row],[Sugar and Confectionery]])</f>
        <v>1</v>
      </c>
      <c r="AR172">
        <f>TYPE(All_India_Index_Upto_April23__1[[#This Row],[Spices]])</f>
        <v>1</v>
      </c>
      <c r="AS172">
        <f>TYPE(All_India_Index_Upto_April23__1[[#This Row],[Non-alcoholic beverages]])</f>
        <v>1</v>
      </c>
      <c r="AT172">
        <f>TYPE(All_India_Index_Upto_April23__1[[#This Row],[Prepared meals, snacks, sweets etc.]])</f>
        <v>1</v>
      </c>
      <c r="AU172">
        <f>TYPE(All_India_Index_Upto_April23__1[[#This Row],[Food and beverages]])</f>
        <v>1</v>
      </c>
      <c r="AV172">
        <f>TYPE(All_India_Index_Upto_April23__1[[#This Row],[Pan, tobacco and intoxicants]])</f>
        <v>1</v>
      </c>
      <c r="AW172">
        <f>TYPE(All_India_Index_Upto_April23__1[[#This Row],[Clothing]])</f>
        <v>1</v>
      </c>
      <c r="AX172">
        <f>TYPE(All_India_Index_Upto_April23__1[[#This Row],[Footwear]])</f>
        <v>1</v>
      </c>
      <c r="AY172">
        <f>TYPE(All_India_Index_Upto_April23__1[[#This Row],[Clothing and footwear]])</f>
        <v>1</v>
      </c>
      <c r="AZ172">
        <f>TYPE(All_India_Index_Upto_April23__1[[#This Row],[Housing]])</f>
        <v>1</v>
      </c>
      <c r="BA172">
        <f>TYPE(All_India_Index_Upto_April23__1[[#This Row],[Fuel and light]])</f>
        <v>1</v>
      </c>
      <c r="BB172">
        <f>TYPE(All_India_Index_Upto_April23__1[[#This Row],[Household goods and services]])</f>
        <v>1</v>
      </c>
      <c r="BC172">
        <f>TYPE(All_India_Index_Upto_April23__1[[#This Row],[Health]])</f>
        <v>1</v>
      </c>
      <c r="BD172">
        <f>TYPE(All_India_Index_Upto_April23__1[[#This Row],[Transport and communication]])</f>
        <v>1</v>
      </c>
      <c r="BE172">
        <f>TYPE(All_India_Index_Upto_April23__1[[#This Row],[Recreation and amusement]])</f>
        <v>1</v>
      </c>
      <c r="BF172">
        <f>TYPE(All_India_Index_Upto_April23__1[[#This Row],[Education]])</f>
        <v>1</v>
      </c>
      <c r="BG172">
        <f>TYPE(All_India_Index_Upto_April23__1[[#This Row],[Personal care and effects]])</f>
        <v>1</v>
      </c>
      <c r="BH172">
        <f>TYPE(All_India_Index_Upto_April23__1[[#This Row],[Miscellaneous]])</f>
        <v>1</v>
      </c>
      <c r="BI172">
        <f>TYPE(All_India_Index_Upto_April23__1[[#This Row],[General index]])</f>
        <v>1</v>
      </c>
    </row>
    <row r="173" spans="1:61" x14ac:dyDescent="0.3">
      <c r="A173" t="s">
        <v>30</v>
      </c>
      <c r="B173">
        <v>2017</v>
      </c>
      <c r="C173" t="s">
        <v>42</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v>0</v>
      </c>
      <c r="V173">
        <v>138.1</v>
      </c>
      <c r="W173">
        <v>138.4</v>
      </c>
      <c r="X173">
        <v>134.19999999999999</v>
      </c>
      <c r="Y173">
        <v>121</v>
      </c>
      <c r="Z173">
        <v>133</v>
      </c>
      <c r="AA173">
        <v>140.1</v>
      </c>
      <c r="AB173">
        <v>127.4</v>
      </c>
      <c r="AC173">
        <v>130.69999999999999</v>
      </c>
      <c r="AD173">
        <v>138.30000000000001</v>
      </c>
      <c r="AF173">
        <f>TYPE(All_India_Index_Upto_April23__1[[#This Row],[Sector]])</f>
        <v>2</v>
      </c>
      <c r="AG173">
        <f>TYPE(All_India_Index_Upto_April23__1[[#This Row],[Year]])</f>
        <v>1</v>
      </c>
      <c r="AH173">
        <f>TYPE(All_India_Index_Upto_April23__1[[#This Row],[Month]])</f>
        <v>2</v>
      </c>
      <c r="AI173">
        <f>TYPE(All_India_Index_Upto_April23__1[[#This Row],[Cereals and products]])</f>
        <v>1</v>
      </c>
      <c r="AJ173">
        <f>TYPE(All_India_Index_Upto_April23__1[[#This Row],[Meat and fish]])</f>
        <v>1</v>
      </c>
      <c r="AK173">
        <f>TYPE(All_India_Index_Upto_April23__1[[#This Row],[Egg]])</f>
        <v>1</v>
      </c>
      <c r="AL173">
        <f>TYPE(All_India_Index_Upto_April23__1[[#This Row],[Milk and products]])</f>
        <v>1</v>
      </c>
      <c r="AM173">
        <f>TYPE(All_India_Index_Upto_April23__1[[#This Row],[Oils and fats]])</f>
        <v>1</v>
      </c>
      <c r="AN173">
        <f>TYPE(All_India_Index_Upto_April23__1[[#This Row],[Fruits]])</f>
        <v>1</v>
      </c>
      <c r="AO173">
        <f>TYPE(All_India_Index_Upto_April23__1[[#This Row],[Vegetables]])</f>
        <v>1</v>
      </c>
      <c r="AP173">
        <f>TYPE(All_India_Index_Upto_April23__1[[#This Row],[Pulses and products]])</f>
        <v>1</v>
      </c>
      <c r="AQ173">
        <f>TYPE(All_India_Index_Upto_April23__1[[#This Row],[Sugar and Confectionery]])</f>
        <v>1</v>
      </c>
      <c r="AR173">
        <f>TYPE(All_India_Index_Upto_April23__1[[#This Row],[Spices]])</f>
        <v>1</v>
      </c>
      <c r="AS173">
        <f>TYPE(All_India_Index_Upto_April23__1[[#This Row],[Non-alcoholic beverages]])</f>
        <v>1</v>
      </c>
      <c r="AT173">
        <f>TYPE(All_India_Index_Upto_April23__1[[#This Row],[Prepared meals, snacks, sweets etc.]])</f>
        <v>1</v>
      </c>
      <c r="AU173">
        <f>TYPE(All_India_Index_Upto_April23__1[[#This Row],[Food and beverages]])</f>
        <v>1</v>
      </c>
      <c r="AV173">
        <f>TYPE(All_India_Index_Upto_April23__1[[#This Row],[Pan, tobacco and intoxicants]])</f>
        <v>1</v>
      </c>
      <c r="AW173">
        <f>TYPE(All_India_Index_Upto_April23__1[[#This Row],[Clothing]])</f>
        <v>1</v>
      </c>
      <c r="AX173">
        <f>TYPE(All_India_Index_Upto_April23__1[[#This Row],[Footwear]])</f>
        <v>1</v>
      </c>
      <c r="AY173">
        <f>TYPE(All_India_Index_Upto_April23__1[[#This Row],[Clothing and footwear]])</f>
        <v>1</v>
      </c>
      <c r="AZ173">
        <f>TYPE(All_India_Index_Upto_April23__1[[#This Row],[Housing]])</f>
        <v>1</v>
      </c>
      <c r="BA173">
        <f>TYPE(All_India_Index_Upto_April23__1[[#This Row],[Fuel and light]])</f>
        <v>1</v>
      </c>
      <c r="BB173">
        <f>TYPE(All_India_Index_Upto_April23__1[[#This Row],[Household goods and services]])</f>
        <v>1</v>
      </c>
      <c r="BC173">
        <f>TYPE(All_India_Index_Upto_April23__1[[#This Row],[Health]])</f>
        <v>1</v>
      </c>
      <c r="BD173">
        <f>TYPE(All_India_Index_Upto_April23__1[[#This Row],[Transport and communication]])</f>
        <v>1</v>
      </c>
      <c r="BE173">
        <f>TYPE(All_India_Index_Upto_April23__1[[#This Row],[Recreation and amusement]])</f>
        <v>1</v>
      </c>
      <c r="BF173">
        <f>TYPE(All_India_Index_Upto_April23__1[[#This Row],[Education]])</f>
        <v>1</v>
      </c>
      <c r="BG173">
        <f>TYPE(All_India_Index_Upto_April23__1[[#This Row],[Personal care and effects]])</f>
        <v>1</v>
      </c>
      <c r="BH173">
        <f>TYPE(All_India_Index_Upto_April23__1[[#This Row],[Miscellaneous]])</f>
        <v>1</v>
      </c>
      <c r="BI173">
        <f>TYPE(All_India_Index_Upto_April23__1[[#This Row],[General index]])</f>
        <v>1</v>
      </c>
    </row>
    <row r="174" spans="1:61" x14ac:dyDescent="0.3">
      <c r="A174" t="s">
        <v>32</v>
      </c>
      <c r="B174">
        <v>2017</v>
      </c>
      <c r="C174" t="s">
        <v>42</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c r="AF174">
        <f>TYPE(All_India_Index_Upto_April23__1[[#This Row],[Sector]])</f>
        <v>2</v>
      </c>
      <c r="AG174">
        <f>TYPE(All_India_Index_Upto_April23__1[[#This Row],[Year]])</f>
        <v>1</v>
      </c>
      <c r="AH174">
        <f>TYPE(All_India_Index_Upto_April23__1[[#This Row],[Month]])</f>
        <v>2</v>
      </c>
      <c r="AI174">
        <f>TYPE(All_India_Index_Upto_April23__1[[#This Row],[Cereals and products]])</f>
        <v>1</v>
      </c>
      <c r="AJ174">
        <f>TYPE(All_India_Index_Upto_April23__1[[#This Row],[Meat and fish]])</f>
        <v>1</v>
      </c>
      <c r="AK174">
        <f>TYPE(All_India_Index_Upto_April23__1[[#This Row],[Egg]])</f>
        <v>1</v>
      </c>
      <c r="AL174">
        <f>TYPE(All_India_Index_Upto_April23__1[[#This Row],[Milk and products]])</f>
        <v>1</v>
      </c>
      <c r="AM174">
        <f>TYPE(All_India_Index_Upto_April23__1[[#This Row],[Oils and fats]])</f>
        <v>1</v>
      </c>
      <c r="AN174">
        <f>TYPE(All_India_Index_Upto_April23__1[[#This Row],[Fruits]])</f>
        <v>1</v>
      </c>
      <c r="AO174">
        <f>TYPE(All_India_Index_Upto_April23__1[[#This Row],[Vegetables]])</f>
        <v>1</v>
      </c>
      <c r="AP174">
        <f>TYPE(All_India_Index_Upto_April23__1[[#This Row],[Pulses and products]])</f>
        <v>1</v>
      </c>
      <c r="AQ174">
        <f>TYPE(All_India_Index_Upto_April23__1[[#This Row],[Sugar and Confectionery]])</f>
        <v>1</v>
      </c>
      <c r="AR174">
        <f>TYPE(All_India_Index_Upto_April23__1[[#This Row],[Spices]])</f>
        <v>1</v>
      </c>
      <c r="AS174">
        <f>TYPE(All_India_Index_Upto_April23__1[[#This Row],[Non-alcoholic beverages]])</f>
        <v>1</v>
      </c>
      <c r="AT174">
        <f>TYPE(All_India_Index_Upto_April23__1[[#This Row],[Prepared meals, snacks, sweets etc.]])</f>
        <v>1</v>
      </c>
      <c r="AU174">
        <f>TYPE(All_India_Index_Upto_April23__1[[#This Row],[Food and beverages]])</f>
        <v>1</v>
      </c>
      <c r="AV174">
        <f>TYPE(All_India_Index_Upto_April23__1[[#This Row],[Pan, tobacco and intoxicants]])</f>
        <v>1</v>
      </c>
      <c r="AW174">
        <f>TYPE(All_India_Index_Upto_April23__1[[#This Row],[Clothing]])</f>
        <v>1</v>
      </c>
      <c r="AX174">
        <f>TYPE(All_India_Index_Upto_April23__1[[#This Row],[Footwear]])</f>
        <v>1</v>
      </c>
      <c r="AY174">
        <f>TYPE(All_India_Index_Upto_April23__1[[#This Row],[Clothing and footwear]])</f>
        <v>1</v>
      </c>
      <c r="AZ174">
        <f>TYPE(All_India_Index_Upto_April23__1[[#This Row],[Housing]])</f>
        <v>1</v>
      </c>
      <c r="BA174">
        <f>TYPE(All_India_Index_Upto_April23__1[[#This Row],[Fuel and light]])</f>
        <v>1</v>
      </c>
      <c r="BB174">
        <f>TYPE(All_India_Index_Upto_April23__1[[#This Row],[Household goods and services]])</f>
        <v>1</v>
      </c>
      <c r="BC174">
        <f>TYPE(All_India_Index_Upto_April23__1[[#This Row],[Health]])</f>
        <v>1</v>
      </c>
      <c r="BD174">
        <f>TYPE(All_India_Index_Upto_April23__1[[#This Row],[Transport and communication]])</f>
        <v>1</v>
      </c>
      <c r="BE174">
        <f>TYPE(All_India_Index_Upto_April23__1[[#This Row],[Recreation and amusement]])</f>
        <v>1</v>
      </c>
      <c r="BF174">
        <f>TYPE(All_India_Index_Upto_April23__1[[#This Row],[Education]])</f>
        <v>1</v>
      </c>
      <c r="BG174">
        <f>TYPE(All_India_Index_Upto_April23__1[[#This Row],[Personal care and effects]])</f>
        <v>1</v>
      </c>
      <c r="BH174">
        <f>TYPE(All_India_Index_Upto_April23__1[[#This Row],[Miscellaneous]])</f>
        <v>1</v>
      </c>
      <c r="BI174">
        <f>TYPE(All_India_Index_Upto_April23__1[[#This Row],[General index]])</f>
        <v>1</v>
      </c>
    </row>
    <row r="175" spans="1:61" x14ac:dyDescent="0.3">
      <c r="A175" t="s">
        <v>33</v>
      </c>
      <c r="B175">
        <v>2017</v>
      </c>
      <c r="C175" t="s">
        <v>42</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c r="AF175">
        <f>TYPE(All_India_Index_Upto_April23__1[[#This Row],[Sector]])</f>
        <v>2</v>
      </c>
      <c r="AG175">
        <f>TYPE(All_India_Index_Upto_April23__1[[#This Row],[Year]])</f>
        <v>1</v>
      </c>
      <c r="AH175">
        <f>TYPE(All_India_Index_Upto_April23__1[[#This Row],[Month]])</f>
        <v>2</v>
      </c>
      <c r="AI175">
        <f>TYPE(All_India_Index_Upto_April23__1[[#This Row],[Cereals and products]])</f>
        <v>1</v>
      </c>
      <c r="AJ175">
        <f>TYPE(All_India_Index_Upto_April23__1[[#This Row],[Meat and fish]])</f>
        <v>1</v>
      </c>
      <c r="AK175">
        <f>TYPE(All_India_Index_Upto_April23__1[[#This Row],[Egg]])</f>
        <v>1</v>
      </c>
      <c r="AL175">
        <f>TYPE(All_India_Index_Upto_April23__1[[#This Row],[Milk and products]])</f>
        <v>1</v>
      </c>
      <c r="AM175">
        <f>TYPE(All_India_Index_Upto_April23__1[[#This Row],[Oils and fats]])</f>
        <v>1</v>
      </c>
      <c r="AN175">
        <f>TYPE(All_India_Index_Upto_April23__1[[#This Row],[Fruits]])</f>
        <v>1</v>
      </c>
      <c r="AO175">
        <f>TYPE(All_India_Index_Upto_April23__1[[#This Row],[Vegetables]])</f>
        <v>1</v>
      </c>
      <c r="AP175">
        <f>TYPE(All_India_Index_Upto_April23__1[[#This Row],[Pulses and products]])</f>
        <v>1</v>
      </c>
      <c r="AQ175">
        <f>TYPE(All_India_Index_Upto_April23__1[[#This Row],[Sugar and Confectionery]])</f>
        <v>1</v>
      </c>
      <c r="AR175">
        <f>TYPE(All_India_Index_Upto_April23__1[[#This Row],[Spices]])</f>
        <v>1</v>
      </c>
      <c r="AS175">
        <f>TYPE(All_India_Index_Upto_April23__1[[#This Row],[Non-alcoholic beverages]])</f>
        <v>1</v>
      </c>
      <c r="AT175">
        <f>TYPE(All_India_Index_Upto_April23__1[[#This Row],[Prepared meals, snacks, sweets etc.]])</f>
        <v>1</v>
      </c>
      <c r="AU175">
        <f>TYPE(All_India_Index_Upto_April23__1[[#This Row],[Food and beverages]])</f>
        <v>1</v>
      </c>
      <c r="AV175">
        <f>TYPE(All_India_Index_Upto_April23__1[[#This Row],[Pan, tobacco and intoxicants]])</f>
        <v>1</v>
      </c>
      <c r="AW175">
        <f>TYPE(All_India_Index_Upto_April23__1[[#This Row],[Clothing]])</f>
        <v>1</v>
      </c>
      <c r="AX175">
        <f>TYPE(All_India_Index_Upto_April23__1[[#This Row],[Footwear]])</f>
        <v>1</v>
      </c>
      <c r="AY175">
        <f>TYPE(All_India_Index_Upto_April23__1[[#This Row],[Clothing and footwear]])</f>
        <v>1</v>
      </c>
      <c r="AZ175">
        <f>TYPE(All_India_Index_Upto_April23__1[[#This Row],[Housing]])</f>
        <v>1</v>
      </c>
      <c r="BA175">
        <f>TYPE(All_India_Index_Upto_April23__1[[#This Row],[Fuel and light]])</f>
        <v>1</v>
      </c>
      <c r="BB175">
        <f>TYPE(All_India_Index_Upto_April23__1[[#This Row],[Household goods and services]])</f>
        <v>1</v>
      </c>
      <c r="BC175">
        <f>TYPE(All_India_Index_Upto_April23__1[[#This Row],[Health]])</f>
        <v>1</v>
      </c>
      <c r="BD175">
        <f>TYPE(All_India_Index_Upto_April23__1[[#This Row],[Transport and communication]])</f>
        <v>1</v>
      </c>
      <c r="BE175">
        <f>TYPE(All_India_Index_Upto_April23__1[[#This Row],[Recreation and amusement]])</f>
        <v>1</v>
      </c>
      <c r="BF175">
        <f>TYPE(All_India_Index_Upto_April23__1[[#This Row],[Education]])</f>
        <v>1</v>
      </c>
      <c r="BG175">
        <f>TYPE(All_India_Index_Upto_April23__1[[#This Row],[Personal care and effects]])</f>
        <v>1</v>
      </c>
      <c r="BH175">
        <f>TYPE(All_India_Index_Upto_April23__1[[#This Row],[Miscellaneous]])</f>
        <v>1</v>
      </c>
      <c r="BI175">
        <f>TYPE(All_India_Index_Upto_April23__1[[#This Row],[General index]])</f>
        <v>1</v>
      </c>
    </row>
    <row r="176" spans="1:61" x14ac:dyDescent="0.3">
      <c r="A176" t="s">
        <v>30</v>
      </c>
      <c r="B176">
        <v>2017</v>
      </c>
      <c r="C176" t="s">
        <v>44</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v>0</v>
      </c>
      <c r="V176">
        <v>141.1</v>
      </c>
      <c r="W176">
        <v>139.4</v>
      </c>
      <c r="X176">
        <v>135.80000000000001</v>
      </c>
      <c r="Y176">
        <v>121.6</v>
      </c>
      <c r="Z176">
        <v>133.69999999999999</v>
      </c>
      <c r="AA176">
        <v>141.5</v>
      </c>
      <c r="AB176">
        <v>128.1</v>
      </c>
      <c r="AC176">
        <v>131.69999999999999</v>
      </c>
      <c r="AD176">
        <v>140</v>
      </c>
      <c r="AF176">
        <f>TYPE(All_India_Index_Upto_April23__1[[#This Row],[Sector]])</f>
        <v>2</v>
      </c>
      <c r="AG176">
        <f>TYPE(All_India_Index_Upto_April23__1[[#This Row],[Year]])</f>
        <v>1</v>
      </c>
      <c r="AH176">
        <f>TYPE(All_India_Index_Upto_April23__1[[#This Row],[Month]])</f>
        <v>2</v>
      </c>
      <c r="AI176">
        <f>TYPE(All_India_Index_Upto_April23__1[[#This Row],[Cereals and products]])</f>
        <v>1</v>
      </c>
      <c r="AJ176">
        <f>TYPE(All_India_Index_Upto_April23__1[[#This Row],[Meat and fish]])</f>
        <v>1</v>
      </c>
      <c r="AK176">
        <f>TYPE(All_India_Index_Upto_April23__1[[#This Row],[Egg]])</f>
        <v>1</v>
      </c>
      <c r="AL176">
        <f>TYPE(All_India_Index_Upto_April23__1[[#This Row],[Milk and products]])</f>
        <v>1</v>
      </c>
      <c r="AM176">
        <f>TYPE(All_India_Index_Upto_April23__1[[#This Row],[Oils and fats]])</f>
        <v>1</v>
      </c>
      <c r="AN176">
        <f>TYPE(All_India_Index_Upto_April23__1[[#This Row],[Fruits]])</f>
        <v>1</v>
      </c>
      <c r="AO176">
        <f>TYPE(All_India_Index_Upto_April23__1[[#This Row],[Vegetables]])</f>
        <v>1</v>
      </c>
      <c r="AP176">
        <f>TYPE(All_India_Index_Upto_April23__1[[#This Row],[Pulses and products]])</f>
        <v>1</v>
      </c>
      <c r="AQ176">
        <f>TYPE(All_India_Index_Upto_April23__1[[#This Row],[Sugar and Confectionery]])</f>
        <v>1</v>
      </c>
      <c r="AR176">
        <f>TYPE(All_India_Index_Upto_April23__1[[#This Row],[Spices]])</f>
        <v>1</v>
      </c>
      <c r="AS176">
        <f>TYPE(All_India_Index_Upto_April23__1[[#This Row],[Non-alcoholic beverages]])</f>
        <v>1</v>
      </c>
      <c r="AT176">
        <f>TYPE(All_India_Index_Upto_April23__1[[#This Row],[Prepared meals, snacks, sweets etc.]])</f>
        <v>1</v>
      </c>
      <c r="AU176">
        <f>TYPE(All_India_Index_Upto_April23__1[[#This Row],[Food and beverages]])</f>
        <v>1</v>
      </c>
      <c r="AV176">
        <f>TYPE(All_India_Index_Upto_April23__1[[#This Row],[Pan, tobacco and intoxicants]])</f>
        <v>1</v>
      </c>
      <c r="AW176">
        <f>TYPE(All_India_Index_Upto_April23__1[[#This Row],[Clothing]])</f>
        <v>1</v>
      </c>
      <c r="AX176">
        <f>TYPE(All_India_Index_Upto_April23__1[[#This Row],[Footwear]])</f>
        <v>1</v>
      </c>
      <c r="AY176">
        <f>TYPE(All_India_Index_Upto_April23__1[[#This Row],[Clothing and footwear]])</f>
        <v>1</v>
      </c>
      <c r="AZ176">
        <f>TYPE(All_India_Index_Upto_April23__1[[#This Row],[Housing]])</f>
        <v>1</v>
      </c>
      <c r="BA176">
        <f>TYPE(All_India_Index_Upto_April23__1[[#This Row],[Fuel and light]])</f>
        <v>1</v>
      </c>
      <c r="BB176">
        <f>TYPE(All_India_Index_Upto_April23__1[[#This Row],[Household goods and services]])</f>
        <v>1</v>
      </c>
      <c r="BC176">
        <f>TYPE(All_India_Index_Upto_April23__1[[#This Row],[Health]])</f>
        <v>1</v>
      </c>
      <c r="BD176">
        <f>TYPE(All_India_Index_Upto_April23__1[[#This Row],[Transport and communication]])</f>
        <v>1</v>
      </c>
      <c r="BE176">
        <f>TYPE(All_India_Index_Upto_April23__1[[#This Row],[Recreation and amusement]])</f>
        <v>1</v>
      </c>
      <c r="BF176">
        <f>TYPE(All_India_Index_Upto_April23__1[[#This Row],[Education]])</f>
        <v>1</v>
      </c>
      <c r="BG176">
        <f>TYPE(All_India_Index_Upto_April23__1[[#This Row],[Personal care and effects]])</f>
        <v>1</v>
      </c>
      <c r="BH176">
        <f>TYPE(All_India_Index_Upto_April23__1[[#This Row],[Miscellaneous]])</f>
        <v>1</v>
      </c>
      <c r="BI176">
        <f>TYPE(All_India_Index_Upto_April23__1[[#This Row],[General index]])</f>
        <v>1</v>
      </c>
    </row>
    <row r="177" spans="1:61" x14ac:dyDescent="0.3">
      <c r="A177" t="s">
        <v>32</v>
      </c>
      <c r="B177">
        <v>2017</v>
      </c>
      <c r="C177" t="s">
        <v>44</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c r="AF177">
        <f>TYPE(All_India_Index_Upto_April23__1[[#This Row],[Sector]])</f>
        <v>2</v>
      </c>
      <c r="AG177">
        <f>TYPE(All_India_Index_Upto_April23__1[[#This Row],[Year]])</f>
        <v>1</v>
      </c>
      <c r="AH177">
        <f>TYPE(All_India_Index_Upto_April23__1[[#This Row],[Month]])</f>
        <v>2</v>
      </c>
      <c r="AI177">
        <f>TYPE(All_India_Index_Upto_April23__1[[#This Row],[Cereals and products]])</f>
        <v>1</v>
      </c>
      <c r="AJ177">
        <f>TYPE(All_India_Index_Upto_April23__1[[#This Row],[Meat and fish]])</f>
        <v>1</v>
      </c>
      <c r="AK177">
        <f>TYPE(All_India_Index_Upto_April23__1[[#This Row],[Egg]])</f>
        <v>1</v>
      </c>
      <c r="AL177">
        <f>TYPE(All_India_Index_Upto_April23__1[[#This Row],[Milk and products]])</f>
        <v>1</v>
      </c>
      <c r="AM177">
        <f>TYPE(All_India_Index_Upto_April23__1[[#This Row],[Oils and fats]])</f>
        <v>1</v>
      </c>
      <c r="AN177">
        <f>TYPE(All_India_Index_Upto_April23__1[[#This Row],[Fruits]])</f>
        <v>1</v>
      </c>
      <c r="AO177">
        <f>TYPE(All_India_Index_Upto_April23__1[[#This Row],[Vegetables]])</f>
        <v>1</v>
      </c>
      <c r="AP177">
        <f>TYPE(All_India_Index_Upto_April23__1[[#This Row],[Pulses and products]])</f>
        <v>1</v>
      </c>
      <c r="AQ177">
        <f>TYPE(All_India_Index_Upto_April23__1[[#This Row],[Sugar and Confectionery]])</f>
        <v>1</v>
      </c>
      <c r="AR177">
        <f>TYPE(All_India_Index_Upto_April23__1[[#This Row],[Spices]])</f>
        <v>1</v>
      </c>
      <c r="AS177">
        <f>TYPE(All_India_Index_Upto_April23__1[[#This Row],[Non-alcoholic beverages]])</f>
        <v>1</v>
      </c>
      <c r="AT177">
        <f>TYPE(All_India_Index_Upto_April23__1[[#This Row],[Prepared meals, snacks, sweets etc.]])</f>
        <v>1</v>
      </c>
      <c r="AU177">
        <f>TYPE(All_India_Index_Upto_April23__1[[#This Row],[Food and beverages]])</f>
        <v>1</v>
      </c>
      <c r="AV177">
        <f>TYPE(All_India_Index_Upto_April23__1[[#This Row],[Pan, tobacco and intoxicants]])</f>
        <v>1</v>
      </c>
      <c r="AW177">
        <f>TYPE(All_India_Index_Upto_April23__1[[#This Row],[Clothing]])</f>
        <v>1</v>
      </c>
      <c r="AX177">
        <f>TYPE(All_India_Index_Upto_April23__1[[#This Row],[Footwear]])</f>
        <v>1</v>
      </c>
      <c r="AY177">
        <f>TYPE(All_India_Index_Upto_April23__1[[#This Row],[Clothing and footwear]])</f>
        <v>1</v>
      </c>
      <c r="AZ177">
        <f>TYPE(All_India_Index_Upto_April23__1[[#This Row],[Housing]])</f>
        <v>1</v>
      </c>
      <c r="BA177">
        <f>TYPE(All_India_Index_Upto_April23__1[[#This Row],[Fuel and light]])</f>
        <v>1</v>
      </c>
      <c r="BB177">
        <f>TYPE(All_India_Index_Upto_April23__1[[#This Row],[Household goods and services]])</f>
        <v>1</v>
      </c>
      <c r="BC177">
        <f>TYPE(All_India_Index_Upto_April23__1[[#This Row],[Health]])</f>
        <v>1</v>
      </c>
      <c r="BD177">
        <f>TYPE(All_India_Index_Upto_April23__1[[#This Row],[Transport and communication]])</f>
        <v>1</v>
      </c>
      <c r="BE177">
        <f>TYPE(All_India_Index_Upto_April23__1[[#This Row],[Recreation and amusement]])</f>
        <v>1</v>
      </c>
      <c r="BF177">
        <f>TYPE(All_India_Index_Upto_April23__1[[#This Row],[Education]])</f>
        <v>1</v>
      </c>
      <c r="BG177">
        <f>TYPE(All_India_Index_Upto_April23__1[[#This Row],[Personal care and effects]])</f>
        <v>1</v>
      </c>
      <c r="BH177">
        <f>TYPE(All_India_Index_Upto_April23__1[[#This Row],[Miscellaneous]])</f>
        <v>1</v>
      </c>
      <c r="BI177">
        <f>TYPE(All_India_Index_Upto_April23__1[[#This Row],[General index]])</f>
        <v>1</v>
      </c>
    </row>
    <row r="178" spans="1:61" x14ac:dyDescent="0.3">
      <c r="A178" t="s">
        <v>33</v>
      </c>
      <c r="B178">
        <v>2017</v>
      </c>
      <c r="C178" t="s">
        <v>44</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c r="AF178">
        <f>TYPE(All_India_Index_Upto_April23__1[[#This Row],[Sector]])</f>
        <v>2</v>
      </c>
      <c r="AG178">
        <f>TYPE(All_India_Index_Upto_April23__1[[#This Row],[Year]])</f>
        <v>1</v>
      </c>
      <c r="AH178">
        <f>TYPE(All_India_Index_Upto_April23__1[[#This Row],[Month]])</f>
        <v>2</v>
      </c>
      <c r="AI178">
        <f>TYPE(All_India_Index_Upto_April23__1[[#This Row],[Cereals and products]])</f>
        <v>1</v>
      </c>
      <c r="AJ178">
        <f>TYPE(All_India_Index_Upto_April23__1[[#This Row],[Meat and fish]])</f>
        <v>1</v>
      </c>
      <c r="AK178">
        <f>TYPE(All_India_Index_Upto_April23__1[[#This Row],[Egg]])</f>
        <v>1</v>
      </c>
      <c r="AL178">
        <f>TYPE(All_India_Index_Upto_April23__1[[#This Row],[Milk and products]])</f>
        <v>1</v>
      </c>
      <c r="AM178">
        <f>TYPE(All_India_Index_Upto_April23__1[[#This Row],[Oils and fats]])</f>
        <v>1</v>
      </c>
      <c r="AN178">
        <f>TYPE(All_India_Index_Upto_April23__1[[#This Row],[Fruits]])</f>
        <v>1</v>
      </c>
      <c r="AO178">
        <f>TYPE(All_India_Index_Upto_April23__1[[#This Row],[Vegetables]])</f>
        <v>1</v>
      </c>
      <c r="AP178">
        <f>TYPE(All_India_Index_Upto_April23__1[[#This Row],[Pulses and products]])</f>
        <v>1</v>
      </c>
      <c r="AQ178">
        <f>TYPE(All_India_Index_Upto_April23__1[[#This Row],[Sugar and Confectionery]])</f>
        <v>1</v>
      </c>
      <c r="AR178">
        <f>TYPE(All_India_Index_Upto_April23__1[[#This Row],[Spices]])</f>
        <v>1</v>
      </c>
      <c r="AS178">
        <f>TYPE(All_India_Index_Upto_April23__1[[#This Row],[Non-alcoholic beverages]])</f>
        <v>1</v>
      </c>
      <c r="AT178">
        <f>TYPE(All_India_Index_Upto_April23__1[[#This Row],[Prepared meals, snacks, sweets etc.]])</f>
        <v>1</v>
      </c>
      <c r="AU178">
        <f>TYPE(All_India_Index_Upto_April23__1[[#This Row],[Food and beverages]])</f>
        <v>1</v>
      </c>
      <c r="AV178">
        <f>TYPE(All_India_Index_Upto_April23__1[[#This Row],[Pan, tobacco and intoxicants]])</f>
        <v>1</v>
      </c>
      <c r="AW178">
        <f>TYPE(All_India_Index_Upto_April23__1[[#This Row],[Clothing]])</f>
        <v>1</v>
      </c>
      <c r="AX178">
        <f>TYPE(All_India_Index_Upto_April23__1[[#This Row],[Footwear]])</f>
        <v>1</v>
      </c>
      <c r="AY178">
        <f>TYPE(All_India_Index_Upto_April23__1[[#This Row],[Clothing and footwear]])</f>
        <v>1</v>
      </c>
      <c r="AZ178">
        <f>TYPE(All_India_Index_Upto_April23__1[[#This Row],[Housing]])</f>
        <v>1</v>
      </c>
      <c r="BA178">
        <f>TYPE(All_India_Index_Upto_April23__1[[#This Row],[Fuel and light]])</f>
        <v>1</v>
      </c>
      <c r="BB178">
        <f>TYPE(All_India_Index_Upto_April23__1[[#This Row],[Household goods and services]])</f>
        <v>1</v>
      </c>
      <c r="BC178">
        <f>TYPE(All_India_Index_Upto_April23__1[[#This Row],[Health]])</f>
        <v>1</v>
      </c>
      <c r="BD178">
        <f>TYPE(All_India_Index_Upto_April23__1[[#This Row],[Transport and communication]])</f>
        <v>1</v>
      </c>
      <c r="BE178">
        <f>TYPE(All_India_Index_Upto_April23__1[[#This Row],[Recreation and amusement]])</f>
        <v>1</v>
      </c>
      <c r="BF178">
        <f>TYPE(All_India_Index_Upto_April23__1[[#This Row],[Education]])</f>
        <v>1</v>
      </c>
      <c r="BG178">
        <f>TYPE(All_India_Index_Upto_April23__1[[#This Row],[Personal care and effects]])</f>
        <v>1</v>
      </c>
      <c r="BH178">
        <f>TYPE(All_India_Index_Upto_April23__1[[#This Row],[Miscellaneous]])</f>
        <v>1</v>
      </c>
      <c r="BI178">
        <f>TYPE(All_India_Index_Upto_April23__1[[#This Row],[General index]])</f>
        <v>1</v>
      </c>
    </row>
    <row r="179" spans="1:61" x14ac:dyDescent="0.3">
      <c r="A179" t="s">
        <v>30</v>
      </c>
      <c r="B179">
        <v>2017</v>
      </c>
      <c r="C179" t="s">
        <v>45</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v>0</v>
      </c>
      <c r="V179">
        <v>142.6</v>
      </c>
      <c r="W179">
        <v>139.5</v>
      </c>
      <c r="X179">
        <v>136.1</v>
      </c>
      <c r="Y179">
        <v>122</v>
      </c>
      <c r="Z179">
        <v>133.4</v>
      </c>
      <c r="AA179">
        <v>141.1</v>
      </c>
      <c r="AB179">
        <v>127.8</v>
      </c>
      <c r="AC179">
        <v>131.9</v>
      </c>
      <c r="AD179">
        <v>139.80000000000001</v>
      </c>
      <c r="AF179">
        <f>TYPE(All_India_Index_Upto_April23__1[[#This Row],[Sector]])</f>
        <v>2</v>
      </c>
      <c r="AG179">
        <f>TYPE(All_India_Index_Upto_April23__1[[#This Row],[Year]])</f>
        <v>1</v>
      </c>
      <c r="AH179">
        <f>TYPE(All_India_Index_Upto_April23__1[[#This Row],[Month]])</f>
        <v>2</v>
      </c>
      <c r="AI179">
        <f>TYPE(All_India_Index_Upto_April23__1[[#This Row],[Cereals and products]])</f>
        <v>1</v>
      </c>
      <c r="AJ179">
        <f>TYPE(All_India_Index_Upto_April23__1[[#This Row],[Meat and fish]])</f>
        <v>1</v>
      </c>
      <c r="AK179">
        <f>TYPE(All_India_Index_Upto_April23__1[[#This Row],[Egg]])</f>
        <v>1</v>
      </c>
      <c r="AL179">
        <f>TYPE(All_India_Index_Upto_April23__1[[#This Row],[Milk and products]])</f>
        <v>1</v>
      </c>
      <c r="AM179">
        <f>TYPE(All_India_Index_Upto_April23__1[[#This Row],[Oils and fats]])</f>
        <v>1</v>
      </c>
      <c r="AN179">
        <f>TYPE(All_India_Index_Upto_April23__1[[#This Row],[Fruits]])</f>
        <v>1</v>
      </c>
      <c r="AO179">
        <f>TYPE(All_India_Index_Upto_April23__1[[#This Row],[Vegetables]])</f>
        <v>1</v>
      </c>
      <c r="AP179">
        <f>TYPE(All_India_Index_Upto_April23__1[[#This Row],[Pulses and products]])</f>
        <v>1</v>
      </c>
      <c r="AQ179">
        <f>TYPE(All_India_Index_Upto_April23__1[[#This Row],[Sugar and Confectionery]])</f>
        <v>1</v>
      </c>
      <c r="AR179">
        <f>TYPE(All_India_Index_Upto_April23__1[[#This Row],[Spices]])</f>
        <v>1</v>
      </c>
      <c r="AS179">
        <f>TYPE(All_India_Index_Upto_April23__1[[#This Row],[Non-alcoholic beverages]])</f>
        <v>1</v>
      </c>
      <c r="AT179">
        <f>TYPE(All_India_Index_Upto_April23__1[[#This Row],[Prepared meals, snacks, sweets etc.]])</f>
        <v>1</v>
      </c>
      <c r="AU179">
        <f>TYPE(All_India_Index_Upto_April23__1[[#This Row],[Food and beverages]])</f>
        <v>1</v>
      </c>
      <c r="AV179">
        <f>TYPE(All_India_Index_Upto_April23__1[[#This Row],[Pan, tobacco and intoxicants]])</f>
        <v>1</v>
      </c>
      <c r="AW179">
        <f>TYPE(All_India_Index_Upto_April23__1[[#This Row],[Clothing]])</f>
        <v>1</v>
      </c>
      <c r="AX179">
        <f>TYPE(All_India_Index_Upto_April23__1[[#This Row],[Footwear]])</f>
        <v>1</v>
      </c>
      <c r="AY179">
        <f>TYPE(All_India_Index_Upto_April23__1[[#This Row],[Clothing and footwear]])</f>
        <v>1</v>
      </c>
      <c r="AZ179">
        <f>TYPE(All_India_Index_Upto_April23__1[[#This Row],[Housing]])</f>
        <v>1</v>
      </c>
      <c r="BA179">
        <f>TYPE(All_India_Index_Upto_April23__1[[#This Row],[Fuel and light]])</f>
        <v>1</v>
      </c>
      <c r="BB179">
        <f>TYPE(All_India_Index_Upto_April23__1[[#This Row],[Household goods and services]])</f>
        <v>1</v>
      </c>
      <c r="BC179">
        <f>TYPE(All_India_Index_Upto_April23__1[[#This Row],[Health]])</f>
        <v>1</v>
      </c>
      <c r="BD179">
        <f>TYPE(All_India_Index_Upto_April23__1[[#This Row],[Transport and communication]])</f>
        <v>1</v>
      </c>
      <c r="BE179">
        <f>TYPE(All_India_Index_Upto_April23__1[[#This Row],[Recreation and amusement]])</f>
        <v>1</v>
      </c>
      <c r="BF179">
        <f>TYPE(All_India_Index_Upto_April23__1[[#This Row],[Education]])</f>
        <v>1</v>
      </c>
      <c r="BG179">
        <f>TYPE(All_India_Index_Upto_April23__1[[#This Row],[Personal care and effects]])</f>
        <v>1</v>
      </c>
      <c r="BH179">
        <f>TYPE(All_India_Index_Upto_April23__1[[#This Row],[Miscellaneous]])</f>
        <v>1</v>
      </c>
      <c r="BI179">
        <f>TYPE(All_India_Index_Upto_April23__1[[#This Row],[General index]])</f>
        <v>1</v>
      </c>
    </row>
    <row r="180" spans="1:61" x14ac:dyDescent="0.3">
      <c r="A180" t="s">
        <v>32</v>
      </c>
      <c r="B180">
        <v>2017</v>
      </c>
      <c r="C180" t="s">
        <v>45</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c r="AF180">
        <f>TYPE(All_India_Index_Upto_April23__1[[#This Row],[Sector]])</f>
        <v>2</v>
      </c>
      <c r="AG180">
        <f>TYPE(All_India_Index_Upto_April23__1[[#This Row],[Year]])</f>
        <v>1</v>
      </c>
      <c r="AH180">
        <f>TYPE(All_India_Index_Upto_April23__1[[#This Row],[Month]])</f>
        <v>2</v>
      </c>
      <c r="AI180">
        <f>TYPE(All_India_Index_Upto_April23__1[[#This Row],[Cereals and products]])</f>
        <v>1</v>
      </c>
      <c r="AJ180">
        <f>TYPE(All_India_Index_Upto_April23__1[[#This Row],[Meat and fish]])</f>
        <v>1</v>
      </c>
      <c r="AK180">
        <f>TYPE(All_India_Index_Upto_April23__1[[#This Row],[Egg]])</f>
        <v>1</v>
      </c>
      <c r="AL180">
        <f>TYPE(All_India_Index_Upto_April23__1[[#This Row],[Milk and products]])</f>
        <v>1</v>
      </c>
      <c r="AM180">
        <f>TYPE(All_India_Index_Upto_April23__1[[#This Row],[Oils and fats]])</f>
        <v>1</v>
      </c>
      <c r="AN180">
        <f>TYPE(All_India_Index_Upto_April23__1[[#This Row],[Fruits]])</f>
        <v>1</v>
      </c>
      <c r="AO180">
        <f>TYPE(All_India_Index_Upto_April23__1[[#This Row],[Vegetables]])</f>
        <v>1</v>
      </c>
      <c r="AP180">
        <f>TYPE(All_India_Index_Upto_April23__1[[#This Row],[Pulses and products]])</f>
        <v>1</v>
      </c>
      <c r="AQ180">
        <f>TYPE(All_India_Index_Upto_April23__1[[#This Row],[Sugar and Confectionery]])</f>
        <v>1</v>
      </c>
      <c r="AR180">
        <f>TYPE(All_India_Index_Upto_April23__1[[#This Row],[Spices]])</f>
        <v>1</v>
      </c>
      <c r="AS180">
        <f>TYPE(All_India_Index_Upto_April23__1[[#This Row],[Non-alcoholic beverages]])</f>
        <v>1</v>
      </c>
      <c r="AT180">
        <f>TYPE(All_India_Index_Upto_April23__1[[#This Row],[Prepared meals, snacks, sweets etc.]])</f>
        <v>1</v>
      </c>
      <c r="AU180">
        <f>TYPE(All_India_Index_Upto_April23__1[[#This Row],[Food and beverages]])</f>
        <v>1</v>
      </c>
      <c r="AV180">
        <f>TYPE(All_India_Index_Upto_April23__1[[#This Row],[Pan, tobacco and intoxicants]])</f>
        <v>1</v>
      </c>
      <c r="AW180">
        <f>TYPE(All_India_Index_Upto_April23__1[[#This Row],[Clothing]])</f>
        <v>1</v>
      </c>
      <c r="AX180">
        <f>TYPE(All_India_Index_Upto_April23__1[[#This Row],[Footwear]])</f>
        <v>1</v>
      </c>
      <c r="AY180">
        <f>TYPE(All_India_Index_Upto_April23__1[[#This Row],[Clothing and footwear]])</f>
        <v>1</v>
      </c>
      <c r="AZ180">
        <f>TYPE(All_India_Index_Upto_April23__1[[#This Row],[Housing]])</f>
        <v>1</v>
      </c>
      <c r="BA180">
        <f>TYPE(All_India_Index_Upto_April23__1[[#This Row],[Fuel and light]])</f>
        <v>1</v>
      </c>
      <c r="BB180">
        <f>TYPE(All_India_Index_Upto_April23__1[[#This Row],[Household goods and services]])</f>
        <v>1</v>
      </c>
      <c r="BC180">
        <f>TYPE(All_India_Index_Upto_April23__1[[#This Row],[Health]])</f>
        <v>1</v>
      </c>
      <c r="BD180">
        <f>TYPE(All_India_Index_Upto_April23__1[[#This Row],[Transport and communication]])</f>
        <v>1</v>
      </c>
      <c r="BE180">
        <f>TYPE(All_India_Index_Upto_April23__1[[#This Row],[Recreation and amusement]])</f>
        <v>1</v>
      </c>
      <c r="BF180">
        <f>TYPE(All_India_Index_Upto_April23__1[[#This Row],[Education]])</f>
        <v>1</v>
      </c>
      <c r="BG180">
        <f>TYPE(All_India_Index_Upto_April23__1[[#This Row],[Personal care and effects]])</f>
        <v>1</v>
      </c>
      <c r="BH180">
        <f>TYPE(All_India_Index_Upto_April23__1[[#This Row],[Miscellaneous]])</f>
        <v>1</v>
      </c>
      <c r="BI180">
        <f>TYPE(All_India_Index_Upto_April23__1[[#This Row],[General index]])</f>
        <v>1</v>
      </c>
    </row>
    <row r="181" spans="1:61" x14ac:dyDescent="0.3">
      <c r="A181" t="s">
        <v>33</v>
      </c>
      <c r="B181">
        <v>2017</v>
      </c>
      <c r="C181" t="s">
        <v>45</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c r="AF181">
        <f>TYPE(All_India_Index_Upto_April23__1[[#This Row],[Sector]])</f>
        <v>2</v>
      </c>
      <c r="AG181">
        <f>TYPE(All_India_Index_Upto_April23__1[[#This Row],[Year]])</f>
        <v>1</v>
      </c>
      <c r="AH181">
        <f>TYPE(All_India_Index_Upto_April23__1[[#This Row],[Month]])</f>
        <v>2</v>
      </c>
      <c r="AI181">
        <f>TYPE(All_India_Index_Upto_April23__1[[#This Row],[Cereals and products]])</f>
        <v>1</v>
      </c>
      <c r="AJ181">
        <f>TYPE(All_India_Index_Upto_April23__1[[#This Row],[Meat and fish]])</f>
        <v>1</v>
      </c>
      <c r="AK181">
        <f>TYPE(All_India_Index_Upto_April23__1[[#This Row],[Egg]])</f>
        <v>1</v>
      </c>
      <c r="AL181">
        <f>TYPE(All_India_Index_Upto_April23__1[[#This Row],[Milk and products]])</f>
        <v>1</v>
      </c>
      <c r="AM181">
        <f>TYPE(All_India_Index_Upto_April23__1[[#This Row],[Oils and fats]])</f>
        <v>1</v>
      </c>
      <c r="AN181">
        <f>TYPE(All_India_Index_Upto_April23__1[[#This Row],[Fruits]])</f>
        <v>1</v>
      </c>
      <c r="AO181">
        <f>TYPE(All_India_Index_Upto_April23__1[[#This Row],[Vegetables]])</f>
        <v>1</v>
      </c>
      <c r="AP181">
        <f>TYPE(All_India_Index_Upto_April23__1[[#This Row],[Pulses and products]])</f>
        <v>1</v>
      </c>
      <c r="AQ181">
        <f>TYPE(All_India_Index_Upto_April23__1[[#This Row],[Sugar and Confectionery]])</f>
        <v>1</v>
      </c>
      <c r="AR181">
        <f>TYPE(All_India_Index_Upto_April23__1[[#This Row],[Spices]])</f>
        <v>1</v>
      </c>
      <c r="AS181">
        <f>TYPE(All_India_Index_Upto_April23__1[[#This Row],[Non-alcoholic beverages]])</f>
        <v>1</v>
      </c>
      <c r="AT181">
        <f>TYPE(All_India_Index_Upto_April23__1[[#This Row],[Prepared meals, snacks, sweets etc.]])</f>
        <v>1</v>
      </c>
      <c r="AU181">
        <f>TYPE(All_India_Index_Upto_April23__1[[#This Row],[Food and beverages]])</f>
        <v>1</v>
      </c>
      <c r="AV181">
        <f>TYPE(All_India_Index_Upto_April23__1[[#This Row],[Pan, tobacco and intoxicants]])</f>
        <v>1</v>
      </c>
      <c r="AW181">
        <f>TYPE(All_India_Index_Upto_April23__1[[#This Row],[Clothing]])</f>
        <v>1</v>
      </c>
      <c r="AX181">
        <f>TYPE(All_India_Index_Upto_April23__1[[#This Row],[Footwear]])</f>
        <v>1</v>
      </c>
      <c r="AY181">
        <f>TYPE(All_India_Index_Upto_April23__1[[#This Row],[Clothing and footwear]])</f>
        <v>1</v>
      </c>
      <c r="AZ181">
        <f>TYPE(All_India_Index_Upto_April23__1[[#This Row],[Housing]])</f>
        <v>1</v>
      </c>
      <c r="BA181">
        <f>TYPE(All_India_Index_Upto_April23__1[[#This Row],[Fuel and light]])</f>
        <v>1</v>
      </c>
      <c r="BB181">
        <f>TYPE(All_India_Index_Upto_April23__1[[#This Row],[Household goods and services]])</f>
        <v>1</v>
      </c>
      <c r="BC181">
        <f>TYPE(All_India_Index_Upto_April23__1[[#This Row],[Health]])</f>
        <v>1</v>
      </c>
      <c r="BD181">
        <f>TYPE(All_India_Index_Upto_April23__1[[#This Row],[Transport and communication]])</f>
        <v>1</v>
      </c>
      <c r="BE181">
        <f>TYPE(All_India_Index_Upto_April23__1[[#This Row],[Recreation and amusement]])</f>
        <v>1</v>
      </c>
      <c r="BF181">
        <f>TYPE(All_India_Index_Upto_April23__1[[#This Row],[Education]])</f>
        <v>1</v>
      </c>
      <c r="BG181">
        <f>TYPE(All_India_Index_Upto_April23__1[[#This Row],[Personal care and effects]])</f>
        <v>1</v>
      </c>
      <c r="BH181">
        <f>TYPE(All_India_Index_Upto_April23__1[[#This Row],[Miscellaneous]])</f>
        <v>1</v>
      </c>
      <c r="BI181">
        <f>TYPE(All_India_Index_Upto_April23__1[[#This Row],[General index]])</f>
        <v>1</v>
      </c>
    </row>
    <row r="182" spans="1:61" x14ac:dyDescent="0.3">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v>0</v>
      </c>
      <c r="V182">
        <v>142.30000000000001</v>
      </c>
      <c r="W182">
        <v>139.80000000000001</v>
      </c>
      <c r="X182">
        <v>136</v>
      </c>
      <c r="Y182">
        <v>122.7</v>
      </c>
      <c r="Z182">
        <v>134.30000000000001</v>
      </c>
      <c r="AA182">
        <v>141.6</v>
      </c>
      <c r="AB182">
        <v>128.6</v>
      </c>
      <c r="AC182">
        <v>132.30000000000001</v>
      </c>
      <c r="AD182">
        <v>139.30000000000001</v>
      </c>
      <c r="AF182">
        <f>TYPE(All_India_Index_Upto_April23__1[[#This Row],[Sector]])</f>
        <v>2</v>
      </c>
      <c r="AG182">
        <f>TYPE(All_India_Index_Upto_April23__1[[#This Row],[Year]])</f>
        <v>1</v>
      </c>
      <c r="AH182">
        <f>TYPE(All_India_Index_Upto_April23__1[[#This Row],[Month]])</f>
        <v>2</v>
      </c>
      <c r="AI182">
        <f>TYPE(All_India_Index_Upto_April23__1[[#This Row],[Cereals and products]])</f>
        <v>1</v>
      </c>
      <c r="AJ182">
        <f>TYPE(All_India_Index_Upto_April23__1[[#This Row],[Meat and fish]])</f>
        <v>1</v>
      </c>
      <c r="AK182">
        <f>TYPE(All_India_Index_Upto_April23__1[[#This Row],[Egg]])</f>
        <v>1</v>
      </c>
      <c r="AL182">
        <f>TYPE(All_India_Index_Upto_April23__1[[#This Row],[Milk and products]])</f>
        <v>1</v>
      </c>
      <c r="AM182">
        <f>TYPE(All_India_Index_Upto_April23__1[[#This Row],[Oils and fats]])</f>
        <v>1</v>
      </c>
      <c r="AN182">
        <f>TYPE(All_India_Index_Upto_April23__1[[#This Row],[Fruits]])</f>
        <v>1</v>
      </c>
      <c r="AO182">
        <f>TYPE(All_India_Index_Upto_April23__1[[#This Row],[Vegetables]])</f>
        <v>1</v>
      </c>
      <c r="AP182">
        <f>TYPE(All_India_Index_Upto_April23__1[[#This Row],[Pulses and products]])</f>
        <v>1</v>
      </c>
      <c r="AQ182">
        <f>TYPE(All_India_Index_Upto_April23__1[[#This Row],[Sugar and Confectionery]])</f>
        <v>1</v>
      </c>
      <c r="AR182">
        <f>TYPE(All_India_Index_Upto_April23__1[[#This Row],[Spices]])</f>
        <v>1</v>
      </c>
      <c r="AS182">
        <f>TYPE(All_India_Index_Upto_April23__1[[#This Row],[Non-alcoholic beverages]])</f>
        <v>1</v>
      </c>
      <c r="AT182">
        <f>TYPE(All_India_Index_Upto_April23__1[[#This Row],[Prepared meals, snacks, sweets etc.]])</f>
        <v>1</v>
      </c>
      <c r="AU182">
        <f>TYPE(All_India_Index_Upto_April23__1[[#This Row],[Food and beverages]])</f>
        <v>1</v>
      </c>
      <c r="AV182">
        <f>TYPE(All_India_Index_Upto_April23__1[[#This Row],[Pan, tobacco and intoxicants]])</f>
        <v>1</v>
      </c>
      <c r="AW182">
        <f>TYPE(All_India_Index_Upto_April23__1[[#This Row],[Clothing]])</f>
        <v>1</v>
      </c>
      <c r="AX182">
        <f>TYPE(All_India_Index_Upto_April23__1[[#This Row],[Footwear]])</f>
        <v>1</v>
      </c>
      <c r="AY182">
        <f>TYPE(All_India_Index_Upto_April23__1[[#This Row],[Clothing and footwear]])</f>
        <v>1</v>
      </c>
      <c r="AZ182">
        <f>TYPE(All_India_Index_Upto_April23__1[[#This Row],[Housing]])</f>
        <v>1</v>
      </c>
      <c r="BA182">
        <f>TYPE(All_India_Index_Upto_April23__1[[#This Row],[Fuel and light]])</f>
        <v>1</v>
      </c>
      <c r="BB182">
        <f>TYPE(All_India_Index_Upto_April23__1[[#This Row],[Household goods and services]])</f>
        <v>1</v>
      </c>
      <c r="BC182">
        <f>TYPE(All_India_Index_Upto_April23__1[[#This Row],[Health]])</f>
        <v>1</v>
      </c>
      <c r="BD182">
        <f>TYPE(All_India_Index_Upto_April23__1[[#This Row],[Transport and communication]])</f>
        <v>1</v>
      </c>
      <c r="BE182">
        <f>TYPE(All_India_Index_Upto_April23__1[[#This Row],[Recreation and amusement]])</f>
        <v>1</v>
      </c>
      <c r="BF182">
        <f>TYPE(All_India_Index_Upto_April23__1[[#This Row],[Education]])</f>
        <v>1</v>
      </c>
      <c r="BG182">
        <f>TYPE(All_India_Index_Upto_April23__1[[#This Row],[Personal care and effects]])</f>
        <v>1</v>
      </c>
      <c r="BH182">
        <f>TYPE(All_India_Index_Upto_April23__1[[#This Row],[Miscellaneous]])</f>
        <v>1</v>
      </c>
      <c r="BI182">
        <f>TYPE(All_India_Index_Upto_April23__1[[#This Row],[General index]])</f>
        <v>1</v>
      </c>
    </row>
    <row r="183" spans="1:61" x14ac:dyDescent="0.3">
      <c r="A183" t="s">
        <v>32</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c r="AF183">
        <f>TYPE(All_India_Index_Upto_April23__1[[#This Row],[Sector]])</f>
        <v>2</v>
      </c>
      <c r="AG183">
        <f>TYPE(All_India_Index_Upto_April23__1[[#This Row],[Year]])</f>
        <v>1</v>
      </c>
      <c r="AH183">
        <f>TYPE(All_India_Index_Upto_April23__1[[#This Row],[Month]])</f>
        <v>2</v>
      </c>
      <c r="AI183">
        <f>TYPE(All_India_Index_Upto_April23__1[[#This Row],[Cereals and products]])</f>
        <v>1</v>
      </c>
      <c r="AJ183">
        <f>TYPE(All_India_Index_Upto_April23__1[[#This Row],[Meat and fish]])</f>
        <v>1</v>
      </c>
      <c r="AK183">
        <f>TYPE(All_India_Index_Upto_April23__1[[#This Row],[Egg]])</f>
        <v>1</v>
      </c>
      <c r="AL183">
        <f>TYPE(All_India_Index_Upto_April23__1[[#This Row],[Milk and products]])</f>
        <v>1</v>
      </c>
      <c r="AM183">
        <f>TYPE(All_India_Index_Upto_April23__1[[#This Row],[Oils and fats]])</f>
        <v>1</v>
      </c>
      <c r="AN183">
        <f>TYPE(All_India_Index_Upto_April23__1[[#This Row],[Fruits]])</f>
        <v>1</v>
      </c>
      <c r="AO183">
        <f>TYPE(All_India_Index_Upto_April23__1[[#This Row],[Vegetables]])</f>
        <v>1</v>
      </c>
      <c r="AP183">
        <f>TYPE(All_India_Index_Upto_April23__1[[#This Row],[Pulses and products]])</f>
        <v>1</v>
      </c>
      <c r="AQ183">
        <f>TYPE(All_India_Index_Upto_April23__1[[#This Row],[Sugar and Confectionery]])</f>
        <v>1</v>
      </c>
      <c r="AR183">
        <f>TYPE(All_India_Index_Upto_April23__1[[#This Row],[Spices]])</f>
        <v>1</v>
      </c>
      <c r="AS183">
        <f>TYPE(All_India_Index_Upto_April23__1[[#This Row],[Non-alcoholic beverages]])</f>
        <v>1</v>
      </c>
      <c r="AT183">
        <f>TYPE(All_India_Index_Upto_April23__1[[#This Row],[Prepared meals, snacks, sweets etc.]])</f>
        <v>1</v>
      </c>
      <c r="AU183">
        <f>TYPE(All_India_Index_Upto_April23__1[[#This Row],[Food and beverages]])</f>
        <v>1</v>
      </c>
      <c r="AV183">
        <f>TYPE(All_India_Index_Upto_April23__1[[#This Row],[Pan, tobacco and intoxicants]])</f>
        <v>1</v>
      </c>
      <c r="AW183">
        <f>TYPE(All_India_Index_Upto_April23__1[[#This Row],[Clothing]])</f>
        <v>1</v>
      </c>
      <c r="AX183">
        <f>TYPE(All_India_Index_Upto_April23__1[[#This Row],[Footwear]])</f>
        <v>1</v>
      </c>
      <c r="AY183">
        <f>TYPE(All_India_Index_Upto_April23__1[[#This Row],[Clothing and footwear]])</f>
        <v>1</v>
      </c>
      <c r="AZ183">
        <f>TYPE(All_India_Index_Upto_April23__1[[#This Row],[Housing]])</f>
        <v>1</v>
      </c>
      <c r="BA183">
        <f>TYPE(All_India_Index_Upto_April23__1[[#This Row],[Fuel and light]])</f>
        <v>1</v>
      </c>
      <c r="BB183">
        <f>TYPE(All_India_Index_Upto_April23__1[[#This Row],[Household goods and services]])</f>
        <v>1</v>
      </c>
      <c r="BC183">
        <f>TYPE(All_India_Index_Upto_April23__1[[#This Row],[Health]])</f>
        <v>1</v>
      </c>
      <c r="BD183">
        <f>TYPE(All_India_Index_Upto_April23__1[[#This Row],[Transport and communication]])</f>
        <v>1</v>
      </c>
      <c r="BE183">
        <f>TYPE(All_India_Index_Upto_April23__1[[#This Row],[Recreation and amusement]])</f>
        <v>1</v>
      </c>
      <c r="BF183">
        <f>TYPE(All_India_Index_Upto_April23__1[[#This Row],[Education]])</f>
        <v>1</v>
      </c>
      <c r="BG183">
        <f>TYPE(All_India_Index_Upto_April23__1[[#This Row],[Personal care and effects]])</f>
        <v>1</v>
      </c>
      <c r="BH183">
        <f>TYPE(All_India_Index_Upto_April23__1[[#This Row],[Miscellaneous]])</f>
        <v>1</v>
      </c>
      <c r="BI183">
        <f>TYPE(All_India_Index_Upto_April23__1[[#This Row],[General index]])</f>
        <v>1</v>
      </c>
    </row>
    <row r="184" spans="1:61" x14ac:dyDescent="0.3">
      <c r="A184" t="s">
        <v>33</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c r="AF184">
        <f>TYPE(All_India_Index_Upto_April23__1[[#This Row],[Sector]])</f>
        <v>2</v>
      </c>
      <c r="AG184">
        <f>TYPE(All_India_Index_Upto_April23__1[[#This Row],[Year]])</f>
        <v>1</v>
      </c>
      <c r="AH184">
        <f>TYPE(All_India_Index_Upto_April23__1[[#This Row],[Month]])</f>
        <v>2</v>
      </c>
      <c r="AI184">
        <f>TYPE(All_India_Index_Upto_April23__1[[#This Row],[Cereals and products]])</f>
        <v>1</v>
      </c>
      <c r="AJ184">
        <f>TYPE(All_India_Index_Upto_April23__1[[#This Row],[Meat and fish]])</f>
        <v>1</v>
      </c>
      <c r="AK184">
        <f>TYPE(All_India_Index_Upto_April23__1[[#This Row],[Egg]])</f>
        <v>1</v>
      </c>
      <c r="AL184">
        <f>TYPE(All_India_Index_Upto_April23__1[[#This Row],[Milk and products]])</f>
        <v>1</v>
      </c>
      <c r="AM184">
        <f>TYPE(All_India_Index_Upto_April23__1[[#This Row],[Oils and fats]])</f>
        <v>1</v>
      </c>
      <c r="AN184">
        <f>TYPE(All_India_Index_Upto_April23__1[[#This Row],[Fruits]])</f>
        <v>1</v>
      </c>
      <c r="AO184">
        <f>TYPE(All_India_Index_Upto_April23__1[[#This Row],[Vegetables]])</f>
        <v>1</v>
      </c>
      <c r="AP184">
        <f>TYPE(All_India_Index_Upto_April23__1[[#This Row],[Pulses and products]])</f>
        <v>1</v>
      </c>
      <c r="AQ184">
        <f>TYPE(All_India_Index_Upto_April23__1[[#This Row],[Sugar and Confectionery]])</f>
        <v>1</v>
      </c>
      <c r="AR184">
        <f>TYPE(All_India_Index_Upto_April23__1[[#This Row],[Spices]])</f>
        <v>1</v>
      </c>
      <c r="AS184">
        <f>TYPE(All_India_Index_Upto_April23__1[[#This Row],[Non-alcoholic beverages]])</f>
        <v>1</v>
      </c>
      <c r="AT184">
        <f>TYPE(All_India_Index_Upto_April23__1[[#This Row],[Prepared meals, snacks, sweets etc.]])</f>
        <v>1</v>
      </c>
      <c r="AU184">
        <f>TYPE(All_India_Index_Upto_April23__1[[#This Row],[Food and beverages]])</f>
        <v>1</v>
      </c>
      <c r="AV184">
        <f>TYPE(All_India_Index_Upto_April23__1[[#This Row],[Pan, tobacco and intoxicants]])</f>
        <v>1</v>
      </c>
      <c r="AW184">
        <f>TYPE(All_India_Index_Upto_April23__1[[#This Row],[Clothing]])</f>
        <v>1</v>
      </c>
      <c r="AX184">
        <f>TYPE(All_India_Index_Upto_April23__1[[#This Row],[Footwear]])</f>
        <v>1</v>
      </c>
      <c r="AY184">
        <f>TYPE(All_India_Index_Upto_April23__1[[#This Row],[Clothing and footwear]])</f>
        <v>1</v>
      </c>
      <c r="AZ184">
        <f>TYPE(All_India_Index_Upto_April23__1[[#This Row],[Housing]])</f>
        <v>1</v>
      </c>
      <c r="BA184">
        <f>TYPE(All_India_Index_Upto_April23__1[[#This Row],[Fuel and light]])</f>
        <v>1</v>
      </c>
      <c r="BB184">
        <f>TYPE(All_India_Index_Upto_April23__1[[#This Row],[Household goods and services]])</f>
        <v>1</v>
      </c>
      <c r="BC184">
        <f>TYPE(All_India_Index_Upto_April23__1[[#This Row],[Health]])</f>
        <v>1</v>
      </c>
      <c r="BD184">
        <f>TYPE(All_India_Index_Upto_April23__1[[#This Row],[Transport and communication]])</f>
        <v>1</v>
      </c>
      <c r="BE184">
        <f>TYPE(All_India_Index_Upto_April23__1[[#This Row],[Recreation and amusement]])</f>
        <v>1</v>
      </c>
      <c r="BF184">
        <f>TYPE(All_India_Index_Upto_April23__1[[#This Row],[Education]])</f>
        <v>1</v>
      </c>
      <c r="BG184">
        <f>TYPE(All_India_Index_Upto_April23__1[[#This Row],[Personal care and effects]])</f>
        <v>1</v>
      </c>
      <c r="BH184">
        <f>TYPE(All_India_Index_Upto_April23__1[[#This Row],[Miscellaneous]])</f>
        <v>1</v>
      </c>
      <c r="BI184">
        <f>TYPE(All_India_Index_Upto_April23__1[[#This Row],[General index]])</f>
        <v>1</v>
      </c>
    </row>
    <row r="185" spans="1:61" x14ac:dyDescent="0.3">
      <c r="A185" t="s">
        <v>30</v>
      </c>
      <c r="B185">
        <v>2018</v>
      </c>
      <c r="C185" t="s">
        <v>34</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v>0</v>
      </c>
      <c r="V185">
        <v>142.4</v>
      </c>
      <c r="W185">
        <v>139.9</v>
      </c>
      <c r="X185">
        <v>136.19999999999999</v>
      </c>
      <c r="Y185">
        <v>123.3</v>
      </c>
      <c r="Z185">
        <v>134.30000000000001</v>
      </c>
      <c r="AA185">
        <v>141.5</v>
      </c>
      <c r="AB185">
        <v>128.80000000000001</v>
      </c>
      <c r="AC185">
        <v>132.5</v>
      </c>
      <c r="AD185">
        <v>138.5</v>
      </c>
      <c r="AF185">
        <f>TYPE(All_India_Index_Upto_April23__1[[#This Row],[Sector]])</f>
        <v>2</v>
      </c>
      <c r="AG185">
        <f>TYPE(All_India_Index_Upto_April23__1[[#This Row],[Year]])</f>
        <v>1</v>
      </c>
      <c r="AH185">
        <f>TYPE(All_India_Index_Upto_April23__1[[#This Row],[Month]])</f>
        <v>2</v>
      </c>
      <c r="AI185">
        <f>TYPE(All_India_Index_Upto_April23__1[[#This Row],[Cereals and products]])</f>
        <v>1</v>
      </c>
      <c r="AJ185">
        <f>TYPE(All_India_Index_Upto_April23__1[[#This Row],[Meat and fish]])</f>
        <v>1</v>
      </c>
      <c r="AK185">
        <f>TYPE(All_India_Index_Upto_April23__1[[#This Row],[Egg]])</f>
        <v>1</v>
      </c>
      <c r="AL185">
        <f>TYPE(All_India_Index_Upto_April23__1[[#This Row],[Milk and products]])</f>
        <v>1</v>
      </c>
      <c r="AM185">
        <f>TYPE(All_India_Index_Upto_April23__1[[#This Row],[Oils and fats]])</f>
        <v>1</v>
      </c>
      <c r="AN185">
        <f>TYPE(All_India_Index_Upto_April23__1[[#This Row],[Fruits]])</f>
        <v>1</v>
      </c>
      <c r="AO185">
        <f>TYPE(All_India_Index_Upto_April23__1[[#This Row],[Vegetables]])</f>
        <v>1</v>
      </c>
      <c r="AP185">
        <f>TYPE(All_India_Index_Upto_April23__1[[#This Row],[Pulses and products]])</f>
        <v>1</v>
      </c>
      <c r="AQ185">
        <f>TYPE(All_India_Index_Upto_April23__1[[#This Row],[Sugar and Confectionery]])</f>
        <v>1</v>
      </c>
      <c r="AR185">
        <f>TYPE(All_India_Index_Upto_April23__1[[#This Row],[Spices]])</f>
        <v>1</v>
      </c>
      <c r="AS185">
        <f>TYPE(All_India_Index_Upto_April23__1[[#This Row],[Non-alcoholic beverages]])</f>
        <v>1</v>
      </c>
      <c r="AT185">
        <f>TYPE(All_India_Index_Upto_April23__1[[#This Row],[Prepared meals, snacks, sweets etc.]])</f>
        <v>1</v>
      </c>
      <c r="AU185">
        <f>TYPE(All_India_Index_Upto_April23__1[[#This Row],[Food and beverages]])</f>
        <v>1</v>
      </c>
      <c r="AV185">
        <f>TYPE(All_India_Index_Upto_April23__1[[#This Row],[Pan, tobacco and intoxicants]])</f>
        <v>1</v>
      </c>
      <c r="AW185">
        <f>TYPE(All_India_Index_Upto_April23__1[[#This Row],[Clothing]])</f>
        <v>1</v>
      </c>
      <c r="AX185">
        <f>TYPE(All_India_Index_Upto_April23__1[[#This Row],[Footwear]])</f>
        <v>1</v>
      </c>
      <c r="AY185">
        <f>TYPE(All_India_Index_Upto_April23__1[[#This Row],[Clothing and footwear]])</f>
        <v>1</v>
      </c>
      <c r="AZ185">
        <f>TYPE(All_India_Index_Upto_April23__1[[#This Row],[Housing]])</f>
        <v>1</v>
      </c>
      <c r="BA185">
        <f>TYPE(All_India_Index_Upto_April23__1[[#This Row],[Fuel and light]])</f>
        <v>1</v>
      </c>
      <c r="BB185">
        <f>TYPE(All_India_Index_Upto_April23__1[[#This Row],[Household goods and services]])</f>
        <v>1</v>
      </c>
      <c r="BC185">
        <f>TYPE(All_India_Index_Upto_April23__1[[#This Row],[Health]])</f>
        <v>1</v>
      </c>
      <c r="BD185">
        <f>TYPE(All_India_Index_Upto_April23__1[[#This Row],[Transport and communication]])</f>
        <v>1</v>
      </c>
      <c r="BE185">
        <f>TYPE(All_India_Index_Upto_April23__1[[#This Row],[Recreation and amusement]])</f>
        <v>1</v>
      </c>
      <c r="BF185">
        <f>TYPE(All_India_Index_Upto_April23__1[[#This Row],[Education]])</f>
        <v>1</v>
      </c>
      <c r="BG185">
        <f>TYPE(All_India_Index_Upto_April23__1[[#This Row],[Personal care and effects]])</f>
        <v>1</v>
      </c>
      <c r="BH185">
        <f>TYPE(All_India_Index_Upto_April23__1[[#This Row],[Miscellaneous]])</f>
        <v>1</v>
      </c>
      <c r="BI185">
        <f>TYPE(All_India_Index_Upto_April23__1[[#This Row],[General index]])</f>
        <v>1</v>
      </c>
    </row>
    <row r="186" spans="1:61" x14ac:dyDescent="0.3">
      <c r="A186" t="s">
        <v>32</v>
      </c>
      <c r="B186">
        <v>2018</v>
      </c>
      <c r="C186" t="s">
        <v>34</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c r="AF186">
        <f>TYPE(All_India_Index_Upto_April23__1[[#This Row],[Sector]])</f>
        <v>2</v>
      </c>
      <c r="AG186">
        <f>TYPE(All_India_Index_Upto_April23__1[[#This Row],[Year]])</f>
        <v>1</v>
      </c>
      <c r="AH186">
        <f>TYPE(All_India_Index_Upto_April23__1[[#This Row],[Month]])</f>
        <v>2</v>
      </c>
      <c r="AI186">
        <f>TYPE(All_India_Index_Upto_April23__1[[#This Row],[Cereals and products]])</f>
        <v>1</v>
      </c>
      <c r="AJ186">
        <f>TYPE(All_India_Index_Upto_April23__1[[#This Row],[Meat and fish]])</f>
        <v>1</v>
      </c>
      <c r="AK186">
        <f>TYPE(All_India_Index_Upto_April23__1[[#This Row],[Egg]])</f>
        <v>1</v>
      </c>
      <c r="AL186">
        <f>TYPE(All_India_Index_Upto_April23__1[[#This Row],[Milk and products]])</f>
        <v>1</v>
      </c>
      <c r="AM186">
        <f>TYPE(All_India_Index_Upto_April23__1[[#This Row],[Oils and fats]])</f>
        <v>1</v>
      </c>
      <c r="AN186">
        <f>TYPE(All_India_Index_Upto_April23__1[[#This Row],[Fruits]])</f>
        <v>1</v>
      </c>
      <c r="AO186">
        <f>TYPE(All_India_Index_Upto_April23__1[[#This Row],[Vegetables]])</f>
        <v>1</v>
      </c>
      <c r="AP186">
        <f>TYPE(All_India_Index_Upto_April23__1[[#This Row],[Pulses and products]])</f>
        <v>1</v>
      </c>
      <c r="AQ186">
        <f>TYPE(All_India_Index_Upto_April23__1[[#This Row],[Sugar and Confectionery]])</f>
        <v>1</v>
      </c>
      <c r="AR186">
        <f>TYPE(All_India_Index_Upto_April23__1[[#This Row],[Spices]])</f>
        <v>1</v>
      </c>
      <c r="AS186">
        <f>TYPE(All_India_Index_Upto_April23__1[[#This Row],[Non-alcoholic beverages]])</f>
        <v>1</v>
      </c>
      <c r="AT186">
        <f>TYPE(All_India_Index_Upto_April23__1[[#This Row],[Prepared meals, snacks, sweets etc.]])</f>
        <v>1</v>
      </c>
      <c r="AU186">
        <f>TYPE(All_India_Index_Upto_April23__1[[#This Row],[Food and beverages]])</f>
        <v>1</v>
      </c>
      <c r="AV186">
        <f>TYPE(All_India_Index_Upto_April23__1[[#This Row],[Pan, tobacco and intoxicants]])</f>
        <v>1</v>
      </c>
      <c r="AW186">
        <f>TYPE(All_India_Index_Upto_April23__1[[#This Row],[Clothing]])</f>
        <v>1</v>
      </c>
      <c r="AX186">
        <f>TYPE(All_India_Index_Upto_April23__1[[#This Row],[Footwear]])</f>
        <v>1</v>
      </c>
      <c r="AY186">
        <f>TYPE(All_India_Index_Upto_April23__1[[#This Row],[Clothing and footwear]])</f>
        <v>1</v>
      </c>
      <c r="AZ186">
        <f>TYPE(All_India_Index_Upto_April23__1[[#This Row],[Housing]])</f>
        <v>1</v>
      </c>
      <c r="BA186">
        <f>TYPE(All_India_Index_Upto_April23__1[[#This Row],[Fuel and light]])</f>
        <v>1</v>
      </c>
      <c r="BB186">
        <f>TYPE(All_India_Index_Upto_April23__1[[#This Row],[Household goods and services]])</f>
        <v>1</v>
      </c>
      <c r="BC186">
        <f>TYPE(All_India_Index_Upto_April23__1[[#This Row],[Health]])</f>
        <v>1</v>
      </c>
      <c r="BD186">
        <f>TYPE(All_India_Index_Upto_April23__1[[#This Row],[Transport and communication]])</f>
        <v>1</v>
      </c>
      <c r="BE186">
        <f>TYPE(All_India_Index_Upto_April23__1[[#This Row],[Recreation and amusement]])</f>
        <v>1</v>
      </c>
      <c r="BF186">
        <f>TYPE(All_India_Index_Upto_April23__1[[#This Row],[Education]])</f>
        <v>1</v>
      </c>
      <c r="BG186">
        <f>TYPE(All_India_Index_Upto_April23__1[[#This Row],[Personal care and effects]])</f>
        <v>1</v>
      </c>
      <c r="BH186">
        <f>TYPE(All_India_Index_Upto_April23__1[[#This Row],[Miscellaneous]])</f>
        <v>1</v>
      </c>
      <c r="BI186">
        <f>TYPE(All_India_Index_Upto_April23__1[[#This Row],[General index]])</f>
        <v>1</v>
      </c>
    </row>
    <row r="187" spans="1:61" x14ac:dyDescent="0.3">
      <c r="A187" t="s">
        <v>33</v>
      </c>
      <c r="B187">
        <v>2018</v>
      </c>
      <c r="C187" t="s">
        <v>34</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c r="AF187">
        <f>TYPE(All_India_Index_Upto_April23__1[[#This Row],[Sector]])</f>
        <v>2</v>
      </c>
      <c r="AG187">
        <f>TYPE(All_India_Index_Upto_April23__1[[#This Row],[Year]])</f>
        <v>1</v>
      </c>
      <c r="AH187">
        <f>TYPE(All_India_Index_Upto_April23__1[[#This Row],[Month]])</f>
        <v>2</v>
      </c>
      <c r="AI187">
        <f>TYPE(All_India_Index_Upto_April23__1[[#This Row],[Cereals and products]])</f>
        <v>1</v>
      </c>
      <c r="AJ187">
        <f>TYPE(All_India_Index_Upto_April23__1[[#This Row],[Meat and fish]])</f>
        <v>1</v>
      </c>
      <c r="AK187">
        <f>TYPE(All_India_Index_Upto_April23__1[[#This Row],[Egg]])</f>
        <v>1</v>
      </c>
      <c r="AL187">
        <f>TYPE(All_India_Index_Upto_April23__1[[#This Row],[Milk and products]])</f>
        <v>1</v>
      </c>
      <c r="AM187">
        <f>TYPE(All_India_Index_Upto_April23__1[[#This Row],[Oils and fats]])</f>
        <v>1</v>
      </c>
      <c r="AN187">
        <f>TYPE(All_India_Index_Upto_April23__1[[#This Row],[Fruits]])</f>
        <v>1</v>
      </c>
      <c r="AO187">
        <f>TYPE(All_India_Index_Upto_April23__1[[#This Row],[Vegetables]])</f>
        <v>1</v>
      </c>
      <c r="AP187">
        <f>TYPE(All_India_Index_Upto_April23__1[[#This Row],[Pulses and products]])</f>
        <v>1</v>
      </c>
      <c r="AQ187">
        <f>TYPE(All_India_Index_Upto_April23__1[[#This Row],[Sugar and Confectionery]])</f>
        <v>1</v>
      </c>
      <c r="AR187">
        <f>TYPE(All_India_Index_Upto_April23__1[[#This Row],[Spices]])</f>
        <v>1</v>
      </c>
      <c r="AS187">
        <f>TYPE(All_India_Index_Upto_April23__1[[#This Row],[Non-alcoholic beverages]])</f>
        <v>1</v>
      </c>
      <c r="AT187">
        <f>TYPE(All_India_Index_Upto_April23__1[[#This Row],[Prepared meals, snacks, sweets etc.]])</f>
        <v>1</v>
      </c>
      <c r="AU187">
        <f>TYPE(All_India_Index_Upto_April23__1[[#This Row],[Food and beverages]])</f>
        <v>1</v>
      </c>
      <c r="AV187">
        <f>TYPE(All_India_Index_Upto_April23__1[[#This Row],[Pan, tobacco and intoxicants]])</f>
        <v>1</v>
      </c>
      <c r="AW187">
        <f>TYPE(All_India_Index_Upto_April23__1[[#This Row],[Clothing]])</f>
        <v>1</v>
      </c>
      <c r="AX187">
        <f>TYPE(All_India_Index_Upto_April23__1[[#This Row],[Footwear]])</f>
        <v>1</v>
      </c>
      <c r="AY187">
        <f>TYPE(All_India_Index_Upto_April23__1[[#This Row],[Clothing and footwear]])</f>
        <v>1</v>
      </c>
      <c r="AZ187">
        <f>TYPE(All_India_Index_Upto_April23__1[[#This Row],[Housing]])</f>
        <v>1</v>
      </c>
      <c r="BA187">
        <f>TYPE(All_India_Index_Upto_April23__1[[#This Row],[Fuel and light]])</f>
        <v>1</v>
      </c>
      <c r="BB187">
        <f>TYPE(All_India_Index_Upto_April23__1[[#This Row],[Household goods and services]])</f>
        <v>1</v>
      </c>
      <c r="BC187">
        <f>TYPE(All_India_Index_Upto_April23__1[[#This Row],[Health]])</f>
        <v>1</v>
      </c>
      <c r="BD187">
        <f>TYPE(All_India_Index_Upto_April23__1[[#This Row],[Transport and communication]])</f>
        <v>1</v>
      </c>
      <c r="BE187">
        <f>TYPE(All_India_Index_Upto_April23__1[[#This Row],[Recreation and amusement]])</f>
        <v>1</v>
      </c>
      <c r="BF187">
        <f>TYPE(All_India_Index_Upto_April23__1[[#This Row],[Education]])</f>
        <v>1</v>
      </c>
      <c r="BG187">
        <f>TYPE(All_India_Index_Upto_April23__1[[#This Row],[Personal care and effects]])</f>
        <v>1</v>
      </c>
      <c r="BH187">
        <f>TYPE(All_India_Index_Upto_April23__1[[#This Row],[Miscellaneous]])</f>
        <v>1</v>
      </c>
      <c r="BI187">
        <f>TYPE(All_India_Index_Upto_April23__1[[#This Row],[General index]])</f>
        <v>1</v>
      </c>
    </row>
    <row r="188" spans="1:61" x14ac:dyDescent="0.3">
      <c r="A188" t="s">
        <v>30</v>
      </c>
      <c r="B188">
        <v>2018</v>
      </c>
      <c r="C188" t="s">
        <v>35</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v>0</v>
      </c>
      <c r="V188">
        <v>142.6</v>
      </c>
      <c r="W188">
        <v>139.9</v>
      </c>
      <c r="X188">
        <v>136.69999999999999</v>
      </c>
      <c r="Y188">
        <v>124.6</v>
      </c>
      <c r="Z188">
        <v>135.1</v>
      </c>
      <c r="AA188">
        <v>142.69999999999999</v>
      </c>
      <c r="AB188">
        <v>129.30000000000001</v>
      </c>
      <c r="AC188">
        <v>133.30000000000001</v>
      </c>
      <c r="AD188">
        <v>138.69999999999999</v>
      </c>
      <c r="AF188">
        <f>TYPE(All_India_Index_Upto_April23__1[[#This Row],[Sector]])</f>
        <v>2</v>
      </c>
      <c r="AG188">
        <f>TYPE(All_India_Index_Upto_April23__1[[#This Row],[Year]])</f>
        <v>1</v>
      </c>
      <c r="AH188">
        <f>TYPE(All_India_Index_Upto_April23__1[[#This Row],[Month]])</f>
        <v>2</v>
      </c>
      <c r="AI188">
        <f>TYPE(All_India_Index_Upto_April23__1[[#This Row],[Cereals and products]])</f>
        <v>1</v>
      </c>
      <c r="AJ188">
        <f>TYPE(All_India_Index_Upto_April23__1[[#This Row],[Meat and fish]])</f>
        <v>1</v>
      </c>
      <c r="AK188">
        <f>TYPE(All_India_Index_Upto_April23__1[[#This Row],[Egg]])</f>
        <v>1</v>
      </c>
      <c r="AL188">
        <f>TYPE(All_India_Index_Upto_April23__1[[#This Row],[Milk and products]])</f>
        <v>1</v>
      </c>
      <c r="AM188">
        <f>TYPE(All_India_Index_Upto_April23__1[[#This Row],[Oils and fats]])</f>
        <v>1</v>
      </c>
      <c r="AN188">
        <f>TYPE(All_India_Index_Upto_April23__1[[#This Row],[Fruits]])</f>
        <v>1</v>
      </c>
      <c r="AO188">
        <f>TYPE(All_India_Index_Upto_April23__1[[#This Row],[Vegetables]])</f>
        <v>1</v>
      </c>
      <c r="AP188">
        <f>TYPE(All_India_Index_Upto_April23__1[[#This Row],[Pulses and products]])</f>
        <v>1</v>
      </c>
      <c r="AQ188">
        <f>TYPE(All_India_Index_Upto_April23__1[[#This Row],[Sugar and Confectionery]])</f>
        <v>1</v>
      </c>
      <c r="AR188">
        <f>TYPE(All_India_Index_Upto_April23__1[[#This Row],[Spices]])</f>
        <v>1</v>
      </c>
      <c r="AS188">
        <f>TYPE(All_India_Index_Upto_April23__1[[#This Row],[Non-alcoholic beverages]])</f>
        <v>1</v>
      </c>
      <c r="AT188">
        <f>TYPE(All_India_Index_Upto_April23__1[[#This Row],[Prepared meals, snacks, sweets etc.]])</f>
        <v>1</v>
      </c>
      <c r="AU188">
        <f>TYPE(All_India_Index_Upto_April23__1[[#This Row],[Food and beverages]])</f>
        <v>1</v>
      </c>
      <c r="AV188">
        <f>TYPE(All_India_Index_Upto_April23__1[[#This Row],[Pan, tobacco and intoxicants]])</f>
        <v>1</v>
      </c>
      <c r="AW188">
        <f>TYPE(All_India_Index_Upto_April23__1[[#This Row],[Clothing]])</f>
        <v>1</v>
      </c>
      <c r="AX188">
        <f>TYPE(All_India_Index_Upto_April23__1[[#This Row],[Footwear]])</f>
        <v>1</v>
      </c>
      <c r="AY188">
        <f>TYPE(All_India_Index_Upto_April23__1[[#This Row],[Clothing and footwear]])</f>
        <v>1</v>
      </c>
      <c r="AZ188">
        <f>TYPE(All_India_Index_Upto_April23__1[[#This Row],[Housing]])</f>
        <v>1</v>
      </c>
      <c r="BA188">
        <f>TYPE(All_India_Index_Upto_April23__1[[#This Row],[Fuel and light]])</f>
        <v>1</v>
      </c>
      <c r="BB188">
        <f>TYPE(All_India_Index_Upto_April23__1[[#This Row],[Household goods and services]])</f>
        <v>1</v>
      </c>
      <c r="BC188">
        <f>TYPE(All_India_Index_Upto_April23__1[[#This Row],[Health]])</f>
        <v>1</v>
      </c>
      <c r="BD188">
        <f>TYPE(All_India_Index_Upto_April23__1[[#This Row],[Transport and communication]])</f>
        <v>1</v>
      </c>
      <c r="BE188">
        <f>TYPE(All_India_Index_Upto_April23__1[[#This Row],[Recreation and amusement]])</f>
        <v>1</v>
      </c>
      <c r="BF188">
        <f>TYPE(All_India_Index_Upto_April23__1[[#This Row],[Education]])</f>
        <v>1</v>
      </c>
      <c r="BG188">
        <f>TYPE(All_India_Index_Upto_April23__1[[#This Row],[Personal care and effects]])</f>
        <v>1</v>
      </c>
      <c r="BH188">
        <f>TYPE(All_India_Index_Upto_April23__1[[#This Row],[Miscellaneous]])</f>
        <v>1</v>
      </c>
      <c r="BI188">
        <f>TYPE(All_India_Index_Upto_April23__1[[#This Row],[General index]])</f>
        <v>1</v>
      </c>
    </row>
    <row r="189" spans="1:61" x14ac:dyDescent="0.3">
      <c r="A189" t="s">
        <v>32</v>
      </c>
      <c r="B189">
        <v>2018</v>
      </c>
      <c r="C189" t="s">
        <v>35</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c r="AF189">
        <f>TYPE(All_India_Index_Upto_April23__1[[#This Row],[Sector]])</f>
        <v>2</v>
      </c>
      <c r="AG189">
        <f>TYPE(All_India_Index_Upto_April23__1[[#This Row],[Year]])</f>
        <v>1</v>
      </c>
      <c r="AH189">
        <f>TYPE(All_India_Index_Upto_April23__1[[#This Row],[Month]])</f>
        <v>2</v>
      </c>
      <c r="AI189">
        <f>TYPE(All_India_Index_Upto_April23__1[[#This Row],[Cereals and products]])</f>
        <v>1</v>
      </c>
      <c r="AJ189">
        <f>TYPE(All_India_Index_Upto_April23__1[[#This Row],[Meat and fish]])</f>
        <v>1</v>
      </c>
      <c r="AK189">
        <f>TYPE(All_India_Index_Upto_April23__1[[#This Row],[Egg]])</f>
        <v>1</v>
      </c>
      <c r="AL189">
        <f>TYPE(All_India_Index_Upto_April23__1[[#This Row],[Milk and products]])</f>
        <v>1</v>
      </c>
      <c r="AM189">
        <f>TYPE(All_India_Index_Upto_April23__1[[#This Row],[Oils and fats]])</f>
        <v>1</v>
      </c>
      <c r="AN189">
        <f>TYPE(All_India_Index_Upto_April23__1[[#This Row],[Fruits]])</f>
        <v>1</v>
      </c>
      <c r="AO189">
        <f>TYPE(All_India_Index_Upto_April23__1[[#This Row],[Vegetables]])</f>
        <v>1</v>
      </c>
      <c r="AP189">
        <f>TYPE(All_India_Index_Upto_April23__1[[#This Row],[Pulses and products]])</f>
        <v>1</v>
      </c>
      <c r="AQ189">
        <f>TYPE(All_India_Index_Upto_April23__1[[#This Row],[Sugar and Confectionery]])</f>
        <v>1</v>
      </c>
      <c r="AR189">
        <f>TYPE(All_India_Index_Upto_April23__1[[#This Row],[Spices]])</f>
        <v>1</v>
      </c>
      <c r="AS189">
        <f>TYPE(All_India_Index_Upto_April23__1[[#This Row],[Non-alcoholic beverages]])</f>
        <v>1</v>
      </c>
      <c r="AT189">
        <f>TYPE(All_India_Index_Upto_April23__1[[#This Row],[Prepared meals, snacks, sweets etc.]])</f>
        <v>1</v>
      </c>
      <c r="AU189">
        <f>TYPE(All_India_Index_Upto_April23__1[[#This Row],[Food and beverages]])</f>
        <v>1</v>
      </c>
      <c r="AV189">
        <f>TYPE(All_India_Index_Upto_April23__1[[#This Row],[Pan, tobacco and intoxicants]])</f>
        <v>1</v>
      </c>
      <c r="AW189">
        <f>TYPE(All_India_Index_Upto_April23__1[[#This Row],[Clothing]])</f>
        <v>1</v>
      </c>
      <c r="AX189">
        <f>TYPE(All_India_Index_Upto_April23__1[[#This Row],[Footwear]])</f>
        <v>1</v>
      </c>
      <c r="AY189">
        <f>TYPE(All_India_Index_Upto_April23__1[[#This Row],[Clothing and footwear]])</f>
        <v>1</v>
      </c>
      <c r="AZ189">
        <f>TYPE(All_India_Index_Upto_April23__1[[#This Row],[Housing]])</f>
        <v>1</v>
      </c>
      <c r="BA189">
        <f>TYPE(All_India_Index_Upto_April23__1[[#This Row],[Fuel and light]])</f>
        <v>1</v>
      </c>
      <c r="BB189">
        <f>TYPE(All_India_Index_Upto_April23__1[[#This Row],[Household goods and services]])</f>
        <v>1</v>
      </c>
      <c r="BC189">
        <f>TYPE(All_India_Index_Upto_April23__1[[#This Row],[Health]])</f>
        <v>1</v>
      </c>
      <c r="BD189">
        <f>TYPE(All_India_Index_Upto_April23__1[[#This Row],[Transport and communication]])</f>
        <v>1</v>
      </c>
      <c r="BE189">
        <f>TYPE(All_India_Index_Upto_April23__1[[#This Row],[Recreation and amusement]])</f>
        <v>1</v>
      </c>
      <c r="BF189">
        <f>TYPE(All_India_Index_Upto_April23__1[[#This Row],[Education]])</f>
        <v>1</v>
      </c>
      <c r="BG189">
        <f>TYPE(All_India_Index_Upto_April23__1[[#This Row],[Personal care and effects]])</f>
        <v>1</v>
      </c>
      <c r="BH189">
        <f>TYPE(All_India_Index_Upto_April23__1[[#This Row],[Miscellaneous]])</f>
        <v>1</v>
      </c>
      <c r="BI189">
        <f>TYPE(All_India_Index_Upto_April23__1[[#This Row],[General index]])</f>
        <v>1</v>
      </c>
    </row>
    <row r="190" spans="1:61" x14ac:dyDescent="0.3">
      <c r="A190" t="s">
        <v>33</v>
      </c>
      <c r="B190">
        <v>2018</v>
      </c>
      <c r="C190" t="s">
        <v>35</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c r="AF190">
        <f>TYPE(All_India_Index_Upto_April23__1[[#This Row],[Sector]])</f>
        <v>2</v>
      </c>
      <c r="AG190">
        <f>TYPE(All_India_Index_Upto_April23__1[[#This Row],[Year]])</f>
        <v>1</v>
      </c>
      <c r="AH190">
        <f>TYPE(All_India_Index_Upto_April23__1[[#This Row],[Month]])</f>
        <v>2</v>
      </c>
      <c r="AI190">
        <f>TYPE(All_India_Index_Upto_April23__1[[#This Row],[Cereals and products]])</f>
        <v>1</v>
      </c>
      <c r="AJ190">
        <f>TYPE(All_India_Index_Upto_April23__1[[#This Row],[Meat and fish]])</f>
        <v>1</v>
      </c>
      <c r="AK190">
        <f>TYPE(All_India_Index_Upto_April23__1[[#This Row],[Egg]])</f>
        <v>1</v>
      </c>
      <c r="AL190">
        <f>TYPE(All_India_Index_Upto_April23__1[[#This Row],[Milk and products]])</f>
        <v>1</v>
      </c>
      <c r="AM190">
        <f>TYPE(All_India_Index_Upto_April23__1[[#This Row],[Oils and fats]])</f>
        <v>1</v>
      </c>
      <c r="AN190">
        <f>TYPE(All_India_Index_Upto_April23__1[[#This Row],[Fruits]])</f>
        <v>1</v>
      </c>
      <c r="AO190">
        <f>TYPE(All_India_Index_Upto_April23__1[[#This Row],[Vegetables]])</f>
        <v>1</v>
      </c>
      <c r="AP190">
        <f>TYPE(All_India_Index_Upto_April23__1[[#This Row],[Pulses and products]])</f>
        <v>1</v>
      </c>
      <c r="AQ190">
        <f>TYPE(All_India_Index_Upto_April23__1[[#This Row],[Sugar and Confectionery]])</f>
        <v>1</v>
      </c>
      <c r="AR190">
        <f>TYPE(All_India_Index_Upto_April23__1[[#This Row],[Spices]])</f>
        <v>1</v>
      </c>
      <c r="AS190">
        <f>TYPE(All_India_Index_Upto_April23__1[[#This Row],[Non-alcoholic beverages]])</f>
        <v>1</v>
      </c>
      <c r="AT190">
        <f>TYPE(All_India_Index_Upto_April23__1[[#This Row],[Prepared meals, snacks, sweets etc.]])</f>
        <v>1</v>
      </c>
      <c r="AU190">
        <f>TYPE(All_India_Index_Upto_April23__1[[#This Row],[Food and beverages]])</f>
        <v>1</v>
      </c>
      <c r="AV190">
        <f>TYPE(All_India_Index_Upto_April23__1[[#This Row],[Pan, tobacco and intoxicants]])</f>
        <v>1</v>
      </c>
      <c r="AW190">
        <f>TYPE(All_India_Index_Upto_April23__1[[#This Row],[Clothing]])</f>
        <v>1</v>
      </c>
      <c r="AX190">
        <f>TYPE(All_India_Index_Upto_April23__1[[#This Row],[Footwear]])</f>
        <v>1</v>
      </c>
      <c r="AY190">
        <f>TYPE(All_India_Index_Upto_April23__1[[#This Row],[Clothing and footwear]])</f>
        <v>1</v>
      </c>
      <c r="AZ190">
        <f>TYPE(All_India_Index_Upto_April23__1[[#This Row],[Housing]])</f>
        <v>1</v>
      </c>
      <c r="BA190">
        <f>TYPE(All_India_Index_Upto_April23__1[[#This Row],[Fuel and light]])</f>
        <v>1</v>
      </c>
      <c r="BB190">
        <f>TYPE(All_India_Index_Upto_April23__1[[#This Row],[Household goods and services]])</f>
        <v>1</v>
      </c>
      <c r="BC190">
        <f>TYPE(All_India_Index_Upto_April23__1[[#This Row],[Health]])</f>
        <v>1</v>
      </c>
      <c r="BD190">
        <f>TYPE(All_India_Index_Upto_April23__1[[#This Row],[Transport and communication]])</f>
        <v>1</v>
      </c>
      <c r="BE190">
        <f>TYPE(All_India_Index_Upto_April23__1[[#This Row],[Recreation and amusement]])</f>
        <v>1</v>
      </c>
      <c r="BF190">
        <f>TYPE(All_India_Index_Upto_April23__1[[#This Row],[Education]])</f>
        <v>1</v>
      </c>
      <c r="BG190">
        <f>TYPE(All_India_Index_Upto_April23__1[[#This Row],[Personal care and effects]])</f>
        <v>1</v>
      </c>
      <c r="BH190">
        <f>TYPE(All_India_Index_Upto_April23__1[[#This Row],[Miscellaneous]])</f>
        <v>1</v>
      </c>
      <c r="BI190">
        <f>TYPE(All_India_Index_Upto_April23__1[[#This Row],[General index]])</f>
        <v>1</v>
      </c>
    </row>
    <row r="191" spans="1:61" x14ac:dyDescent="0.3">
      <c r="A191" t="s">
        <v>30</v>
      </c>
      <c r="B191">
        <v>2018</v>
      </c>
      <c r="C191" t="s">
        <v>36</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v>0</v>
      </c>
      <c r="V191">
        <v>143.80000000000001</v>
      </c>
      <c r="W191">
        <v>140.9</v>
      </c>
      <c r="X191">
        <v>137.6</v>
      </c>
      <c r="Y191">
        <v>125.3</v>
      </c>
      <c r="Z191">
        <v>136</v>
      </c>
      <c r="AA191">
        <v>143.69999999999999</v>
      </c>
      <c r="AB191">
        <v>130.4</v>
      </c>
      <c r="AC191">
        <v>134.19999999999999</v>
      </c>
      <c r="AD191">
        <v>139.1</v>
      </c>
      <c r="AF191">
        <f>TYPE(All_India_Index_Upto_April23__1[[#This Row],[Sector]])</f>
        <v>2</v>
      </c>
      <c r="AG191">
        <f>TYPE(All_India_Index_Upto_April23__1[[#This Row],[Year]])</f>
        <v>1</v>
      </c>
      <c r="AH191">
        <f>TYPE(All_India_Index_Upto_April23__1[[#This Row],[Month]])</f>
        <v>2</v>
      </c>
      <c r="AI191">
        <f>TYPE(All_India_Index_Upto_April23__1[[#This Row],[Cereals and products]])</f>
        <v>1</v>
      </c>
      <c r="AJ191">
        <f>TYPE(All_India_Index_Upto_April23__1[[#This Row],[Meat and fish]])</f>
        <v>1</v>
      </c>
      <c r="AK191">
        <f>TYPE(All_India_Index_Upto_April23__1[[#This Row],[Egg]])</f>
        <v>1</v>
      </c>
      <c r="AL191">
        <f>TYPE(All_India_Index_Upto_April23__1[[#This Row],[Milk and products]])</f>
        <v>1</v>
      </c>
      <c r="AM191">
        <f>TYPE(All_India_Index_Upto_April23__1[[#This Row],[Oils and fats]])</f>
        <v>1</v>
      </c>
      <c r="AN191">
        <f>TYPE(All_India_Index_Upto_April23__1[[#This Row],[Fruits]])</f>
        <v>1</v>
      </c>
      <c r="AO191">
        <f>TYPE(All_India_Index_Upto_April23__1[[#This Row],[Vegetables]])</f>
        <v>1</v>
      </c>
      <c r="AP191">
        <f>TYPE(All_India_Index_Upto_April23__1[[#This Row],[Pulses and products]])</f>
        <v>1</v>
      </c>
      <c r="AQ191">
        <f>TYPE(All_India_Index_Upto_April23__1[[#This Row],[Sugar and Confectionery]])</f>
        <v>1</v>
      </c>
      <c r="AR191">
        <f>TYPE(All_India_Index_Upto_April23__1[[#This Row],[Spices]])</f>
        <v>1</v>
      </c>
      <c r="AS191">
        <f>TYPE(All_India_Index_Upto_April23__1[[#This Row],[Non-alcoholic beverages]])</f>
        <v>1</v>
      </c>
      <c r="AT191">
        <f>TYPE(All_India_Index_Upto_April23__1[[#This Row],[Prepared meals, snacks, sweets etc.]])</f>
        <v>1</v>
      </c>
      <c r="AU191">
        <f>TYPE(All_India_Index_Upto_April23__1[[#This Row],[Food and beverages]])</f>
        <v>1</v>
      </c>
      <c r="AV191">
        <f>TYPE(All_India_Index_Upto_April23__1[[#This Row],[Pan, tobacco and intoxicants]])</f>
        <v>1</v>
      </c>
      <c r="AW191">
        <f>TYPE(All_India_Index_Upto_April23__1[[#This Row],[Clothing]])</f>
        <v>1</v>
      </c>
      <c r="AX191">
        <f>TYPE(All_India_Index_Upto_April23__1[[#This Row],[Footwear]])</f>
        <v>1</v>
      </c>
      <c r="AY191">
        <f>TYPE(All_India_Index_Upto_April23__1[[#This Row],[Clothing and footwear]])</f>
        <v>1</v>
      </c>
      <c r="AZ191">
        <f>TYPE(All_India_Index_Upto_April23__1[[#This Row],[Housing]])</f>
        <v>1</v>
      </c>
      <c r="BA191">
        <f>TYPE(All_India_Index_Upto_April23__1[[#This Row],[Fuel and light]])</f>
        <v>1</v>
      </c>
      <c r="BB191">
        <f>TYPE(All_India_Index_Upto_April23__1[[#This Row],[Household goods and services]])</f>
        <v>1</v>
      </c>
      <c r="BC191">
        <f>TYPE(All_India_Index_Upto_April23__1[[#This Row],[Health]])</f>
        <v>1</v>
      </c>
      <c r="BD191">
        <f>TYPE(All_India_Index_Upto_April23__1[[#This Row],[Transport and communication]])</f>
        <v>1</v>
      </c>
      <c r="BE191">
        <f>TYPE(All_India_Index_Upto_April23__1[[#This Row],[Recreation and amusement]])</f>
        <v>1</v>
      </c>
      <c r="BF191">
        <f>TYPE(All_India_Index_Upto_April23__1[[#This Row],[Education]])</f>
        <v>1</v>
      </c>
      <c r="BG191">
        <f>TYPE(All_India_Index_Upto_April23__1[[#This Row],[Personal care and effects]])</f>
        <v>1</v>
      </c>
      <c r="BH191">
        <f>TYPE(All_India_Index_Upto_April23__1[[#This Row],[Miscellaneous]])</f>
        <v>1</v>
      </c>
      <c r="BI191">
        <f>TYPE(All_India_Index_Upto_April23__1[[#This Row],[General index]])</f>
        <v>1</v>
      </c>
    </row>
    <row r="192" spans="1:61" x14ac:dyDescent="0.3">
      <c r="A192" t="s">
        <v>32</v>
      </c>
      <c r="B192">
        <v>2018</v>
      </c>
      <c r="C192" t="s">
        <v>36</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c r="AF192">
        <f>TYPE(All_India_Index_Upto_April23__1[[#This Row],[Sector]])</f>
        <v>2</v>
      </c>
      <c r="AG192">
        <f>TYPE(All_India_Index_Upto_April23__1[[#This Row],[Year]])</f>
        <v>1</v>
      </c>
      <c r="AH192">
        <f>TYPE(All_India_Index_Upto_April23__1[[#This Row],[Month]])</f>
        <v>2</v>
      </c>
      <c r="AI192">
        <f>TYPE(All_India_Index_Upto_April23__1[[#This Row],[Cereals and products]])</f>
        <v>1</v>
      </c>
      <c r="AJ192">
        <f>TYPE(All_India_Index_Upto_April23__1[[#This Row],[Meat and fish]])</f>
        <v>1</v>
      </c>
      <c r="AK192">
        <f>TYPE(All_India_Index_Upto_April23__1[[#This Row],[Egg]])</f>
        <v>1</v>
      </c>
      <c r="AL192">
        <f>TYPE(All_India_Index_Upto_April23__1[[#This Row],[Milk and products]])</f>
        <v>1</v>
      </c>
      <c r="AM192">
        <f>TYPE(All_India_Index_Upto_April23__1[[#This Row],[Oils and fats]])</f>
        <v>1</v>
      </c>
      <c r="AN192">
        <f>TYPE(All_India_Index_Upto_April23__1[[#This Row],[Fruits]])</f>
        <v>1</v>
      </c>
      <c r="AO192">
        <f>TYPE(All_India_Index_Upto_April23__1[[#This Row],[Vegetables]])</f>
        <v>1</v>
      </c>
      <c r="AP192">
        <f>TYPE(All_India_Index_Upto_April23__1[[#This Row],[Pulses and products]])</f>
        <v>1</v>
      </c>
      <c r="AQ192">
        <f>TYPE(All_India_Index_Upto_April23__1[[#This Row],[Sugar and Confectionery]])</f>
        <v>1</v>
      </c>
      <c r="AR192">
        <f>TYPE(All_India_Index_Upto_April23__1[[#This Row],[Spices]])</f>
        <v>1</v>
      </c>
      <c r="AS192">
        <f>TYPE(All_India_Index_Upto_April23__1[[#This Row],[Non-alcoholic beverages]])</f>
        <v>1</v>
      </c>
      <c r="AT192">
        <f>TYPE(All_India_Index_Upto_April23__1[[#This Row],[Prepared meals, snacks, sweets etc.]])</f>
        <v>1</v>
      </c>
      <c r="AU192">
        <f>TYPE(All_India_Index_Upto_April23__1[[#This Row],[Food and beverages]])</f>
        <v>1</v>
      </c>
      <c r="AV192">
        <f>TYPE(All_India_Index_Upto_April23__1[[#This Row],[Pan, tobacco and intoxicants]])</f>
        <v>1</v>
      </c>
      <c r="AW192">
        <f>TYPE(All_India_Index_Upto_April23__1[[#This Row],[Clothing]])</f>
        <v>1</v>
      </c>
      <c r="AX192">
        <f>TYPE(All_India_Index_Upto_April23__1[[#This Row],[Footwear]])</f>
        <v>1</v>
      </c>
      <c r="AY192">
        <f>TYPE(All_India_Index_Upto_April23__1[[#This Row],[Clothing and footwear]])</f>
        <v>1</v>
      </c>
      <c r="AZ192">
        <f>TYPE(All_India_Index_Upto_April23__1[[#This Row],[Housing]])</f>
        <v>1</v>
      </c>
      <c r="BA192">
        <f>TYPE(All_India_Index_Upto_April23__1[[#This Row],[Fuel and light]])</f>
        <v>1</v>
      </c>
      <c r="BB192">
        <f>TYPE(All_India_Index_Upto_April23__1[[#This Row],[Household goods and services]])</f>
        <v>1</v>
      </c>
      <c r="BC192">
        <f>TYPE(All_India_Index_Upto_April23__1[[#This Row],[Health]])</f>
        <v>1</v>
      </c>
      <c r="BD192">
        <f>TYPE(All_India_Index_Upto_April23__1[[#This Row],[Transport and communication]])</f>
        <v>1</v>
      </c>
      <c r="BE192">
        <f>TYPE(All_India_Index_Upto_April23__1[[#This Row],[Recreation and amusement]])</f>
        <v>1</v>
      </c>
      <c r="BF192">
        <f>TYPE(All_India_Index_Upto_April23__1[[#This Row],[Education]])</f>
        <v>1</v>
      </c>
      <c r="BG192">
        <f>TYPE(All_India_Index_Upto_April23__1[[#This Row],[Personal care and effects]])</f>
        <v>1</v>
      </c>
      <c r="BH192">
        <f>TYPE(All_India_Index_Upto_April23__1[[#This Row],[Miscellaneous]])</f>
        <v>1</v>
      </c>
      <c r="BI192">
        <f>TYPE(All_India_Index_Upto_April23__1[[#This Row],[General index]])</f>
        <v>1</v>
      </c>
    </row>
    <row r="193" spans="1:61" x14ac:dyDescent="0.3">
      <c r="A193" t="s">
        <v>33</v>
      </c>
      <c r="B193">
        <v>2018</v>
      </c>
      <c r="C193" t="s">
        <v>36</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c r="AF193">
        <f>TYPE(All_India_Index_Upto_April23__1[[#This Row],[Sector]])</f>
        <v>2</v>
      </c>
      <c r="AG193">
        <f>TYPE(All_India_Index_Upto_April23__1[[#This Row],[Year]])</f>
        <v>1</v>
      </c>
      <c r="AH193">
        <f>TYPE(All_India_Index_Upto_April23__1[[#This Row],[Month]])</f>
        <v>2</v>
      </c>
      <c r="AI193">
        <f>TYPE(All_India_Index_Upto_April23__1[[#This Row],[Cereals and products]])</f>
        <v>1</v>
      </c>
      <c r="AJ193">
        <f>TYPE(All_India_Index_Upto_April23__1[[#This Row],[Meat and fish]])</f>
        <v>1</v>
      </c>
      <c r="AK193">
        <f>TYPE(All_India_Index_Upto_April23__1[[#This Row],[Egg]])</f>
        <v>1</v>
      </c>
      <c r="AL193">
        <f>TYPE(All_India_Index_Upto_April23__1[[#This Row],[Milk and products]])</f>
        <v>1</v>
      </c>
      <c r="AM193">
        <f>TYPE(All_India_Index_Upto_April23__1[[#This Row],[Oils and fats]])</f>
        <v>1</v>
      </c>
      <c r="AN193">
        <f>TYPE(All_India_Index_Upto_April23__1[[#This Row],[Fruits]])</f>
        <v>1</v>
      </c>
      <c r="AO193">
        <f>TYPE(All_India_Index_Upto_April23__1[[#This Row],[Vegetables]])</f>
        <v>1</v>
      </c>
      <c r="AP193">
        <f>TYPE(All_India_Index_Upto_April23__1[[#This Row],[Pulses and products]])</f>
        <v>1</v>
      </c>
      <c r="AQ193">
        <f>TYPE(All_India_Index_Upto_April23__1[[#This Row],[Sugar and Confectionery]])</f>
        <v>1</v>
      </c>
      <c r="AR193">
        <f>TYPE(All_India_Index_Upto_April23__1[[#This Row],[Spices]])</f>
        <v>1</v>
      </c>
      <c r="AS193">
        <f>TYPE(All_India_Index_Upto_April23__1[[#This Row],[Non-alcoholic beverages]])</f>
        <v>1</v>
      </c>
      <c r="AT193">
        <f>TYPE(All_India_Index_Upto_April23__1[[#This Row],[Prepared meals, snacks, sweets etc.]])</f>
        <v>1</v>
      </c>
      <c r="AU193">
        <f>TYPE(All_India_Index_Upto_April23__1[[#This Row],[Food and beverages]])</f>
        <v>1</v>
      </c>
      <c r="AV193">
        <f>TYPE(All_India_Index_Upto_April23__1[[#This Row],[Pan, tobacco and intoxicants]])</f>
        <v>1</v>
      </c>
      <c r="AW193">
        <f>TYPE(All_India_Index_Upto_April23__1[[#This Row],[Clothing]])</f>
        <v>1</v>
      </c>
      <c r="AX193">
        <f>TYPE(All_India_Index_Upto_April23__1[[#This Row],[Footwear]])</f>
        <v>1</v>
      </c>
      <c r="AY193">
        <f>TYPE(All_India_Index_Upto_April23__1[[#This Row],[Clothing and footwear]])</f>
        <v>1</v>
      </c>
      <c r="AZ193">
        <f>TYPE(All_India_Index_Upto_April23__1[[#This Row],[Housing]])</f>
        <v>1</v>
      </c>
      <c r="BA193">
        <f>TYPE(All_India_Index_Upto_April23__1[[#This Row],[Fuel and light]])</f>
        <v>1</v>
      </c>
      <c r="BB193">
        <f>TYPE(All_India_Index_Upto_April23__1[[#This Row],[Household goods and services]])</f>
        <v>1</v>
      </c>
      <c r="BC193">
        <f>TYPE(All_India_Index_Upto_April23__1[[#This Row],[Health]])</f>
        <v>1</v>
      </c>
      <c r="BD193">
        <f>TYPE(All_India_Index_Upto_April23__1[[#This Row],[Transport and communication]])</f>
        <v>1</v>
      </c>
      <c r="BE193">
        <f>TYPE(All_India_Index_Upto_April23__1[[#This Row],[Recreation and amusement]])</f>
        <v>1</v>
      </c>
      <c r="BF193">
        <f>TYPE(All_India_Index_Upto_April23__1[[#This Row],[Education]])</f>
        <v>1</v>
      </c>
      <c r="BG193">
        <f>TYPE(All_India_Index_Upto_April23__1[[#This Row],[Personal care and effects]])</f>
        <v>1</v>
      </c>
      <c r="BH193">
        <f>TYPE(All_India_Index_Upto_April23__1[[#This Row],[Miscellaneous]])</f>
        <v>1</v>
      </c>
      <c r="BI193">
        <f>TYPE(All_India_Index_Upto_April23__1[[#This Row],[General index]])</f>
        <v>1</v>
      </c>
    </row>
    <row r="194" spans="1:61" x14ac:dyDescent="0.3">
      <c r="A194" t="s">
        <v>30</v>
      </c>
      <c r="B194">
        <v>2018</v>
      </c>
      <c r="C194" t="s">
        <v>37</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v>0</v>
      </c>
      <c r="V194">
        <v>144.30000000000001</v>
      </c>
      <c r="W194">
        <v>141.80000000000001</v>
      </c>
      <c r="X194">
        <v>138.4</v>
      </c>
      <c r="Y194">
        <v>126.4</v>
      </c>
      <c r="Z194">
        <v>136.80000000000001</v>
      </c>
      <c r="AA194">
        <v>144.4</v>
      </c>
      <c r="AB194">
        <v>131.19999999999999</v>
      </c>
      <c r="AC194">
        <v>135.1</v>
      </c>
      <c r="AD194">
        <v>139.80000000000001</v>
      </c>
      <c r="AF194">
        <f>TYPE(All_India_Index_Upto_April23__1[[#This Row],[Sector]])</f>
        <v>2</v>
      </c>
      <c r="AG194">
        <f>TYPE(All_India_Index_Upto_April23__1[[#This Row],[Year]])</f>
        <v>1</v>
      </c>
      <c r="AH194">
        <f>TYPE(All_India_Index_Upto_April23__1[[#This Row],[Month]])</f>
        <v>2</v>
      </c>
      <c r="AI194">
        <f>TYPE(All_India_Index_Upto_April23__1[[#This Row],[Cereals and products]])</f>
        <v>1</v>
      </c>
      <c r="AJ194">
        <f>TYPE(All_India_Index_Upto_April23__1[[#This Row],[Meat and fish]])</f>
        <v>1</v>
      </c>
      <c r="AK194">
        <f>TYPE(All_India_Index_Upto_April23__1[[#This Row],[Egg]])</f>
        <v>1</v>
      </c>
      <c r="AL194">
        <f>TYPE(All_India_Index_Upto_April23__1[[#This Row],[Milk and products]])</f>
        <v>1</v>
      </c>
      <c r="AM194">
        <f>TYPE(All_India_Index_Upto_April23__1[[#This Row],[Oils and fats]])</f>
        <v>1</v>
      </c>
      <c r="AN194">
        <f>TYPE(All_India_Index_Upto_April23__1[[#This Row],[Fruits]])</f>
        <v>1</v>
      </c>
      <c r="AO194">
        <f>TYPE(All_India_Index_Upto_April23__1[[#This Row],[Vegetables]])</f>
        <v>1</v>
      </c>
      <c r="AP194">
        <f>TYPE(All_India_Index_Upto_April23__1[[#This Row],[Pulses and products]])</f>
        <v>1</v>
      </c>
      <c r="AQ194">
        <f>TYPE(All_India_Index_Upto_April23__1[[#This Row],[Sugar and Confectionery]])</f>
        <v>1</v>
      </c>
      <c r="AR194">
        <f>TYPE(All_India_Index_Upto_April23__1[[#This Row],[Spices]])</f>
        <v>1</v>
      </c>
      <c r="AS194">
        <f>TYPE(All_India_Index_Upto_April23__1[[#This Row],[Non-alcoholic beverages]])</f>
        <v>1</v>
      </c>
      <c r="AT194">
        <f>TYPE(All_India_Index_Upto_April23__1[[#This Row],[Prepared meals, snacks, sweets etc.]])</f>
        <v>1</v>
      </c>
      <c r="AU194">
        <f>TYPE(All_India_Index_Upto_April23__1[[#This Row],[Food and beverages]])</f>
        <v>1</v>
      </c>
      <c r="AV194">
        <f>TYPE(All_India_Index_Upto_April23__1[[#This Row],[Pan, tobacco and intoxicants]])</f>
        <v>1</v>
      </c>
      <c r="AW194">
        <f>TYPE(All_India_Index_Upto_April23__1[[#This Row],[Clothing]])</f>
        <v>1</v>
      </c>
      <c r="AX194">
        <f>TYPE(All_India_Index_Upto_April23__1[[#This Row],[Footwear]])</f>
        <v>1</v>
      </c>
      <c r="AY194">
        <f>TYPE(All_India_Index_Upto_April23__1[[#This Row],[Clothing and footwear]])</f>
        <v>1</v>
      </c>
      <c r="AZ194">
        <f>TYPE(All_India_Index_Upto_April23__1[[#This Row],[Housing]])</f>
        <v>1</v>
      </c>
      <c r="BA194">
        <f>TYPE(All_India_Index_Upto_April23__1[[#This Row],[Fuel and light]])</f>
        <v>1</v>
      </c>
      <c r="BB194">
        <f>TYPE(All_India_Index_Upto_April23__1[[#This Row],[Household goods and services]])</f>
        <v>1</v>
      </c>
      <c r="BC194">
        <f>TYPE(All_India_Index_Upto_April23__1[[#This Row],[Health]])</f>
        <v>1</v>
      </c>
      <c r="BD194">
        <f>TYPE(All_India_Index_Upto_April23__1[[#This Row],[Transport and communication]])</f>
        <v>1</v>
      </c>
      <c r="BE194">
        <f>TYPE(All_India_Index_Upto_April23__1[[#This Row],[Recreation and amusement]])</f>
        <v>1</v>
      </c>
      <c r="BF194">
        <f>TYPE(All_India_Index_Upto_April23__1[[#This Row],[Education]])</f>
        <v>1</v>
      </c>
      <c r="BG194">
        <f>TYPE(All_India_Index_Upto_April23__1[[#This Row],[Personal care and effects]])</f>
        <v>1</v>
      </c>
      <c r="BH194">
        <f>TYPE(All_India_Index_Upto_April23__1[[#This Row],[Miscellaneous]])</f>
        <v>1</v>
      </c>
      <c r="BI194">
        <f>TYPE(All_India_Index_Upto_April23__1[[#This Row],[General index]])</f>
        <v>1</v>
      </c>
    </row>
    <row r="195" spans="1:61" x14ac:dyDescent="0.3">
      <c r="A195" t="s">
        <v>32</v>
      </c>
      <c r="B195">
        <v>2018</v>
      </c>
      <c r="C195" t="s">
        <v>37</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c r="AF195">
        <f>TYPE(All_India_Index_Upto_April23__1[[#This Row],[Sector]])</f>
        <v>2</v>
      </c>
      <c r="AG195">
        <f>TYPE(All_India_Index_Upto_April23__1[[#This Row],[Year]])</f>
        <v>1</v>
      </c>
      <c r="AH195">
        <f>TYPE(All_India_Index_Upto_April23__1[[#This Row],[Month]])</f>
        <v>2</v>
      </c>
      <c r="AI195">
        <f>TYPE(All_India_Index_Upto_April23__1[[#This Row],[Cereals and products]])</f>
        <v>1</v>
      </c>
      <c r="AJ195">
        <f>TYPE(All_India_Index_Upto_April23__1[[#This Row],[Meat and fish]])</f>
        <v>1</v>
      </c>
      <c r="AK195">
        <f>TYPE(All_India_Index_Upto_April23__1[[#This Row],[Egg]])</f>
        <v>1</v>
      </c>
      <c r="AL195">
        <f>TYPE(All_India_Index_Upto_April23__1[[#This Row],[Milk and products]])</f>
        <v>1</v>
      </c>
      <c r="AM195">
        <f>TYPE(All_India_Index_Upto_April23__1[[#This Row],[Oils and fats]])</f>
        <v>1</v>
      </c>
      <c r="AN195">
        <f>TYPE(All_India_Index_Upto_April23__1[[#This Row],[Fruits]])</f>
        <v>1</v>
      </c>
      <c r="AO195">
        <f>TYPE(All_India_Index_Upto_April23__1[[#This Row],[Vegetables]])</f>
        <v>1</v>
      </c>
      <c r="AP195">
        <f>TYPE(All_India_Index_Upto_April23__1[[#This Row],[Pulses and products]])</f>
        <v>1</v>
      </c>
      <c r="AQ195">
        <f>TYPE(All_India_Index_Upto_April23__1[[#This Row],[Sugar and Confectionery]])</f>
        <v>1</v>
      </c>
      <c r="AR195">
        <f>TYPE(All_India_Index_Upto_April23__1[[#This Row],[Spices]])</f>
        <v>1</v>
      </c>
      <c r="AS195">
        <f>TYPE(All_India_Index_Upto_April23__1[[#This Row],[Non-alcoholic beverages]])</f>
        <v>1</v>
      </c>
      <c r="AT195">
        <f>TYPE(All_India_Index_Upto_April23__1[[#This Row],[Prepared meals, snacks, sweets etc.]])</f>
        <v>1</v>
      </c>
      <c r="AU195">
        <f>TYPE(All_India_Index_Upto_April23__1[[#This Row],[Food and beverages]])</f>
        <v>1</v>
      </c>
      <c r="AV195">
        <f>TYPE(All_India_Index_Upto_April23__1[[#This Row],[Pan, tobacco and intoxicants]])</f>
        <v>1</v>
      </c>
      <c r="AW195">
        <f>TYPE(All_India_Index_Upto_April23__1[[#This Row],[Clothing]])</f>
        <v>1</v>
      </c>
      <c r="AX195">
        <f>TYPE(All_India_Index_Upto_April23__1[[#This Row],[Footwear]])</f>
        <v>1</v>
      </c>
      <c r="AY195">
        <f>TYPE(All_India_Index_Upto_April23__1[[#This Row],[Clothing and footwear]])</f>
        <v>1</v>
      </c>
      <c r="AZ195">
        <f>TYPE(All_India_Index_Upto_April23__1[[#This Row],[Housing]])</f>
        <v>1</v>
      </c>
      <c r="BA195">
        <f>TYPE(All_India_Index_Upto_April23__1[[#This Row],[Fuel and light]])</f>
        <v>1</v>
      </c>
      <c r="BB195">
        <f>TYPE(All_India_Index_Upto_April23__1[[#This Row],[Household goods and services]])</f>
        <v>1</v>
      </c>
      <c r="BC195">
        <f>TYPE(All_India_Index_Upto_April23__1[[#This Row],[Health]])</f>
        <v>1</v>
      </c>
      <c r="BD195">
        <f>TYPE(All_India_Index_Upto_April23__1[[#This Row],[Transport and communication]])</f>
        <v>1</v>
      </c>
      <c r="BE195">
        <f>TYPE(All_India_Index_Upto_April23__1[[#This Row],[Recreation and amusement]])</f>
        <v>1</v>
      </c>
      <c r="BF195">
        <f>TYPE(All_India_Index_Upto_April23__1[[#This Row],[Education]])</f>
        <v>1</v>
      </c>
      <c r="BG195">
        <f>TYPE(All_India_Index_Upto_April23__1[[#This Row],[Personal care and effects]])</f>
        <v>1</v>
      </c>
      <c r="BH195">
        <f>TYPE(All_India_Index_Upto_April23__1[[#This Row],[Miscellaneous]])</f>
        <v>1</v>
      </c>
      <c r="BI195">
        <f>TYPE(All_India_Index_Upto_April23__1[[#This Row],[General index]])</f>
        <v>1</v>
      </c>
    </row>
    <row r="196" spans="1:61" x14ac:dyDescent="0.3">
      <c r="A196" t="s">
        <v>33</v>
      </c>
      <c r="B196">
        <v>2018</v>
      </c>
      <c r="C196" t="s">
        <v>37</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c r="AF196">
        <f>TYPE(All_India_Index_Upto_April23__1[[#This Row],[Sector]])</f>
        <v>2</v>
      </c>
      <c r="AG196">
        <f>TYPE(All_India_Index_Upto_April23__1[[#This Row],[Year]])</f>
        <v>1</v>
      </c>
      <c r="AH196">
        <f>TYPE(All_India_Index_Upto_April23__1[[#This Row],[Month]])</f>
        <v>2</v>
      </c>
      <c r="AI196">
        <f>TYPE(All_India_Index_Upto_April23__1[[#This Row],[Cereals and products]])</f>
        <v>1</v>
      </c>
      <c r="AJ196">
        <f>TYPE(All_India_Index_Upto_April23__1[[#This Row],[Meat and fish]])</f>
        <v>1</v>
      </c>
      <c r="AK196">
        <f>TYPE(All_India_Index_Upto_April23__1[[#This Row],[Egg]])</f>
        <v>1</v>
      </c>
      <c r="AL196">
        <f>TYPE(All_India_Index_Upto_April23__1[[#This Row],[Milk and products]])</f>
        <v>1</v>
      </c>
      <c r="AM196">
        <f>TYPE(All_India_Index_Upto_April23__1[[#This Row],[Oils and fats]])</f>
        <v>1</v>
      </c>
      <c r="AN196">
        <f>TYPE(All_India_Index_Upto_April23__1[[#This Row],[Fruits]])</f>
        <v>1</v>
      </c>
      <c r="AO196">
        <f>TYPE(All_India_Index_Upto_April23__1[[#This Row],[Vegetables]])</f>
        <v>1</v>
      </c>
      <c r="AP196">
        <f>TYPE(All_India_Index_Upto_April23__1[[#This Row],[Pulses and products]])</f>
        <v>1</v>
      </c>
      <c r="AQ196">
        <f>TYPE(All_India_Index_Upto_April23__1[[#This Row],[Sugar and Confectionery]])</f>
        <v>1</v>
      </c>
      <c r="AR196">
        <f>TYPE(All_India_Index_Upto_April23__1[[#This Row],[Spices]])</f>
        <v>1</v>
      </c>
      <c r="AS196">
        <f>TYPE(All_India_Index_Upto_April23__1[[#This Row],[Non-alcoholic beverages]])</f>
        <v>1</v>
      </c>
      <c r="AT196">
        <f>TYPE(All_India_Index_Upto_April23__1[[#This Row],[Prepared meals, snacks, sweets etc.]])</f>
        <v>1</v>
      </c>
      <c r="AU196">
        <f>TYPE(All_India_Index_Upto_April23__1[[#This Row],[Food and beverages]])</f>
        <v>1</v>
      </c>
      <c r="AV196">
        <f>TYPE(All_India_Index_Upto_April23__1[[#This Row],[Pan, tobacco and intoxicants]])</f>
        <v>1</v>
      </c>
      <c r="AW196">
        <f>TYPE(All_India_Index_Upto_April23__1[[#This Row],[Clothing]])</f>
        <v>1</v>
      </c>
      <c r="AX196">
        <f>TYPE(All_India_Index_Upto_April23__1[[#This Row],[Footwear]])</f>
        <v>1</v>
      </c>
      <c r="AY196">
        <f>TYPE(All_India_Index_Upto_April23__1[[#This Row],[Clothing and footwear]])</f>
        <v>1</v>
      </c>
      <c r="AZ196">
        <f>TYPE(All_India_Index_Upto_April23__1[[#This Row],[Housing]])</f>
        <v>1</v>
      </c>
      <c r="BA196">
        <f>TYPE(All_India_Index_Upto_April23__1[[#This Row],[Fuel and light]])</f>
        <v>1</v>
      </c>
      <c r="BB196">
        <f>TYPE(All_India_Index_Upto_April23__1[[#This Row],[Household goods and services]])</f>
        <v>1</v>
      </c>
      <c r="BC196">
        <f>TYPE(All_India_Index_Upto_April23__1[[#This Row],[Health]])</f>
        <v>1</v>
      </c>
      <c r="BD196">
        <f>TYPE(All_India_Index_Upto_April23__1[[#This Row],[Transport and communication]])</f>
        <v>1</v>
      </c>
      <c r="BE196">
        <f>TYPE(All_India_Index_Upto_April23__1[[#This Row],[Recreation and amusement]])</f>
        <v>1</v>
      </c>
      <c r="BF196">
        <f>TYPE(All_India_Index_Upto_April23__1[[#This Row],[Education]])</f>
        <v>1</v>
      </c>
      <c r="BG196">
        <f>TYPE(All_India_Index_Upto_April23__1[[#This Row],[Personal care and effects]])</f>
        <v>1</v>
      </c>
      <c r="BH196">
        <f>TYPE(All_India_Index_Upto_April23__1[[#This Row],[Miscellaneous]])</f>
        <v>1</v>
      </c>
      <c r="BI196">
        <f>TYPE(All_India_Index_Upto_April23__1[[#This Row],[General index]])</f>
        <v>1</v>
      </c>
    </row>
    <row r="197" spans="1:61" x14ac:dyDescent="0.3">
      <c r="A197" t="s">
        <v>30</v>
      </c>
      <c r="B197">
        <v>2018</v>
      </c>
      <c r="C197" t="s">
        <v>38</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v>0</v>
      </c>
      <c r="V197">
        <v>145.1</v>
      </c>
      <c r="W197">
        <v>142.19999999999999</v>
      </c>
      <c r="X197">
        <v>138.4</v>
      </c>
      <c r="Y197">
        <v>127.4</v>
      </c>
      <c r="Z197">
        <v>137.80000000000001</v>
      </c>
      <c r="AA197">
        <v>145.1</v>
      </c>
      <c r="AB197">
        <v>131.4</v>
      </c>
      <c r="AC197">
        <v>135.6</v>
      </c>
      <c r="AD197">
        <v>140.5</v>
      </c>
      <c r="AF197">
        <f>TYPE(All_India_Index_Upto_April23__1[[#This Row],[Sector]])</f>
        <v>2</v>
      </c>
      <c r="AG197">
        <f>TYPE(All_India_Index_Upto_April23__1[[#This Row],[Year]])</f>
        <v>1</v>
      </c>
      <c r="AH197">
        <f>TYPE(All_India_Index_Upto_April23__1[[#This Row],[Month]])</f>
        <v>2</v>
      </c>
      <c r="AI197">
        <f>TYPE(All_India_Index_Upto_April23__1[[#This Row],[Cereals and products]])</f>
        <v>1</v>
      </c>
      <c r="AJ197">
        <f>TYPE(All_India_Index_Upto_April23__1[[#This Row],[Meat and fish]])</f>
        <v>1</v>
      </c>
      <c r="AK197">
        <f>TYPE(All_India_Index_Upto_April23__1[[#This Row],[Egg]])</f>
        <v>1</v>
      </c>
      <c r="AL197">
        <f>TYPE(All_India_Index_Upto_April23__1[[#This Row],[Milk and products]])</f>
        <v>1</v>
      </c>
      <c r="AM197">
        <f>TYPE(All_India_Index_Upto_April23__1[[#This Row],[Oils and fats]])</f>
        <v>1</v>
      </c>
      <c r="AN197">
        <f>TYPE(All_India_Index_Upto_April23__1[[#This Row],[Fruits]])</f>
        <v>1</v>
      </c>
      <c r="AO197">
        <f>TYPE(All_India_Index_Upto_April23__1[[#This Row],[Vegetables]])</f>
        <v>1</v>
      </c>
      <c r="AP197">
        <f>TYPE(All_India_Index_Upto_April23__1[[#This Row],[Pulses and products]])</f>
        <v>1</v>
      </c>
      <c r="AQ197">
        <f>TYPE(All_India_Index_Upto_April23__1[[#This Row],[Sugar and Confectionery]])</f>
        <v>1</v>
      </c>
      <c r="AR197">
        <f>TYPE(All_India_Index_Upto_April23__1[[#This Row],[Spices]])</f>
        <v>1</v>
      </c>
      <c r="AS197">
        <f>TYPE(All_India_Index_Upto_April23__1[[#This Row],[Non-alcoholic beverages]])</f>
        <v>1</v>
      </c>
      <c r="AT197">
        <f>TYPE(All_India_Index_Upto_April23__1[[#This Row],[Prepared meals, snacks, sweets etc.]])</f>
        <v>1</v>
      </c>
      <c r="AU197">
        <f>TYPE(All_India_Index_Upto_April23__1[[#This Row],[Food and beverages]])</f>
        <v>1</v>
      </c>
      <c r="AV197">
        <f>TYPE(All_India_Index_Upto_April23__1[[#This Row],[Pan, tobacco and intoxicants]])</f>
        <v>1</v>
      </c>
      <c r="AW197">
        <f>TYPE(All_India_Index_Upto_April23__1[[#This Row],[Clothing]])</f>
        <v>1</v>
      </c>
      <c r="AX197">
        <f>TYPE(All_India_Index_Upto_April23__1[[#This Row],[Footwear]])</f>
        <v>1</v>
      </c>
      <c r="AY197">
        <f>TYPE(All_India_Index_Upto_April23__1[[#This Row],[Clothing and footwear]])</f>
        <v>1</v>
      </c>
      <c r="AZ197">
        <f>TYPE(All_India_Index_Upto_April23__1[[#This Row],[Housing]])</f>
        <v>1</v>
      </c>
      <c r="BA197">
        <f>TYPE(All_India_Index_Upto_April23__1[[#This Row],[Fuel and light]])</f>
        <v>1</v>
      </c>
      <c r="BB197">
        <f>TYPE(All_India_Index_Upto_April23__1[[#This Row],[Household goods and services]])</f>
        <v>1</v>
      </c>
      <c r="BC197">
        <f>TYPE(All_India_Index_Upto_April23__1[[#This Row],[Health]])</f>
        <v>1</v>
      </c>
      <c r="BD197">
        <f>TYPE(All_India_Index_Upto_April23__1[[#This Row],[Transport and communication]])</f>
        <v>1</v>
      </c>
      <c r="BE197">
        <f>TYPE(All_India_Index_Upto_April23__1[[#This Row],[Recreation and amusement]])</f>
        <v>1</v>
      </c>
      <c r="BF197">
        <f>TYPE(All_India_Index_Upto_April23__1[[#This Row],[Education]])</f>
        <v>1</v>
      </c>
      <c r="BG197">
        <f>TYPE(All_India_Index_Upto_April23__1[[#This Row],[Personal care and effects]])</f>
        <v>1</v>
      </c>
      <c r="BH197">
        <f>TYPE(All_India_Index_Upto_April23__1[[#This Row],[Miscellaneous]])</f>
        <v>1</v>
      </c>
      <c r="BI197">
        <f>TYPE(All_India_Index_Upto_April23__1[[#This Row],[General index]])</f>
        <v>1</v>
      </c>
    </row>
    <row r="198" spans="1:61" x14ac:dyDescent="0.3">
      <c r="A198" t="s">
        <v>32</v>
      </c>
      <c r="B198">
        <v>2018</v>
      </c>
      <c r="C198" t="s">
        <v>38</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c r="AF198">
        <f>TYPE(All_India_Index_Upto_April23__1[[#This Row],[Sector]])</f>
        <v>2</v>
      </c>
      <c r="AG198">
        <f>TYPE(All_India_Index_Upto_April23__1[[#This Row],[Year]])</f>
        <v>1</v>
      </c>
      <c r="AH198">
        <f>TYPE(All_India_Index_Upto_April23__1[[#This Row],[Month]])</f>
        <v>2</v>
      </c>
      <c r="AI198">
        <f>TYPE(All_India_Index_Upto_April23__1[[#This Row],[Cereals and products]])</f>
        <v>1</v>
      </c>
      <c r="AJ198">
        <f>TYPE(All_India_Index_Upto_April23__1[[#This Row],[Meat and fish]])</f>
        <v>1</v>
      </c>
      <c r="AK198">
        <f>TYPE(All_India_Index_Upto_April23__1[[#This Row],[Egg]])</f>
        <v>1</v>
      </c>
      <c r="AL198">
        <f>TYPE(All_India_Index_Upto_April23__1[[#This Row],[Milk and products]])</f>
        <v>1</v>
      </c>
      <c r="AM198">
        <f>TYPE(All_India_Index_Upto_April23__1[[#This Row],[Oils and fats]])</f>
        <v>1</v>
      </c>
      <c r="AN198">
        <f>TYPE(All_India_Index_Upto_April23__1[[#This Row],[Fruits]])</f>
        <v>1</v>
      </c>
      <c r="AO198">
        <f>TYPE(All_India_Index_Upto_April23__1[[#This Row],[Vegetables]])</f>
        <v>1</v>
      </c>
      <c r="AP198">
        <f>TYPE(All_India_Index_Upto_April23__1[[#This Row],[Pulses and products]])</f>
        <v>1</v>
      </c>
      <c r="AQ198">
        <f>TYPE(All_India_Index_Upto_April23__1[[#This Row],[Sugar and Confectionery]])</f>
        <v>1</v>
      </c>
      <c r="AR198">
        <f>TYPE(All_India_Index_Upto_April23__1[[#This Row],[Spices]])</f>
        <v>1</v>
      </c>
      <c r="AS198">
        <f>TYPE(All_India_Index_Upto_April23__1[[#This Row],[Non-alcoholic beverages]])</f>
        <v>1</v>
      </c>
      <c r="AT198">
        <f>TYPE(All_India_Index_Upto_April23__1[[#This Row],[Prepared meals, snacks, sweets etc.]])</f>
        <v>1</v>
      </c>
      <c r="AU198">
        <f>TYPE(All_India_Index_Upto_April23__1[[#This Row],[Food and beverages]])</f>
        <v>1</v>
      </c>
      <c r="AV198">
        <f>TYPE(All_India_Index_Upto_April23__1[[#This Row],[Pan, tobacco and intoxicants]])</f>
        <v>1</v>
      </c>
      <c r="AW198">
        <f>TYPE(All_India_Index_Upto_April23__1[[#This Row],[Clothing]])</f>
        <v>1</v>
      </c>
      <c r="AX198">
        <f>TYPE(All_India_Index_Upto_April23__1[[#This Row],[Footwear]])</f>
        <v>1</v>
      </c>
      <c r="AY198">
        <f>TYPE(All_India_Index_Upto_April23__1[[#This Row],[Clothing and footwear]])</f>
        <v>1</v>
      </c>
      <c r="AZ198">
        <f>TYPE(All_India_Index_Upto_April23__1[[#This Row],[Housing]])</f>
        <v>1</v>
      </c>
      <c r="BA198">
        <f>TYPE(All_India_Index_Upto_April23__1[[#This Row],[Fuel and light]])</f>
        <v>1</v>
      </c>
      <c r="BB198">
        <f>TYPE(All_India_Index_Upto_April23__1[[#This Row],[Household goods and services]])</f>
        <v>1</v>
      </c>
      <c r="BC198">
        <f>TYPE(All_India_Index_Upto_April23__1[[#This Row],[Health]])</f>
        <v>1</v>
      </c>
      <c r="BD198">
        <f>TYPE(All_India_Index_Upto_April23__1[[#This Row],[Transport and communication]])</f>
        <v>1</v>
      </c>
      <c r="BE198">
        <f>TYPE(All_India_Index_Upto_April23__1[[#This Row],[Recreation and amusement]])</f>
        <v>1</v>
      </c>
      <c r="BF198">
        <f>TYPE(All_India_Index_Upto_April23__1[[#This Row],[Education]])</f>
        <v>1</v>
      </c>
      <c r="BG198">
        <f>TYPE(All_India_Index_Upto_April23__1[[#This Row],[Personal care and effects]])</f>
        <v>1</v>
      </c>
      <c r="BH198">
        <f>TYPE(All_India_Index_Upto_April23__1[[#This Row],[Miscellaneous]])</f>
        <v>1</v>
      </c>
      <c r="BI198">
        <f>TYPE(All_India_Index_Upto_April23__1[[#This Row],[General index]])</f>
        <v>1</v>
      </c>
    </row>
    <row r="199" spans="1:61" x14ac:dyDescent="0.3">
      <c r="A199" t="s">
        <v>33</v>
      </c>
      <c r="B199">
        <v>2018</v>
      </c>
      <c r="C199" t="s">
        <v>38</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c r="AF199">
        <f>TYPE(All_India_Index_Upto_April23__1[[#This Row],[Sector]])</f>
        <v>2</v>
      </c>
      <c r="AG199">
        <f>TYPE(All_India_Index_Upto_April23__1[[#This Row],[Year]])</f>
        <v>1</v>
      </c>
      <c r="AH199">
        <f>TYPE(All_India_Index_Upto_April23__1[[#This Row],[Month]])</f>
        <v>2</v>
      </c>
      <c r="AI199">
        <f>TYPE(All_India_Index_Upto_April23__1[[#This Row],[Cereals and products]])</f>
        <v>1</v>
      </c>
      <c r="AJ199">
        <f>TYPE(All_India_Index_Upto_April23__1[[#This Row],[Meat and fish]])</f>
        <v>1</v>
      </c>
      <c r="AK199">
        <f>TYPE(All_India_Index_Upto_April23__1[[#This Row],[Egg]])</f>
        <v>1</v>
      </c>
      <c r="AL199">
        <f>TYPE(All_India_Index_Upto_April23__1[[#This Row],[Milk and products]])</f>
        <v>1</v>
      </c>
      <c r="AM199">
        <f>TYPE(All_India_Index_Upto_April23__1[[#This Row],[Oils and fats]])</f>
        <v>1</v>
      </c>
      <c r="AN199">
        <f>TYPE(All_India_Index_Upto_April23__1[[#This Row],[Fruits]])</f>
        <v>1</v>
      </c>
      <c r="AO199">
        <f>TYPE(All_India_Index_Upto_April23__1[[#This Row],[Vegetables]])</f>
        <v>1</v>
      </c>
      <c r="AP199">
        <f>TYPE(All_India_Index_Upto_April23__1[[#This Row],[Pulses and products]])</f>
        <v>1</v>
      </c>
      <c r="AQ199">
        <f>TYPE(All_India_Index_Upto_April23__1[[#This Row],[Sugar and Confectionery]])</f>
        <v>1</v>
      </c>
      <c r="AR199">
        <f>TYPE(All_India_Index_Upto_April23__1[[#This Row],[Spices]])</f>
        <v>1</v>
      </c>
      <c r="AS199">
        <f>TYPE(All_India_Index_Upto_April23__1[[#This Row],[Non-alcoholic beverages]])</f>
        <v>1</v>
      </c>
      <c r="AT199">
        <f>TYPE(All_India_Index_Upto_April23__1[[#This Row],[Prepared meals, snacks, sweets etc.]])</f>
        <v>1</v>
      </c>
      <c r="AU199">
        <f>TYPE(All_India_Index_Upto_April23__1[[#This Row],[Food and beverages]])</f>
        <v>1</v>
      </c>
      <c r="AV199">
        <f>TYPE(All_India_Index_Upto_April23__1[[#This Row],[Pan, tobacco and intoxicants]])</f>
        <v>1</v>
      </c>
      <c r="AW199">
        <f>TYPE(All_India_Index_Upto_April23__1[[#This Row],[Clothing]])</f>
        <v>1</v>
      </c>
      <c r="AX199">
        <f>TYPE(All_India_Index_Upto_April23__1[[#This Row],[Footwear]])</f>
        <v>1</v>
      </c>
      <c r="AY199">
        <f>TYPE(All_India_Index_Upto_April23__1[[#This Row],[Clothing and footwear]])</f>
        <v>1</v>
      </c>
      <c r="AZ199">
        <f>TYPE(All_India_Index_Upto_April23__1[[#This Row],[Housing]])</f>
        <v>1</v>
      </c>
      <c r="BA199">
        <f>TYPE(All_India_Index_Upto_April23__1[[#This Row],[Fuel and light]])</f>
        <v>1</v>
      </c>
      <c r="BB199">
        <f>TYPE(All_India_Index_Upto_April23__1[[#This Row],[Household goods and services]])</f>
        <v>1</v>
      </c>
      <c r="BC199">
        <f>TYPE(All_India_Index_Upto_April23__1[[#This Row],[Health]])</f>
        <v>1</v>
      </c>
      <c r="BD199">
        <f>TYPE(All_India_Index_Upto_April23__1[[#This Row],[Transport and communication]])</f>
        <v>1</v>
      </c>
      <c r="BE199">
        <f>TYPE(All_India_Index_Upto_April23__1[[#This Row],[Recreation and amusement]])</f>
        <v>1</v>
      </c>
      <c r="BF199">
        <f>TYPE(All_India_Index_Upto_April23__1[[#This Row],[Education]])</f>
        <v>1</v>
      </c>
      <c r="BG199">
        <f>TYPE(All_India_Index_Upto_April23__1[[#This Row],[Personal care and effects]])</f>
        <v>1</v>
      </c>
      <c r="BH199">
        <f>TYPE(All_India_Index_Upto_April23__1[[#This Row],[Miscellaneous]])</f>
        <v>1</v>
      </c>
      <c r="BI199">
        <f>TYPE(All_India_Index_Upto_April23__1[[#This Row],[General index]])</f>
        <v>1</v>
      </c>
    </row>
    <row r="200" spans="1:61" x14ac:dyDescent="0.3">
      <c r="A200" t="s">
        <v>30</v>
      </c>
      <c r="B200">
        <v>2018</v>
      </c>
      <c r="C200" t="s">
        <v>39</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v>0</v>
      </c>
      <c r="V200">
        <v>146.80000000000001</v>
      </c>
      <c r="W200">
        <v>143.1</v>
      </c>
      <c r="X200">
        <v>139</v>
      </c>
      <c r="Y200">
        <v>127.5</v>
      </c>
      <c r="Z200">
        <v>138.4</v>
      </c>
      <c r="AA200">
        <v>145.80000000000001</v>
      </c>
      <c r="AB200">
        <v>131.4</v>
      </c>
      <c r="AC200">
        <v>136</v>
      </c>
      <c r="AD200">
        <v>141.80000000000001</v>
      </c>
      <c r="AF200">
        <f>TYPE(All_India_Index_Upto_April23__1[[#This Row],[Sector]])</f>
        <v>2</v>
      </c>
      <c r="AG200">
        <f>TYPE(All_India_Index_Upto_April23__1[[#This Row],[Year]])</f>
        <v>1</v>
      </c>
      <c r="AH200">
        <f>TYPE(All_India_Index_Upto_April23__1[[#This Row],[Month]])</f>
        <v>2</v>
      </c>
      <c r="AI200">
        <f>TYPE(All_India_Index_Upto_April23__1[[#This Row],[Cereals and products]])</f>
        <v>1</v>
      </c>
      <c r="AJ200">
        <f>TYPE(All_India_Index_Upto_April23__1[[#This Row],[Meat and fish]])</f>
        <v>1</v>
      </c>
      <c r="AK200">
        <f>TYPE(All_India_Index_Upto_April23__1[[#This Row],[Egg]])</f>
        <v>1</v>
      </c>
      <c r="AL200">
        <f>TYPE(All_India_Index_Upto_April23__1[[#This Row],[Milk and products]])</f>
        <v>1</v>
      </c>
      <c r="AM200">
        <f>TYPE(All_India_Index_Upto_April23__1[[#This Row],[Oils and fats]])</f>
        <v>1</v>
      </c>
      <c r="AN200">
        <f>TYPE(All_India_Index_Upto_April23__1[[#This Row],[Fruits]])</f>
        <v>1</v>
      </c>
      <c r="AO200">
        <f>TYPE(All_India_Index_Upto_April23__1[[#This Row],[Vegetables]])</f>
        <v>1</v>
      </c>
      <c r="AP200">
        <f>TYPE(All_India_Index_Upto_April23__1[[#This Row],[Pulses and products]])</f>
        <v>1</v>
      </c>
      <c r="AQ200">
        <f>TYPE(All_India_Index_Upto_April23__1[[#This Row],[Sugar and Confectionery]])</f>
        <v>1</v>
      </c>
      <c r="AR200">
        <f>TYPE(All_India_Index_Upto_April23__1[[#This Row],[Spices]])</f>
        <v>1</v>
      </c>
      <c r="AS200">
        <f>TYPE(All_India_Index_Upto_April23__1[[#This Row],[Non-alcoholic beverages]])</f>
        <v>1</v>
      </c>
      <c r="AT200">
        <f>TYPE(All_India_Index_Upto_April23__1[[#This Row],[Prepared meals, snacks, sweets etc.]])</f>
        <v>1</v>
      </c>
      <c r="AU200">
        <f>TYPE(All_India_Index_Upto_April23__1[[#This Row],[Food and beverages]])</f>
        <v>1</v>
      </c>
      <c r="AV200">
        <f>TYPE(All_India_Index_Upto_April23__1[[#This Row],[Pan, tobacco and intoxicants]])</f>
        <v>1</v>
      </c>
      <c r="AW200">
        <f>TYPE(All_India_Index_Upto_April23__1[[#This Row],[Clothing]])</f>
        <v>1</v>
      </c>
      <c r="AX200">
        <f>TYPE(All_India_Index_Upto_April23__1[[#This Row],[Footwear]])</f>
        <v>1</v>
      </c>
      <c r="AY200">
        <f>TYPE(All_India_Index_Upto_April23__1[[#This Row],[Clothing and footwear]])</f>
        <v>1</v>
      </c>
      <c r="AZ200">
        <f>TYPE(All_India_Index_Upto_April23__1[[#This Row],[Housing]])</f>
        <v>1</v>
      </c>
      <c r="BA200">
        <f>TYPE(All_India_Index_Upto_April23__1[[#This Row],[Fuel and light]])</f>
        <v>1</v>
      </c>
      <c r="BB200">
        <f>TYPE(All_India_Index_Upto_April23__1[[#This Row],[Household goods and services]])</f>
        <v>1</v>
      </c>
      <c r="BC200">
        <f>TYPE(All_India_Index_Upto_April23__1[[#This Row],[Health]])</f>
        <v>1</v>
      </c>
      <c r="BD200">
        <f>TYPE(All_India_Index_Upto_April23__1[[#This Row],[Transport and communication]])</f>
        <v>1</v>
      </c>
      <c r="BE200">
        <f>TYPE(All_India_Index_Upto_April23__1[[#This Row],[Recreation and amusement]])</f>
        <v>1</v>
      </c>
      <c r="BF200">
        <f>TYPE(All_India_Index_Upto_April23__1[[#This Row],[Education]])</f>
        <v>1</v>
      </c>
      <c r="BG200">
        <f>TYPE(All_India_Index_Upto_April23__1[[#This Row],[Personal care and effects]])</f>
        <v>1</v>
      </c>
      <c r="BH200">
        <f>TYPE(All_India_Index_Upto_April23__1[[#This Row],[Miscellaneous]])</f>
        <v>1</v>
      </c>
      <c r="BI200">
        <f>TYPE(All_India_Index_Upto_April23__1[[#This Row],[General index]])</f>
        <v>1</v>
      </c>
    </row>
    <row r="201" spans="1:61" x14ac:dyDescent="0.3">
      <c r="A201" t="s">
        <v>32</v>
      </c>
      <c r="B201">
        <v>2018</v>
      </c>
      <c r="C201" t="s">
        <v>39</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c r="AF201">
        <f>TYPE(All_India_Index_Upto_April23__1[[#This Row],[Sector]])</f>
        <v>2</v>
      </c>
      <c r="AG201">
        <f>TYPE(All_India_Index_Upto_April23__1[[#This Row],[Year]])</f>
        <v>1</v>
      </c>
      <c r="AH201">
        <f>TYPE(All_India_Index_Upto_April23__1[[#This Row],[Month]])</f>
        <v>2</v>
      </c>
      <c r="AI201">
        <f>TYPE(All_India_Index_Upto_April23__1[[#This Row],[Cereals and products]])</f>
        <v>1</v>
      </c>
      <c r="AJ201">
        <f>TYPE(All_India_Index_Upto_April23__1[[#This Row],[Meat and fish]])</f>
        <v>1</v>
      </c>
      <c r="AK201">
        <f>TYPE(All_India_Index_Upto_April23__1[[#This Row],[Egg]])</f>
        <v>1</v>
      </c>
      <c r="AL201">
        <f>TYPE(All_India_Index_Upto_April23__1[[#This Row],[Milk and products]])</f>
        <v>1</v>
      </c>
      <c r="AM201">
        <f>TYPE(All_India_Index_Upto_April23__1[[#This Row],[Oils and fats]])</f>
        <v>1</v>
      </c>
      <c r="AN201">
        <f>TYPE(All_India_Index_Upto_April23__1[[#This Row],[Fruits]])</f>
        <v>1</v>
      </c>
      <c r="AO201">
        <f>TYPE(All_India_Index_Upto_April23__1[[#This Row],[Vegetables]])</f>
        <v>1</v>
      </c>
      <c r="AP201">
        <f>TYPE(All_India_Index_Upto_April23__1[[#This Row],[Pulses and products]])</f>
        <v>1</v>
      </c>
      <c r="AQ201">
        <f>TYPE(All_India_Index_Upto_April23__1[[#This Row],[Sugar and Confectionery]])</f>
        <v>1</v>
      </c>
      <c r="AR201">
        <f>TYPE(All_India_Index_Upto_April23__1[[#This Row],[Spices]])</f>
        <v>1</v>
      </c>
      <c r="AS201">
        <f>TYPE(All_India_Index_Upto_April23__1[[#This Row],[Non-alcoholic beverages]])</f>
        <v>1</v>
      </c>
      <c r="AT201">
        <f>TYPE(All_India_Index_Upto_April23__1[[#This Row],[Prepared meals, snacks, sweets etc.]])</f>
        <v>1</v>
      </c>
      <c r="AU201">
        <f>TYPE(All_India_Index_Upto_April23__1[[#This Row],[Food and beverages]])</f>
        <v>1</v>
      </c>
      <c r="AV201">
        <f>TYPE(All_India_Index_Upto_April23__1[[#This Row],[Pan, tobacco and intoxicants]])</f>
        <v>1</v>
      </c>
      <c r="AW201">
        <f>TYPE(All_India_Index_Upto_April23__1[[#This Row],[Clothing]])</f>
        <v>1</v>
      </c>
      <c r="AX201">
        <f>TYPE(All_India_Index_Upto_April23__1[[#This Row],[Footwear]])</f>
        <v>1</v>
      </c>
      <c r="AY201">
        <f>TYPE(All_India_Index_Upto_April23__1[[#This Row],[Clothing and footwear]])</f>
        <v>1</v>
      </c>
      <c r="AZ201">
        <f>TYPE(All_India_Index_Upto_April23__1[[#This Row],[Housing]])</f>
        <v>1</v>
      </c>
      <c r="BA201">
        <f>TYPE(All_India_Index_Upto_April23__1[[#This Row],[Fuel and light]])</f>
        <v>1</v>
      </c>
      <c r="BB201">
        <f>TYPE(All_India_Index_Upto_April23__1[[#This Row],[Household goods and services]])</f>
        <v>1</v>
      </c>
      <c r="BC201">
        <f>TYPE(All_India_Index_Upto_April23__1[[#This Row],[Health]])</f>
        <v>1</v>
      </c>
      <c r="BD201">
        <f>TYPE(All_India_Index_Upto_April23__1[[#This Row],[Transport and communication]])</f>
        <v>1</v>
      </c>
      <c r="BE201">
        <f>TYPE(All_India_Index_Upto_April23__1[[#This Row],[Recreation and amusement]])</f>
        <v>1</v>
      </c>
      <c r="BF201">
        <f>TYPE(All_India_Index_Upto_April23__1[[#This Row],[Education]])</f>
        <v>1</v>
      </c>
      <c r="BG201">
        <f>TYPE(All_India_Index_Upto_April23__1[[#This Row],[Personal care and effects]])</f>
        <v>1</v>
      </c>
      <c r="BH201">
        <f>TYPE(All_India_Index_Upto_April23__1[[#This Row],[Miscellaneous]])</f>
        <v>1</v>
      </c>
      <c r="BI201">
        <f>TYPE(All_India_Index_Upto_April23__1[[#This Row],[General index]])</f>
        <v>1</v>
      </c>
    </row>
    <row r="202" spans="1:61" x14ac:dyDescent="0.3">
      <c r="A202" t="s">
        <v>33</v>
      </c>
      <c r="B202">
        <v>2018</v>
      </c>
      <c r="C202" t="s">
        <v>39</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c r="AF202">
        <f>TYPE(All_India_Index_Upto_April23__1[[#This Row],[Sector]])</f>
        <v>2</v>
      </c>
      <c r="AG202">
        <f>TYPE(All_India_Index_Upto_April23__1[[#This Row],[Year]])</f>
        <v>1</v>
      </c>
      <c r="AH202">
        <f>TYPE(All_India_Index_Upto_April23__1[[#This Row],[Month]])</f>
        <v>2</v>
      </c>
      <c r="AI202">
        <f>TYPE(All_India_Index_Upto_April23__1[[#This Row],[Cereals and products]])</f>
        <v>1</v>
      </c>
      <c r="AJ202">
        <f>TYPE(All_India_Index_Upto_April23__1[[#This Row],[Meat and fish]])</f>
        <v>1</v>
      </c>
      <c r="AK202">
        <f>TYPE(All_India_Index_Upto_April23__1[[#This Row],[Egg]])</f>
        <v>1</v>
      </c>
      <c r="AL202">
        <f>TYPE(All_India_Index_Upto_April23__1[[#This Row],[Milk and products]])</f>
        <v>1</v>
      </c>
      <c r="AM202">
        <f>TYPE(All_India_Index_Upto_April23__1[[#This Row],[Oils and fats]])</f>
        <v>1</v>
      </c>
      <c r="AN202">
        <f>TYPE(All_India_Index_Upto_April23__1[[#This Row],[Fruits]])</f>
        <v>1</v>
      </c>
      <c r="AO202">
        <f>TYPE(All_India_Index_Upto_April23__1[[#This Row],[Vegetables]])</f>
        <v>1</v>
      </c>
      <c r="AP202">
        <f>TYPE(All_India_Index_Upto_April23__1[[#This Row],[Pulses and products]])</f>
        <v>1</v>
      </c>
      <c r="AQ202">
        <f>TYPE(All_India_Index_Upto_April23__1[[#This Row],[Sugar and Confectionery]])</f>
        <v>1</v>
      </c>
      <c r="AR202">
        <f>TYPE(All_India_Index_Upto_April23__1[[#This Row],[Spices]])</f>
        <v>1</v>
      </c>
      <c r="AS202">
        <f>TYPE(All_India_Index_Upto_April23__1[[#This Row],[Non-alcoholic beverages]])</f>
        <v>1</v>
      </c>
      <c r="AT202">
        <f>TYPE(All_India_Index_Upto_April23__1[[#This Row],[Prepared meals, snacks, sweets etc.]])</f>
        <v>1</v>
      </c>
      <c r="AU202">
        <f>TYPE(All_India_Index_Upto_April23__1[[#This Row],[Food and beverages]])</f>
        <v>1</v>
      </c>
      <c r="AV202">
        <f>TYPE(All_India_Index_Upto_April23__1[[#This Row],[Pan, tobacco and intoxicants]])</f>
        <v>1</v>
      </c>
      <c r="AW202">
        <f>TYPE(All_India_Index_Upto_April23__1[[#This Row],[Clothing]])</f>
        <v>1</v>
      </c>
      <c r="AX202">
        <f>TYPE(All_India_Index_Upto_April23__1[[#This Row],[Footwear]])</f>
        <v>1</v>
      </c>
      <c r="AY202">
        <f>TYPE(All_India_Index_Upto_April23__1[[#This Row],[Clothing and footwear]])</f>
        <v>1</v>
      </c>
      <c r="AZ202">
        <f>TYPE(All_India_Index_Upto_April23__1[[#This Row],[Housing]])</f>
        <v>1</v>
      </c>
      <c r="BA202">
        <f>TYPE(All_India_Index_Upto_April23__1[[#This Row],[Fuel and light]])</f>
        <v>1</v>
      </c>
      <c r="BB202">
        <f>TYPE(All_India_Index_Upto_April23__1[[#This Row],[Household goods and services]])</f>
        <v>1</v>
      </c>
      <c r="BC202">
        <f>TYPE(All_India_Index_Upto_April23__1[[#This Row],[Health]])</f>
        <v>1</v>
      </c>
      <c r="BD202">
        <f>TYPE(All_India_Index_Upto_April23__1[[#This Row],[Transport and communication]])</f>
        <v>1</v>
      </c>
      <c r="BE202">
        <f>TYPE(All_India_Index_Upto_April23__1[[#This Row],[Recreation and amusement]])</f>
        <v>1</v>
      </c>
      <c r="BF202">
        <f>TYPE(All_India_Index_Upto_April23__1[[#This Row],[Education]])</f>
        <v>1</v>
      </c>
      <c r="BG202">
        <f>TYPE(All_India_Index_Upto_April23__1[[#This Row],[Personal care and effects]])</f>
        <v>1</v>
      </c>
      <c r="BH202">
        <f>TYPE(All_India_Index_Upto_April23__1[[#This Row],[Miscellaneous]])</f>
        <v>1</v>
      </c>
      <c r="BI202">
        <f>TYPE(All_India_Index_Upto_April23__1[[#This Row],[General index]])</f>
        <v>1</v>
      </c>
    </row>
    <row r="203" spans="1:61" x14ac:dyDescent="0.3">
      <c r="A203" t="s">
        <v>30</v>
      </c>
      <c r="B203">
        <v>2018</v>
      </c>
      <c r="C203" t="s">
        <v>40</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v>0</v>
      </c>
      <c r="V203">
        <v>147.69999999999999</v>
      </c>
      <c r="W203">
        <v>143.80000000000001</v>
      </c>
      <c r="X203">
        <v>139.4</v>
      </c>
      <c r="Y203">
        <v>128.30000000000001</v>
      </c>
      <c r="Z203">
        <v>138.6</v>
      </c>
      <c r="AA203">
        <v>146.9</v>
      </c>
      <c r="AB203">
        <v>131.30000000000001</v>
      </c>
      <c r="AC203">
        <v>136.6</v>
      </c>
      <c r="AD203">
        <v>142.5</v>
      </c>
      <c r="AF203">
        <f>TYPE(All_India_Index_Upto_April23__1[[#This Row],[Sector]])</f>
        <v>2</v>
      </c>
      <c r="AG203">
        <f>TYPE(All_India_Index_Upto_April23__1[[#This Row],[Year]])</f>
        <v>1</v>
      </c>
      <c r="AH203">
        <f>TYPE(All_India_Index_Upto_April23__1[[#This Row],[Month]])</f>
        <v>2</v>
      </c>
      <c r="AI203">
        <f>TYPE(All_India_Index_Upto_April23__1[[#This Row],[Cereals and products]])</f>
        <v>1</v>
      </c>
      <c r="AJ203">
        <f>TYPE(All_India_Index_Upto_April23__1[[#This Row],[Meat and fish]])</f>
        <v>1</v>
      </c>
      <c r="AK203">
        <f>TYPE(All_India_Index_Upto_April23__1[[#This Row],[Egg]])</f>
        <v>1</v>
      </c>
      <c r="AL203">
        <f>TYPE(All_India_Index_Upto_April23__1[[#This Row],[Milk and products]])</f>
        <v>1</v>
      </c>
      <c r="AM203">
        <f>TYPE(All_India_Index_Upto_April23__1[[#This Row],[Oils and fats]])</f>
        <v>1</v>
      </c>
      <c r="AN203">
        <f>TYPE(All_India_Index_Upto_April23__1[[#This Row],[Fruits]])</f>
        <v>1</v>
      </c>
      <c r="AO203">
        <f>TYPE(All_India_Index_Upto_April23__1[[#This Row],[Vegetables]])</f>
        <v>1</v>
      </c>
      <c r="AP203">
        <f>TYPE(All_India_Index_Upto_April23__1[[#This Row],[Pulses and products]])</f>
        <v>1</v>
      </c>
      <c r="AQ203">
        <f>TYPE(All_India_Index_Upto_April23__1[[#This Row],[Sugar and Confectionery]])</f>
        <v>1</v>
      </c>
      <c r="AR203">
        <f>TYPE(All_India_Index_Upto_April23__1[[#This Row],[Spices]])</f>
        <v>1</v>
      </c>
      <c r="AS203">
        <f>TYPE(All_India_Index_Upto_April23__1[[#This Row],[Non-alcoholic beverages]])</f>
        <v>1</v>
      </c>
      <c r="AT203">
        <f>TYPE(All_India_Index_Upto_April23__1[[#This Row],[Prepared meals, snacks, sweets etc.]])</f>
        <v>1</v>
      </c>
      <c r="AU203">
        <f>TYPE(All_India_Index_Upto_April23__1[[#This Row],[Food and beverages]])</f>
        <v>1</v>
      </c>
      <c r="AV203">
        <f>TYPE(All_India_Index_Upto_April23__1[[#This Row],[Pan, tobacco and intoxicants]])</f>
        <v>1</v>
      </c>
      <c r="AW203">
        <f>TYPE(All_India_Index_Upto_April23__1[[#This Row],[Clothing]])</f>
        <v>1</v>
      </c>
      <c r="AX203">
        <f>TYPE(All_India_Index_Upto_April23__1[[#This Row],[Footwear]])</f>
        <v>1</v>
      </c>
      <c r="AY203">
        <f>TYPE(All_India_Index_Upto_April23__1[[#This Row],[Clothing and footwear]])</f>
        <v>1</v>
      </c>
      <c r="AZ203">
        <f>TYPE(All_India_Index_Upto_April23__1[[#This Row],[Housing]])</f>
        <v>1</v>
      </c>
      <c r="BA203">
        <f>TYPE(All_India_Index_Upto_April23__1[[#This Row],[Fuel and light]])</f>
        <v>1</v>
      </c>
      <c r="BB203">
        <f>TYPE(All_India_Index_Upto_April23__1[[#This Row],[Household goods and services]])</f>
        <v>1</v>
      </c>
      <c r="BC203">
        <f>TYPE(All_India_Index_Upto_April23__1[[#This Row],[Health]])</f>
        <v>1</v>
      </c>
      <c r="BD203">
        <f>TYPE(All_India_Index_Upto_April23__1[[#This Row],[Transport and communication]])</f>
        <v>1</v>
      </c>
      <c r="BE203">
        <f>TYPE(All_India_Index_Upto_April23__1[[#This Row],[Recreation and amusement]])</f>
        <v>1</v>
      </c>
      <c r="BF203">
        <f>TYPE(All_India_Index_Upto_April23__1[[#This Row],[Education]])</f>
        <v>1</v>
      </c>
      <c r="BG203">
        <f>TYPE(All_India_Index_Upto_April23__1[[#This Row],[Personal care and effects]])</f>
        <v>1</v>
      </c>
      <c r="BH203">
        <f>TYPE(All_India_Index_Upto_April23__1[[#This Row],[Miscellaneous]])</f>
        <v>1</v>
      </c>
      <c r="BI203">
        <f>TYPE(All_India_Index_Upto_April23__1[[#This Row],[General index]])</f>
        <v>1</v>
      </c>
    </row>
    <row r="204" spans="1:61" x14ac:dyDescent="0.3">
      <c r="A204" t="s">
        <v>32</v>
      </c>
      <c r="B204">
        <v>2018</v>
      </c>
      <c r="C204" t="s">
        <v>40</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c r="AF204">
        <f>TYPE(All_India_Index_Upto_April23__1[[#This Row],[Sector]])</f>
        <v>2</v>
      </c>
      <c r="AG204">
        <f>TYPE(All_India_Index_Upto_April23__1[[#This Row],[Year]])</f>
        <v>1</v>
      </c>
      <c r="AH204">
        <f>TYPE(All_India_Index_Upto_April23__1[[#This Row],[Month]])</f>
        <v>2</v>
      </c>
      <c r="AI204">
        <f>TYPE(All_India_Index_Upto_April23__1[[#This Row],[Cereals and products]])</f>
        <v>1</v>
      </c>
      <c r="AJ204">
        <f>TYPE(All_India_Index_Upto_April23__1[[#This Row],[Meat and fish]])</f>
        <v>1</v>
      </c>
      <c r="AK204">
        <f>TYPE(All_India_Index_Upto_April23__1[[#This Row],[Egg]])</f>
        <v>1</v>
      </c>
      <c r="AL204">
        <f>TYPE(All_India_Index_Upto_April23__1[[#This Row],[Milk and products]])</f>
        <v>1</v>
      </c>
      <c r="AM204">
        <f>TYPE(All_India_Index_Upto_April23__1[[#This Row],[Oils and fats]])</f>
        <v>1</v>
      </c>
      <c r="AN204">
        <f>TYPE(All_India_Index_Upto_April23__1[[#This Row],[Fruits]])</f>
        <v>1</v>
      </c>
      <c r="AO204">
        <f>TYPE(All_India_Index_Upto_April23__1[[#This Row],[Vegetables]])</f>
        <v>1</v>
      </c>
      <c r="AP204">
        <f>TYPE(All_India_Index_Upto_April23__1[[#This Row],[Pulses and products]])</f>
        <v>1</v>
      </c>
      <c r="AQ204">
        <f>TYPE(All_India_Index_Upto_April23__1[[#This Row],[Sugar and Confectionery]])</f>
        <v>1</v>
      </c>
      <c r="AR204">
        <f>TYPE(All_India_Index_Upto_April23__1[[#This Row],[Spices]])</f>
        <v>1</v>
      </c>
      <c r="AS204">
        <f>TYPE(All_India_Index_Upto_April23__1[[#This Row],[Non-alcoholic beverages]])</f>
        <v>1</v>
      </c>
      <c r="AT204">
        <f>TYPE(All_India_Index_Upto_April23__1[[#This Row],[Prepared meals, snacks, sweets etc.]])</f>
        <v>1</v>
      </c>
      <c r="AU204">
        <f>TYPE(All_India_Index_Upto_April23__1[[#This Row],[Food and beverages]])</f>
        <v>1</v>
      </c>
      <c r="AV204">
        <f>TYPE(All_India_Index_Upto_April23__1[[#This Row],[Pan, tobacco and intoxicants]])</f>
        <v>1</v>
      </c>
      <c r="AW204">
        <f>TYPE(All_India_Index_Upto_April23__1[[#This Row],[Clothing]])</f>
        <v>1</v>
      </c>
      <c r="AX204">
        <f>TYPE(All_India_Index_Upto_April23__1[[#This Row],[Footwear]])</f>
        <v>1</v>
      </c>
      <c r="AY204">
        <f>TYPE(All_India_Index_Upto_April23__1[[#This Row],[Clothing and footwear]])</f>
        <v>1</v>
      </c>
      <c r="AZ204">
        <f>TYPE(All_India_Index_Upto_April23__1[[#This Row],[Housing]])</f>
        <v>1</v>
      </c>
      <c r="BA204">
        <f>TYPE(All_India_Index_Upto_April23__1[[#This Row],[Fuel and light]])</f>
        <v>1</v>
      </c>
      <c r="BB204">
        <f>TYPE(All_India_Index_Upto_April23__1[[#This Row],[Household goods and services]])</f>
        <v>1</v>
      </c>
      <c r="BC204">
        <f>TYPE(All_India_Index_Upto_April23__1[[#This Row],[Health]])</f>
        <v>1</v>
      </c>
      <c r="BD204">
        <f>TYPE(All_India_Index_Upto_April23__1[[#This Row],[Transport and communication]])</f>
        <v>1</v>
      </c>
      <c r="BE204">
        <f>TYPE(All_India_Index_Upto_April23__1[[#This Row],[Recreation and amusement]])</f>
        <v>1</v>
      </c>
      <c r="BF204">
        <f>TYPE(All_India_Index_Upto_April23__1[[#This Row],[Education]])</f>
        <v>1</v>
      </c>
      <c r="BG204">
        <f>TYPE(All_India_Index_Upto_April23__1[[#This Row],[Personal care and effects]])</f>
        <v>1</v>
      </c>
      <c r="BH204">
        <f>TYPE(All_India_Index_Upto_April23__1[[#This Row],[Miscellaneous]])</f>
        <v>1</v>
      </c>
      <c r="BI204">
        <f>TYPE(All_India_Index_Upto_April23__1[[#This Row],[General index]])</f>
        <v>1</v>
      </c>
    </row>
    <row r="205" spans="1:61" x14ac:dyDescent="0.3">
      <c r="A205" t="s">
        <v>33</v>
      </c>
      <c r="B205">
        <v>2018</v>
      </c>
      <c r="C205" t="s">
        <v>40</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c r="AF205">
        <f>TYPE(All_India_Index_Upto_April23__1[[#This Row],[Sector]])</f>
        <v>2</v>
      </c>
      <c r="AG205">
        <f>TYPE(All_India_Index_Upto_April23__1[[#This Row],[Year]])</f>
        <v>1</v>
      </c>
      <c r="AH205">
        <f>TYPE(All_India_Index_Upto_April23__1[[#This Row],[Month]])</f>
        <v>2</v>
      </c>
      <c r="AI205">
        <f>TYPE(All_India_Index_Upto_April23__1[[#This Row],[Cereals and products]])</f>
        <v>1</v>
      </c>
      <c r="AJ205">
        <f>TYPE(All_India_Index_Upto_April23__1[[#This Row],[Meat and fish]])</f>
        <v>1</v>
      </c>
      <c r="AK205">
        <f>TYPE(All_India_Index_Upto_April23__1[[#This Row],[Egg]])</f>
        <v>1</v>
      </c>
      <c r="AL205">
        <f>TYPE(All_India_Index_Upto_April23__1[[#This Row],[Milk and products]])</f>
        <v>1</v>
      </c>
      <c r="AM205">
        <f>TYPE(All_India_Index_Upto_April23__1[[#This Row],[Oils and fats]])</f>
        <v>1</v>
      </c>
      <c r="AN205">
        <f>TYPE(All_India_Index_Upto_April23__1[[#This Row],[Fruits]])</f>
        <v>1</v>
      </c>
      <c r="AO205">
        <f>TYPE(All_India_Index_Upto_April23__1[[#This Row],[Vegetables]])</f>
        <v>1</v>
      </c>
      <c r="AP205">
        <f>TYPE(All_India_Index_Upto_April23__1[[#This Row],[Pulses and products]])</f>
        <v>1</v>
      </c>
      <c r="AQ205">
        <f>TYPE(All_India_Index_Upto_April23__1[[#This Row],[Sugar and Confectionery]])</f>
        <v>1</v>
      </c>
      <c r="AR205">
        <f>TYPE(All_India_Index_Upto_April23__1[[#This Row],[Spices]])</f>
        <v>1</v>
      </c>
      <c r="AS205">
        <f>TYPE(All_India_Index_Upto_April23__1[[#This Row],[Non-alcoholic beverages]])</f>
        <v>1</v>
      </c>
      <c r="AT205">
        <f>TYPE(All_India_Index_Upto_April23__1[[#This Row],[Prepared meals, snacks, sweets etc.]])</f>
        <v>1</v>
      </c>
      <c r="AU205">
        <f>TYPE(All_India_Index_Upto_April23__1[[#This Row],[Food and beverages]])</f>
        <v>1</v>
      </c>
      <c r="AV205">
        <f>TYPE(All_India_Index_Upto_April23__1[[#This Row],[Pan, tobacco and intoxicants]])</f>
        <v>1</v>
      </c>
      <c r="AW205">
        <f>TYPE(All_India_Index_Upto_April23__1[[#This Row],[Clothing]])</f>
        <v>1</v>
      </c>
      <c r="AX205">
        <f>TYPE(All_India_Index_Upto_April23__1[[#This Row],[Footwear]])</f>
        <v>1</v>
      </c>
      <c r="AY205">
        <f>TYPE(All_India_Index_Upto_April23__1[[#This Row],[Clothing and footwear]])</f>
        <v>1</v>
      </c>
      <c r="AZ205">
        <f>TYPE(All_India_Index_Upto_April23__1[[#This Row],[Housing]])</f>
        <v>1</v>
      </c>
      <c r="BA205">
        <f>TYPE(All_India_Index_Upto_April23__1[[#This Row],[Fuel and light]])</f>
        <v>1</v>
      </c>
      <c r="BB205">
        <f>TYPE(All_India_Index_Upto_April23__1[[#This Row],[Household goods and services]])</f>
        <v>1</v>
      </c>
      <c r="BC205">
        <f>TYPE(All_India_Index_Upto_April23__1[[#This Row],[Health]])</f>
        <v>1</v>
      </c>
      <c r="BD205">
        <f>TYPE(All_India_Index_Upto_April23__1[[#This Row],[Transport and communication]])</f>
        <v>1</v>
      </c>
      <c r="BE205">
        <f>TYPE(All_India_Index_Upto_April23__1[[#This Row],[Recreation and amusement]])</f>
        <v>1</v>
      </c>
      <c r="BF205">
        <f>TYPE(All_India_Index_Upto_April23__1[[#This Row],[Education]])</f>
        <v>1</v>
      </c>
      <c r="BG205">
        <f>TYPE(All_India_Index_Upto_April23__1[[#This Row],[Personal care and effects]])</f>
        <v>1</v>
      </c>
      <c r="BH205">
        <f>TYPE(All_India_Index_Upto_April23__1[[#This Row],[Miscellaneous]])</f>
        <v>1</v>
      </c>
      <c r="BI205">
        <f>TYPE(All_India_Index_Upto_April23__1[[#This Row],[General index]])</f>
        <v>1</v>
      </c>
    </row>
    <row r="206" spans="1:61" x14ac:dyDescent="0.3">
      <c r="A206" t="s">
        <v>30</v>
      </c>
      <c r="B206">
        <v>2018</v>
      </c>
      <c r="C206" t="s">
        <v>41</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v>0</v>
      </c>
      <c r="V206">
        <v>149</v>
      </c>
      <c r="W206">
        <v>144</v>
      </c>
      <c r="X206">
        <v>140</v>
      </c>
      <c r="Y206">
        <v>129.9</v>
      </c>
      <c r="Z206">
        <v>140</v>
      </c>
      <c r="AA206">
        <v>147.6</v>
      </c>
      <c r="AB206">
        <v>132</v>
      </c>
      <c r="AC206">
        <v>137.4</v>
      </c>
      <c r="AD206">
        <v>142.1</v>
      </c>
      <c r="AF206">
        <f>TYPE(All_India_Index_Upto_April23__1[[#This Row],[Sector]])</f>
        <v>2</v>
      </c>
      <c r="AG206">
        <f>TYPE(All_India_Index_Upto_April23__1[[#This Row],[Year]])</f>
        <v>1</v>
      </c>
      <c r="AH206">
        <f>TYPE(All_India_Index_Upto_April23__1[[#This Row],[Month]])</f>
        <v>2</v>
      </c>
      <c r="AI206">
        <f>TYPE(All_India_Index_Upto_April23__1[[#This Row],[Cereals and products]])</f>
        <v>1</v>
      </c>
      <c r="AJ206">
        <f>TYPE(All_India_Index_Upto_April23__1[[#This Row],[Meat and fish]])</f>
        <v>1</v>
      </c>
      <c r="AK206">
        <f>TYPE(All_India_Index_Upto_April23__1[[#This Row],[Egg]])</f>
        <v>1</v>
      </c>
      <c r="AL206">
        <f>TYPE(All_India_Index_Upto_April23__1[[#This Row],[Milk and products]])</f>
        <v>1</v>
      </c>
      <c r="AM206">
        <f>TYPE(All_India_Index_Upto_April23__1[[#This Row],[Oils and fats]])</f>
        <v>1</v>
      </c>
      <c r="AN206">
        <f>TYPE(All_India_Index_Upto_April23__1[[#This Row],[Fruits]])</f>
        <v>1</v>
      </c>
      <c r="AO206">
        <f>TYPE(All_India_Index_Upto_April23__1[[#This Row],[Vegetables]])</f>
        <v>1</v>
      </c>
      <c r="AP206">
        <f>TYPE(All_India_Index_Upto_April23__1[[#This Row],[Pulses and products]])</f>
        <v>1</v>
      </c>
      <c r="AQ206">
        <f>TYPE(All_India_Index_Upto_April23__1[[#This Row],[Sugar and Confectionery]])</f>
        <v>1</v>
      </c>
      <c r="AR206">
        <f>TYPE(All_India_Index_Upto_April23__1[[#This Row],[Spices]])</f>
        <v>1</v>
      </c>
      <c r="AS206">
        <f>TYPE(All_India_Index_Upto_April23__1[[#This Row],[Non-alcoholic beverages]])</f>
        <v>1</v>
      </c>
      <c r="AT206">
        <f>TYPE(All_India_Index_Upto_April23__1[[#This Row],[Prepared meals, snacks, sweets etc.]])</f>
        <v>1</v>
      </c>
      <c r="AU206">
        <f>TYPE(All_India_Index_Upto_April23__1[[#This Row],[Food and beverages]])</f>
        <v>1</v>
      </c>
      <c r="AV206">
        <f>TYPE(All_India_Index_Upto_April23__1[[#This Row],[Pan, tobacco and intoxicants]])</f>
        <v>1</v>
      </c>
      <c r="AW206">
        <f>TYPE(All_India_Index_Upto_April23__1[[#This Row],[Clothing]])</f>
        <v>1</v>
      </c>
      <c r="AX206">
        <f>TYPE(All_India_Index_Upto_April23__1[[#This Row],[Footwear]])</f>
        <v>1</v>
      </c>
      <c r="AY206">
        <f>TYPE(All_India_Index_Upto_April23__1[[#This Row],[Clothing and footwear]])</f>
        <v>1</v>
      </c>
      <c r="AZ206">
        <f>TYPE(All_India_Index_Upto_April23__1[[#This Row],[Housing]])</f>
        <v>1</v>
      </c>
      <c r="BA206">
        <f>TYPE(All_India_Index_Upto_April23__1[[#This Row],[Fuel and light]])</f>
        <v>1</v>
      </c>
      <c r="BB206">
        <f>TYPE(All_India_Index_Upto_April23__1[[#This Row],[Household goods and services]])</f>
        <v>1</v>
      </c>
      <c r="BC206">
        <f>TYPE(All_India_Index_Upto_April23__1[[#This Row],[Health]])</f>
        <v>1</v>
      </c>
      <c r="BD206">
        <f>TYPE(All_India_Index_Upto_April23__1[[#This Row],[Transport and communication]])</f>
        <v>1</v>
      </c>
      <c r="BE206">
        <f>TYPE(All_India_Index_Upto_April23__1[[#This Row],[Recreation and amusement]])</f>
        <v>1</v>
      </c>
      <c r="BF206">
        <f>TYPE(All_India_Index_Upto_April23__1[[#This Row],[Education]])</f>
        <v>1</v>
      </c>
      <c r="BG206">
        <f>TYPE(All_India_Index_Upto_April23__1[[#This Row],[Personal care and effects]])</f>
        <v>1</v>
      </c>
      <c r="BH206">
        <f>TYPE(All_India_Index_Upto_April23__1[[#This Row],[Miscellaneous]])</f>
        <v>1</v>
      </c>
      <c r="BI206">
        <f>TYPE(All_India_Index_Upto_April23__1[[#This Row],[General index]])</f>
        <v>1</v>
      </c>
    </row>
    <row r="207" spans="1:61" x14ac:dyDescent="0.3">
      <c r="A207" t="s">
        <v>32</v>
      </c>
      <c r="B207">
        <v>2018</v>
      </c>
      <c r="C207" t="s">
        <v>41</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c r="AF207">
        <f>TYPE(All_India_Index_Upto_April23__1[[#This Row],[Sector]])</f>
        <v>2</v>
      </c>
      <c r="AG207">
        <f>TYPE(All_India_Index_Upto_April23__1[[#This Row],[Year]])</f>
        <v>1</v>
      </c>
      <c r="AH207">
        <f>TYPE(All_India_Index_Upto_April23__1[[#This Row],[Month]])</f>
        <v>2</v>
      </c>
      <c r="AI207">
        <f>TYPE(All_India_Index_Upto_April23__1[[#This Row],[Cereals and products]])</f>
        <v>1</v>
      </c>
      <c r="AJ207">
        <f>TYPE(All_India_Index_Upto_April23__1[[#This Row],[Meat and fish]])</f>
        <v>1</v>
      </c>
      <c r="AK207">
        <f>TYPE(All_India_Index_Upto_April23__1[[#This Row],[Egg]])</f>
        <v>1</v>
      </c>
      <c r="AL207">
        <f>TYPE(All_India_Index_Upto_April23__1[[#This Row],[Milk and products]])</f>
        <v>1</v>
      </c>
      <c r="AM207">
        <f>TYPE(All_India_Index_Upto_April23__1[[#This Row],[Oils and fats]])</f>
        <v>1</v>
      </c>
      <c r="AN207">
        <f>TYPE(All_India_Index_Upto_April23__1[[#This Row],[Fruits]])</f>
        <v>1</v>
      </c>
      <c r="AO207">
        <f>TYPE(All_India_Index_Upto_April23__1[[#This Row],[Vegetables]])</f>
        <v>1</v>
      </c>
      <c r="AP207">
        <f>TYPE(All_India_Index_Upto_April23__1[[#This Row],[Pulses and products]])</f>
        <v>1</v>
      </c>
      <c r="AQ207">
        <f>TYPE(All_India_Index_Upto_April23__1[[#This Row],[Sugar and Confectionery]])</f>
        <v>1</v>
      </c>
      <c r="AR207">
        <f>TYPE(All_India_Index_Upto_April23__1[[#This Row],[Spices]])</f>
        <v>1</v>
      </c>
      <c r="AS207">
        <f>TYPE(All_India_Index_Upto_April23__1[[#This Row],[Non-alcoholic beverages]])</f>
        <v>1</v>
      </c>
      <c r="AT207">
        <f>TYPE(All_India_Index_Upto_April23__1[[#This Row],[Prepared meals, snacks, sweets etc.]])</f>
        <v>1</v>
      </c>
      <c r="AU207">
        <f>TYPE(All_India_Index_Upto_April23__1[[#This Row],[Food and beverages]])</f>
        <v>1</v>
      </c>
      <c r="AV207">
        <f>TYPE(All_India_Index_Upto_April23__1[[#This Row],[Pan, tobacco and intoxicants]])</f>
        <v>1</v>
      </c>
      <c r="AW207">
        <f>TYPE(All_India_Index_Upto_April23__1[[#This Row],[Clothing]])</f>
        <v>1</v>
      </c>
      <c r="AX207">
        <f>TYPE(All_India_Index_Upto_April23__1[[#This Row],[Footwear]])</f>
        <v>1</v>
      </c>
      <c r="AY207">
        <f>TYPE(All_India_Index_Upto_April23__1[[#This Row],[Clothing and footwear]])</f>
        <v>1</v>
      </c>
      <c r="AZ207">
        <f>TYPE(All_India_Index_Upto_April23__1[[#This Row],[Housing]])</f>
        <v>1</v>
      </c>
      <c r="BA207">
        <f>TYPE(All_India_Index_Upto_April23__1[[#This Row],[Fuel and light]])</f>
        <v>1</v>
      </c>
      <c r="BB207">
        <f>TYPE(All_India_Index_Upto_April23__1[[#This Row],[Household goods and services]])</f>
        <v>1</v>
      </c>
      <c r="BC207">
        <f>TYPE(All_India_Index_Upto_April23__1[[#This Row],[Health]])</f>
        <v>1</v>
      </c>
      <c r="BD207">
        <f>TYPE(All_India_Index_Upto_April23__1[[#This Row],[Transport and communication]])</f>
        <v>1</v>
      </c>
      <c r="BE207">
        <f>TYPE(All_India_Index_Upto_April23__1[[#This Row],[Recreation and amusement]])</f>
        <v>1</v>
      </c>
      <c r="BF207">
        <f>TYPE(All_India_Index_Upto_April23__1[[#This Row],[Education]])</f>
        <v>1</v>
      </c>
      <c r="BG207">
        <f>TYPE(All_India_Index_Upto_April23__1[[#This Row],[Personal care and effects]])</f>
        <v>1</v>
      </c>
      <c r="BH207">
        <f>TYPE(All_India_Index_Upto_April23__1[[#This Row],[Miscellaneous]])</f>
        <v>1</v>
      </c>
      <c r="BI207">
        <f>TYPE(All_India_Index_Upto_April23__1[[#This Row],[General index]])</f>
        <v>1</v>
      </c>
    </row>
    <row r="208" spans="1:61" x14ac:dyDescent="0.3">
      <c r="A208" t="s">
        <v>33</v>
      </c>
      <c r="B208">
        <v>2018</v>
      </c>
      <c r="C208" t="s">
        <v>41</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c r="AF208">
        <f>TYPE(All_India_Index_Upto_April23__1[[#This Row],[Sector]])</f>
        <v>2</v>
      </c>
      <c r="AG208">
        <f>TYPE(All_India_Index_Upto_April23__1[[#This Row],[Year]])</f>
        <v>1</v>
      </c>
      <c r="AH208">
        <f>TYPE(All_India_Index_Upto_April23__1[[#This Row],[Month]])</f>
        <v>2</v>
      </c>
      <c r="AI208">
        <f>TYPE(All_India_Index_Upto_April23__1[[#This Row],[Cereals and products]])</f>
        <v>1</v>
      </c>
      <c r="AJ208">
        <f>TYPE(All_India_Index_Upto_April23__1[[#This Row],[Meat and fish]])</f>
        <v>1</v>
      </c>
      <c r="AK208">
        <f>TYPE(All_India_Index_Upto_April23__1[[#This Row],[Egg]])</f>
        <v>1</v>
      </c>
      <c r="AL208">
        <f>TYPE(All_India_Index_Upto_April23__1[[#This Row],[Milk and products]])</f>
        <v>1</v>
      </c>
      <c r="AM208">
        <f>TYPE(All_India_Index_Upto_April23__1[[#This Row],[Oils and fats]])</f>
        <v>1</v>
      </c>
      <c r="AN208">
        <f>TYPE(All_India_Index_Upto_April23__1[[#This Row],[Fruits]])</f>
        <v>1</v>
      </c>
      <c r="AO208">
        <f>TYPE(All_India_Index_Upto_April23__1[[#This Row],[Vegetables]])</f>
        <v>1</v>
      </c>
      <c r="AP208">
        <f>TYPE(All_India_Index_Upto_April23__1[[#This Row],[Pulses and products]])</f>
        <v>1</v>
      </c>
      <c r="AQ208">
        <f>TYPE(All_India_Index_Upto_April23__1[[#This Row],[Sugar and Confectionery]])</f>
        <v>1</v>
      </c>
      <c r="AR208">
        <f>TYPE(All_India_Index_Upto_April23__1[[#This Row],[Spices]])</f>
        <v>1</v>
      </c>
      <c r="AS208">
        <f>TYPE(All_India_Index_Upto_April23__1[[#This Row],[Non-alcoholic beverages]])</f>
        <v>1</v>
      </c>
      <c r="AT208">
        <f>TYPE(All_India_Index_Upto_April23__1[[#This Row],[Prepared meals, snacks, sweets etc.]])</f>
        <v>1</v>
      </c>
      <c r="AU208">
        <f>TYPE(All_India_Index_Upto_April23__1[[#This Row],[Food and beverages]])</f>
        <v>1</v>
      </c>
      <c r="AV208">
        <f>TYPE(All_India_Index_Upto_April23__1[[#This Row],[Pan, tobacco and intoxicants]])</f>
        <v>1</v>
      </c>
      <c r="AW208">
        <f>TYPE(All_India_Index_Upto_April23__1[[#This Row],[Clothing]])</f>
        <v>1</v>
      </c>
      <c r="AX208">
        <f>TYPE(All_India_Index_Upto_April23__1[[#This Row],[Footwear]])</f>
        <v>1</v>
      </c>
      <c r="AY208">
        <f>TYPE(All_India_Index_Upto_April23__1[[#This Row],[Clothing and footwear]])</f>
        <v>1</v>
      </c>
      <c r="AZ208">
        <f>TYPE(All_India_Index_Upto_April23__1[[#This Row],[Housing]])</f>
        <v>1</v>
      </c>
      <c r="BA208">
        <f>TYPE(All_India_Index_Upto_April23__1[[#This Row],[Fuel and light]])</f>
        <v>1</v>
      </c>
      <c r="BB208">
        <f>TYPE(All_India_Index_Upto_April23__1[[#This Row],[Household goods and services]])</f>
        <v>1</v>
      </c>
      <c r="BC208">
        <f>TYPE(All_India_Index_Upto_April23__1[[#This Row],[Health]])</f>
        <v>1</v>
      </c>
      <c r="BD208">
        <f>TYPE(All_India_Index_Upto_April23__1[[#This Row],[Transport and communication]])</f>
        <v>1</v>
      </c>
      <c r="BE208">
        <f>TYPE(All_India_Index_Upto_April23__1[[#This Row],[Recreation and amusement]])</f>
        <v>1</v>
      </c>
      <c r="BF208">
        <f>TYPE(All_India_Index_Upto_April23__1[[#This Row],[Education]])</f>
        <v>1</v>
      </c>
      <c r="BG208">
        <f>TYPE(All_India_Index_Upto_April23__1[[#This Row],[Personal care and effects]])</f>
        <v>1</v>
      </c>
      <c r="BH208">
        <f>TYPE(All_India_Index_Upto_April23__1[[#This Row],[Miscellaneous]])</f>
        <v>1</v>
      </c>
      <c r="BI208">
        <f>TYPE(All_India_Index_Upto_April23__1[[#This Row],[General index]])</f>
        <v>1</v>
      </c>
    </row>
    <row r="209" spans="1:61" x14ac:dyDescent="0.3">
      <c r="A209" t="s">
        <v>30</v>
      </c>
      <c r="B209">
        <v>2018</v>
      </c>
      <c r="C209" t="s">
        <v>42</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v>0</v>
      </c>
      <c r="V209">
        <v>149.69999999999999</v>
      </c>
      <c r="W209">
        <v>147.5</v>
      </c>
      <c r="X209">
        <v>144.80000000000001</v>
      </c>
      <c r="Y209">
        <v>130.80000000000001</v>
      </c>
      <c r="Z209">
        <v>140.1</v>
      </c>
      <c r="AA209">
        <v>148</v>
      </c>
      <c r="AB209">
        <v>134.4</v>
      </c>
      <c r="AC209">
        <v>139.80000000000001</v>
      </c>
      <c r="AD209">
        <v>142.19999999999999</v>
      </c>
      <c r="AF209">
        <f>TYPE(All_India_Index_Upto_April23__1[[#This Row],[Sector]])</f>
        <v>2</v>
      </c>
      <c r="AG209">
        <f>TYPE(All_India_Index_Upto_April23__1[[#This Row],[Year]])</f>
        <v>1</v>
      </c>
      <c r="AH209">
        <f>TYPE(All_India_Index_Upto_April23__1[[#This Row],[Month]])</f>
        <v>2</v>
      </c>
      <c r="AI209">
        <f>TYPE(All_India_Index_Upto_April23__1[[#This Row],[Cereals and products]])</f>
        <v>1</v>
      </c>
      <c r="AJ209">
        <f>TYPE(All_India_Index_Upto_April23__1[[#This Row],[Meat and fish]])</f>
        <v>1</v>
      </c>
      <c r="AK209">
        <f>TYPE(All_India_Index_Upto_April23__1[[#This Row],[Egg]])</f>
        <v>1</v>
      </c>
      <c r="AL209">
        <f>TYPE(All_India_Index_Upto_April23__1[[#This Row],[Milk and products]])</f>
        <v>1</v>
      </c>
      <c r="AM209">
        <f>TYPE(All_India_Index_Upto_April23__1[[#This Row],[Oils and fats]])</f>
        <v>1</v>
      </c>
      <c r="AN209">
        <f>TYPE(All_India_Index_Upto_April23__1[[#This Row],[Fruits]])</f>
        <v>1</v>
      </c>
      <c r="AO209">
        <f>TYPE(All_India_Index_Upto_April23__1[[#This Row],[Vegetables]])</f>
        <v>1</v>
      </c>
      <c r="AP209">
        <f>TYPE(All_India_Index_Upto_April23__1[[#This Row],[Pulses and products]])</f>
        <v>1</v>
      </c>
      <c r="AQ209">
        <f>TYPE(All_India_Index_Upto_April23__1[[#This Row],[Sugar and Confectionery]])</f>
        <v>1</v>
      </c>
      <c r="AR209">
        <f>TYPE(All_India_Index_Upto_April23__1[[#This Row],[Spices]])</f>
        <v>1</v>
      </c>
      <c r="AS209">
        <f>TYPE(All_India_Index_Upto_April23__1[[#This Row],[Non-alcoholic beverages]])</f>
        <v>1</v>
      </c>
      <c r="AT209">
        <f>TYPE(All_India_Index_Upto_April23__1[[#This Row],[Prepared meals, snacks, sweets etc.]])</f>
        <v>1</v>
      </c>
      <c r="AU209">
        <f>TYPE(All_India_Index_Upto_April23__1[[#This Row],[Food and beverages]])</f>
        <v>1</v>
      </c>
      <c r="AV209">
        <f>TYPE(All_India_Index_Upto_April23__1[[#This Row],[Pan, tobacco and intoxicants]])</f>
        <v>1</v>
      </c>
      <c r="AW209">
        <f>TYPE(All_India_Index_Upto_April23__1[[#This Row],[Clothing]])</f>
        <v>1</v>
      </c>
      <c r="AX209">
        <f>TYPE(All_India_Index_Upto_April23__1[[#This Row],[Footwear]])</f>
        <v>1</v>
      </c>
      <c r="AY209">
        <f>TYPE(All_India_Index_Upto_April23__1[[#This Row],[Clothing and footwear]])</f>
        <v>1</v>
      </c>
      <c r="AZ209">
        <f>TYPE(All_India_Index_Upto_April23__1[[#This Row],[Housing]])</f>
        <v>1</v>
      </c>
      <c r="BA209">
        <f>TYPE(All_India_Index_Upto_April23__1[[#This Row],[Fuel and light]])</f>
        <v>1</v>
      </c>
      <c r="BB209">
        <f>TYPE(All_India_Index_Upto_April23__1[[#This Row],[Household goods and services]])</f>
        <v>1</v>
      </c>
      <c r="BC209">
        <f>TYPE(All_India_Index_Upto_April23__1[[#This Row],[Health]])</f>
        <v>1</v>
      </c>
      <c r="BD209">
        <f>TYPE(All_India_Index_Upto_April23__1[[#This Row],[Transport and communication]])</f>
        <v>1</v>
      </c>
      <c r="BE209">
        <f>TYPE(All_India_Index_Upto_April23__1[[#This Row],[Recreation and amusement]])</f>
        <v>1</v>
      </c>
      <c r="BF209">
        <f>TYPE(All_India_Index_Upto_April23__1[[#This Row],[Education]])</f>
        <v>1</v>
      </c>
      <c r="BG209">
        <f>TYPE(All_India_Index_Upto_April23__1[[#This Row],[Personal care and effects]])</f>
        <v>1</v>
      </c>
      <c r="BH209">
        <f>TYPE(All_India_Index_Upto_April23__1[[#This Row],[Miscellaneous]])</f>
        <v>1</v>
      </c>
      <c r="BI209">
        <f>TYPE(All_India_Index_Upto_April23__1[[#This Row],[General index]])</f>
        <v>1</v>
      </c>
    </row>
    <row r="210" spans="1:61" x14ac:dyDescent="0.3">
      <c r="A210" t="s">
        <v>32</v>
      </c>
      <c r="B210">
        <v>2018</v>
      </c>
      <c r="C210" t="s">
        <v>42</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c r="AF210">
        <f>TYPE(All_India_Index_Upto_April23__1[[#This Row],[Sector]])</f>
        <v>2</v>
      </c>
      <c r="AG210">
        <f>TYPE(All_India_Index_Upto_April23__1[[#This Row],[Year]])</f>
        <v>1</v>
      </c>
      <c r="AH210">
        <f>TYPE(All_India_Index_Upto_April23__1[[#This Row],[Month]])</f>
        <v>2</v>
      </c>
      <c r="AI210">
        <f>TYPE(All_India_Index_Upto_April23__1[[#This Row],[Cereals and products]])</f>
        <v>1</v>
      </c>
      <c r="AJ210">
        <f>TYPE(All_India_Index_Upto_April23__1[[#This Row],[Meat and fish]])</f>
        <v>1</v>
      </c>
      <c r="AK210">
        <f>TYPE(All_India_Index_Upto_April23__1[[#This Row],[Egg]])</f>
        <v>1</v>
      </c>
      <c r="AL210">
        <f>TYPE(All_India_Index_Upto_April23__1[[#This Row],[Milk and products]])</f>
        <v>1</v>
      </c>
      <c r="AM210">
        <f>TYPE(All_India_Index_Upto_April23__1[[#This Row],[Oils and fats]])</f>
        <v>1</v>
      </c>
      <c r="AN210">
        <f>TYPE(All_India_Index_Upto_April23__1[[#This Row],[Fruits]])</f>
        <v>1</v>
      </c>
      <c r="AO210">
        <f>TYPE(All_India_Index_Upto_April23__1[[#This Row],[Vegetables]])</f>
        <v>1</v>
      </c>
      <c r="AP210">
        <f>TYPE(All_India_Index_Upto_April23__1[[#This Row],[Pulses and products]])</f>
        <v>1</v>
      </c>
      <c r="AQ210">
        <f>TYPE(All_India_Index_Upto_April23__1[[#This Row],[Sugar and Confectionery]])</f>
        <v>1</v>
      </c>
      <c r="AR210">
        <f>TYPE(All_India_Index_Upto_April23__1[[#This Row],[Spices]])</f>
        <v>1</v>
      </c>
      <c r="AS210">
        <f>TYPE(All_India_Index_Upto_April23__1[[#This Row],[Non-alcoholic beverages]])</f>
        <v>1</v>
      </c>
      <c r="AT210">
        <f>TYPE(All_India_Index_Upto_April23__1[[#This Row],[Prepared meals, snacks, sweets etc.]])</f>
        <v>1</v>
      </c>
      <c r="AU210">
        <f>TYPE(All_India_Index_Upto_April23__1[[#This Row],[Food and beverages]])</f>
        <v>1</v>
      </c>
      <c r="AV210">
        <f>TYPE(All_India_Index_Upto_April23__1[[#This Row],[Pan, tobacco and intoxicants]])</f>
        <v>1</v>
      </c>
      <c r="AW210">
        <f>TYPE(All_India_Index_Upto_April23__1[[#This Row],[Clothing]])</f>
        <v>1</v>
      </c>
      <c r="AX210">
        <f>TYPE(All_India_Index_Upto_April23__1[[#This Row],[Footwear]])</f>
        <v>1</v>
      </c>
      <c r="AY210">
        <f>TYPE(All_India_Index_Upto_April23__1[[#This Row],[Clothing and footwear]])</f>
        <v>1</v>
      </c>
      <c r="AZ210">
        <f>TYPE(All_India_Index_Upto_April23__1[[#This Row],[Housing]])</f>
        <v>1</v>
      </c>
      <c r="BA210">
        <f>TYPE(All_India_Index_Upto_April23__1[[#This Row],[Fuel and light]])</f>
        <v>1</v>
      </c>
      <c r="BB210">
        <f>TYPE(All_India_Index_Upto_April23__1[[#This Row],[Household goods and services]])</f>
        <v>1</v>
      </c>
      <c r="BC210">
        <f>TYPE(All_India_Index_Upto_April23__1[[#This Row],[Health]])</f>
        <v>1</v>
      </c>
      <c r="BD210">
        <f>TYPE(All_India_Index_Upto_April23__1[[#This Row],[Transport and communication]])</f>
        <v>1</v>
      </c>
      <c r="BE210">
        <f>TYPE(All_India_Index_Upto_April23__1[[#This Row],[Recreation and amusement]])</f>
        <v>1</v>
      </c>
      <c r="BF210">
        <f>TYPE(All_India_Index_Upto_April23__1[[#This Row],[Education]])</f>
        <v>1</v>
      </c>
      <c r="BG210">
        <f>TYPE(All_India_Index_Upto_April23__1[[#This Row],[Personal care and effects]])</f>
        <v>1</v>
      </c>
      <c r="BH210">
        <f>TYPE(All_India_Index_Upto_April23__1[[#This Row],[Miscellaneous]])</f>
        <v>1</v>
      </c>
      <c r="BI210">
        <f>TYPE(All_India_Index_Upto_April23__1[[#This Row],[General index]])</f>
        <v>1</v>
      </c>
    </row>
    <row r="211" spans="1:61" x14ac:dyDescent="0.3">
      <c r="A211" t="s">
        <v>33</v>
      </c>
      <c r="B211">
        <v>2018</v>
      </c>
      <c r="C211" t="s">
        <v>42</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c r="AF211">
        <f>TYPE(All_India_Index_Upto_April23__1[[#This Row],[Sector]])</f>
        <v>2</v>
      </c>
      <c r="AG211">
        <f>TYPE(All_India_Index_Upto_April23__1[[#This Row],[Year]])</f>
        <v>1</v>
      </c>
      <c r="AH211">
        <f>TYPE(All_India_Index_Upto_April23__1[[#This Row],[Month]])</f>
        <v>2</v>
      </c>
      <c r="AI211">
        <f>TYPE(All_India_Index_Upto_April23__1[[#This Row],[Cereals and products]])</f>
        <v>1</v>
      </c>
      <c r="AJ211">
        <f>TYPE(All_India_Index_Upto_April23__1[[#This Row],[Meat and fish]])</f>
        <v>1</v>
      </c>
      <c r="AK211">
        <f>TYPE(All_India_Index_Upto_April23__1[[#This Row],[Egg]])</f>
        <v>1</v>
      </c>
      <c r="AL211">
        <f>TYPE(All_India_Index_Upto_April23__1[[#This Row],[Milk and products]])</f>
        <v>1</v>
      </c>
      <c r="AM211">
        <f>TYPE(All_India_Index_Upto_April23__1[[#This Row],[Oils and fats]])</f>
        <v>1</v>
      </c>
      <c r="AN211">
        <f>TYPE(All_India_Index_Upto_April23__1[[#This Row],[Fruits]])</f>
        <v>1</v>
      </c>
      <c r="AO211">
        <f>TYPE(All_India_Index_Upto_April23__1[[#This Row],[Vegetables]])</f>
        <v>1</v>
      </c>
      <c r="AP211">
        <f>TYPE(All_India_Index_Upto_April23__1[[#This Row],[Pulses and products]])</f>
        <v>1</v>
      </c>
      <c r="AQ211">
        <f>TYPE(All_India_Index_Upto_April23__1[[#This Row],[Sugar and Confectionery]])</f>
        <v>1</v>
      </c>
      <c r="AR211">
        <f>TYPE(All_India_Index_Upto_April23__1[[#This Row],[Spices]])</f>
        <v>1</v>
      </c>
      <c r="AS211">
        <f>TYPE(All_India_Index_Upto_April23__1[[#This Row],[Non-alcoholic beverages]])</f>
        <v>1</v>
      </c>
      <c r="AT211">
        <f>TYPE(All_India_Index_Upto_April23__1[[#This Row],[Prepared meals, snacks, sweets etc.]])</f>
        <v>1</v>
      </c>
      <c r="AU211">
        <f>TYPE(All_India_Index_Upto_April23__1[[#This Row],[Food and beverages]])</f>
        <v>1</v>
      </c>
      <c r="AV211">
        <f>TYPE(All_India_Index_Upto_April23__1[[#This Row],[Pan, tobacco and intoxicants]])</f>
        <v>1</v>
      </c>
      <c r="AW211">
        <f>TYPE(All_India_Index_Upto_April23__1[[#This Row],[Clothing]])</f>
        <v>1</v>
      </c>
      <c r="AX211">
        <f>TYPE(All_India_Index_Upto_April23__1[[#This Row],[Footwear]])</f>
        <v>1</v>
      </c>
      <c r="AY211">
        <f>TYPE(All_India_Index_Upto_April23__1[[#This Row],[Clothing and footwear]])</f>
        <v>1</v>
      </c>
      <c r="AZ211">
        <f>TYPE(All_India_Index_Upto_April23__1[[#This Row],[Housing]])</f>
        <v>1</v>
      </c>
      <c r="BA211">
        <f>TYPE(All_India_Index_Upto_April23__1[[#This Row],[Fuel and light]])</f>
        <v>1</v>
      </c>
      <c r="BB211">
        <f>TYPE(All_India_Index_Upto_April23__1[[#This Row],[Household goods and services]])</f>
        <v>1</v>
      </c>
      <c r="BC211">
        <f>TYPE(All_India_Index_Upto_April23__1[[#This Row],[Health]])</f>
        <v>1</v>
      </c>
      <c r="BD211">
        <f>TYPE(All_India_Index_Upto_April23__1[[#This Row],[Transport and communication]])</f>
        <v>1</v>
      </c>
      <c r="BE211">
        <f>TYPE(All_India_Index_Upto_April23__1[[#This Row],[Recreation and amusement]])</f>
        <v>1</v>
      </c>
      <c r="BF211">
        <f>TYPE(All_India_Index_Upto_April23__1[[#This Row],[Education]])</f>
        <v>1</v>
      </c>
      <c r="BG211">
        <f>TYPE(All_India_Index_Upto_April23__1[[#This Row],[Personal care and effects]])</f>
        <v>1</v>
      </c>
      <c r="BH211">
        <f>TYPE(All_India_Index_Upto_April23__1[[#This Row],[Miscellaneous]])</f>
        <v>1</v>
      </c>
      <c r="BI211">
        <f>TYPE(All_India_Index_Upto_April23__1[[#This Row],[General index]])</f>
        <v>1</v>
      </c>
    </row>
    <row r="212" spans="1:61" x14ac:dyDescent="0.3">
      <c r="A212" t="s">
        <v>30</v>
      </c>
      <c r="B212">
        <v>2018</v>
      </c>
      <c r="C212" t="s">
        <v>44</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v>0</v>
      </c>
      <c r="V212">
        <v>150.30000000000001</v>
      </c>
      <c r="W212">
        <v>148</v>
      </c>
      <c r="X212">
        <v>145.4</v>
      </c>
      <c r="Y212">
        <v>130.30000000000001</v>
      </c>
      <c r="Z212">
        <v>143.1</v>
      </c>
      <c r="AA212">
        <v>150.19999999999999</v>
      </c>
      <c r="AB212">
        <v>133.1</v>
      </c>
      <c r="AC212">
        <v>140.1</v>
      </c>
      <c r="AD212">
        <v>142.4</v>
      </c>
      <c r="AF212">
        <f>TYPE(All_India_Index_Upto_April23__1[[#This Row],[Sector]])</f>
        <v>2</v>
      </c>
      <c r="AG212">
        <f>TYPE(All_India_Index_Upto_April23__1[[#This Row],[Year]])</f>
        <v>1</v>
      </c>
      <c r="AH212">
        <f>TYPE(All_India_Index_Upto_April23__1[[#This Row],[Month]])</f>
        <v>2</v>
      </c>
      <c r="AI212">
        <f>TYPE(All_India_Index_Upto_April23__1[[#This Row],[Cereals and products]])</f>
        <v>1</v>
      </c>
      <c r="AJ212">
        <f>TYPE(All_India_Index_Upto_April23__1[[#This Row],[Meat and fish]])</f>
        <v>1</v>
      </c>
      <c r="AK212">
        <f>TYPE(All_India_Index_Upto_April23__1[[#This Row],[Egg]])</f>
        <v>1</v>
      </c>
      <c r="AL212">
        <f>TYPE(All_India_Index_Upto_April23__1[[#This Row],[Milk and products]])</f>
        <v>1</v>
      </c>
      <c r="AM212">
        <f>TYPE(All_India_Index_Upto_April23__1[[#This Row],[Oils and fats]])</f>
        <v>1</v>
      </c>
      <c r="AN212">
        <f>TYPE(All_India_Index_Upto_April23__1[[#This Row],[Fruits]])</f>
        <v>1</v>
      </c>
      <c r="AO212">
        <f>TYPE(All_India_Index_Upto_April23__1[[#This Row],[Vegetables]])</f>
        <v>1</v>
      </c>
      <c r="AP212">
        <f>TYPE(All_India_Index_Upto_April23__1[[#This Row],[Pulses and products]])</f>
        <v>1</v>
      </c>
      <c r="AQ212">
        <f>TYPE(All_India_Index_Upto_April23__1[[#This Row],[Sugar and Confectionery]])</f>
        <v>1</v>
      </c>
      <c r="AR212">
        <f>TYPE(All_India_Index_Upto_April23__1[[#This Row],[Spices]])</f>
        <v>1</v>
      </c>
      <c r="AS212">
        <f>TYPE(All_India_Index_Upto_April23__1[[#This Row],[Non-alcoholic beverages]])</f>
        <v>1</v>
      </c>
      <c r="AT212">
        <f>TYPE(All_India_Index_Upto_April23__1[[#This Row],[Prepared meals, snacks, sweets etc.]])</f>
        <v>1</v>
      </c>
      <c r="AU212">
        <f>TYPE(All_India_Index_Upto_April23__1[[#This Row],[Food and beverages]])</f>
        <v>1</v>
      </c>
      <c r="AV212">
        <f>TYPE(All_India_Index_Upto_April23__1[[#This Row],[Pan, tobacco and intoxicants]])</f>
        <v>1</v>
      </c>
      <c r="AW212">
        <f>TYPE(All_India_Index_Upto_April23__1[[#This Row],[Clothing]])</f>
        <v>1</v>
      </c>
      <c r="AX212">
        <f>TYPE(All_India_Index_Upto_April23__1[[#This Row],[Footwear]])</f>
        <v>1</v>
      </c>
      <c r="AY212">
        <f>TYPE(All_India_Index_Upto_April23__1[[#This Row],[Clothing and footwear]])</f>
        <v>1</v>
      </c>
      <c r="AZ212">
        <f>TYPE(All_India_Index_Upto_April23__1[[#This Row],[Housing]])</f>
        <v>1</v>
      </c>
      <c r="BA212">
        <f>TYPE(All_India_Index_Upto_April23__1[[#This Row],[Fuel and light]])</f>
        <v>1</v>
      </c>
      <c r="BB212">
        <f>TYPE(All_India_Index_Upto_April23__1[[#This Row],[Household goods and services]])</f>
        <v>1</v>
      </c>
      <c r="BC212">
        <f>TYPE(All_India_Index_Upto_April23__1[[#This Row],[Health]])</f>
        <v>1</v>
      </c>
      <c r="BD212">
        <f>TYPE(All_India_Index_Upto_April23__1[[#This Row],[Transport and communication]])</f>
        <v>1</v>
      </c>
      <c r="BE212">
        <f>TYPE(All_India_Index_Upto_April23__1[[#This Row],[Recreation and amusement]])</f>
        <v>1</v>
      </c>
      <c r="BF212">
        <f>TYPE(All_India_Index_Upto_April23__1[[#This Row],[Education]])</f>
        <v>1</v>
      </c>
      <c r="BG212">
        <f>TYPE(All_India_Index_Upto_April23__1[[#This Row],[Personal care and effects]])</f>
        <v>1</v>
      </c>
      <c r="BH212">
        <f>TYPE(All_India_Index_Upto_April23__1[[#This Row],[Miscellaneous]])</f>
        <v>1</v>
      </c>
      <c r="BI212">
        <f>TYPE(All_India_Index_Upto_April23__1[[#This Row],[General index]])</f>
        <v>1</v>
      </c>
    </row>
    <row r="213" spans="1:61" x14ac:dyDescent="0.3">
      <c r="A213" t="s">
        <v>32</v>
      </c>
      <c r="B213">
        <v>2018</v>
      </c>
      <c r="C213" t="s">
        <v>44</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c r="AF213">
        <f>TYPE(All_India_Index_Upto_April23__1[[#This Row],[Sector]])</f>
        <v>2</v>
      </c>
      <c r="AG213">
        <f>TYPE(All_India_Index_Upto_April23__1[[#This Row],[Year]])</f>
        <v>1</v>
      </c>
      <c r="AH213">
        <f>TYPE(All_India_Index_Upto_April23__1[[#This Row],[Month]])</f>
        <v>2</v>
      </c>
      <c r="AI213">
        <f>TYPE(All_India_Index_Upto_April23__1[[#This Row],[Cereals and products]])</f>
        <v>1</v>
      </c>
      <c r="AJ213">
        <f>TYPE(All_India_Index_Upto_April23__1[[#This Row],[Meat and fish]])</f>
        <v>1</v>
      </c>
      <c r="AK213">
        <f>TYPE(All_India_Index_Upto_April23__1[[#This Row],[Egg]])</f>
        <v>1</v>
      </c>
      <c r="AL213">
        <f>TYPE(All_India_Index_Upto_April23__1[[#This Row],[Milk and products]])</f>
        <v>1</v>
      </c>
      <c r="AM213">
        <f>TYPE(All_India_Index_Upto_April23__1[[#This Row],[Oils and fats]])</f>
        <v>1</v>
      </c>
      <c r="AN213">
        <f>TYPE(All_India_Index_Upto_April23__1[[#This Row],[Fruits]])</f>
        <v>1</v>
      </c>
      <c r="AO213">
        <f>TYPE(All_India_Index_Upto_April23__1[[#This Row],[Vegetables]])</f>
        <v>1</v>
      </c>
      <c r="AP213">
        <f>TYPE(All_India_Index_Upto_April23__1[[#This Row],[Pulses and products]])</f>
        <v>1</v>
      </c>
      <c r="AQ213">
        <f>TYPE(All_India_Index_Upto_April23__1[[#This Row],[Sugar and Confectionery]])</f>
        <v>1</v>
      </c>
      <c r="AR213">
        <f>TYPE(All_India_Index_Upto_April23__1[[#This Row],[Spices]])</f>
        <v>1</v>
      </c>
      <c r="AS213">
        <f>TYPE(All_India_Index_Upto_April23__1[[#This Row],[Non-alcoholic beverages]])</f>
        <v>1</v>
      </c>
      <c r="AT213">
        <f>TYPE(All_India_Index_Upto_April23__1[[#This Row],[Prepared meals, snacks, sweets etc.]])</f>
        <v>1</v>
      </c>
      <c r="AU213">
        <f>TYPE(All_India_Index_Upto_April23__1[[#This Row],[Food and beverages]])</f>
        <v>1</v>
      </c>
      <c r="AV213">
        <f>TYPE(All_India_Index_Upto_April23__1[[#This Row],[Pan, tobacco and intoxicants]])</f>
        <v>1</v>
      </c>
      <c r="AW213">
        <f>TYPE(All_India_Index_Upto_April23__1[[#This Row],[Clothing]])</f>
        <v>1</v>
      </c>
      <c r="AX213">
        <f>TYPE(All_India_Index_Upto_April23__1[[#This Row],[Footwear]])</f>
        <v>1</v>
      </c>
      <c r="AY213">
        <f>TYPE(All_India_Index_Upto_April23__1[[#This Row],[Clothing and footwear]])</f>
        <v>1</v>
      </c>
      <c r="AZ213">
        <f>TYPE(All_India_Index_Upto_April23__1[[#This Row],[Housing]])</f>
        <v>1</v>
      </c>
      <c r="BA213">
        <f>TYPE(All_India_Index_Upto_April23__1[[#This Row],[Fuel and light]])</f>
        <v>1</v>
      </c>
      <c r="BB213">
        <f>TYPE(All_India_Index_Upto_April23__1[[#This Row],[Household goods and services]])</f>
        <v>1</v>
      </c>
      <c r="BC213">
        <f>TYPE(All_India_Index_Upto_April23__1[[#This Row],[Health]])</f>
        <v>1</v>
      </c>
      <c r="BD213">
        <f>TYPE(All_India_Index_Upto_April23__1[[#This Row],[Transport and communication]])</f>
        <v>1</v>
      </c>
      <c r="BE213">
        <f>TYPE(All_India_Index_Upto_April23__1[[#This Row],[Recreation and amusement]])</f>
        <v>1</v>
      </c>
      <c r="BF213">
        <f>TYPE(All_India_Index_Upto_April23__1[[#This Row],[Education]])</f>
        <v>1</v>
      </c>
      <c r="BG213">
        <f>TYPE(All_India_Index_Upto_April23__1[[#This Row],[Personal care and effects]])</f>
        <v>1</v>
      </c>
      <c r="BH213">
        <f>TYPE(All_India_Index_Upto_April23__1[[#This Row],[Miscellaneous]])</f>
        <v>1</v>
      </c>
      <c r="BI213">
        <f>TYPE(All_India_Index_Upto_April23__1[[#This Row],[General index]])</f>
        <v>1</v>
      </c>
    </row>
    <row r="214" spans="1:61" x14ac:dyDescent="0.3">
      <c r="A214" t="s">
        <v>33</v>
      </c>
      <c r="B214">
        <v>2018</v>
      </c>
      <c r="C214" t="s">
        <v>44</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c r="AF214">
        <f>TYPE(All_India_Index_Upto_April23__1[[#This Row],[Sector]])</f>
        <v>2</v>
      </c>
      <c r="AG214">
        <f>TYPE(All_India_Index_Upto_April23__1[[#This Row],[Year]])</f>
        <v>1</v>
      </c>
      <c r="AH214">
        <f>TYPE(All_India_Index_Upto_April23__1[[#This Row],[Month]])</f>
        <v>2</v>
      </c>
      <c r="AI214">
        <f>TYPE(All_India_Index_Upto_April23__1[[#This Row],[Cereals and products]])</f>
        <v>1</v>
      </c>
      <c r="AJ214">
        <f>TYPE(All_India_Index_Upto_April23__1[[#This Row],[Meat and fish]])</f>
        <v>1</v>
      </c>
      <c r="AK214">
        <f>TYPE(All_India_Index_Upto_April23__1[[#This Row],[Egg]])</f>
        <v>1</v>
      </c>
      <c r="AL214">
        <f>TYPE(All_India_Index_Upto_April23__1[[#This Row],[Milk and products]])</f>
        <v>1</v>
      </c>
      <c r="AM214">
        <f>TYPE(All_India_Index_Upto_April23__1[[#This Row],[Oils and fats]])</f>
        <v>1</v>
      </c>
      <c r="AN214">
        <f>TYPE(All_India_Index_Upto_April23__1[[#This Row],[Fruits]])</f>
        <v>1</v>
      </c>
      <c r="AO214">
        <f>TYPE(All_India_Index_Upto_April23__1[[#This Row],[Vegetables]])</f>
        <v>1</v>
      </c>
      <c r="AP214">
        <f>TYPE(All_India_Index_Upto_April23__1[[#This Row],[Pulses and products]])</f>
        <v>1</v>
      </c>
      <c r="AQ214">
        <f>TYPE(All_India_Index_Upto_April23__1[[#This Row],[Sugar and Confectionery]])</f>
        <v>1</v>
      </c>
      <c r="AR214">
        <f>TYPE(All_India_Index_Upto_April23__1[[#This Row],[Spices]])</f>
        <v>1</v>
      </c>
      <c r="AS214">
        <f>TYPE(All_India_Index_Upto_April23__1[[#This Row],[Non-alcoholic beverages]])</f>
        <v>1</v>
      </c>
      <c r="AT214">
        <f>TYPE(All_India_Index_Upto_April23__1[[#This Row],[Prepared meals, snacks, sweets etc.]])</f>
        <v>1</v>
      </c>
      <c r="AU214">
        <f>TYPE(All_India_Index_Upto_April23__1[[#This Row],[Food and beverages]])</f>
        <v>1</v>
      </c>
      <c r="AV214">
        <f>TYPE(All_India_Index_Upto_April23__1[[#This Row],[Pan, tobacco and intoxicants]])</f>
        <v>1</v>
      </c>
      <c r="AW214">
        <f>TYPE(All_India_Index_Upto_April23__1[[#This Row],[Clothing]])</f>
        <v>1</v>
      </c>
      <c r="AX214">
        <f>TYPE(All_India_Index_Upto_April23__1[[#This Row],[Footwear]])</f>
        <v>1</v>
      </c>
      <c r="AY214">
        <f>TYPE(All_India_Index_Upto_April23__1[[#This Row],[Clothing and footwear]])</f>
        <v>1</v>
      </c>
      <c r="AZ214">
        <f>TYPE(All_India_Index_Upto_April23__1[[#This Row],[Housing]])</f>
        <v>1</v>
      </c>
      <c r="BA214">
        <f>TYPE(All_India_Index_Upto_April23__1[[#This Row],[Fuel and light]])</f>
        <v>1</v>
      </c>
      <c r="BB214">
        <f>TYPE(All_India_Index_Upto_April23__1[[#This Row],[Household goods and services]])</f>
        <v>1</v>
      </c>
      <c r="BC214">
        <f>TYPE(All_India_Index_Upto_April23__1[[#This Row],[Health]])</f>
        <v>1</v>
      </c>
      <c r="BD214">
        <f>TYPE(All_India_Index_Upto_April23__1[[#This Row],[Transport and communication]])</f>
        <v>1</v>
      </c>
      <c r="BE214">
        <f>TYPE(All_India_Index_Upto_April23__1[[#This Row],[Recreation and amusement]])</f>
        <v>1</v>
      </c>
      <c r="BF214">
        <f>TYPE(All_India_Index_Upto_April23__1[[#This Row],[Education]])</f>
        <v>1</v>
      </c>
      <c r="BG214">
        <f>TYPE(All_India_Index_Upto_April23__1[[#This Row],[Personal care and effects]])</f>
        <v>1</v>
      </c>
      <c r="BH214">
        <f>TYPE(All_India_Index_Upto_April23__1[[#This Row],[Miscellaneous]])</f>
        <v>1</v>
      </c>
      <c r="BI214">
        <f>TYPE(All_India_Index_Upto_April23__1[[#This Row],[General index]])</f>
        <v>1</v>
      </c>
    </row>
    <row r="215" spans="1:61" x14ac:dyDescent="0.3">
      <c r="A215" t="s">
        <v>30</v>
      </c>
      <c r="B215">
        <v>2018</v>
      </c>
      <c r="C215" t="s">
        <v>45</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v>0</v>
      </c>
      <c r="V215">
        <v>149</v>
      </c>
      <c r="W215">
        <v>149.5</v>
      </c>
      <c r="X215">
        <v>149.6</v>
      </c>
      <c r="Y215">
        <v>128.9</v>
      </c>
      <c r="Z215">
        <v>143.30000000000001</v>
      </c>
      <c r="AA215">
        <v>155.1</v>
      </c>
      <c r="AB215">
        <v>133.19999999999999</v>
      </c>
      <c r="AC215">
        <v>141.6</v>
      </c>
      <c r="AD215">
        <v>141.9</v>
      </c>
      <c r="AF215">
        <f>TYPE(All_India_Index_Upto_April23__1[[#This Row],[Sector]])</f>
        <v>2</v>
      </c>
      <c r="AG215">
        <f>TYPE(All_India_Index_Upto_April23__1[[#This Row],[Year]])</f>
        <v>1</v>
      </c>
      <c r="AH215">
        <f>TYPE(All_India_Index_Upto_April23__1[[#This Row],[Month]])</f>
        <v>2</v>
      </c>
      <c r="AI215">
        <f>TYPE(All_India_Index_Upto_April23__1[[#This Row],[Cereals and products]])</f>
        <v>1</v>
      </c>
      <c r="AJ215">
        <f>TYPE(All_India_Index_Upto_April23__1[[#This Row],[Meat and fish]])</f>
        <v>1</v>
      </c>
      <c r="AK215">
        <f>TYPE(All_India_Index_Upto_April23__1[[#This Row],[Egg]])</f>
        <v>1</v>
      </c>
      <c r="AL215">
        <f>TYPE(All_India_Index_Upto_April23__1[[#This Row],[Milk and products]])</f>
        <v>1</v>
      </c>
      <c r="AM215">
        <f>TYPE(All_India_Index_Upto_April23__1[[#This Row],[Oils and fats]])</f>
        <v>1</v>
      </c>
      <c r="AN215">
        <f>TYPE(All_India_Index_Upto_April23__1[[#This Row],[Fruits]])</f>
        <v>1</v>
      </c>
      <c r="AO215">
        <f>TYPE(All_India_Index_Upto_April23__1[[#This Row],[Vegetables]])</f>
        <v>1</v>
      </c>
      <c r="AP215">
        <f>TYPE(All_India_Index_Upto_April23__1[[#This Row],[Pulses and products]])</f>
        <v>1</v>
      </c>
      <c r="AQ215">
        <f>TYPE(All_India_Index_Upto_April23__1[[#This Row],[Sugar and Confectionery]])</f>
        <v>1</v>
      </c>
      <c r="AR215">
        <f>TYPE(All_India_Index_Upto_April23__1[[#This Row],[Spices]])</f>
        <v>1</v>
      </c>
      <c r="AS215">
        <f>TYPE(All_India_Index_Upto_April23__1[[#This Row],[Non-alcoholic beverages]])</f>
        <v>1</v>
      </c>
      <c r="AT215">
        <f>TYPE(All_India_Index_Upto_April23__1[[#This Row],[Prepared meals, snacks, sweets etc.]])</f>
        <v>1</v>
      </c>
      <c r="AU215">
        <f>TYPE(All_India_Index_Upto_April23__1[[#This Row],[Food and beverages]])</f>
        <v>1</v>
      </c>
      <c r="AV215">
        <f>TYPE(All_India_Index_Upto_April23__1[[#This Row],[Pan, tobacco and intoxicants]])</f>
        <v>1</v>
      </c>
      <c r="AW215">
        <f>TYPE(All_India_Index_Upto_April23__1[[#This Row],[Clothing]])</f>
        <v>1</v>
      </c>
      <c r="AX215">
        <f>TYPE(All_India_Index_Upto_April23__1[[#This Row],[Footwear]])</f>
        <v>1</v>
      </c>
      <c r="AY215">
        <f>TYPE(All_India_Index_Upto_April23__1[[#This Row],[Clothing and footwear]])</f>
        <v>1</v>
      </c>
      <c r="AZ215">
        <f>TYPE(All_India_Index_Upto_April23__1[[#This Row],[Housing]])</f>
        <v>1</v>
      </c>
      <c r="BA215">
        <f>TYPE(All_India_Index_Upto_April23__1[[#This Row],[Fuel and light]])</f>
        <v>1</v>
      </c>
      <c r="BB215">
        <f>TYPE(All_India_Index_Upto_April23__1[[#This Row],[Household goods and services]])</f>
        <v>1</v>
      </c>
      <c r="BC215">
        <f>TYPE(All_India_Index_Upto_April23__1[[#This Row],[Health]])</f>
        <v>1</v>
      </c>
      <c r="BD215">
        <f>TYPE(All_India_Index_Upto_April23__1[[#This Row],[Transport and communication]])</f>
        <v>1</v>
      </c>
      <c r="BE215">
        <f>TYPE(All_India_Index_Upto_April23__1[[#This Row],[Recreation and amusement]])</f>
        <v>1</v>
      </c>
      <c r="BF215">
        <f>TYPE(All_India_Index_Upto_April23__1[[#This Row],[Education]])</f>
        <v>1</v>
      </c>
      <c r="BG215">
        <f>TYPE(All_India_Index_Upto_April23__1[[#This Row],[Personal care and effects]])</f>
        <v>1</v>
      </c>
      <c r="BH215">
        <f>TYPE(All_India_Index_Upto_April23__1[[#This Row],[Miscellaneous]])</f>
        <v>1</v>
      </c>
      <c r="BI215">
        <f>TYPE(All_India_Index_Upto_April23__1[[#This Row],[General index]])</f>
        <v>1</v>
      </c>
    </row>
    <row r="216" spans="1:61" x14ac:dyDescent="0.3">
      <c r="A216" t="s">
        <v>32</v>
      </c>
      <c r="B216">
        <v>2018</v>
      </c>
      <c r="C216" t="s">
        <v>45</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c r="AF216">
        <f>TYPE(All_India_Index_Upto_April23__1[[#This Row],[Sector]])</f>
        <v>2</v>
      </c>
      <c r="AG216">
        <f>TYPE(All_India_Index_Upto_April23__1[[#This Row],[Year]])</f>
        <v>1</v>
      </c>
      <c r="AH216">
        <f>TYPE(All_India_Index_Upto_April23__1[[#This Row],[Month]])</f>
        <v>2</v>
      </c>
      <c r="AI216">
        <f>TYPE(All_India_Index_Upto_April23__1[[#This Row],[Cereals and products]])</f>
        <v>1</v>
      </c>
      <c r="AJ216">
        <f>TYPE(All_India_Index_Upto_April23__1[[#This Row],[Meat and fish]])</f>
        <v>1</v>
      </c>
      <c r="AK216">
        <f>TYPE(All_India_Index_Upto_April23__1[[#This Row],[Egg]])</f>
        <v>1</v>
      </c>
      <c r="AL216">
        <f>TYPE(All_India_Index_Upto_April23__1[[#This Row],[Milk and products]])</f>
        <v>1</v>
      </c>
      <c r="AM216">
        <f>TYPE(All_India_Index_Upto_April23__1[[#This Row],[Oils and fats]])</f>
        <v>1</v>
      </c>
      <c r="AN216">
        <f>TYPE(All_India_Index_Upto_April23__1[[#This Row],[Fruits]])</f>
        <v>1</v>
      </c>
      <c r="AO216">
        <f>TYPE(All_India_Index_Upto_April23__1[[#This Row],[Vegetables]])</f>
        <v>1</v>
      </c>
      <c r="AP216">
        <f>TYPE(All_India_Index_Upto_April23__1[[#This Row],[Pulses and products]])</f>
        <v>1</v>
      </c>
      <c r="AQ216">
        <f>TYPE(All_India_Index_Upto_April23__1[[#This Row],[Sugar and Confectionery]])</f>
        <v>1</v>
      </c>
      <c r="AR216">
        <f>TYPE(All_India_Index_Upto_April23__1[[#This Row],[Spices]])</f>
        <v>1</v>
      </c>
      <c r="AS216">
        <f>TYPE(All_India_Index_Upto_April23__1[[#This Row],[Non-alcoholic beverages]])</f>
        <v>1</v>
      </c>
      <c r="AT216">
        <f>TYPE(All_India_Index_Upto_April23__1[[#This Row],[Prepared meals, snacks, sweets etc.]])</f>
        <v>1</v>
      </c>
      <c r="AU216">
        <f>TYPE(All_India_Index_Upto_April23__1[[#This Row],[Food and beverages]])</f>
        <v>1</v>
      </c>
      <c r="AV216">
        <f>TYPE(All_India_Index_Upto_April23__1[[#This Row],[Pan, tobacco and intoxicants]])</f>
        <v>1</v>
      </c>
      <c r="AW216">
        <f>TYPE(All_India_Index_Upto_April23__1[[#This Row],[Clothing]])</f>
        <v>1</v>
      </c>
      <c r="AX216">
        <f>TYPE(All_India_Index_Upto_April23__1[[#This Row],[Footwear]])</f>
        <v>1</v>
      </c>
      <c r="AY216">
        <f>TYPE(All_India_Index_Upto_April23__1[[#This Row],[Clothing and footwear]])</f>
        <v>1</v>
      </c>
      <c r="AZ216">
        <f>TYPE(All_India_Index_Upto_April23__1[[#This Row],[Housing]])</f>
        <v>1</v>
      </c>
      <c r="BA216">
        <f>TYPE(All_India_Index_Upto_April23__1[[#This Row],[Fuel and light]])</f>
        <v>1</v>
      </c>
      <c r="BB216">
        <f>TYPE(All_India_Index_Upto_April23__1[[#This Row],[Household goods and services]])</f>
        <v>1</v>
      </c>
      <c r="BC216">
        <f>TYPE(All_India_Index_Upto_April23__1[[#This Row],[Health]])</f>
        <v>1</v>
      </c>
      <c r="BD216">
        <f>TYPE(All_India_Index_Upto_April23__1[[#This Row],[Transport and communication]])</f>
        <v>1</v>
      </c>
      <c r="BE216">
        <f>TYPE(All_India_Index_Upto_April23__1[[#This Row],[Recreation and amusement]])</f>
        <v>1</v>
      </c>
      <c r="BF216">
        <f>TYPE(All_India_Index_Upto_April23__1[[#This Row],[Education]])</f>
        <v>1</v>
      </c>
      <c r="BG216">
        <f>TYPE(All_India_Index_Upto_April23__1[[#This Row],[Personal care and effects]])</f>
        <v>1</v>
      </c>
      <c r="BH216">
        <f>TYPE(All_India_Index_Upto_April23__1[[#This Row],[Miscellaneous]])</f>
        <v>1</v>
      </c>
      <c r="BI216">
        <f>TYPE(All_India_Index_Upto_April23__1[[#This Row],[General index]])</f>
        <v>1</v>
      </c>
    </row>
    <row r="217" spans="1:61" x14ac:dyDescent="0.3">
      <c r="A217" t="s">
        <v>33</v>
      </c>
      <c r="B217">
        <v>2018</v>
      </c>
      <c r="C217" t="s">
        <v>45</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c r="AF217">
        <f>TYPE(All_India_Index_Upto_April23__1[[#This Row],[Sector]])</f>
        <v>2</v>
      </c>
      <c r="AG217">
        <f>TYPE(All_India_Index_Upto_April23__1[[#This Row],[Year]])</f>
        <v>1</v>
      </c>
      <c r="AH217">
        <f>TYPE(All_India_Index_Upto_April23__1[[#This Row],[Month]])</f>
        <v>2</v>
      </c>
      <c r="AI217">
        <f>TYPE(All_India_Index_Upto_April23__1[[#This Row],[Cereals and products]])</f>
        <v>1</v>
      </c>
      <c r="AJ217">
        <f>TYPE(All_India_Index_Upto_April23__1[[#This Row],[Meat and fish]])</f>
        <v>1</v>
      </c>
      <c r="AK217">
        <f>TYPE(All_India_Index_Upto_April23__1[[#This Row],[Egg]])</f>
        <v>1</v>
      </c>
      <c r="AL217">
        <f>TYPE(All_India_Index_Upto_April23__1[[#This Row],[Milk and products]])</f>
        <v>1</v>
      </c>
      <c r="AM217">
        <f>TYPE(All_India_Index_Upto_April23__1[[#This Row],[Oils and fats]])</f>
        <v>1</v>
      </c>
      <c r="AN217">
        <f>TYPE(All_India_Index_Upto_April23__1[[#This Row],[Fruits]])</f>
        <v>1</v>
      </c>
      <c r="AO217">
        <f>TYPE(All_India_Index_Upto_April23__1[[#This Row],[Vegetables]])</f>
        <v>1</v>
      </c>
      <c r="AP217">
        <f>TYPE(All_India_Index_Upto_April23__1[[#This Row],[Pulses and products]])</f>
        <v>1</v>
      </c>
      <c r="AQ217">
        <f>TYPE(All_India_Index_Upto_April23__1[[#This Row],[Sugar and Confectionery]])</f>
        <v>1</v>
      </c>
      <c r="AR217">
        <f>TYPE(All_India_Index_Upto_April23__1[[#This Row],[Spices]])</f>
        <v>1</v>
      </c>
      <c r="AS217">
        <f>TYPE(All_India_Index_Upto_April23__1[[#This Row],[Non-alcoholic beverages]])</f>
        <v>1</v>
      </c>
      <c r="AT217">
        <f>TYPE(All_India_Index_Upto_April23__1[[#This Row],[Prepared meals, snacks, sweets etc.]])</f>
        <v>1</v>
      </c>
      <c r="AU217">
        <f>TYPE(All_India_Index_Upto_April23__1[[#This Row],[Food and beverages]])</f>
        <v>1</v>
      </c>
      <c r="AV217">
        <f>TYPE(All_India_Index_Upto_April23__1[[#This Row],[Pan, tobacco and intoxicants]])</f>
        <v>1</v>
      </c>
      <c r="AW217">
        <f>TYPE(All_India_Index_Upto_April23__1[[#This Row],[Clothing]])</f>
        <v>1</v>
      </c>
      <c r="AX217">
        <f>TYPE(All_India_Index_Upto_April23__1[[#This Row],[Footwear]])</f>
        <v>1</v>
      </c>
      <c r="AY217">
        <f>TYPE(All_India_Index_Upto_April23__1[[#This Row],[Clothing and footwear]])</f>
        <v>1</v>
      </c>
      <c r="AZ217">
        <f>TYPE(All_India_Index_Upto_April23__1[[#This Row],[Housing]])</f>
        <v>1</v>
      </c>
      <c r="BA217">
        <f>TYPE(All_India_Index_Upto_April23__1[[#This Row],[Fuel and light]])</f>
        <v>1</v>
      </c>
      <c r="BB217">
        <f>TYPE(All_India_Index_Upto_April23__1[[#This Row],[Household goods and services]])</f>
        <v>1</v>
      </c>
      <c r="BC217">
        <f>TYPE(All_India_Index_Upto_April23__1[[#This Row],[Health]])</f>
        <v>1</v>
      </c>
      <c r="BD217">
        <f>TYPE(All_India_Index_Upto_April23__1[[#This Row],[Transport and communication]])</f>
        <v>1</v>
      </c>
      <c r="BE217">
        <f>TYPE(All_India_Index_Upto_April23__1[[#This Row],[Recreation and amusement]])</f>
        <v>1</v>
      </c>
      <c r="BF217">
        <f>TYPE(All_India_Index_Upto_April23__1[[#This Row],[Education]])</f>
        <v>1</v>
      </c>
      <c r="BG217">
        <f>TYPE(All_India_Index_Upto_April23__1[[#This Row],[Personal care and effects]])</f>
        <v>1</v>
      </c>
      <c r="BH217">
        <f>TYPE(All_India_Index_Upto_April23__1[[#This Row],[Miscellaneous]])</f>
        <v>1</v>
      </c>
      <c r="BI217">
        <f>TYPE(All_India_Index_Upto_April23__1[[#This Row],[General index]])</f>
        <v>1</v>
      </c>
    </row>
    <row r="218" spans="1:61" x14ac:dyDescent="0.3">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v>0</v>
      </c>
      <c r="V218">
        <v>146.19999999999999</v>
      </c>
      <c r="W218">
        <v>150.1</v>
      </c>
      <c r="X218">
        <v>149.6</v>
      </c>
      <c r="Y218">
        <v>128.6</v>
      </c>
      <c r="Z218">
        <v>142.9</v>
      </c>
      <c r="AA218">
        <v>155.19999999999999</v>
      </c>
      <c r="AB218">
        <v>133.5</v>
      </c>
      <c r="AC218">
        <v>141.69999999999999</v>
      </c>
      <c r="AD218">
        <v>141</v>
      </c>
      <c r="AF218">
        <f>TYPE(All_India_Index_Upto_April23__1[[#This Row],[Sector]])</f>
        <v>2</v>
      </c>
      <c r="AG218">
        <f>TYPE(All_India_Index_Upto_April23__1[[#This Row],[Year]])</f>
        <v>1</v>
      </c>
      <c r="AH218">
        <f>TYPE(All_India_Index_Upto_April23__1[[#This Row],[Month]])</f>
        <v>2</v>
      </c>
      <c r="AI218">
        <f>TYPE(All_India_Index_Upto_April23__1[[#This Row],[Cereals and products]])</f>
        <v>1</v>
      </c>
      <c r="AJ218">
        <f>TYPE(All_India_Index_Upto_April23__1[[#This Row],[Meat and fish]])</f>
        <v>1</v>
      </c>
      <c r="AK218">
        <f>TYPE(All_India_Index_Upto_April23__1[[#This Row],[Egg]])</f>
        <v>1</v>
      </c>
      <c r="AL218">
        <f>TYPE(All_India_Index_Upto_April23__1[[#This Row],[Milk and products]])</f>
        <v>1</v>
      </c>
      <c r="AM218">
        <f>TYPE(All_India_Index_Upto_April23__1[[#This Row],[Oils and fats]])</f>
        <v>1</v>
      </c>
      <c r="AN218">
        <f>TYPE(All_India_Index_Upto_April23__1[[#This Row],[Fruits]])</f>
        <v>1</v>
      </c>
      <c r="AO218">
        <f>TYPE(All_India_Index_Upto_April23__1[[#This Row],[Vegetables]])</f>
        <v>1</v>
      </c>
      <c r="AP218">
        <f>TYPE(All_India_Index_Upto_April23__1[[#This Row],[Pulses and products]])</f>
        <v>1</v>
      </c>
      <c r="AQ218">
        <f>TYPE(All_India_Index_Upto_April23__1[[#This Row],[Sugar and Confectionery]])</f>
        <v>1</v>
      </c>
      <c r="AR218">
        <f>TYPE(All_India_Index_Upto_April23__1[[#This Row],[Spices]])</f>
        <v>1</v>
      </c>
      <c r="AS218">
        <f>TYPE(All_India_Index_Upto_April23__1[[#This Row],[Non-alcoholic beverages]])</f>
        <v>1</v>
      </c>
      <c r="AT218">
        <f>TYPE(All_India_Index_Upto_April23__1[[#This Row],[Prepared meals, snacks, sweets etc.]])</f>
        <v>1</v>
      </c>
      <c r="AU218">
        <f>TYPE(All_India_Index_Upto_April23__1[[#This Row],[Food and beverages]])</f>
        <v>1</v>
      </c>
      <c r="AV218">
        <f>TYPE(All_India_Index_Upto_April23__1[[#This Row],[Pan, tobacco and intoxicants]])</f>
        <v>1</v>
      </c>
      <c r="AW218">
        <f>TYPE(All_India_Index_Upto_April23__1[[#This Row],[Clothing]])</f>
        <v>1</v>
      </c>
      <c r="AX218">
        <f>TYPE(All_India_Index_Upto_April23__1[[#This Row],[Footwear]])</f>
        <v>1</v>
      </c>
      <c r="AY218">
        <f>TYPE(All_India_Index_Upto_April23__1[[#This Row],[Clothing and footwear]])</f>
        <v>1</v>
      </c>
      <c r="AZ218">
        <f>TYPE(All_India_Index_Upto_April23__1[[#This Row],[Housing]])</f>
        <v>1</v>
      </c>
      <c r="BA218">
        <f>TYPE(All_India_Index_Upto_April23__1[[#This Row],[Fuel and light]])</f>
        <v>1</v>
      </c>
      <c r="BB218">
        <f>TYPE(All_India_Index_Upto_April23__1[[#This Row],[Household goods and services]])</f>
        <v>1</v>
      </c>
      <c r="BC218">
        <f>TYPE(All_India_Index_Upto_April23__1[[#This Row],[Health]])</f>
        <v>1</v>
      </c>
      <c r="BD218">
        <f>TYPE(All_India_Index_Upto_April23__1[[#This Row],[Transport and communication]])</f>
        <v>1</v>
      </c>
      <c r="BE218">
        <f>TYPE(All_India_Index_Upto_April23__1[[#This Row],[Recreation and amusement]])</f>
        <v>1</v>
      </c>
      <c r="BF218">
        <f>TYPE(All_India_Index_Upto_April23__1[[#This Row],[Education]])</f>
        <v>1</v>
      </c>
      <c r="BG218">
        <f>TYPE(All_India_Index_Upto_April23__1[[#This Row],[Personal care and effects]])</f>
        <v>1</v>
      </c>
      <c r="BH218">
        <f>TYPE(All_India_Index_Upto_April23__1[[#This Row],[Miscellaneous]])</f>
        <v>1</v>
      </c>
      <c r="BI218">
        <f>TYPE(All_India_Index_Upto_April23__1[[#This Row],[General index]])</f>
        <v>1</v>
      </c>
    </row>
    <row r="219" spans="1:61" x14ac:dyDescent="0.3">
      <c r="A219" t="s">
        <v>32</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c r="AF219">
        <f>TYPE(All_India_Index_Upto_April23__1[[#This Row],[Sector]])</f>
        <v>2</v>
      </c>
      <c r="AG219">
        <f>TYPE(All_India_Index_Upto_April23__1[[#This Row],[Year]])</f>
        <v>1</v>
      </c>
      <c r="AH219">
        <f>TYPE(All_India_Index_Upto_April23__1[[#This Row],[Month]])</f>
        <v>2</v>
      </c>
      <c r="AI219">
        <f>TYPE(All_India_Index_Upto_April23__1[[#This Row],[Cereals and products]])</f>
        <v>1</v>
      </c>
      <c r="AJ219">
        <f>TYPE(All_India_Index_Upto_April23__1[[#This Row],[Meat and fish]])</f>
        <v>1</v>
      </c>
      <c r="AK219">
        <f>TYPE(All_India_Index_Upto_April23__1[[#This Row],[Egg]])</f>
        <v>1</v>
      </c>
      <c r="AL219">
        <f>TYPE(All_India_Index_Upto_April23__1[[#This Row],[Milk and products]])</f>
        <v>1</v>
      </c>
      <c r="AM219">
        <f>TYPE(All_India_Index_Upto_April23__1[[#This Row],[Oils and fats]])</f>
        <v>1</v>
      </c>
      <c r="AN219">
        <f>TYPE(All_India_Index_Upto_April23__1[[#This Row],[Fruits]])</f>
        <v>1</v>
      </c>
      <c r="AO219">
        <f>TYPE(All_India_Index_Upto_April23__1[[#This Row],[Vegetables]])</f>
        <v>1</v>
      </c>
      <c r="AP219">
        <f>TYPE(All_India_Index_Upto_April23__1[[#This Row],[Pulses and products]])</f>
        <v>1</v>
      </c>
      <c r="AQ219">
        <f>TYPE(All_India_Index_Upto_April23__1[[#This Row],[Sugar and Confectionery]])</f>
        <v>1</v>
      </c>
      <c r="AR219">
        <f>TYPE(All_India_Index_Upto_April23__1[[#This Row],[Spices]])</f>
        <v>1</v>
      </c>
      <c r="AS219">
        <f>TYPE(All_India_Index_Upto_April23__1[[#This Row],[Non-alcoholic beverages]])</f>
        <v>1</v>
      </c>
      <c r="AT219">
        <f>TYPE(All_India_Index_Upto_April23__1[[#This Row],[Prepared meals, snacks, sweets etc.]])</f>
        <v>1</v>
      </c>
      <c r="AU219">
        <f>TYPE(All_India_Index_Upto_April23__1[[#This Row],[Food and beverages]])</f>
        <v>1</v>
      </c>
      <c r="AV219">
        <f>TYPE(All_India_Index_Upto_April23__1[[#This Row],[Pan, tobacco and intoxicants]])</f>
        <v>1</v>
      </c>
      <c r="AW219">
        <f>TYPE(All_India_Index_Upto_April23__1[[#This Row],[Clothing]])</f>
        <v>1</v>
      </c>
      <c r="AX219">
        <f>TYPE(All_India_Index_Upto_April23__1[[#This Row],[Footwear]])</f>
        <v>1</v>
      </c>
      <c r="AY219">
        <f>TYPE(All_India_Index_Upto_April23__1[[#This Row],[Clothing and footwear]])</f>
        <v>1</v>
      </c>
      <c r="AZ219">
        <f>TYPE(All_India_Index_Upto_April23__1[[#This Row],[Housing]])</f>
        <v>1</v>
      </c>
      <c r="BA219">
        <f>TYPE(All_India_Index_Upto_April23__1[[#This Row],[Fuel and light]])</f>
        <v>1</v>
      </c>
      <c r="BB219">
        <f>TYPE(All_India_Index_Upto_April23__1[[#This Row],[Household goods and services]])</f>
        <v>1</v>
      </c>
      <c r="BC219">
        <f>TYPE(All_India_Index_Upto_April23__1[[#This Row],[Health]])</f>
        <v>1</v>
      </c>
      <c r="BD219">
        <f>TYPE(All_India_Index_Upto_April23__1[[#This Row],[Transport and communication]])</f>
        <v>1</v>
      </c>
      <c r="BE219">
        <f>TYPE(All_India_Index_Upto_April23__1[[#This Row],[Recreation and amusement]])</f>
        <v>1</v>
      </c>
      <c r="BF219">
        <f>TYPE(All_India_Index_Upto_April23__1[[#This Row],[Education]])</f>
        <v>1</v>
      </c>
      <c r="BG219">
        <f>TYPE(All_India_Index_Upto_April23__1[[#This Row],[Personal care and effects]])</f>
        <v>1</v>
      </c>
      <c r="BH219">
        <f>TYPE(All_India_Index_Upto_April23__1[[#This Row],[Miscellaneous]])</f>
        <v>1</v>
      </c>
      <c r="BI219">
        <f>TYPE(All_India_Index_Upto_April23__1[[#This Row],[General index]])</f>
        <v>1</v>
      </c>
    </row>
    <row r="220" spans="1:61" x14ac:dyDescent="0.3">
      <c r="A220" t="s">
        <v>33</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c r="AF220">
        <f>TYPE(All_India_Index_Upto_April23__1[[#This Row],[Sector]])</f>
        <v>2</v>
      </c>
      <c r="AG220">
        <f>TYPE(All_India_Index_Upto_April23__1[[#This Row],[Year]])</f>
        <v>1</v>
      </c>
      <c r="AH220">
        <f>TYPE(All_India_Index_Upto_April23__1[[#This Row],[Month]])</f>
        <v>2</v>
      </c>
      <c r="AI220">
        <f>TYPE(All_India_Index_Upto_April23__1[[#This Row],[Cereals and products]])</f>
        <v>1</v>
      </c>
      <c r="AJ220">
        <f>TYPE(All_India_Index_Upto_April23__1[[#This Row],[Meat and fish]])</f>
        <v>1</v>
      </c>
      <c r="AK220">
        <f>TYPE(All_India_Index_Upto_April23__1[[#This Row],[Egg]])</f>
        <v>1</v>
      </c>
      <c r="AL220">
        <f>TYPE(All_India_Index_Upto_April23__1[[#This Row],[Milk and products]])</f>
        <v>1</v>
      </c>
      <c r="AM220">
        <f>TYPE(All_India_Index_Upto_April23__1[[#This Row],[Oils and fats]])</f>
        <v>1</v>
      </c>
      <c r="AN220">
        <f>TYPE(All_India_Index_Upto_April23__1[[#This Row],[Fruits]])</f>
        <v>1</v>
      </c>
      <c r="AO220">
        <f>TYPE(All_India_Index_Upto_April23__1[[#This Row],[Vegetables]])</f>
        <v>1</v>
      </c>
      <c r="AP220">
        <f>TYPE(All_India_Index_Upto_April23__1[[#This Row],[Pulses and products]])</f>
        <v>1</v>
      </c>
      <c r="AQ220">
        <f>TYPE(All_India_Index_Upto_April23__1[[#This Row],[Sugar and Confectionery]])</f>
        <v>1</v>
      </c>
      <c r="AR220">
        <f>TYPE(All_India_Index_Upto_April23__1[[#This Row],[Spices]])</f>
        <v>1</v>
      </c>
      <c r="AS220">
        <f>TYPE(All_India_Index_Upto_April23__1[[#This Row],[Non-alcoholic beverages]])</f>
        <v>1</v>
      </c>
      <c r="AT220">
        <f>TYPE(All_India_Index_Upto_April23__1[[#This Row],[Prepared meals, snacks, sweets etc.]])</f>
        <v>1</v>
      </c>
      <c r="AU220">
        <f>TYPE(All_India_Index_Upto_April23__1[[#This Row],[Food and beverages]])</f>
        <v>1</v>
      </c>
      <c r="AV220">
        <f>TYPE(All_India_Index_Upto_April23__1[[#This Row],[Pan, tobacco and intoxicants]])</f>
        <v>1</v>
      </c>
      <c r="AW220">
        <f>TYPE(All_India_Index_Upto_April23__1[[#This Row],[Clothing]])</f>
        <v>1</v>
      </c>
      <c r="AX220">
        <f>TYPE(All_India_Index_Upto_April23__1[[#This Row],[Footwear]])</f>
        <v>1</v>
      </c>
      <c r="AY220">
        <f>TYPE(All_India_Index_Upto_April23__1[[#This Row],[Clothing and footwear]])</f>
        <v>1</v>
      </c>
      <c r="AZ220">
        <f>TYPE(All_India_Index_Upto_April23__1[[#This Row],[Housing]])</f>
        <v>1</v>
      </c>
      <c r="BA220">
        <f>TYPE(All_India_Index_Upto_April23__1[[#This Row],[Fuel and light]])</f>
        <v>1</v>
      </c>
      <c r="BB220">
        <f>TYPE(All_India_Index_Upto_April23__1[[#This Row],[Household goods and services]])</f>
        <v>1</v>
      </c>
      <c r="BC220">
        <f>TYPE(All_India_Index_Upto_April23__1[[#This Row],[Health]])</f>
        <v>1</v>
      </c>
      <c r="BD220">
        <f>TYPE(All_India_Index_Upto_April23__1[[#This Row],[Transport and communication]])</f>
        <v>1</v>
      </c>
      <c r="BE220">
        <f>TYPE(All_India_Index_Upto_April23__1[[#This Row],[Recreation and amusement]])</f>
        <v>1</v>
      </c>
      <c r="BF220">
        <f>TYPE(All_India_Index_Upto_April23__1[[#This Row],[Education]])</f>
        <v>1</v>
      </c>
      <c r="BG220">
        <f>TYPE(All_India_Index_Upto_April23__1[[#This Row],[Personal care and effects]])</f>
        <v>1</v>
      </c>
      <c r="BH220">
        <f>TYPE(All_India_Index_Upto_April23__1[[#This Row],[Miscellaneous]])</f>
        <v>1</v>
      </c>
      <c r="BI220">
        <f>TYPE(All_India_Index_Upto_April23__1[[#This Row],[General index]])</f>
        <v>1</v>
      </c>
    </row>
    <row r="221" spans="1:61" x14ac:dyDescent="0.3">
      <c r="A221" t="s">
        <v>30</v>
      </c>
      <c r="B221">
        <v>2019</v>
      </c>
      <c r="C221" t="s">
        <v>34</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v>0</v>
      </c>
      <c r="V221">
        <v>145.30000000000001</v>
      </c>
      <c r="W221">
        <v>150.1</v>
      </c>
      <c r="X221">
        <v>149.9</v>
      </c>
      <c r="Y221">
        <v>129.19999999999999</v>
      </c>
      <c r="Z221">
        <v>143.4</v>
      </c>
      <c r="AA221">
        <v>155.5</v>
      </c>
      <c r="AB221">
        <v>134.9</v>
      </c>
      <c r="AC221">
        <v>142.19999999999999</v>
      </c>
      <c r="AD221">
        <v>141</v>
      </c>
      <c r="AF221">
        <f>TYPE(All_India_Index_Upto_April23__1[[#This Row],[Sector]])</f>
        <v>2</v>
      </c>
      <c r="AG221">
        <f>TYPE(All_India_Index_Upto_April23__1[[#This Row],[Year]])</f>
        <v>1</v>
      </c>
      <c r="AH221">
        <f>TYPE(All_India_Index_Upto_April23__1[[#This Row],[Month]])</f>
        <v>2</v>
      </c>
      <c r="AI221">
        <f>TYPE(All_India_Index_Upto_April23__1[[#This Row],[Cereals and products]])</f>
        <v>1</v>
      </c>
      <c r="AJ221">
        <f>TYPE(All_India_Index_Upto_April23__1[[#This Row],[Meat and fish]])</f>
        <v>1</v>
      </c>
      <c r="AK221">
        <f>TYPE(All_India_Index_Upto_April23__1[[#This Row],[Egg]])</f>
        <v>1</v>
      </c>
      <c r="AL221">
        <f>TYPE(All_India_Index_Upto_April23__1[[#This Row],[Milk and products]])</f>
        <v>1</v>
      </c>
      <c r="AM221">
        <f>TYPE(All_India_Index_Upto_April23__1[[#This Row],[Oils and fats]])</f>
        <v>1</v>
      </c>
      <c r="AN221">
        <f>TYPE(All_India_Index_Upto_April23__1[[#This Row],[Fruits]])</f>
        <v>1</v>
      </c>
      <c r="AO221">
        <f>TYPE(All_India_Index_Upto_April23__1[[#This Row],[Vegetables]])</f>
        <v>1</v>
      </c>
      <c r="AP221">
        <f>TYPE(All_India_Index_Upto_April23__1[[#This Row],[Pulses and products]])</f>
        <v>1</v>
      </c>
      <c r="AQ221">
        <f>TYPE(All_India_Index_Upto_April23__1[[#This Row],[Sugar and Confectionery]])</f>
        <v>1</v>
      </c>
      <c r="AR221">
        <f>TYPE(All_India_Index_Upto_April23__1[[#This Row],[Spices]])</f>
        <v>1</v>
      </c>
      <c r="AS221">
        <f>TYPE(All_India_Index_Upto_April23__1[[#This Row],[Non-alcoholic beverages]])</f>
        <v>1</v>
      </c>
      <c r="AT221">
        <f>TYPE(All_India_Index_Upto_April23__1[[#This Row],[Prepared meals, snacks, sweets etc.]])</f>
        <v>1</v>
      </c>
      <c r="AU221">
        <f>TYPE(All_India_Index_Upto_April23__1[[#This Row],[Food and beverages]])</f>
        <v>1</v>
      </c>
      <c r="AV221">
        <f>TYPE(All_India_Index_Upto_April23__1[[#This Row],[Pan, tobacco and intoxicants]])</f>
        <v>1</v>
      </c>
      <c r="AW221">
        <f>TYPE(All_India_Index_Upto_April23__1[[#This Row],[Clothing]])</f>
        <v>1</v>
      </c>
      <c r="AX221">
        <f>TYPE(All_India_Index_Upto_April23__1[[#This Row],[Footwear]])</f>
        <v>1</v>
      </c>
      <c r="AY221">
        <f>TYPE(All_India_Index_Upto_April23__1[[#This Row],[Clothing and footwear]])</f>
        <v>1</v>
      </c>
      <c r="AZ221">
        <f>TYPE(All_India_Index_Upto_April23__1[[#This Row],[Housing]])</f>
        <v>1</v>
      </c>
      <c r="BA221">
        <f>TYPE(All_India_Index_Upto_April23__1[[#This Row],[Fuel and light]])</f>
        <v>1</v>
      </c>
      <c r="BB221">
        <f>TYPE(All_India_Index_Upto_April23__1[[#This Row],[Household goods and services]])</f>
        <v>1</v>
      </c>
      <c r="BC221">
        <f>TYPE(All_India_Index_Upto_April23__1[[#This Row],[Health]])</f>
        <v>1</v>
      </c>
      <c r="BD221">
        <f>TYPE(All_India_Index_Upto_April23__1[[#This Row],[Transport and communication]])</f>
        <v>1</v>
      </c>
      <c r="BE221">
        <f>TYPE(All_India_Index_Upto_April23__1[[#This Row],[Recreation and amusement]])</f>
        <v>1</v>
      </c>
      <c r="BF221">
        <f>TYPE(All_India_Index_Upto_April23__1[[#This Row],[Education]])</f>
        <v>1</v>
      </c>
      <c r="BG221">
        <f>TYPE(All_India_Index_Upto_April23__1[[#This Row],[Personal care and effects]])</f>
        <v>1</v>
      </c>
      <c r="BH221">
        <f>TYPE(All_India_Index_Upto_April23__1[[#This Row],[Miscellaneous]])</f>
        <v>1</v>
      </c>
      <c r="BI221">
        <f>TYPE(All_India_Index_Upto_April23__1[[#This Row],[General index]])</f>
        <v>1</v>
      </c>
    </row>
    <row r="222" spans="1:61" x14ac:dyDescent="0.3">
      <c r="A222" t="s">
        <v>32</v>
      </c>
      <c r="B222">
        <v>2019</v>
      </c>
      <c r="C222" t="s">
        <v>34</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c r="AF222">
        <f>TYPE(All_India_Index_Upto_April23__1[[#This Row],[Sector]])</f>
        <v>2</v>
      </c>
      <c r="AG222">
        <f>TYPE(All_India_Index_Upto_April23__1[[#This Row],[Year]])</f>
        <v>1</v>
      </c>
      <c r="AH222">
        <f>TYPE(All_India_Index_Upto_April23__1[[#This Row],[Month]])</f>
        <v>2</v>
      </c>
      <c r="AI222">
        <f>TYPE(All_India_Index_Upto_April23__1[[#This Row],[Cereals and products]])</f>
        <v>1</v>
      </c>
      <c r="AJ222">
        <f>TYPE(All_India_Index_Upto_April23__1[[#This Row],[Meat and fish]])</f>
        <v>1</v>
      </c>
      <c r="AK222">
        <f>TYPE(All_India_Index_Upto_April23__1[[#This Row],[Egg]])</f>
        <v>1</v>
      </c>
      <c r="AL222">
        <f>TYPE(All_India_Index_Upto_April23__1[[#This Row],[Milk and products]])</f>
        <v>1</v>
      </c>
      <c r="AM222">
        <f>TYPE(All_India_Index_Upto_April23__1[[#This Row],[Oils and fats]])</f>
        <v>1</v>
      </c>
      <c r="AN222">
        <f>TYPE(All_India_Index_Upto_April23__1[[#This Row],[Fruits]])</f>
        <v>1</v>
      </c>
      <c r="AO222">
        <f>TYPE(All_India_Index_Upto_April23__1[[#This Row],[Vegetables]])</f>
        <v>1</v>
      </c>
      <c r="AP222">
        <f>TYPE(All_India_Index_Upto_April23__1[[#This Row],[Pulses and products]])</f>
        <v>1</v>
      </c>
      <c r="AQ222">
        <f>TYPE(All_India_Index_Upto_April23__1[[#This Row],[Sugar and Confectionery]])</f>
        <v>1</v>
      </c>
      <c r="AR222">
        <f>TYPE(All_India_Index_Upto_April23__1[[#This Row],[Spices]])</f>
        <v>1</v>
      </c>
      <c r="AS222">
        <f>TYPE(All_India_Index_Upto_April23__1[[#This Row],[Non-alcoholic beverages]])</f>
        <v>1</v>
      </c>
      <c r="AT222">
        <f>TYPE(All_India_Index_Upto_April23__1[[#This Row],[Prepared meals, snacks, sweets etc.]])</f>
        <v>1</v>
      </c>
      <c r="AU222">
        <f>TYPE(All_India_Index_Upto_April23__1[[#This Row],[Food and beverages]])</f>
        <v>1</v>
      </c>
      <c r="AV222">
        <f>TYPE(All_India_Index_Upto_April23__1[[#This Row],[Pan, tobacco and intoxicants]])</f>
        <v>1</v>
      </c>
      <c r="AW222">
        <f>TYPE(All_India_Index_Upto_April23__1[[#This Row],[Clothing]])</f>
        <v>1</v>
      </c>
      <c r="AX222">
        <f>TYPE(All_India_Index_Upto_April23__1[[#This Row],[Footwear]])</f>
        <v>1</v>
      </c>
      <c r="AY222">
        <f>TYPE(All_India_Index_Upto_April23__1[[#This Row],[Clothing and footwear]])</f>
        <v>1</v>
      </c>
      <c r="AZ222">
        <f>TYPE(All_India_Index_Upto_April23__1[[#This Row],[Housing]])</f>
        <v>1</v>
      </c>
      <c r="BA222">
        <f>TYPE(All_India_Index_Upto_April23__1[[#This Row],[Fuel and light]])</f>
        <v>1</v>
      </c>
      <c r="BB222">
        <f>TYPE(All_India_Index_Upto_April23__1[[#This Row],[Household goods and services]])</f>
        <v>1</v>
      </c>
      <c r="BC222">
        <f>TYPE(All_India_Index_Upto_April23__1[[#This Row],[Health]])</f>
        <v>1</v>
      </c>
      <c r="BD222">
        <f>TYPE(All_India_Index_Upto_April23__1[[#This Row],[Transport and communication]])</f>
        <v>1</v>
      </c>
      <c r="BE222">
        <f>TYPE(All_India_Index_Upto_April23__1[[#This Row],[Recreation and amusement]])</f>
        <v>1</v>
      </c>
      <c r="BF222">
        <f>TYPE(All_India_Index_Upto_April23__1[[#This Row],[Education]])</f>
        <v>1</v>
      </c>
      <c r="BG222">
        <f>TYPE(All_India_Index_Upto_April23__1[[#This Row],[Personal care and effects]])</f>
        <v>1</v>
      </c>
      <c r="BH222">
        <f>TYPE(All_India_Index_Upto_April23__1[[#This Row],[Miscellaneous]])</f>
        <v>1</v>
      </c>
      <c r="BI222">
        <f>TYPE(All_India_Index_Upto_April23__1[[#This Row],[General index]])</f>
        <v>1</v>
      </c>
    </row>
    <row r="223" spans="1:61" x14ac:dyDescent="0.3">
      <c r="A223" t="s">
        <v>33</v>
      </c>
      <c r="B223">
        <v>2019</v>
      </c>
      <c r="C223" t="s">
        <v>34</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c r="AF223">
        <f>TYPE(All_India_Index_Upto_April23__1[[#This Row],[Sector]])</f>
        <v>2</v>
      </c>
      <c r="AG223">
        <f>TYPE(All_India_Index_Upto_April23__1[[#This Row],[Year]])</f>
        <v>1</v>
      </c>
      <c r="AH223">
        <f>TYPE(All_India_Index_Upto_April23__1[[#This Row],[Month]])</f>
        <v>2</v>
      </c>
      <c r="AI223">
        <f>TYPE(All_India_Index_Upto_April23__1[[#This Row],[Cereals and products]])</f>
        <v>1</v>
      </c>
      <c r="AJ223">
        <f>TYPE(All_India_Index_Upto_April23__1[[#This Row],[Meat and fish]])</f>
        <v>1</v>
      </c>
      <c r="AK223">
        <f>TYPE(All_India_Index_Upto_April23__1[[#This Row],[Egg]])</f>
        <v>1</v>
      </c>
      <c r="AL223">
        <f>TYPE(All_India_Index_Upto_April23__1[[#This Row],[Milk and products]])</f>
        <v>1</v>
      </c>
      <c r="AM223">
        <f>TYPE(All_India_Index_Upto_April23__1[[#This Row],[Oils and fats]])</f>
        <v>1</v>
      </c>
      <c r="AN223">
        <f>TYPE(All_India_Index_Upto_April23__1[[#This Row],[Fruits]])</f>
        <v>1</v>
      </c>
      <c r="AO223">
        <f>TYPE(All_India_Index_Upto_April23__1[[#This Row],[Vegetables]])</f>
        <v>1</v>
      </c>
      <c r="AP223">
        <f>TYPE(All_India_Index_Upto_April23__1[[#This Row],[Pulses and products]])</f>
        <v>1</v>
      </c>
      <c r="AQ223">
        <f>TYPE(All_India_Index_Upto_April23__1[[#This Row],[Sugar and Confectionery]])</f>
        <v>1</v>
      </c>
      <c r="AR223">
        <f>TYPE(All_India_Index_Upto_April23__1[[#This Row],[Spices]])</f>
        <v>1</v>
      </c>
      <c r="AS223">
        <f>TYPE(All_India_Index_Upto_April23__1[[#This Row],[Non-alcoholic beverages]])</f>
        <v>1</v>
      </c>
      <c r="AT223">
        <f>TYPE(All_India_Index_Upto_April23__1[[#This Row],[Prepared meals, snacks, sweets etc.]])</f>
        <v>1</v>
      </c>
      <c r="AU223">
        <f>TYPE(All_India_Index_Upto_April23__1[[#This Row],[Food and beverages]])</f>
        <v>1</v>
      </c>
      <c r="AV223">
        <f>TYPE(All_India_Index_Upto_April23__1[[#This Row],[Pan, tobacco and intoxicants]])</f>
        <v>1</v>
      </c>
      <c r="AW223">
        <f>TYPE(All_India_Index_Upto_April23__1[[#This Row],[Clothing]])</f>
        <v>1</v>
      </c>
      <c r="AX223">
        <f>TYPE(All_India_Index_Upto_April23__1[[#This Row],[Footwear]])</f>
        <v>1</v>
      </c>
      <c r="AY223">
        <f>TYPE(All_India_Index_Upto_April23__1[[#This Row],[Clothing and footwear]])</f>
        <v>1</v>
      </c>
      <c r="AZ223">
        <f>TYPE(All_India_Index_Upto_April23__1[[#This Row],[Housing]])</f>
        <v>1</v>
      </c>
      <c r="BA223">
        <f>TYPE(All_India_Index_Upto_April23__1[[#This Row],[Fuel and light]])</f>
        <v>1</v>
      </c>
      <c r="BB223">
        <f>TYPE(All_India_Index_Upto_April23__1[[#This Row],[Household goods and services]])</f>
        <v>1</v>
      </c>
      <c r="BC223">
        <f>TYPE(All_India_Index_Upto_April23__1[[#This Row],[Health]])</f>
        <v>1</v>
      </c>
      <c r="BD223">
        <f>TYPE(All_India_Index_Upto_April23__1[[#This Row],[Transport and communication]])</f>
        <v>1</v>
      </c>
      <c r="BE223">
        <f>TYPE(All_India_Index_Upto_April23__1[[#This Row],[Recreation and amusement]])</f>
        <v>1</v>
      </c>
      <c r="BF223">
        <f>TYPE(All_India_Index_Upto_April23__1[[#This Row],[Education]])</f>
        <v>1</v>
      </c>
      <c r="BG223">
        <f>TYPE(All_India_Index_Upto_April23__1[[#This Row],[Personal care and effects]])</f>
        <v>1</v>
      </c>
      <c r="BH223">
        <f>TYPE(All_India_Index_Upto_April23__1[[#This Row],[Miscellaneous]])</f>
        <v>1</v>
      </c>
      <c r="BI223">
        <f>TYPE(All_India_Index_Upto_April23__1[[#This Row],[General index]])</f>
        <v>1</v>
      </c>
    </row>
    <row r="224" spans="1:61" x14ac:dyDescent="0.3">
      <c r="A224" t="s">
        <v>30</v>
      </c>
      <c r="B224">
        <v>2019</v>
      </c>
      <c r="C224" t="s">
        <v>35</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v>0</v>
      </c>
      <c r="V224">
        <v>146.4</v>
      </c>
      <c r="W224">
        <v>150</v>
      </c>
      <c r="X224">
        <v>150.4</v>
      </c>
      <c r="Y224">
        <v>129.9</v>
      </c>
      <c r="Z224">
        <v>143.80000000000001</v>
      </c>
      <c r="AA224">
        <v>155.5</v>
      </c>
      <c r="AB224">
        <v>134</v>
      </c>
      <c r="AC224">
        <v>142.4</v>
      </c>
      <c r="AD224">
        <v>141.19999999999999</v>
      </c>
      <c r="AF224">
        <f>TYPE(All_India_Index_Upto_April23__1[[#This Row],[Sector]])</f>
        <v>2</v>
      </c>
      <c r="AG224">
        <f>TYPE(All_India_Index_Upto_April23__1[[#This Row],[Year]])</f>
        <v>1</v>
      </c>
      <c r="AH224">
        <f>TYPE(All_India_Index_Upto_April23__1[[#This Row],[Month]])</f>
        <v>2</v>
      </c>
      <c r="AI224">
        <f>TYPE(All_India_Index_Upto_April23__1[[#This Row],[Cereals and products]])</f>
        <v>1</v>
      </c>
      <c r="AJ224">
        <f>TYPE(All_India_Index_Upto_April23__1[[#This Row],[Meat and fish]])</f>
        <v>1</v>
      </c>
      <c r="AK224">
        <f>TYPE(All_India_Index_Upto_April23__1[[#This Row],[Egg]])</f>
        <v>1</v>
      </c>
      <c r="AL224">
        <f>TYPE(All_India_Index_Upto_April23__1[[#This Row],[Milk and products]])</f>
        <v>1</v>
      </c>
      <c r="AM224">
        <f>TYPE(All_India_Index_Upto_April23__1[[#This Row],[Oils and fats]])</f>
        <v>1</v>
      </c>
      <c r="AN224">
        <f>TYPE(All_India_Index_Upto_April23__1[[#This Row],[Fruits]])</f>
        <v>1</v>
      </c>
      <c r="AO224">
        <f>TYPE(All_India_Index_Upto_April23__1[[#This Row],[Vegetables]])</f>
        <v>1</v>
      </c>
      <c r="AP224">
        <f>TYPE(All_India_Index_Upto_April23__1[[#This Row],[Pulses and products]])</f>
        <v>1</v>
      </c>
      <c r="AQ224">
        <f>TYPE(All_India_Index_Upto_April23__1[[#This Row],[Sugar and Confectionery]])</f>
        <v>1</v>
      </c>
      <c r="AR224">
        <f>TYPE(All_India_Index_Upto_April23__1[[#This Row],[Spices]])</f>
        <v>1</v>
      </c>
      <c r="AS224">
        <f>TYPE(All_India_Index_Upto_April23__1[[#This Row],[Non-alcoholic beverages]])</f>
        <v>1</v>
      </c>
      <c r="AT224">
        <f>TYPE(All_India_Index_Upto_April23__1[[#This Row],[Prepared meals, snacks, sweets etc.]])</f>
        <v>1</v>
      </c>
      <c r="AU224">
        <f>TYPE(All_India_Index_Upto_April23__1[[#This Row],[Food and beverages]])</f>
        <v>1</v>
      </c>
      <c r="AV224">
        <f>TYPE(All_India_Index_Upto_April23__1[[#This Row],[Pan, tobacco and intoxicants]])</f>
        <v>1</v>
      </c>
      <c r="AW224">
        <f>TYPE(All_India_Index_Upto_April23__1[[#This Row],[Clothing]])</f>
        <v>1</v>
      </c>
      <c r="AX224">
        <f>TYPE(All_India_Index_Upto_April23__1[[#This Row],[Footwear]])</f>
        <v>1</v>
      </c>
      <c r="AY224">
        <f>TYPE(All_India_Index_Upto_April23__1[[#This Row],[Clothing and footwear]])</f>
        <v>1</v>
      </c>
      <c r="AZ224">
        <f>TYPE(All_India_Index_Upto_April23__1[[#This Row],[Housing]])</f>
        <v>1</v>
      </c>
      <c r="BA224">
        <f>TYPE(All_India_Index_Upto_April23__1[[#This Row],[Fuel and light]])</f>
        <v>1</v>
      </c>
      <c r="BB224">
        <f>TYPE(All_India_Index_Upto_April23__1[[#This Row],[Household goods and services]])</f>
        <v>1</v>
      </c>
      <c r="BC224">
        <f>TYPE(All_India_Index_Upto_April23__1[[#This Row],[Health]])</f>
        <v>1</v>
      </c>
      <c r="BD224">
        <f>TYPE(All_India_Index_Upto_April23__1[[#This Row],[Transport and communication]])</f>
        <v>1</v>
      </c>
      <c r="BE224">
        <f>TYPE(All_India_Index_Upto_April23__1[[#This Row],[Recreation and amusement]])</f>
        <v>1</v>
      </c>
      <c r="BF224">
        <f>TYPE(All_India_Index_Upto_April23__1[[#This Row],[Education]])</f>
        <v>1</v>
      </c>
      <c r="BG224">
        <f>TYPE(All_India_Index_Upto_April23__1[[#This Row],[Personal care and effects]])</f>
        <v>1</v>
      </c>
      <c r="BH224">
        <f>TYPE(All_India_Index_Upto_April23__1[[#This Row],[Miscellaneous]])</f>
        <v>1</v>
      </c>
      <c r="BI224">
        <f>TYPE(All_India_Index_Upto_April23__1[[#This Row],[General index]])</f>
        <v>1</v>
      </c>
    </row>
    <row r="225" spans="1:61" x14ac:dyDescent="0.3">
      <c r="A225" t="s">
        <v>32</v>
      </c>
      <c r="B225">
        <v>2019</v>
      </c>
      <c r="C225" t="s">
        <v>35</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c r="AF225">
        <f>TYPE(All_India_Index_Upto_April23__1[[#This Row],[Sector]])</f>
        <v>2</v>
      </c>
      <c r="AG225">
        <f>TYPE(All_India_Index_Upto_April23__1[[#This Row],[Year]])</f>
        <v>1</v>
      </c>
      <c r="AH225">
        <f>TYPE(All_India_Index_Upto_April23__1[[#This Row],[Month]])</f>
        <v>2</v>
      </c>
      <c r="AI225">
        <f>TYPE(All_India_Index_Upto_April23__1[[#This Row],[Cereals and products]])</f>
        <v>1</v>
      </c>
      <c r="AJ225">
        <f>TYPE(All_India_Index_Upto_April23__1[[#This Row],[Meat and fish]])</f>
        <v>1</v>
      </c>
      <c r="AK225">
        <f>TYPE(All_India_Index_Upto_April23__1[[#This Row],[Egg]])</f>
        <v>1</v>
      </c>
      <c r="AL225">
        <f>TYPE(All_India_Index_Upto_April23__1[[#This Row],[Milk and products]])</f>
        <v>1</v>
      </c>
      <c r="AM225">
        <f>TYPE(All_India_Index_Upto_April23__1[[#This Row],[Oils and fats]])</f>
        <v>1</v>
      </c>
      <c r="AN225">
        <f>TYPE(All_India_Index_Upto_April23__1[[#This Row],[Fruits]])</f>
        <v>1</v>
      </c>
      <c r="AO225">
        <f>TYPE(All_India_Index_Upto_April23__1[[#This Row],[Vegetables]])</f>
        <v>1</v>
      </c>
      <c r="AP225">
        <f>TYPE(All_India_Index_Upto_April23__1[[#This Row],[Pulses and products]])</f>
        <v>1</v>
      </c>
      <c r="AQ225">
        <f>TYPE(All_India_Index_Upto_April23__1[[#This Row],[Sugar and Confectionery]])</f>
        <v>1</v>
      </c>
      <c r="AR225">
        <f>TYPE(All_India_Index_Upto_April23__1[[#This Row],[Spices]])</f>
        <v>1</v>
      </c>
      <c r="AS225">
        <f>TYPE(All_India_Index_Upto_April23__1[[#This Row],[Non-alcoholic beverages]])</f>
        <v>1</v>
      </c>
      <c r="AT225">
        <f>TYPE(All_India_Index_Upto_April23__1[[#This Row],[Prepared meals, snacks, sweets etc.]])</f>
        <v>1</v>
      </c>
      <c r="AU225">
        <f>TYPE(All_India_Index_Upto_April23__1[[#This Row],[Food and beverages]])</f>
        <v>1</v>
      </c>
      <c r="AV225">
        <f>TYPE(All_India_Index_Upto_April23__1[[#This Row],[Pan, tobacco and intoxicants]])</f>
        <v>1</v>
      </c>
      <c r="AW225">
        <f>TYPE(All_India_Index_Upto_April23__1[[#This Row],[Clothing]])</f>
        <v>1</v>
      </c>
      <c r="AX225">
        <f>TYPE(All_India_Index_Upto_April23__1[[#This Row],[Footwear]])</f>
        <v>1</v>
      </c>
      <c r="AY225">
        <f>TYPE(All_India_Index_Upto_April23__1[[#This Row],[Clothing and footwear]])</f>
        <v>1</v>
      </c>
      <c r="AZ225">
        <f>TYPE(All_India_Index_Upto_April23__1[[#This Row],[Housing]])</f>
        <v>1</v>
      </c>
      <c r="BA225">
        <f>TYPE(All_India_Index_Upto_April23__1[[#This Row],[Fuel and light]])</f>
        <v>1</v>
      </c>
      <c r="BB225">
        <f>TYPE(All_India_Index_Upto_April23__1[[#This Row],[Household goods and services]])</f>
        <v>1</v>
      </c>
      <c r="BC225">
        <f>TYPE(All_India_Index_Upto_April23__1[[#This Row],[Health]])</f>
        <v>1</v>
      </c>
      <c r="BD225">
        <f>TYPE(All_India_Index_Upto_April23__1[[#This Row],[Transport and communication]])</f>
        <v>1</v>
      </c>
      <c r="BE225">
        <f>TYPE(All_India_Index_Upto_April23__1[[#This Row],[Recreation and amusement]])</f>
        <v>1</v>
      </c>
      <c r="BF225">
        <f>TYPE(All_India_Index_Upto_April23__1[[#This Row],[Education]])</f>
        <v>1</v>
      </c>
      <c r="BG225">
        <f>TYPE(All_India_Index_Upto_April23__1[[#This Row],[Personal care and effects]])</f>
        <v>1</v>
      </c>
      <c r="BH225">
        <f>TYPE(All_India_Index_Upto_April23__1[[#This Row],[Miscellaneous]])</f>
        <v>1</v>
      </c>
      <c r="BI225">
        <f>TYPE(All_India_Index_Upto_April23__1[[#This Row],[General index]])</f>
        <v>1</v>
      </c>
    </row>
    <row r="226" spans="1:61" x14ac:dyDescent="0.3">
      <c r="A226" t="s">
        <v>33</v>
      </c>
      <c r="B226">
        <v>2019</v>
      </c>
      <c r="C226" t="s">
        <v>35</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c r="AF226">
        <f>TYPE(All_India_Index_Upto_April23__1[[#This Row],[Sector]])</f>
        <v>2</v>
      </c>
      <c r="AG226">
        <f>TYPE(All_India_Index_Upto_April23__1[[#This Row],[Year]])</f>
        <v>1</v>
      </c>
      <c r="AH226">
        <f>TYPE(All_India_Index_Upto_April23__1[[#This Row],[Month]])</f>
        <v>2</v>
      </c>
      <c r="AI226">
        <f>TYPE(All_India_Index_Upto_April23__1[[#This Row],[Cereals and products]])</f>
        <v>1</v>
      </c>
      <c r="AJ226">
        <f>TYPE(All_India_Index_Upto_April23__1[[#This Row],[Meat and fish]])</f>
        <v>1</v>
      </c>
      <c r="AK226">
        <f>TYPE(All_India_Index_Upto_April23__1[[#This Row],[Egg]])</f>
        <v>1</v>
      </c>
      <c r="AL226">
        <f>TYPE(All_India_Index_Upto_April23__1[[#This Row],[Milk and products]])</f>
        <v>1</v>
      </c>
      <c r="AM226">
        <f>TYPE(All_India_Index_Upto_April23__1[[#This Row],[Oils and fats]])</f>
        <v>1</v>
      </c>
      <c r="AN226">
        <f>TYPE(All_India_Index_Upto_April23__1[[#This Row],[Fruits]])</f>
        <v>1</v>
      </c>
      <c r="AO226">
        <f>TYPE(All_India_Index_Upto_April23__1[[#This Row],[Vegetables]])</f>
        <v>1</v>
      </c>
      <c r="AP226">
        <f>TYPE(All_India_Index_Upto_April23__1[[#This Row],[Pulses and products]])</f>
        <v>1</v>
      </c>
      <c r="AQ226">
        <f>TYPE(All_India_Index_Upto_April23__1[[#This Row],[Sugar and Confectionery]])</f>
        <v>1</v>
      </c>
      <c r="AR226">
        <f>TYPE(All_India_Index_Upto_April23__1[[#This Row],[Spices]])</f>
        <v>1</v>
      </c>
      <c r="AS226">
        <f>TYPE(All_India_Index_Upto_April23__1[[#This Row],[Non-alcoholic beverages]])</f>
        <v>1</v>
      </c>
      <c r="AT226">
        <f>TYPE(All_India_Index_Upto_April23__1[[#This Row],[Prepared meals, snacks, sweets etc.]])</f>
        <v>1</v>
      </c>
      <c r="AU226">
        <f>TYPE(All_India_Index_Upto_April23__1[[#This Row],[Food and beverages]])</f>
        <v>1</v>
      </c>
      <c r="AV226">
        <f>TYPE(All_India_Index_Upto_April23__1[[#This Row],[Pan, tobacco and intoxicants]])</f>
        <v>1</v>
      </c>
      <c r="AW226">
        <f>TYPE(All_India_Index_Upto_April23__1[[#This Row],[Clothing]])</f>
        <v>1</v>
      </c>
      <c r="AX226">
        <f>TYPE(All_India_Index_Upto_April23__1[[#This Row],[Footwear]])</f>
        <v>1</v>
      </c>
      <c r="AY226">
        <f>TYPE(All_India_Index_Upto_April23__1[[#This Row],[Clothing and footwear]])</f>
        <v>1</v>
      </c>
      <c r="AZ226">
        <f>TYPE(All_India_Index_Upto_April23__1[[#This Row],[Housing]])</f>
        <v>1</v>
      </c>
      <c r="BA226">
        <f>TYPE(All_India_Index_Upto_April23__1[[#This Row],[Fuel and light]])</f>
        <v>1</v>
      </c>
      <c r="BB226">
        <f>TYPE(All_India_Index_Upto_April23__1[[#This Row],[Household goods and services]])</f>
        <v>1</v>
      </c>
      <c r="BC226">
        <f>TYPE(All_India_Index_Upto_April23__1[[#This Row],[Health]])</f>
        <v>1</v>
      </c>
      <c r="BD226">
        <f>TYPE(All_India_Index_Upto_April23__1[[#This Row],[Transport and communication]])</f>
        <v>1</v>
      </c>
      <c r="BE226">
        <f>TYPE(All_India_Index_Upto_April23__1[[#This Row],[Recreation and amusement]])</f>
        <v>1</v>
      </c>
      <c r="BF226">
        <f>TYPE(All_India_Index_Upto_April23__1[[#This Row],[Education]])</f>
        <v>1</v>
      </c>
      <c r="BG226">
        <f>TYPE(All_India_Index_Upto_April23__1[[#This Row],[Personal care and effects]])</f>
        <v>1</v>
      </c>
      <c r="BH226">
        <f>TYPE(All_India_Index_Upto_April23__1[[#This Row],[Miscellaneous]])</f>
        <v>1</v>
      </c>
      <c r="BI226">
        <f>TYPE(All_India_Index_Upto_April23__1[[#This Row],[General index]])</f>
        <v>1</v>
      </c>
    </row>
    <row r="227" spans="1:61" x14ac:dyDescent="0.3">
      <c r="A227" t="s">
        <v>30</v>
      </c>
      <c r="B227">
        <v>2019</v>
      </c>
      <c r="C227" t="s">
        <v>37</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v>0</v>
      </c>
      <c r="V227">
        <v>146.9</v>
      </c>
      <c r="W227">
        <v>149.5</v>
      </c>
      <c r="X227">
        <v>151.30000000000001</v>
      </c>
      <c r="Y227">
        <v>130.19999999999999</v>
      </c>
      <c r="Z227">
        <v>145.9</v>
      </c>
      <c r="AA227">
        <v>156.69999999999999</v>
      </c>
      <c r="AB227">
        <v>133.9</v>
      </c>
      <c r="AC227">
        <v>142.9</v>
      </c>
      <c r="AD227">
        <v>142.4</v>
      </c>
      <c r="AF227">
        <f>TYPE(All_India_Index_Upto_April23__1[[#This Row],[Sector]])</f>
        <v>2</v>
      </c>
      <c r="AG227">
        <f>TYPE(All_India_Index_Upto_April23__1[[#This Row],[Year]])</f>
        <v>1</v>
      </c>
      <c r="AH227">
        <f>TYPE(All_India_Index_Upto_April23__1[[#This Row],[Month]])</f>
        <v>2</v>
      </c>
      <c r="AI227">
        <f>TYPE(All_India_Index_Upto_April23__1[[#This Row],[Cereals and products]])</f>
        <v>1</v>
      </c>
      <c r="AJ227">
        <f>TYPE(All_India_Index_Upto_April23__1[[#This Row],[Meat and fish]])</f>
        <v>1</v>
      </c>
      <c r="AK227">
        <f>TYPE(All_India_Index_Upto_April23__1[[#This Row],[Egg]])</f>
        <v>1</v>
      </c>
      <c r="AL227">
        <f>TYPE(All_India_Index_Upto_April23__1[[#This Row],[Milk and products]])</f>
        <v>1</v>
      </c>
      <c r="AM227">
        <f>TYPE(All_India_Index_Upto_April23__1[[#This Row],[Oils and fats]])</f>
        <v>1</v>
      </c>
      <c r="AN227">
        <f>TYPE(All_India_Index_Upto_April23__1[[#This Row],[Fruits]])</f>
        <v>1</v>
      </c>
      <c r="AO227">
        <f>TYPE(All_India_Index_Upto_April23__1[[#This Row],[Vegetables]])</f>
        <v>1</v>
      </c>
      <c r="AP227">
        <f>TYPE(All_India_Index_Upto_April23__1[[#This Row],[Pulses and products]])</f>
        <v>1</v>
      </c>
      <c r="AQ227">
        <f>TYPE(All_India_Index_Upto_April23__1[[#This Row],[Sugar and Confectionery]])</f>
        <v>1</v>
      </c>
      <c r="AR227">
        <f>TYPE(All_India_Index_Upto_April23__1[[#This Row],[Spices]])</f>
        <v>1</v>
      </c>
      <c r="AS227">
        <f>TYPE(All_India_Index_Upto_April23__1[[#This Row],[Non-alcoholic beverages]])</f>
        <v>1</v>
      </c>
      <c r="AT227">
        <f>TYPE(All_India_Index_Upto_April23__1[[#This Row],[Prepared meals, snacks, sweets etc.]])</f>
        <v>1</v>
      </c>
      <c r="AU227">
        <f>TYPE(All_India_Index_Upto_April23__1[[#This Row],[Food and beverages]])</f>
        <v>1</v>
      </c>
      <c r="AV227">
        <f>TYPE(All_India_Index_Upto_April23__1[[#This Row],[Pan, tobacco and intoxicants]])</f>
        <v>1</v>
      </c>
      <c r="AW227">
        <f>TYPE(All_India_Index_Upto_April23__1[[#This Row],[Clothing]])</f>
        <v>1</v>
      </c>
      <c r="AX227">
        <f>TYPE(All_India_Index_Upto_April23__1[[#This Row],[Footwear]])</f>
        <v>1</v>
      </c>
      <c r="AY227">
        <f>TYPE(All_India_Index_Upto_April23__1[[#This Row],[Clothing and footwear]])</f>
        <v>1</v>
      </c>
      <c r="AZ227">
        <f>TYPE(All_India_Index_Upto_April23__1[[#This Row],[Housing]])</f>
        <v>1</v>
      </c>
      <c r="BA227">
        <f>TYPE(All_India_Index_Upto_April23__1[[#This Row],[Fuel and light]])</f>
        <v>1</v>
      </c>
      <c r="BB227">
        <f>TYPE(All_India_Index_Upto_April23__1[[#This Row],[Household goods and services]])</f>
        <v>1</v>
      </c>
      <c r="BC227">
        <f>TYPE(All_India_Index_Upto_April23__1[[#This Row],[Health]])</f>
        <v>1</v>
      </c>
      <c r="BD227">
        <f>TYPE(All_India_Index_Upto_April23__1[[#This Row],[Transport and communication]])</f>
        <v>1</v>
      </c>
      <c r="BE227">
        <f>TYPE(All_India_Index_Upto_April23__1[[#This Row],[Recreation and amusement]])</f>
        <v>1</v>
      </c>
      <c r="BF227">
        <f>TYPE(All_India_Index_Upto_April23__1[[#This Row],[Education]])</f>
        <v>1</v>
      </c>
      <c r="BG227">
        <f>TYPE(All_India_Index_Upto_April23__1[[#This Row],[Personal care and effects]])</f>
        <v>1</v>
      </c>
      <c r="BH227">
        <f>TYPE(All_India_Index_Upto_April23__1[[#This Row],[Miscellaneous]])</f>
        <v>1</v>
      </c>
      <c r="BI227">
        <f>TYPE(All_India_Index_Upto_April23__1[[#This Row],[General index]])</f>
        <v>1</v>
      </c>
    </row>
    <row r="228" spans="1:61" x14ac:dyDescent="0.3">
      <c r="A228" t="s">
        <v>32</v>
      </c>
      <c r="B228">
        <v>2019</v>
      </c>
      <c r="C228" t="s">
        <v>37</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c r="AF228">
        <f>TYPE(All_India_Index_Upto_April23__1[[#This Row],[Sector]])</f>
        <v>2</v>
      </c>
      <c r="AG228">
        <f>TYPE(All_India_Index_Upto_April23__1[[#This Row],[Year]])</f>
        <v>1</v>
      </c>
      <c r="AH228">
        <f>TYPE(All_India_Index_Upto_April23__1[[#This Row],[Month]])</f>
        <v>2</v>
      </c>
      <c r="AI228">
        <f>TYPE(All_India_Index_Upto_April23__1[[#This Row],[Cereals and products]])</f>
        <v>1</v>
      </c>
      <c r="AJ228">
        <f>TYPE(All_India_Index_Upto_April23__1[[#This Row],[Meat and fish]])</f>
        <v>1</v>
      </c>
      <c r="AK228">
        <f>TYPE(All_India_Index_Upto_April23__1[[#This Row],[Egg]])</f>
        <v>1</v>
      </c>
      <c r="AL228">
        <f>TYPE(All_India_Index_Upto_April23__1[[#This Row],[Milk and products]])</f>
        <v>1</v>
      </c>
      <c r="AM228">
        <f>TYPE(All_India_Index_Upto_April23__1[[#This Row],[Oils and fats]])</f>
        <v>1</v>
      </c>
      <c r="AN228">
        <f>TYPE(All_India_Index_Upto_April23__1[[#This Row],[Fruits]])</f>
        <v>1</v>
      </c>
      <c r="AO228">
        <f>TYPE(All_India_Index_Upto_April23__1[[#This Row],[Vegetables]])</f>
        <v>1</v>
      </c>
      <c r="AP228">
        <f>TYPE(All_India_Index_Upto_April23__1[[#This Row],[Pulses and products]])</f>
        <v>1</v>
      </c>
      <c r="AQ228">
        <f>TYPE(All_India_Index_Upto_April23__1[[#This Row],[Sugar and Confectionery]])</f>
        <v>1</v>
      </c>
      <c r="AR228">
        <f>TYPE(All_India_Index_Upto_April23__1[[#This Row],[Spices]])</f>
        <v>1</v>
      </c>
      <c r="AS228">
        <f>TYPE(All_India_Index_Upto_April23__1[[#This Row],[Non-alcoholic beverages]])</f>
        <v>1</v>
      </c>
      <c r="AT228">
        <f>TYPE(All_India_Index_Upto_April23__1[[#This Row],[Prepared meals, snacks, sweets etc.]])</f>
        <v>1</v>
      </c>
      <c r="AU228">
        <f>TYPE(All_India_Index_Upto_April23__1[[#This Row],[Food and beverages]])</f>
        <v>1</v>
      </c>
      <c r="AV228">
        <f>TYPE(All_India_Index_Upto_April23__1[[#This Row],[Pan, tobacco and intoxicants]])</f>
        <v>1</v>
      </c>
      <c r="AW228">
        <f>TYPE(All_India_Index_Upto_April23__1[[#This Row],[Clothing]])</f>
        <v>1</v>
      </c>
      <c r="AX228">
        <f>TYPE(All_India_Index_Upto_April23__1[[#This Row],[Footwear]])</f>
        <v>1</v>
      </c>
      <c r="AY228">
        <f>TYPE(All_India_Index_Upto_April23__1[[#This Row],[Clothing and footwear]])</f>
        <v>1</v>
      </c>
      <c r="AZ228">
        <f>TYPE(All_India_Index_Upto_April23__1[[#This Row],[Housing]])</f>
        <v>1</v>
      </c>
      <c r="BA228">
        <f>TYPE(All_India_Index_Upto_April23__1[[#This Row],[Fuel and light]])</f>
        <v>1</v>
      </c>
      <c r="BB228">
        <f>TYPE(All_India_Index_Upto_April23__1[[#This Row],[Household goods and services]])</f>
        <v>1</v>
      </c>
      <c r="BC228">
        <f>TYPE(All_India_Index_Upto_April23__1[[#This Row],[Health]])</f>
        <v>1</v>
      </c>
      <c r="BD228">
        <f>TYPE(All_India_Index_Upto_April23__1[[#This Row],[Transport and communication]])</f>
        <v>1</v>
      </c>
      <c r="BE228">
        <f>TYPE(All_India_Index_Upto_April23__1[[#This Row],[Recreation and amusement]])</f>
        <v>1</v>
      </c>
      <c r="BF228">
        <f>TYPE(All_India_Index_Upto_April23__1[[#This Row],[Education]])</f>
        <v>1</v>
      </c>
      <c r="BG228">
        <f>TYPE(All_India_Index_Upto_April23__1[[#This Row],[Personal care and effects]])</f>
        <v>1</v>
      </c>
      <c r="BH228">
        <f>TYPE(All_India_Index_Upto_April23__1[[#This Row],[Miscellaneous]])</f>
        <v>1</v>
      </c>
      <c r="BI228">
        <f>TYPE(All_India_Index_Upto_April23__1[[#This Row],[General index]])</f>
        <v>1</v>
      </c>
    </row>
    <row r="229" spans="1:61" x14ac:dyDescent="0.3">
      <c r="A229" t="s">
        <v>33</v>
      </c>
      <c r="B229">
        <v>2019</v>
      </c>
      <c r="C229" t="s">
        <v>37</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c r="AF229">
        <f>TYPE(All_India_Index_Upto_April23__1[[#This Row],[Sector]])</f>
        <v>2</v>
      </c>
      <c r="AG229">
        <f>TYPE(All_India_Index_Upto_April23__1[[#This Row],[Year]])</f>
        <v>1</v>
      </c>
      <c r="AH229">
        <f>TYPE(All_India_Index_Upto_April23__1[[#This Row],[Month]])</f>
        <v>2</v>
      </c>
      <c r="AI229">
        <f>TYPE(All_India_Index_Upto_April23__1[[#This Row],[Cereals and products]])</f>
        <v>1</v>
      </c>
      <c r="AJ229">
        <f>TYPE(All_India_Index_Upto_April23__1[[#This Row],[Meat and fish]])</f>
        <v>1</v>
      </c>
      <c r="AK229">
        <f>TYPE(All_India_Index_Upto_April23__1[[#This Row],[Egg]])</f>
        <v>1</v>
      </c>
      <c r="AL229">
        <f>TYPE(All_India_Index_Upto_April23__1[[#This Row],[Milk and products]])</f>
        <v>1</v>
      </c>
      <c r="AM229">
        <f>TYPE(All_India_Index_Upto_April23__1[[#This Row],[Oils and fats]])</f>
        <v>1</v>
      </c>
      <c r="AN229">
        <f>TYPE(All_India_Index_Upto_April23__1[[#This Row],[Fruits]])</f>
        <v>1</v>
      </c>
      <c r="AO229">
        <f>TYPE(All_India_Index_Upto_April23__1[[#This Row],[Vegetables]])</f>
        <v>1</v>
      </c>
      <c r="AP229">
        <f>TYPE(All_India_Index_Upto_April23__1[[#This Row],[Pulses and products]])</f>
        <v>1</v>
      </c>
      <c r="AQ229">
        <f>TYPE(All_India_Index_Upto_April23__1[[#This Row],[Sugar and Confectionery]])</f>
        <v>1</v>
      </c>
      <c r="AR229">
        <f>TYPE(All_India_Index_Upto_April23__1[[#This Row],[Spices]])</f>
        <v>1</v>
      </c>
      <c r="AS229">
        <f>TYPE(All_India_Index_Upto_April23__1[[#This Row],[Non-alcoholic beverages]])</f>
        <v>1</v>
      </c>
      <c r="AT229">
        <f>TYPE(All_India_Index_Upto_April23__1[[#This Row],[Prepared meals, snacks, sweets etc.]])</f>
        <v>1</v>
      </c>
      <c r="AU229">
        <f>TYPE(All_India_Index_Upto_April23__1[[#This Row],[Food and beverages]])</f>
        <v>1</v>
      </c>
      <c r="AV229">
        <f>TYPE(All_India_Index_Upto_April23__1[[#This Row],[Pan, tobacco and intoxicants]])</f>
        <v>1</v>
      </c>
      <c r="AW229">
        <f>TYPE(All_India_Index_Upto_April23__1[[#This Row],[Clothing]])</f>
        <v>1</v>
      </c>
      <c r="AX229">
        <f>TYPE(All_India_Index_Upto_April23__1[[#This Row],[Footwear]])</f>
        <v>1</v>
      </c>
      <c r="AY229">
        <f>TYPE(All_India_Index_Upto_April23__1[[#This Row],[Clothing and footwear]])</f>
        <v>1</v>
      </c>
      <c r="AZ229">
        <f>TYPE(All_India_Index_Upto_April23__1[[#This Row],[Housing]])</f>
        <v>1</v>
      </c>
      <c r="BA229">
        <f>TYPE(All_India_Index_Upto_April23__1[[#This Row],[Fuel and light]])</f>
        <v>1</v>
      </c>
      <c r="BB229">
        <f>TYPE(All_India_Index_Upto_April23__1[[#This Row],[Household goods and services]])</f>
        <v>1</v>
      </c>
      <c r="BC229">
        <f>TYPE(All_India_Index_Upto_April23__1[[#This Row],[Health]])</f>
        <v>1</v>
      </c>
      <c r="BD229">
        <f>TYPE(All_India_Index_Upto_April23__1[[#This Row],[Transport and communication]])</f>
        <v>1</v>
      </c>
      <c r="BE229">
        <f>TYPE(All_India_Index_Upto_April23__1[[#This Row],[Recreation and amusement]])</f>
        <v>1</v>
      </c>
      <c r="BF229">
        <f>TYPE(All_India_Index_Upto_April23__1[[#This Row],[Education]])</f>
        <v>1</v>
      </c>
      <c r="BG229">
        <f>TYPE(All_India_Index_Upto_April23__1[[#This Row],[Personal care and effects]])</f>
        <v>1</v>
      </c>
      <c r="BH229">
        <f>TYPE(All_India_Index_Upto_April23__1[[#This Row],[Miscellaneous]])</f>
        <v>1</v>
      </c>
      <c r="BI229">
        <f>TYPE(All_India_Index_Upto_April23__1[[#This Row],[General index]])</f>
        <v>1</v>
      </c>
    </row>
    <row r="230" spans="1:61" x14ac:dyDescent="0.3">
      <c r="A230" t="s">
        <v>30</v>
      </c>
      <c r="B230">
        <v>2019</v>
      </c>
      <c r="C230" t="s">
        <v>38</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v>0</v>
      </c>
      <c r="V230">
        <v>147.80000000000001</v>
      </c>
      <c r="W230">
        <v>149.6</v>
      </c>
      <c r="X230">
        <v>151.69999999999999</v>
      </c>
      <c r="Y230">
        <v>130.19999999999999</v>
      </c>
      <c r="Z230">
        <v>146.4</v>
      </c>
      <c r="AA230">
        <v>157.69999999999999</v>
      </c>
      <c r="AB230">
        <v>134.80000000000001</v>
      </c>
      <c r="AC230">
        <v>143.30000000000001</v>
      </c>
      <c r="AD230">
        <v>143.6</v>
      </c>
      <c r="AF230">
        <f>TYPE(All_India_Index_Upto_April23__1[[#This Row],[Sector]])</f>
        <v>2</v>
      </c>
      <c r="AG230">
        <f>TYPE(All_India_Index_Upto_April23__1[[#This Row],[Year]])</f>
        <v>1</v>
      </c>
      <c r="AH230">
        <f>TYPE(All_India_Index_Upto_April23__1[[#This Row],[Month]])</f>
        <v>2</v>
      </c>
      <c r="AI230">
        <f>TYPE(All_India_Index_Upto_April23__1[[#This Row],[Cereals and products]])</f>
        <v>1</v>
      </c>
      <c r="AJ230">
        <f>TYPE(All_India_Index_Upto_April23__1[[#This Row],[Meat and fish]])</f>
        <v>1</v>
      </c>
      <c r="AK230">
        <f>TYPE(All_India_Index_Upto_April23__1[[#This Row],[Egg]])</f>
        <v>1</v>
      </c>
      <c r="AL230">
        <f>TYPE(All_India_Index_Upto_April23__1[[#This Row],[Milk and products]])</f>
        <v>1</v>
      </c>
      <c r="AM230">
        <f>TYPE(All_India_Index_Upto_April23__1[[#This Row],[Oils and fats]])</f>
        <v>1</v>
      </c>
      <c r="AN230">
        <f>TYPE(All_India_Index_Upto_April23__1[[#This Row],[Fruits]])</f>
        <v>1</v>
      </c>
      <c r="AO230">
        <f>TYPE(All_India_Index_Upto_April23__1[[#This Row],[Vegetables]])</f>
        <v>1</v>
      </c>
      <c r="AP230">
        <f>TYPE(All_India_Index_Upto_April23__1[[#This Row],[Pulses and products]])</f>
        <v>1</v>
      </c>
      <c r="AQ230">
        <f>TYPE(All_India_Index_Upto_April23__1[[#This Row],[Sugar and Confectionery]])</f>
        <v>1</v>
      </c>
      <c r="AR230">
        <f>TYPE(All_India_Index_Upto_April23__1[[#This Row],[Spices]])</f>
        <v>1</v>
      </c>
      <c r="AS230">
        <f>TYPE(All_India_Index_Upto_April23__1[[#This Row],[Non-alcoholic beverages]])</f>
        <v>1</v>
      </c>
      <c r="AT230">
        <f>TYPE(All_India_Index_Upto_April23__1[[#This Row],[Prepared meals, snacks, sweets etc.]])</f>
        <v>1</v>
      </c>
      <c r="AU230">
        <f>TYPE(All_India_Index_Upto_April23__1[[#This Row],[Food and beverages]])</f>
        <v>1</v>
      </c>
      <c r="AV230">
        <f>TYPE(All_India_Index_Upto_April23__1[[#This Row],[Pan, tobacco and intoxicants]])</f>
        <v>1</v>
      </c>
      <c r="AW230">
        <f>TYPE(All_India_Index_Upto_April23__1[[#This Row],[Clothing]])</f>
        <v>1</v>
      </c>
      <c r="AX230">
        <f>TYPE(All_India_Index_Upto_April23__1[[#This Row],[Footwear]])</f>
        <v>1</v>
      </c>
      <c r="AY230">
        <f>TYPE(All_India_Index_Upto_April23__1[[#This Row],[Clothing and footwear]])</f>
        <v>1</v>
      </c>
      <c r="AZ230">
        <f>TYPE(All_India_Index_Upto_April23__1[[#This Row],[Housing]])</f>
        <v>1</v>
      </c>
      <c r="BA230">
        <f>TYPE(All_India_Index_Upto_April23__1[[#This Row],[Fuel and light]])</f>
        <v>1</v>
      </c>
      <c r="BB230">
        <f>TYPE(All_India_Index_Upto_April23__1[[#This Row],[Household goods and services]])</f>
        <v>1</v>
      </c>
      <c r="BC230">
        <f>TYPE(All_India_Index_Upto_April23__1[[#This Row],[Health]])</f>
        <v>1</v>
      </c>
      <c r="BD230">
        <f>TYPE(All_India_Index_Upto_April23__1[[#This Row],[Transport and communication]])</f>
        <v>1</v>
      </c>
      <c r="BE230">
        <f>TYPE(All_India_Index_Upto_April23__1[[#This Row],[Recreation and amusement]])</f>
        <v>1</v>
      </c>
      <c r="BF230">
        <f>TYPE(All_India_Index_Upto_April23__1[[#This Row],[Education]])</f>
        <v>1</v>
      </c>
      <c r="BG230">
        <f>TYPE(All_India_Index_Upto_April23__1[[#This Row],[Personal care and effects]])</f>
        <v>1</v>
      </c>
      <c r="BH230">
        <f>TYPE(All_India_Index_Upto_April23__1[[#This Row],[Miscellaneous]])</f>
        <v>1</v>
      </c>
      <c r="BI230">
        <f>TYPE(All_India_Index_Upto_April23__1[[#This Row],[General index]])</f>
        <v>1</v>
      </c>
    </row>
    <row r="231" spans="1:61" x14ac:dyDescent="0.3">
      <c r="A231" t="s">
        <v>32</v>
      </c>
      <c r="B231">
        <v>2019</v>
      </c>
      <c r="C231" t="s">
        <v>38</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c r="AF231">
        <f>TYPE(All_India_Index_Upto_April23__1[[#This Row],[Sector]])</f>
        <v>2</v>
      </c>
      <c r="AG231">
        <f>TYPE(All_India_Index_Upto_April23__1[[#This Row],[Year]])</f>
        <v>1</v>
      </c>
      <c r="AH231">
        <f>TYPE(All_India_Index_Upto_April23__1[[#This Row],[Month]])</f>
        <v>2</v>
      </c>
      <c r="AI231">
        <f>TYPE(All_India_Index_Upto_April23__1[[#This Row],[Cereals and products]])</f>
        <v>1</v>
      </c>
      <c r="AJ231">
        <f>TYPE(All_India_Index_Upto_April23__1[[#This Row],[Meat and fish]])</f>
        <v>1</v>
      </c>
      <c r="AK231">
        <f>TYPE(All_India_Index_Upto_April23__1[[#This Row],[Egg]])</f>
        <v>1</v>
      </c>
      <c r="AL231">
        <f>TYPE(All_India_Index_Upto_April23__1[[#This Row],[Milk and products]])</f>
        <v>1</v>
      </c>
      <c r="AM231">
        <f>TYPE(All_India_Index_Upto_April23__1[[#This Row],[Oils and fats]])</f>
        <v>1</v>
      </c>
      <c r="AN231">
        <f>TYPE(All_India_Index_Upto_April23__1[[#This Row],[Fruits]])</f>
        <v>1</v>
      </c>
      <c r="AO231">
        <f>TYPE(All_India_Index_Upto_April23__1[[#This Row],[Vegetables]])</f>
        <v>1</v>
      </c>
      <c r="AP231">
        <f>TYPE(All_India_Index_Upto_April23__1[[#This Row],[Pulses and products]])</f>
        <v>1</v>
      </c>
      <c r="AQ231">
        <f>TYPE(All_India_Index_Upto_April23__1[[#This Row],[Sugar and Confectionery]])</f>
        <v>1</v>
      </c>
      <c r="AR231">
        <f>TYPE(All_India_Index_Upto_April23__1[[#This Row],[Spices]])</f>
        <v>1</v>
      </c>
      <c r="AS231">
        <f>TYPE(All_India_Index_Upto_April23__1[[#This Row],[Non-alcoholic beverages]])</f>
        <v>1</v>
      </c>
      <c r="AT231">
        <f>TYPE(All_India_Index_Upto_April23__1[[#This Row],[Prepared meals, snacks, sweets etc.]])</f>
        <v>1</v>
      </c>
      <c r="AU231">
        <f>TYPE(All_India_Index_Upto_April23__1[[#This Row],[Food and beverages]])</f>
        <v>1</v>
      </c>
      <c r="AV231">
        <f>TYPE(All_India_Index_Upto_April23__1[[#This Row],[Pan, tobacco and intoxicants]])</f>
        <v>1</v>
      </c>
      <c r="AW231">
        <f>TYPE(All_India_Index_Upto_April23__1[[#This Row],[Clothing]])</f>
        <v>1</v>
      </c>
      <c r="AX231">
        <f>TYPE(All_India_Index_Upto_April23__1[[#This Row],[Footwear]])</f>
        <v>1</v>
      </c>
      <c r="AY231">
        <f>TYPE(All_India_Index_Upto_April23__1[[#This Row],[Clothing and footwear]])</f>
        <v>1</v>
      </c>
      <c r="AZ231">
        <f>TYPE(All_India_Index_Upto_April23__1[[#This Row],[Housing]])</f>
        <v>1</v>
      </c>
      <c r="BA231">
        <f>TYPE(All_India_Index_Upto_April23__1[[#This Row],[Fuel and light]])</f>
        <v>1</v>
      </c>
      <c r="BB231">
        <f>TYPE(All_India_Index_Upto_April23__1[[#This Row],[Household goods and services]])</f>
        <v>1</v>
      </c>
      <c r="BC231">
        <f>TYPE(All_India_Index_Upto_April23__1[[#This Row],[Health]])</f>
        <v>1</v>
      </c>
      <c r="BD231">
        <f>TYPE(All_India_Index_Upto_April23__1[[#This Row],[Transport and communication]])</f>
        <v>1</v>
      </c>
      <c r="BE231">
        <f>TYPE(All_India_Index_Upto_April23__1[[#This Row],[Recreation and amusement]])</f>
        <v>1</v>
      </c>
      <c r="BF231">
        <f>TYPE(All_India_Index_Upto_April23__1[[#This Row],[Education]])</f>
        <v>1</v>
      </c>
      <c r="BG231">
        <f>TYPE(All_India_Index_Upto_April23__1[[#This Row],[Personal care and effects]])</f>
        <v>1</v>
      </c>
      <c r="BH231">
        <f>TYPE(All_India_Index_Upto_April23__1[[#This Row],[Miscellaneous]])</f>
        <v>1</v>
      </c>
      <c r="BI231">
        <f>TYPE(All_India_Index_Upto_April23__1[[#This Row],[General index]])</f>
        <v>1</v>
      </c>
    </row>
    <row r="232" spans="1:61" x14ac:dyDescent="0.3">
      <c r="A232" t="s">
        <v>33</v>
      </c>
      <c r="B232">
        <v>2019</v>
      </c>
      <c r="C232" t="s">
        <v>38</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c r="AF232">
        <f>TYPE(All_India_Index_Upto_April23__1[[#This Row],[Sector]])</f>
        <v>2</v>
      </c>
      <c r="AG232">
        <f>TYPE(All_India_Index_Upto_April23__1[[#This Row],[Year]])</f>
        <v>1</v>
      </c>
      <c r="AH232">
        <f>TYPE(All_India_Index_Upto_April23__1[[#This Row],[Month]])</f>
        <v>2</v>
      </c>
      <c r="AI232">
        <f>TYPE(All_India_Index_Upto_April23__1[[#This Row],[Cereals and products]])</f>
        <v>1</v>
      </c>
      <c r="AJ232">
        <f>TYPE(All_India_Index_Upto_April23__1[[#This Row],[Meat and fish]])</f>
        <v>1</v>
      </c>
      <c r="AK232">
        <f>TYPE(All_India_Index_Upto_April23__1[[#This Row],[Egg]])</f>
        <v>1</v>
      </c>
      <c r="AL232">
        <f>TYPE(All_India_Index_Upto_April23__1[[#This Row],[Milk and products]])</f>
        <v>1</v>
      </c>
      <c r="AM232">
        <f>TYPE(All_India_Index_Upto_April23__1[[#This Row],[Oils and fats]])</f>
        <v>1</v>
      </c>
      <c r="AN232">
        <f>TYPE(All_India_Index_Upto_April23__1[[#This Row],[Fruits]])</f>
        <v>1</v>
      </c>
      <c r="AO232">
        <f>TYPE(All_India_Index_Upto_April23__1[[#This Row],[Vegetables]])</f>
        <v>1</v>
      </c>
      <c r="AP232">
        <f>TYPE(All_India_Index_Upto_April23__1[[#This Row],[Pulses and products]])</f>
        <v>1</v>
      </c>
      <c r="AQ232">
        <f>TYPE(All_India_Index_Upto_April23__1[[#This Row],[Sugar and Confectionery]])</f>
        <v>1</v>
      </c>
      <c r="AR232">
        <f>TYPE(All_India_Index_Upto_April23__1[[#This Row],[Spices]])</f>
        <v>1</v>
      </c>
      <c r="AS232">
        <f>TYPE(All_India_Index_Upto_April23__1[[#This Row],[Non-alcoholic beverages]])</f>
        <v>1</v>
      </c>
      <c r="AT232">
        <f>TYPE(All_India_Index_Upto_April23__1[[#This Row],[Prepared meals, snacks, sweets etc.]])</f>
        <v>1</v>
      </c>
      <c r="AU232">
        <f>TYPE(All_India_Index_Upto_April23__1[[#This Row],[Food and beverages]])</f>
        <v>1</v>
      </c>
      <c r="AV232">
        <f>TYPE(All_India_Index_Upto_April23__1[[#This Row],[Pan, tobacco and intoxicants]])</f>
        <v>1</v>
      </c>
      <c r="AW232">
        <f>TYPE(All_India_Index_Upto_April23__1[[#This Row],[Clothing]])</f>
        <v>1</v>
      </c>
      <c r="AX232">
        <f>TYPE(All_India_Index_Upto_April23__1[[#This Row],[Footwear]])</f>
        <v>1</v>
      </c>
      <c r="AY232">
        <f>TYPE(All_India_Index_Upto_April23__1[[#This Row],[Clothing and footwear]])</f>
        <v>1</v>
      </c>
      <c r="AZ232">
        <f>TYPE(All_India_Index_Upto_April23__1[[#This Row],[Housing]])</f>
        <v>1</v>
      </c>
      <c r="BA232">
        <f>TYPE(All_India_Index_Upto_April23__1[[#This Row],[Fuel and light]])</f>
        <v>1</v>
      </c>
      <c r="BB232">
        <f>TYPE(All_India_Index_Upto_April23__1[[#This Row],[Household goods and services]])</f>
        <v>1</v>
      </c>
      <c r="BC232">
        <f>TYPE(All_India_Index_Upto_April23__1[[#This Row],[Health]])</f>
        <v>1</v>
      </c>
      <c r="BD232">
        <f>TYPE(All_India_Index_Upto_April23__1[[#This Row],[Transport and communication]])</f>
        <v>1</v>
      </c>
      <c r="BE232">
        <f>TYPE(All_India_Index_Upto_April23__1[[#This Row],[Recreation and amusement]])</f>
        <v>1</v>
      </c>
      <c r="BF232">
        <f>TYPE(All_India_Index_Upto_April23__1[[#This Row],[Education]])</f>
        <v>1</v>
      </c>
      <c r="BG232">
        <f>TYPE(All_India_Index_Upto_April23__1[[#This Row],[Personal care and effects]])</f>
        <v>1</v>
      </c>
      <c r="BH232">
        <f>TYPE(All_India_Index_Upto_April23__1[[#This Row],[Miscellaneous]])</f>
        <v>1</v>
      </c>
      <c r="BI232">
        <f>TYPE(All_India_Index_Upto_April23__1[[#This Row],[General index]])</f>
        <v>1</v>
      </c>
    </row>
    <row r="233" spans="1:61" x14ac:dyDescent="0.3">
      <c r="A233" t="s">
        <v>30</v>
      </c>
      <c r="B233">
        <v>2019</v>
      </c>
      <c r="C233" t="s">
        <v>39</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v>0</v>
      </c>
      <c r="V233">
        <v>146.80000000000001</v>
      </c>
      <c r="W233">
        <v>150</v>
      </c>
      <c r="X233">
        <v>152.19999999999999</v>
      </c>
      <c r="Y233">
        <v>131.19999999999999</v>
      </c>
      <c r="Z233">
        <v>147.5</v>
      </c>
      <c r="AA233">
        <v>159.1</v>
      </c>
      <c r="AB233">
        <v>136.1</v>
      </c>
      <c r="AC233">
        <v>144.19999999999999</v>
      </c>
      <c r="AD233">
        <v>144.9</v>
      </c>
      <c r="AF233">
        <f>TYPE(All_India_Index_Upto_April23__1[[#This Row],[Sector]])</f>
        <v>2</v>
      </c>
      <c r="AG233">
        <f>TYPE(All_India_Index_Upto_April23__1[[#This Row],[Year]])</f>
        <v>1</v>
      </c>
      <c r="AH233">
        <f>TYPE(All_India_Index_Upto_April23__1[[#This Row],[Month]])</f>
        <v>2</v>
      </c>
      <c r="AI233">
        <f>TYPE(All_India_Index_Upto_April23__1[[#This Row],[Cereals and products]])</f>
        <v>1</v>
      </c>
      <c r="AJ233">
        <f>TYPE(All_India_Index_Upto_April23__1[[#This Row],[Meat and fish]])</f>
        <v>1</v>
      </c>
      <c r="AK233">
        <f>TYPE(All_India_Index_Upto_April23__1[[#This Row],[Egg]])</f>
        <v>1</v>
      </c>
      <c r="AL233">
        <f>TYPE(All_India_Index_Upto_April23__1[[#This Row],[Milk and products]])</f>
        <v>1</v>
      </c>
      <c r="AM233">
        <f>TYPE(All_India_Index_Upto_April23__1[[#This Row],[Oils and fats]])</f>
        <v>1</v>
      </c>
      <c r="AN233">
        <f>TYPE(All_India_Index_Upto_April23__1[[#This Row],[Fruits]])</f>
        <v>1</v>
      </c>
      <c r="AO233">
        <f>TYPE(All_India_Index_Upto_April23__1[[#This Row],[Vegetables]])</f>
        <v>1</v>
      </c>
      <c r="AP233">
        <f>TYPE(All_India_Index_Upto_April23__1[[#This Row],[Pulses and products]])</f>
        <v>1</v>
      </c>
      <c r="AQ233">
        <f>TYPE(All_India_Index_Upto_April23__1[[#This Row],[Sugar and Confectionery]])</f>
        <v>1</v>
      </c>
      <c r="AR233">
        <f>TYPE(All_India_Index_Upto_April23__1[[#This Row],[Spices]])</f>
        <v>1</v>
      </c>
      <c r="AS233">
        <f>TYPE(All_India_Index_Upto_April23__1[[#This Row],[Non-alcoholic beverages]])</f>
        <v>1</v>
      </c>
      <c r="AT233">
        <f>TYPE(All_India_Index_Upto_April23__1[[#This Row],[Prepared meals, snacks, sweets etc.]])</f>
        <v>1</v>
      </c>
      <c r="AU233">
        <f>TYPE(All_India_Index_Upto_April23__1[[#This Row],[Food and beverages]])</f>
        <v>1</v>
      </c>
      <c r="AV233">
        <f>TYPE(All_India_Index_Upto_April23__1[[#This Row],[Pan, tobacco and intoxicants]])</f>
        <v>1</v>
      </c>
      <c r="AW233">
        <f>TYPE(All_India_Index_Upto_April23__1[[#This Row],[Clothing]])</f>
        <v>1</v>
      </c>
      <c r="AX233">
        <f>TYPE(All_India_Index_Upto_April23__1[[#This Row],[Footwear]])</f>
        <v>1</v>
      </c>
      <c r="AY233">
        <f>TYPE(All_India_Index_Upto_April23__1[[#This Row],[Clothing and footwear]])</f>
        <v>1</v>
      </c>
      <c r="AZ233">
        <f>TYPE(All_India_Index_Upto_April23__1[[#This Row],[Housing]])</f>
        <v>1</v>
      </c>
      <c r="BA233">
        <f>TYPE(All_India_Index_Upto_April23__1[[#This Row],[Fuel and light]])</f>
        <v>1</v>
      </c>
      <c r="BB233">
        <f>TYPE(All_India_Index_Upto_April23__1[[#This Row],[Household goods and services]])</f>
        <v>1</v>
      </c>
      <c r="BC233">
        <f>TYPE(All_India_Index_Upto_April23__1[[#This Row],[Health]])</f>
        <v>1</v>
      </c>
      <c r="BD233">
        <f>TYPE(All_India_Index_Upto_April23__1[[#This Row],[Transport and communication]])</f>
        <v>1</v>
      </c>
      <c r="BE233">
        <f>TYPE(All_India_Index_Upto_April23__1[[#This Row],[Recreation and amusement]])</f>
        <v>1</v>
      </c>
      <c r="BF233">
        <f>TYPE(All_India_Index_Upto_April23__1[[#This Row],[Education]])</f>
        <v>1</v>
      </c>
      <c r="BG233">
        <f>TYPE(All_India_Index_Upto_April23__1[[#This Row],[Personal care and effects]])</f>
        <v>1</v>
      </c>
      <c r="BH233">
        <f>TYPE(All_India_Index_Upto_April23__1[[#This Row],[Miscellaneous]])</f>
        <v>1</v>
      </c>
      <c r="BI233">
        <f>TYPE(All_India_Index_Upto_April23__1[[#This Row],[General index]])</f>
        <v>1</v>
      </c>
    </row>
    <row r="234" spans="1:61" x14ac:dyDescent="0.3">
      <c r="A234" t="s">
        <v>32</v>
      </c>
      <c r="B234">
        <v>2019</v>
      </c>
      <c r="C234" t="s">
        <v>39</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c r="AF234">
        <f>TYPE(All_India_Index_Upto_April23__1[[#This Row],[Sector]])</f>
        <v>2</v>
      </c>
      <c r="AG234">
        <f>TYPE(All_India_Index_Upto_April23__1[[#This Row],[Year]])</f>
        <v>1</v>
      </c>
      <c r="AH234">
        <f>TYPE(All_India_Index_Upto_April23__1[[#This Row],[Month]])</f>
        <v>2</v>
      </c>
      <c r="AI234">
        <f>TYPE(All_India_Index_Upto_April23__1[[#This Row],[Cereals and products]])</f>
        <v>1</v>
      </c>
      <c r="AJ234">
        <f>TYPE(All_India_Index_Upto_April23__1[[#This Row],[Meat and fish]])</f>
        <v>1</v>
      </c>
      <c r="AK234">
        <f>TYPE(All_India_Index_Upto_April23__1[[#This Row],[Egg]])</f>
        <v>1</v>
      </c>
      <c r="AL234">
        <f>TYPE(All_India_Index_Upto_April23__1[[#This Row],[Milk and products]])</f>
        <v>1</v>
      </c>
      <c r="AM234">
        <f>TYPE(All_India_Index_Upto_April23__1[[#This Row],[Oils and fats]])</f>
        <v>1</v>
      </c>
      <c r="AN234">
        <f>TYPE(All_India_Index_Upto_April23__1[[#This Row],[Fruits]])</f>
        <v>1</v>
      </c>
      <c r="AO234">
        <f>TYPE(All_India_Index_Upto_April23__1[[#This Row],[Vegetables]])</f>
        <v>1</v>
      </c>
      <c r="AP234">
        <f>TYPE(All_India_Index_Upto_April23__1[[#This Row],[Pulses and products]])</f>
        <v>1</v>
      </c>
      <c r="AQ234">
        <f>TYPE(All_India_Index_Upto_April23__1[[#This Row],[Sugar and Confectionery]])</f>
        <v>1</v>
      </c>
      <c r="AR234">
        <f>TYPE(All_India_Index_Upto_April23__1[[#This Row],[Spices]])</f>
        <v>1</v>
      </c>
      <c r="AS234">
        <f>TYPE(All_India_Index_Upto_April23__1[[#This Row],[Non-alcoholic beverages]])</f>
        <v>1</v>
      </c>
      <c r="AT234">
        <f>TYPE(All_India_Index_Upto_April23__1[[#This Row],[Prepared meals, snacks, sweets etc.]])</f>
        <v>1</v>
      </c>
      <c r="AU234">
        <f>TYPE(All_India_Index_Upto_April23__1[[#This Row],[Food and beverages]])</f>
        <v>1</v>
      </c>
      <c r="AV234">
        <f>TYPE(All_India_Index_Upto_April23__1[[#This Row],[Pan, tobacco and intoxicants]])</f>
        <v>1</v>
      </c>
      <c r="AW234">
        <f>TYPE(All_India_Index_Upto_April23__1[[#This Row],[Clothing]])</f>
        <v>1</v>
      </c>
      <c r="AX234">
        <f>TYPE(All_India_Index_Upto_April23__1[[#This Row],[Footwear]])</f>
        <v>1</v>
      </c>
      <c r="AY234">
        <f>TYPE(All_India_Index_Upto_April23__1[[#This Row],[Clothing and footwear]])</f>
        <v>1</v>
      </c>
      <c r="AZ234">
        <f>TYPE(All_India_Index_Upto_April23__1[[#This Row],[Housing]])</f>
        <v>1</v>
      </c>
      <c r="BA234">
        <f>TYPE(All_India_Index_Upto_April23__1[[#This Row],[Fuel and light]])</f>
        <v>1</v>
      </c>
      <c r="BB234">
        <f>TYPE(All_India_Index_Upto_April23__1[[#This Row],[Household goods and services]])</f>
        <v>1</v>
      </c>
      <c r="BC234">
        <f>TYPE(All_India_Index_Upto_April23__1[[#This Row],[Health]])</f>
        <v>1</v>
      </c>
      <c r="BD234">
        <f>TYPE(All_India_Index_Upto_April23__1[[#This Row],[Transport and communication]])</f>
        <v>1</v>
      </c>
      <c r="BE234">
        <f>TYPE(All_India_Index_Upto_April23__1[[#This Row],[Recreation and amusement]])</f>
        <v>1</v>
      </c>
      <c r="BF234">
        <f>TYPE(All_India_Index_Upto_April23__1[[#This Row],[Education]])</f>
        <v>1</v>
      </c>
      <c r="BG234">
        <f>TYPE(All_India_Index_Upto_April23__1[[#This Row],[Personal care and effects]])</f>
        <v>1</v>
      </c>
      <c r="BH234">
        <f>TYPE(All_India_Index_Upto_April23__1[[#This Row],[Miscellaneous]])</f>
        <v>1</v>
      </c>
      <c r="BI234">
        <f>TYPE(All_India_Index_Upto_April23__1[[#This Row],[General index]])</f>
        <v>1</v>
      </c>
    </row>
    <row r="235" spans="1:61" x14ac:dyDescent="0.3">
      <c r="A235" t="s">
        <v>33</v>
      </c>
      <c r="B235">
        <v>2019</v>
      </c>
      <c r="C235" t="s">
        <v>39</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c r="AF235">
        <f>TYPE(All_India_Index_Upto_April23__1[[#This Row],[Sector]])</f>
        <v>2</v>
      </c>
      <c r="AG235">
        <f>TYPE(All_India_Index_Upto_April23__1[[#This Row],[Year]])</f>
        <v>1</v>
      </c>
      <c r="AH235">
        <f>TYPE(All_India_Index_Upto_April23__1[[#This Row],[Month]])</f>
        <v>2</v>
      </c>
      <c r="AI235">
        <f>TYPE(All_India_Index_Upto_April23__1[[#This Row],[Cereals and products]])</f>
        <v>1</v>
      </c>
      <c r="AJ235">
        <f>TYPE(All_India_Index_Upto_April23__1[[#This Row],[Meat and fish]])</f>
        <v>1</v>
      </c>
      <c r="AK235">
        <f>TYPE(All_India_Index_Upto_April23__1[[#This Row],[Egg]])</f>
        <v>1</v>
      </c>
      <c r="AL235">
        <f>TYPE(All_India_Index_Upto_April23__1[[#This Row],[Milk and products]])</f>
        <v>1</v>
      </c>
      <c r="AM235">
        <f>TYPE(All_India_Index_Upto_April23__1[[#This Row],[Oils and fats]])</f>
        <v>1</v>
      </c>
      <c r="AN235">
        <f>TYPE(All_India_Index_Upto_April23__1[[#This Row],[Fruits]])</f>
        <v>1</v>
      </c>
      <c r="AO235">
        <f>TYPE(All_India_Index_Upto_April23__1[[#This Row],[Vegetables]])</f>
        <v>1</v>
      </c>
      <c r="AP235">
        <f>TYPE(All_India_Index_Upto_April23__1[[#This Row],[Pulses and products]])</f>
        <v>1</v>
      </c>
      <c r="AQ235">
        <f>TYPE(All_India_Index_Upto_April23__1[[#This Row],[Sugar and Confectionery]])</f>
        <v>1</v>
      </c>
      <c r="AR235">
        <f>TYPE(All_India_Index_Upto_April23__1[[#This Row],[Spices]])</f>
        <v>1</v>
      </c>
      <c r="AS235">
        <f>TYPE(All_India_Index_Upto_April23__1[[#This Row],[Non-alcoholic beverages]])</f>
        <v>1</v>
      </c>
      <c r="AT235">
        <f>TYPE(All_India_Index_Upto_April23__1[[#This Row],[Prepared meals, snacks, sweets etc.]])</f>
        <v>1</v>
      </c>
      <c r="AU235">
        <f>TYPE(All_India_Index_Upto_April23__1[[#This Row],[Food and beverages]])</f>
        <v>1</v>
      </c>
      <c r="AV235">
        <f>TYPE(All_India_Index_Upto_April23__1[[#This Row],[Pan, tobacco and intoxicants]])</f>
        <v>1</v>
      </c>
      <c r="AW235">
        <f>TYPE(All_India_Index_Upto_April23__1[[#This Row],[Clothing]])</f>
        <v>1</v>
      </c>
      <c r="AX235">
        <f>TYPE(All_India_Index_Upto_April23__1[[#This Row],[Footwear]])</f>
        <v>1</v>
      </c>
      <c r="AY235">
        <f>TYPE(All_India_Index_Upto_April23__1[[#This Row],[Clothing and footwear]])</f>
        <v>1</v>
      </c>
      <c r="AZ235">
        <f>TYPE(All_India_Index_Upto_April23__1[[#This Row],[Housing]])</f>
        <v>1</v>
      </c>
      <c r="BA235">
        <f>TYPE(All_India_Index_Upto_April23__1[[#This Row],[Fuel and light]])</f>
        <v>1</v>
      </c>
      <c r="BB235">
        <f>TYPE(All_India_Index_Upto_April23__1[[#This Row],[Household goods and services]])</f>
        <v>1</v>
      </c>
      <c r="BC235">
        <f>TYPE(All_India_Index_Upto_April23__1[[#This Row],[Health]])</f>
        <v>1</v>
      </c>
      <c r="BD235">
        <f>TYPE(All_India_Index_Upto_April23__1[[#This Row],[Transport and communication]])</f>
        <v>1</v>
      </c>
      <c r="BE235">
        <f>TYPE(All_India_Index_Upto_April23__1[[#This Row],[Recreation and amusement]])</f>
        <v>1</v>
      </c>
      <c r="BF235">
        <f>TYPE(All_India_Index_Upto_April23__1[[#This Row],[Education]])</f>
        <v>1</v>
      </c>
      <c r="BG235">
        <f>TYPE(All_India_Index_Upto_April23__1[[#This Row],[Personal care and effects]])</f>
        <v>1</v>
      </c>
      <c r="BH235">
        <f>TYPE(All_India_Index_Upto_April23__1[[#This Row],[Miscellaneous]])</f>
        <v>1</v>
      </c>
      <c r="BI235">
        <f>TYPE(All_India_Index_Upto_April23__1[[#This Row],[General index]])</f>
        <v>1</v>
      </c>
    </row>
    <row r="236" spans="1:61" x14ac:dyDescent="0.3">
      <c r="A236" t="s">
        <v>30</v>
      </c>
      <c r="B236">
        <v>2019</v>
      </c>
      <c r="C236" t="s">
        <v>40</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v>0</v>
      </c>
      <c r="V236">
        <v>146.4</v>
      </c>
      <c r="W236">
        <v>150.19999999999999</v>
      </c>
      <c r="X236">
        <v>152.69999999999999</v>
      </c>
      <c r="Y236">
        <v>131.4</v>
      </c>
      <c r="Z236">
        <v>148</v>
      </c>
      <c r="AA236">
        <v>159.69999999999999</v>
      </c>
      <c r="AB236">
        <v>138.80000000000001</v>
      </c>
      <c r="AC236">
        <v>144.9</v>
      </c>
      <c r="AD236">
        <v>145.69999999999999</v>
      </c>
      <c r="AF236">
        <f>TYPE(All_India_Index_Upto_April23__1[[#This Row],[Sector]])</f>
        <v>2</v>
      </c>
      <c r="AG236">
        <f>TYPE(All_India_Index_Upto_April23__1[[#This Row],[Year]])</f>
        <v>1</v>
      </c>
      <c r="AH236">
        <f>TYPE(All_India_Index_Upto_April23__1[[#This Row],[Month]])</f>
        <v>2</v>
      </c>
      <c r="AI236">
        <f>TYPE(All_India_Index_Upto_April23__1[[#This Row],[Cereals and products]])</f>
        <v>1</v>
      </c>
      <c r="AJ236">
        <f>TYPE(All_India_Index_Upto_April23__1[[#This Row],[Meat and fish]])</f>
        <v>1</v>
      </c>
      <c r="AK236">
        <f>TYPE(All_India_Index_Upto_April23__1[[#This Row],[Egg]])</f>
        <v>1</v>
      </c>
      <c r="AL236">
        <f>TYPE(All_India_Index_Upto_April23__1[[#This Row],[Milk and products]])</f>
        <v>1</v>
      </c>
      <c r="AM236">
        <f>TYPE(All_India_Index_Upto_April23__1[[#This Row],[Oils and fats]])</f>
        <v>1</v>
      </c>
      <c r="AN236">
        <f>TYPE(All_India_Index_Upto_April23__1[[#This Row],[Fruits]])</f>
        <v>1</v>
      </c>
      <c r="AO236">
        <f>TYPE(All_India_Index_Upto_April23__1[[#This Row],[Vegetables]])</f>
        <v>1</v>
      </c>
      <c r="AP236">
        <f>TYPE(All_India_Index_Upto_April23__1[[#This Row],[Pulses and products]])</f>
        <v>1</v>
      </c>
      <c r="AQ236">
        <f>TYPE(All_India_Index_Upto_April23__1[[#This Row],[Sugar and Confectionery]])</f>
        <v>1</v>
      </c>
      <c r="AR236">
        <f>TYPE(All_India_Index_Upto_April23__1[[#This Row],[Spices]])</f>
        <v>1</v>
      </c>
      <c r="AS236">
        <f>TYPE(All_India_Index_Upto_April23__1[[#This Row],[Non-alcoholic beverages]])</f>
        <v>1</v>
      </c>
      <c r="AT236">
        <f>TYPE(All_India_Index_Upto_April23__1[[#This Row],[Prepared meals, snacks, sweets etc.]])</f>
        <v>1</v>
      </c>
      <c r="AU236">
        <f>TYPE(All_India_Index_Upto_April23__1[[#This Row],[Food and beverages]])</f>
        <v>1</v>
      </c>
      <c r="AV236">
        <f>TYPE(All_India_Index_Upto_April23__1[[#This Row],[Pan, tobacco and intoxicants]])</f>
        <v>1</v>
      </c>
      <c r="AW236">
        <f>TYPE(All_India_Index_Upto_April23__1[[#This Row],[Clothing]])</f>
        <v>1</v>
      </c>
      <c r="AX236">
        <f>TYPE(All_India_Index_Upto_April23__1[[#This Row],[Footwear]])</f>
        <v>1</v>
      </c>
      <c r="AY236">
        <f>TYPE(All_India_Index_Upto_April23__1[[#This Row],[Clothing and footwear]])</f>
        <v>1</v>
      </c>
      <c r="AZ236">
        <f>TYPE(All_India_Index_Upto_April23__1[[#This Row],[Housing]])</f>
        <v>1</v>
      </c>
      <c r="BA236">
        <f>TYPE(All_India_Index_Upto_April23__1[[#This Row],[Fuel and light]])</f>
        <v>1</v>
      </c>
      <c r="BB236">
        <f>TYPE(All_India_Index_Upto_April23__1[[#This Row],[Household goods and services]])</f>
        <v>1</v>
      </c>
      <c r="BC236">
        <f>TYPE(All_India_Index_Upto_April23__1[[#This Row],[Health]])</f>
        <v>1</v>
      </c>
      <c r="BD236">
        <f>TYPE(All_India_Index_Upto_April23__1[[#This Row],[Transport and communication]])</f>
        <v>1</v>
      </c>
      <c r="BE236">
        <f>TYPE(All_India_Index_Upto_April23__1[[#This Row],[Recreation and amusement]])</f>
        <v>1</v>
      </c>
      <c r="BF236">
        <f>TYPE(All_India_Index_Upto_April23__1[[#This Row],[Education]])</f>
        <v>1</v>
      </c>
      <c r="BG236">
        <f>TYPE(All_India_Index_Upto_April23__1[[#This Row],[Personal care and effects]])</f>
        <v>1</v>
      </c>
      <c r="BH236">
        <f>TYPE(All_India_Index_Upto_April23__1[[#This Row],[Miscellaneous]])</f>
        <v>1</v>
      </c>
      <c r="BI236">
        <f>TYPE(All_India_Index_Upto_April23__1[[#This Row],[General index]])</f>
        <v>1</v>
      </c>
    </row>
    <row r="237" spans="1:61" x14ac:dyDescent="0.3">
      <c r="A237" t="s">
        <v>32</v>
      </c>
      <c r="B237">
        <v>2019</v>
      </c>
      <c r="C237" t="s">
        <v>40</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c r="AF237">
        <f>TYPE(All_India_Index_Upto_April23__1[[#This Row],[Sector]])</f>
        <v>2</v>
      </c>
      <c r="AG237">
        <f>TYPE(All_India_Index_Upto_April23__1[[#This Row],[Year]])</f>
        <v>1</v>
      </c>
      <c r="AH237">
        <f>TYPE(All_India_Index_Upto_April23__1[[#This Row],[Month]])</f>
        <v>2</v>
      </c>
      <c r="AI237">
        <f>TYPE(All_India_Index_Upto_April23__1[[#This Row],[Cereals and products]])</f>
        <v>1</v>
      </c>
      <c r="AJ237">
        <f>TYPE(All_India_Index_Upto_April23__1[[#This Row],[Meat and fish]])</f>
        <v>1</v>
      </c>
      <c r="AK237">
        <f>TYPE(All_India_Index_Upto_April23__1[[#This Row],[Egg]])</f>
        <v>1</v>
      </c>
      <c r="AL237">
        <f>TYPE(All_India_Index_Upto_April23__1[[#This Row],[Milk and products]])</f>
        <v>1</v>
      </c>
      <c r="AM237">
        <f>TYPE(All_India_Index_Upto_April23__1[[#This Row],[Oils and fats]])</f>
        <v>1</v>
      </c>
      <c r="AN237">
        <f>TYPE(All_India_Index_Upto_April23__1[[#This Row],[Fruits]])</f>
        <v>1</v>
      </c>
      <c r="AO237">
        <f>TYPE(All_India_Index_Upto_April23__1[[#This Row],[Vegetables]])</f>
        <v>1</v>
      </c>
      <c r="AP237">
        <f>TYPE(All_India_Index_Upto_April23__1[[#This Row],[Pulses and products]])</f>
        <v>1</v>
      </c>
      <c r="AQ237">
        <f>TYPE(All_India_Index_Upto_April23__1[[#This Row],[Sugar and Confectionery]])</f>
        <v>1</v>
      </c>
      <c r="AR237">
        <f>TYPE(All_India_Index_Upto_April23__1[[#This Row],[Spices]])</f>
        <v>1</v>
      </c>
      <c r="AS237">
        <f>TYPE(All_India_Index_Upto_April23__1[[#This Row],[Non-alcoholic beverages]])</f>
        <v>1</v>
      </c>
      <c r="AT237">
        <f>TYPE(All_India_Index_Upto_April23__1[[#This Row],[Prepared meals, snacks, sweets etc.]])</f>
        <v>1</v>
      </c>
      <c r="AU237">
        <f>TYPE(All_India_Index_Upto_April23__1[[#This Row],[Food and beverages]])</f>
        <v>1</v>
      </c>
      <c r="AV237">
        <f>TYPE(All_India_Index_Upto_April23__1[[#This Row],[Pan, tobacco and intoxicants]])</f>
        <v>1</v>
      </c>
      <c r="AW237">
        <f>TYPE(All_India_Index_Upto_April23__1[[#This Row],[Clothing]])</f>
        <v>1</v>
      </c>
      <c r="AX237">
        <f>TYPE(All_India_Index_Upto_April23__1[[#This Row],[Footwear]])</f>
        <v>1</v>
      </c>
      <c r="AY237">
        <f>TYPE(All_India_Index_Upto_April23__1[[#This Row],[Clothing and footwear]])</f>
        <v>1</v>
      </c>
      <c r="AZ237">
        <f>TYPE(All_India_Index_Upto_April23__1[[#This Row],[Housing]])</f>
        <v>1</v>
      </c>
      <c r="BA237">
        <f>TYPE(All_India_Index_Upto_April23__1[[#This Row],[Fuel and light]])</f>
        <v>1</v>
      </c>
      <c r="BB237">
        <f>TYPE(All_India_Index_Upto_April23__1[[#This Row],[Household goods and services]])</f>
        <v>1</v>
      </c>
      <c r="BC237">
        <f>TYPE(All_India_Index_Upto_April23__1[[#This Row],[Health]])</f>
        <v>1</v>
      </c>
      <c r="BD237">
        <f>TYPE(All_India_Index_Upto_April23__1[[#This Row],[Transport and communication]])</f>
        <v>1</v>
      </c>
      <c r="BE237">
        <f>TYPE(All_India_Index_Upto_April23__1[[#This Row],[Recreation and amusement]])</f>
        <v>1</v>
      </c>
      <c r="BF237">
        <f>TYPE(All_India_Index_Upto_April23__1[[#This Row],[Education]])</f>
        <v>1</v>
      </c>
      <c r="BG237">
        <f>TYPE(All_India_Index_Upto_April23__1[[#This Row],[Personal care and effects]])</f>
        <v>1</v>
      </c>
      <c r="BH237">
        <f>TYPE(All_India_Index_Upto_April23__1[[#This Row],[Miscellaneous]])</f>
        <v>1</v>
      </c>
      <c r="BI237">
        <f>TYPE(All_India_Index_Upto_April23__1[[#This Row],[General index]])</f>
        <v>1</v>
      </c>
    </row>
    <row r="238" spans="1:61" x14ac:dyDescent="0.3">
      <c r="A238" t="s">
        <v>33</v>
      </c>
      <c r="B238">
        <v>2019</v>
      </c>
      <c r="C238" t="s">
        <v>40</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c r="AF238">
        <f>TYPE(All_India_Index_Upto_April23__1[[#This Row],[Sector]])</f>
        <v>2</v>
      </c>
      <c r="AG238">
        <f>TYPE(All_India_Index_Upto_April23__1[[#This Row],[Year]])</f>
        <v>1</v>
      </c>
      <c r="AH238">
        <f>TYPE(All_India_Index_Upto_April23__1[[#This Row],[Month]])</f>
        <v>2</v>
      </c>
      <c r="AI238">
        <f>TYPE(All_India_Index_Upto_April23__1[[#This Row],[Cereals and products]])</f>
        <v>1</v>
      </c>
      <c r="AJ238">
        <f>TYPE(All_India_Index_Upto_April23__1[[#This Row],[Meat and fish]])</f>
        <v>1</v>
      </c>
      <c r="AK238">
        <f>TYPE(All_India_Index_Upto_April23__1[[#This Row],[Egg]])</f>
        <v>1</v>
      </c>
      <c r="AL238">
        <f>TYPE(All_India_Index_Upto_April23__1[[#This Row],[Milk and products]])</f>
        <v>1</v>
      </c>
      <c r="AM238">
        <f>TYPE(All_India_Index_Upto_April23__1[[#This Row],[Oils and fats]])</f>
        <v>1</v>
      </c>
      <c r="AN238">
        <f>TYPE(All_India_Index_Upto_April23__1[[#This Row],[Fruits]])</f>
        <v>1</v>
      </c>
      <c r="AO238">
        <f>TYPE(All_India_Index_Upto_April23__1[[#This Row],[Vegetables]])</f>
        <v>1</v>
      </c>
      <c r="AP238">
        <f>TYPE(All_India_Index_Upto_April23__1[[#This Row],[Pulses and products]])</f>
        <v>1</v>
      </c>
      <c r="AQ238">
        <f>TYPE(All_India_Index_Upto_April23__1[[#This Row],[Sugar and Confectionery]])</f>
        <v>1</v>
      </c>
      <c r="AR238">
        <f>TYPE(All_India_Index_Upto_April23__1[[#This Row],[Spices]])</f>
        <v>1</v>
      </c>
      <c r="AS238">
        <f>TYPE(All_India_Index_Upto_April23__1[[#This Row],[Non-alcoholic beverages]])</f>
        <v>1</v>
      </c>
      <c r="AT238">
        <f>TYPE(All_India_Index_Upto_April23__1[[#This Row],[Prepared meals, snacks, sweets etc.]])</f>
        <v>1</v>
      </c>
      <c r="AU238">
        <f>TYPE(All_India_Index_Upto_April23__1[[#This Row],[Food and beverages]])</f>
        <v>1</v>
      </c>
      <c r="AV238">
        <f>TYPE(All_India_Index_Upto_April23__1[[#This Row],[Pan, tobacco and intoxicants]])</f>
        <v>1</v>
      </c>
      <c r="AW238">
        <f>TYPE(All_India_Index_Upto_April23__1[[#This Row],[Clothing]])</f>
        <v>1</v>
      </c>
      <c r="AX238">
        <f>TYPE(All_India_Index_Upto_April23__1[[#This Row],[Footwear]])</f>
        <v>1</v>
      </c>
      <c r="AY238">
        <f>TYPE(All_India_Index_Upto_April23__1[[#This Row],[Clothing and footwear]])</f>
        <v>1</v>
      </c>
      <c r="AZ238">
        <f>TYPE(All_India_Index_Upto_April23__1[[#This Row],[Housing]])</f>
        <v>1</v>
      </c>
      <c r="BA238">
        <f>TYPE(All_India_Index_Upto_April23__1[[#This Row],[Fuel and light]])</f>
        <v>1</v>
      </c>
      <c r="BB238">
        <f>TYPE(All_India_Index_Upto_April23__1[[#This Row],[Household goods and services]])</f>
        <v>1</v>
      </c>
      <c r="BC238">
        <f>TYPE(All_India_Index_Upto_April23__1[[#This Row],[Health]])</f>
        <v>1</v>
      </c>
      <c r="BD238">
        <f>TYPE(All_India_Index_Upto_April23__1[[#This Row],[Transport and communication]])</f>
        <v>1</v>
      </c>
      <c r="BE238">
        <f>TYPE(All_India_Index_Upto_April23__1[[#This Row],[Recreation and amusement]])</f>
        <v>1</v>
      </c>
      <c r="BF238">
        <f>TYPE(All_India_Index_Upto_April23__1[[#This Row],[Education]])</f>
        <v>1</v>
      </c>
      <c r="BG238">
        <f>TYPE(All_India_Index_Upto_April23__1[[#This Row],[Personal care and effects]])</f>
        <v>1</v>
      </c>
      <c r="BH238">
        <f>TYPE(All_India_Index_Upto_April23__1[[#This Row],[Miscellaneous]])</f>
        <v>1</v>
      </c>
      <c r="BI238">
        <f>TYPE(All_India_Index_Upto_April23__1[[#This Row],[General index]])</f>
        <v>1</v>
      </c>
    </row>
    <row r="239" spans="1:61" x14ac:dyDescent="0.3">
      <c r="A239" t="s">
        <v>30</v>
      </c>
      <c r="B239">
        <v>2019</v>
      </c>
      <c r="C239" t="s">
        <v>41</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v>0</v>
      </c>
      <c r="V239">
        <v>146.9</v>
      </c>
      <c r="W239">
        <v>150.30000000000001</v>
      </c>
      <c r="X239">
        <v>153.4</v>
      </c>
      <c r="Y239">
        <v>131.6</v>
      </c>
      <c r="Z239">
        <v>148.30000000000001</v>
      </c>
      <c r="AA239">
        <v>160.19999999999999</v>
      </c>
      <c r="AB239">
        <v>140.19999999999999</v>
      </c>
      <c r="AC239">
        <v>145.4</v>
      </c>
      <c r="AD239">
        <v>146.69999999999999</v>
      </c>
      <c r="AF239">
        <f>TYPE(All_India_Index_Upto_April23__1[[#This Row],[Sector]])</f>
        <v>2</v>
      </c>
      <c r="AG239">
        <f>TYPE(All_India_Index_Upto_April23__1[[#This Row],[Year]])</f>
        <v>1</v>
      </c>
      <c r="AH239">
        <f>TYPE(All_India_Index_Upto_April23__1[[#This Row],[Month]])</f>
        <v>2</v>
      </c>
      <c r="AI239">
        <f>TYPE(All_India_Index_Upto_April23__1[[#This Row],[Cereals and products]])</f>
        <v>1</v>
      </c>
      <c r="AJ239">
        <f>TYPE(All_India_Index_Upto_April23__1[[#This Row],[Meat and fish]])</f>
        <v>1</v>
      </c>
      <c r="AK239">
        <f>TYPE(All_India_Index_Upto_April23__1[[#This Row],[Egg]])</f>
        <v>1</v>
      </c>
      <c r="AL239">
        <f>TYPE(All_India_Index_Upto_April23__1[[#This Row],[Milk and products]])</f>
        <v>1</v>
      </c>
      <c r="AM239">
        <f>TYPE(All_India_Index_Upto_April23__1[[#This Row],[Oils and fats]])</f>
        <v>1</v>
      </c>
      <c r="AN239">
        <f>TYPE(All_India_Index_Upto_April23__1[[#This Row],[Fruits]])</f>
        <v>1</v>
      </c>
      <c r="AO239">
        <f>TYPE(All_India_Index_Upto_April23__1[[#This Row],[Vegetables]])</f>
        <v>1</v>
      </c>
      <c r="AP239">
        <f>TYPE(All_India_Index_Upto_April23__1[[#This Row],[Pulses and products]])</f>
        <v>1</v>
      </c>
      <c r="AQ239">
        <f>TYPE(All_India_Index_Upto_April23__1[[#This Row],[Sugar and Confectionery]])</f>
        <v>1</v>
      </c>
      <c r="AR239">
        <f>TYPE(All_India_Index_Upto_April23__1[[#This Row],[Spices]])</f>
        <v>1</v>
      </c>
      <c r="AS239">
        <f>TYPE(All_India_Index_Upto_April23__1[[#This Row],[Non-alcoholic beverages]])</f>
        <v>1</v>
      </c>
      <c r="AT239">
        <f>TYPE(All_India_Index_Upto_April23__1[[#This Row],[Prepared meals, snacks, sweets etc.]])</f>
        <v>1</v>
      </c>
      <c r="AU239">
        <f>TYPE(All_India_Index_Upto_April23__1[[#This Row],[Food and beverages]])</f>
        <v>1</v>
      </c>
      <c r="AV239">
        <f>TYPE(All_India_Index_Upto_April23__1[[#This Row],[Pan, tobacco and intoxicants]])</f>
        <v>1</v>
      </c>
      <c r="AW239">
        <f>TYPE(All_India_Index_Upto_April23__1[[#This Row],[Clothing]])</f>
        <v>1</v>
      </c>
      <c r="AX239">
        <f>TYPE(All_India_Index_Upto_April23__1[[#This Row],[Footwear]])</f>
        <v>1</v>
      </c>
      <c r="AY239">
        <f>TYPE(All_India_Index_Upto_April23__1[[#This Row],[Clothing and footwear]])</f>
        <v>1</v>
      </c>
      <c r="AZ239">
        <f>TYPE(All_India_Index_Upto_April23__1[[#This Row],[Housing]])</f>
        <v>1</v>
      </c>
      <c r="BA239">
        <f>TYPE(All_India_Index_Upto_April23__1[[#This Row],[Fuel and light]])</f>
        <v>1</v>
      </c>
      <c r="BB239">
        <f>TYPE(All_India_Index_Upto_April23__1[[#This Row],[Household goods and services]])</f>
        <v>1</v>
      </c>
      <c r="BC239">
        <f>TYPE(All_India_Index_Upto_April23__1[[#This Row],[Health]])</f>
        <v>1</v>
      </c>
      <c r="BD239">
        <f>TYPE(All_India_Index_Upto_April23__1[[#This Row],[Transport and communication]])</f>
        <v>1</v>
      </c>
      <c r="BE239">
        <f>TYPE(All_India_Index_Upto_April23__1[[#This Row],[Recreation and amusement]])</f>
        <v>1</v>
      </c>
      <c r="BF239">
        <f>TYPE(All_India_Index_Upto_April23__1[[#This Row],[Education]])</f>
        <v>1</v>
      </c>
      <c r="BG239">
        <f>TYPE(All_India_Index_Upto_April23__1[[#This Row],[Personal care and effects]])</f>
        <v>1</v>
      </c>
      <c r="BH239">
        <f>TYPE(All_India_Index_Upto_April23__1[[#This Row],[Miscellaneous]])</f>
        <v>1</v>
      </c>
      <c r="BI239">
        <f>TYPE(All_India_Index_Upto_April23__1[[#This Row],[General index]])</f>
        <v>1</v>
      </c>
    </row>
    <row r="240" spans="1:61" x14ac:dyDescent="0.3">
      <c r="A240" t="s">
        <v>32</v>
      </c>
      <c r="B240">
        <v>2019</v>
      </c>
      <c r="C240" t="s">
        <v>41</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c r="AF240">
        <f>TYPE(All_India_Index_Upto_April23__1[[#This Row],[Sector]])</f>
        <v>2</v>
      </c>
      <c r="AG240">
        <f>TYPE(All_India_Index_Upto_April23__1[[#This Row],[Year]])</f>
        <v>1</v>
      </c>
      <c r="AH240">
        <f>TYPE(All_India_Index_Upto_April23__1[[#This Row],[Month]])</f>
        <v>2</v>
      </c>
      <c r="AI240">
        <f>TYPE(All_India_Index_Upto_April23__1[[#This Row],[Cereals and products]])</f>
        <v>1</v>
      </c>
      <c r="AJ240">
        <f>TYPE(All_India_Index_Upto_April23__1[[#This Row],[Meat and fish]])</f>
        <v>1</v>
      </c>
      <c r="AK240">
        <f>TYPE(All_India_Index_Upto_April23__1[[#This Row],[Egg]])</f>
        <v>1</v>
      </c>
      <c r="AL240">
        <f>TYPE(All_India_Index_Upto_April23__1[[#This Row],[Milk and products]])</f>
        <v>1</v>
      </c>
      <c r="AM240">
        <f>TYPE(All_India_Index_Upto_April23__1[[#This Row],[Oils and fats]])</f>
        <v>1</v>
      </c>
      <c r="AN240">
        <f>TYPE(All_India_Index_Upto_April23__1[[#This Row],[Fruits]])</f>
        <v>1</v>
      </c>
      <c r="AO240">
        <f>TYPE(All_India_Index_Upto_April23__1[[#This Row],[Vegetables]])</f>
        <v>1</v>
      </c>
      <c r="AP240">
        <f>TYPE(All_India_Index_Upto_April23__1[[#This Row],[Pulses and products]])</f>
        <v>1</v>
      </c>
      <c r="AQ240">
        <f>TYPE(All_India_Index_Upto_April23__1[[#This Row],[Sugar and Confectionery]])</f>
        <v>1</v>
      </c>
      <c r="AR240">
        <f>TYPE(All_India_Index_Upto_April23__1[[#This Row],[Spices]])</f>
        <v>1</v>
      </c>
      <c r="AS240">
        <f>TYPE(All_India_Index_Upto_April23__1[[#This Row],[Non-alcoholic beverages]])</f>
        <v>1</v>
      </c>
      <c r="AT240">
        <f>TYPE(All_India_Index_Upto_April23__1[[#This Row],[Prepared meals, snacks, sweets etc.]])</f>
        <v>1</v>
      </c>
      <c r="AU240">
        <f>TYPE(All_India_Index_Upto_April23__1[[#This Row],[Food and beverages]])</f>
        <v>1</v>
      </c>
      <c r="AV240">
        <f>TYPE(All_India_Index_Upto_April23__1[[#This Row],[Pan, tobacco and intoxicants]])</f>
        <v>1</v>
      </c>
      <c r="AW240">
        <f>TYPE(All_India_Index_Upto_April23__1[[#This Row],[Clothing]])</f>
        <v>1</v>
      </c>
      <c r="AX240">
        <f>TYPE(All_India_Index_Upto_April23__1[[#This Row],[Footwear]])</f>
        <v>1</v>
      </c>
      <c r="AY240">
        <f>TYPE(All_India_Index_Upto_April23__1[[#This Row],[Clothing and footwear]])</f>
        <v>1</v>
      </c>
      <c r="AZ240">
        <f>TYPE(All_India_Index_Upto_April23__1[[#This Row],[Housing]])</f>
        <v>1</v>
      </c>
      <c r="BA240">
        <f>TYPE(All_India_Index_Upto_April23__1[[#This Row],[Fuel and light]])</f>
        <v>1</v>
      </c>
      <c r="BB240">
        <f>TYPE(All_India_Index_Upto_April23__1[[#This Row],[Household goods and services]])</f>
        <v>1</v>
      </c>
      <c r="BC240">
        <f>TYPE(All_India_Index_Upto_April23__1[[#This Row],[Health]])</f>
        <v>1</v>
      </c>
      <c r="BD240">
        <f>TYPE(All_India_Index_Upto_April23__1[[#This Row],[Transport and communication]])</f>
        <v>1</v>
      </c>
      <c r="BE240">
        <f>TYPE(All_India_Index_Upto_April23__1[[#This Row],[Recreation and amusement]])</f>
        <v>1</v>
      </c>
      <c r="BF240">
        <f>TYPE(All_India_Index_Upto_April23__1[[#This Row],[Education]])</f>
        <v>1</v>
      </c>
      <c r="BG240">
        <f>TYPE(All_India_Index_Upto_April23__1[[#This Row],[Personal care and effects]])</f>
        <v>1</v>
      </c>
      <c r="BH240">
        <f>TYPE(All_India_Index_Upto_April23__1[[#This Row],[Miscellaneous]])</f>
        <v>1</v>
      </c>
      <c r="BI240">
        <f>TYPE(All_India_Index_Upto_April23__1[[#This Row],[General index]])</f>
        <v>1</v>
      </c>
    </row>
    <row r="241" spans="1:61" x14ac:dyDescent="0.3">
      <c r="A241" t="s">
        <v>33</v>
      </c>
      <c r="B241">
        <v>2019</v>
      </c>
      <c r="C241" t="s">
        <v>41</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c r="AF241">
        <f>TYPE(All_India_Index_Upto_April23__1[[#This Row],[Sector]])</f>
        <v>2</v>
      </c>
      <c r="AG241">
        <f>TYPE(All_India_Index_Upto_April23__1[[#This Row],[Year]])</f>
        <v>1</v>
      </c>
      <c r="AH241">
        <f>TYPE(All_India_Index_Upto_April23__1[[#This Row],[Month]])</f>
        <v>2</v>
      </c>
      <c r="AI241">
        <f>TYPE(All_India_Index_Upto_April23__1[[#This Row],[Cereals and products]])</f>
        <v>1</v>
      </c>
      <c r="AJ241">
        <f>TYPE(All_India_Index_Upto_April23__1[[#This Row],[Meat and fish]])</f>
        <v>1</v>
      </c>
      <c r="AK241">
        <f>TYPE(All_India_Index_Upto_April23__1[[#This Row],[Egg]])</f>
        <v>1</v>
      </c>
      <c r="AL241">
        <f>TYPE(All_India_Index_Upto_April23__1[[#This Row],[Milk and products]])</f>
        <v>1</v>
      </c>
      <c r="AM241">
        <f>TYPE(All_India_Index_Upto_April23__1[[#This Row],[Oils and fats]])</f>
        <v>1</v>
      </c>
      <c r="AN241">
        <f>TYPE(All_India_Index_Upto_April23__1[[#This Row],[Fruits]])</f>
        <v>1</v>
      </c>
      <c r="AO241">
        <f>TYPE(All_India_Index_Upto_April23__1[[#This Row],[Vegetables]])</f>
        <v>1</v>
      </c>
      <c r="AP241">
        <f>TYPE(All_India_Index_Upto_April23__1[[#This Row],[Pulses and products]])</f>
        <v>1</v>
      </c>
      <c r="AQ241">
        <f>TYPE(All_India_Index_Upto_April23__1[[#This Row],[Sugar and Confectionery]])</f>
        <v>1</v>
      </c>
      <c r="AR241">
        <f>TYPE(All_India_Index_Upto_April23__1[[#This Row],[Spices]])</f>
        <v>1</v>
      </c>
      <c r="AS241">
        <f>TYPE(All_India_Index_Upto_April23__1[[#This Row],[Non-alcoholic beverages]])</f>
        <v>1</v>
      </c>
      <c r="AT241">
        <f>TYPE(All_India_Index_Upto_April23__1[[#This Row],[Prepared meals, snacks, sweets etc.]])</f>
        <v>1</v>
      </c>
      <c r="AU241">
        <f>TYPE(All_India_Index_Upto_April23__1[[#This Row],[Food and beverages]])</f>
        <v>1</v>
      </c>
      <c r="AV241">
        <f>TYPE(All_India_Index_Upto_April23__1[[#This Row],[Pan, tobacco and intoxicants]])</f>
        <v>1</v>
      </c>
      <c r="AW241">
        <f>TYPE(All_India_Index_Upto_April23__1[[#This Row],[Clothing]])</f>
        <v>1</v>
      </c>
      <c r="AX241">
        <f>TYPE(All_India_Index_Upto_April23__1[[#This Row],[Footwear]])</f>
        <v>1</v>
      </c>
      <c r="AY241">
        <f>TYPE(All_India_Index_Upto_April23__1[[#This Row],[Clothing and footwear]])</f>
        <v>1</v>
      </c>
      <c r="AZ241">
        <f>TYPE(All_India_Index_Upto_April23__1[[#This Row],[Housing]])</f>
        <v>1</v>
      </c>
      <c r="BA241">
        <f>TYPE(All_India_Index_Upto_April23__1[[#This Row],[Fuel and light]])</f>
        <v>1</v>
      </c>
      <c r="BB241">
        <f>TYPE(All_India_Index_Upto_April23__1[[#This Row],[Household goods and services]])</f>
        <v>1</v>
      </c>
      <c r="BC241">
        <f>TYPE(All_India_Index_Upto_April23__1[[#This Row],[Health]])</f>
        <v>1</v>
      </c>
      <c r="BD241">
        <f>TYPE(All_India_Index_Upto_April23__1[[#This Row],[Transport and communication]])</f>
        <v>1</v>
      </c>
      <c r="BE241">
        <f>TYPE(All_India_Index_Upto_April23__1[[#This Row],[Recreation and amusement]])</f>
        <v>1</v>
      </c>
      <c r="BF241">
        <f>TYPE(All_India_Index_Upto_April23__1[[#This Row],[Education]])</f>
        <v>1</v>
      </c>
      <c r="BG241">
        <f>TYPE(All_India_Index_Upto_April23__1[[#This Row],[Personal care and effects]])</f>
        <v>1</v>
      </c>
      <c r="BH241">
        <f>TYPE(All_India_Index_Upto_April23__1[[#This Row],[Miscellaneous]])</f>
        <v>1</v>
      </c>
      <c r="BI241">
        <f>TYPE(All_India_Index_Upto_April23__1[[#This Row],[General index]])</f>
        <v>1</v>
      </c>
    </row>
    <row r="242" spans="1:61" x14ac:dyDescent="0.3">
      <c r="A242" t="s">
        <v>30</v>
      </c>
      <c r="B242">
        <v>2019</v>
      </c>
      <c r="C242" t="s">
        <v>42</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v>0</v>
      </c>
      <c r="V242">
        <v>147.69999999999999</v>
      </c>
      <c r="W242">
        <v>150.6</v>
      </c>
      <c r="X242">
        <v>153.69999999999999</v>
      </c>
      <c r="Y242">
        <v>131.69999999999999</v>
      </c>
      <c r="Z242">
        <v>148.69999999999999</v>
      </c>
      <c r="AA242">
        <v>160.69999999999999</v>
      </c>
      <c r="AB242">
        <v>140.30000000000001</v>
      </c>
      <c r="AC242">
        <v>145.69999999999999</v>
      </c>
      <c r="AD242">
        <v>148.30000000000001</v>
      </c>
      <c r="AF242">
        <f>TYPE(All_India_Index_Upto_April23__1[[#This Row],[Sector]])</f>
        <v>2</v>
      </c>
      <c r="AG242">
        <f>TYPE(All_India_Index_Upto_April23__1[[#This Row],[Year]])</f>
        <v>1</v>
      </c>
      <c r="AH242">
        <f>TYPE(All_India_Index_Upto_April23__1[[#This Row],[Month]])</f>
        <v>2</v>
      </c>
      <c r="AI242">
        <f>TYPE(All_India_Index_Upto_April23__1[[#This Row],[Cereals and products]])</f>
        <v>1</v>
      </c>
      <c r="AJ242">
        <f>TYPE(All_India_Index_Upto_April23__1[[#This Row],[Meat and fish]])</f>
        <v>1</v>
      </c>
      <c r="AK242">
        <f>TYPE(All_India_Index_Upto_April23__1[[#This Row],[Egg]])</f>
        <v>1</v>
      </c>
      <c r="AL242">
        <f>TYPE(All_India_Index_Upto_April23__1[[#This Row],[Milk and products]])</f>
        <v>1</v>
      </c>
      <c r="AM242">
        <f>TYPE(All_India_Index_Upto_April23__1[[#This Row],[Oils and fats]])</f>
        <v>1</v>
      </c>
      <c r="AN242">
        <f>TYPE(All_India_Index_Upto_April23__1[[#This Row],[Fruits]])</f>
        <v>1</v>
      </c>
      <c r="AO242">
        <f>TYPE(All_India_Index_Upto_April23__1[[#This Row],[Vegetables]])</f>
        <v>1</v>
      </c>
      <c r="AP242">
        <f>TYPE(All_India_Index_Upto_April23__1[[#This Row],[Pulses and products]])</f>
        <v>1</v>
      </c>
      <c r="AQ242">
        <f>TYPE(All_India_Index_Upto_April23__1[[#This Row],[Sugar and Confectionery]])</f>
        <v>1</v>
      </c>
      <c r="AR242">
        <f>TYPE(All_India_Index_Upto_April23__1[[#This Row],[Spices]])</f>
        <v>1</v>
      </c>
      <c r="AS242">
        <f>TYPE(All_India_Index_Upto_April23__1[[#This Row],[Non-alcoholic beverages]])</f>
        <v>1</v>
      </c>
      <c r="AT242">
        <f>TYPE(All_India_Index_Upto_April23__1[[#This Row],[Prepared meals, snacks, sweets etc.]])</f>
        <v>1</v>
      </c>
      <c r="AU242">
        <f>TYPE(All_India_Index_Upto_April23__1[[#This Row],[Food and beverages]])</f>
        <v>1</v>
      </c>
      <c r="AV242">
        <f>TYPE(All_India_Index_Upto_April23__1[[#This Row],[Pan, tobacco and intoxicants]])</f>
        <v>1</v>
      </c>
      <c r="AW242">
        <f>TYPE(All_India_Index_Upto_April23__1[[#This Row],[Clothing]])</f>
        <v>1</v>
      </c>
      <c r="AX242">
        <f>TYPE(All_India_Index_Upto_April23__1[[#This Row],[Footwear]])</f>
        <v>1</v>
      </c>
      <c r="AY242">
        <f>TYPE(All_India_Index_Upto_April23__1[[#This Row],[Clothing and footwear]])</f>
        <v>1</v>
      </c>
      <c r="AZ242">
        <f>TYPE(All_India_Index_Upto_April23__1[[#This Row],[Housing]])</f>
        <v>1</v>
      </c>
      <c r="BA242">
        <f>TYPE(All_India_Index_Upto_April23__1[[#This Row],[Fuel and light]])</f>
        <v>1</v>
      </c>
      <c r="BB242">
        <f>TYPE(All_India_Index_Upto_April23__1[[#This Row],[Household goods and services]])</f>
        <v>1</v>
      </c>
      <c r="BC242">
        <f>TYPE(All_India_Index_Upto_April23__1[[#This Row],[Health]])</f>
        <v>1</v>
      </c>
      <c r="BD242">
        <f>TYPE(All_India_Index_Upto_April23__1[[#This Row],[Transport and communication]])</f>
        <v>1</v>
      </c>
      <c r="BE242">
        <f>TYPE(All_India_Index_Upto_April23__1[[#This Row],[Recreation and amusement]])</f>
        <v>1</v>
      </c>
      <c r="BF242">
        <f>TYPE(All_India_Index_Upto_April23__1[[#This Row],[Education]])</f>
        <v>1</v>
      </c>
      <c r="BG242">
        <f>TYPE(All_India_Index_Upto_April23__1[[#This Row],[Personal care and effects]])</f>
        <v>1</v>
      </c>
      <c r="BH242">
        <f>TYPE(All_India_Index_Upto_April23__1[[#This Row],[Miscellaneous]])</f>
        <v>1</v>
      </c>
      <c r="BI242">
        <f>TYPE(All_India_Index_Upto_April23__1[[#This Row],[General index]])</f>
        <v>1</v>
      </c>
    </row>
    <row r="243" spans="1:61" x14ac:dyDescent="0.3">
      <c r="A243" t="s">
        <v>32</v>
      </c>
      <c r="B243">
        <v>2019</v>
      </c>
      <c r="C243" t="s">
        <v>42</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c r="AF243">
        <f>TYPE(All_India_Index_Upto_April23__1[[#This Row],[Sector]])</f>
        <v>2</v>
      </c>
      <c r="AG243">
        <f>TYPE(All_India_Index_Upto_April23__1[[#This Row],[Year]])</f>
        <v>1</v>
      </c>
      <c r="AH243">
        <f>TYPE(All_India_Index_Upto_April23__1[[#This Row],[Month]])</f>
        <v>2</v>
      </c>
      <c r="AI243">
        <f>TYPE(All_India_Index_Upto_April23__1[[#This Row],[Cereals and products]])</f>
        <v>1</v>
      </c>
      <c r="AJ243">
        <f>TYPE(All_India_Index_Upto_April23__1[[#This Row],[Meat and fish]])</f>
        <v>1</v>
      </c>
      <c r="AK243">
        <f>TYPE(All_India_Index_Upto_April23__1[[#This Row],[Egg]])</f>
        <v>1</v>
      </c>
      <c r="AL243">
        <f>TYPE(All_India_Index_Upto_April23__1[[#This Row],[Milk and products]])</f>
        <v>1</v>
      </c>
      <c r="AM243">
        <f>TYPE(All_India_Index_Upto_April23__1[[#This Row],[Oils and fats]])</f>
        <v>1</v>
      </c>
      <c r="AN243">
        <f>TYPE(All_India_Index_Upto_April23__1[[#This Row],[Fruits]])</f>
        <v>1</v>
      </c>
      <c r="AO243">
        <f>TYPE(All_India_Index_Upto_April23__1[[#This Row],[Vegetables]])</f>
        <v>1</v>
      </c>
      <c r="AP243">
        <f>TYPE(All_India_Index_Upto_April23__1[[#This Row],[Pulses and products]])</f>
        <v>1</v>
      </c>
      <c r="AQ243">
        <f>TYPE(All_India_Index_Upto_April23__1[[#This Row],[Sugar and Confectionery]])</f>
        <v>1</v>
      </c>
      <c r="AR243">
        <f>TYPE(All_India_Index_Upto_April23__1[[#This Row],[Spices]])</f>
        <v>1</v>
      </c>
      <c r="AS243">
        <f>TYPE(All_India_Index_Upto_April23__1[[#This Row],[Non-alcoholic beverages]])</f>
        <v>1</v>
      </c>
      <c r="AT243">
        <f>TYPE(All_India_Index_Upto_April23__1[[#This Row],[Prepared meals, snacks, sweets etc.]])</f>
        <v>1</v>
      </c>
      <c r="AU243">
        <f>TYPE(All_India_Index_Upto_April23__1[[#This Row],[Food and beverages]])</f>
        <v>1</v>
      </c>
      <c r="AV243">
        <f>TYPE(All_India_Index_Upto_April23__1[[#This Row],[Pan, tobacco and intoxicants]])</f>
        <v>1</v>
      </c>
      <c r="AW243">
        <f>TYPE(All_India_Index_Upto_April23__1[[#This Row],[Clothing]])</f>
        <v>1</v>
      </c>
      <c r="AX243">
        <f>TYPE(All_India_Index_Upto_April23__1[[#This Row],[Footwear]])</f>
        <v>1</v>
      </c>
      <c r="AY243">
        <f>TYPE(All_India_Index_Upto_April23__1[[#This Row],[Clothing and footwear]])</f>
        <v>1</v>
      </c>
      <c r="AZ243">
        <f>TYPE(All_India_Index_Upto_April23__1[[#This Row],[Housing]])</f>
        <v>1</v>
      </c>
      <c r="BA243">
        <f>TYPE(All_India_Index_Upto_April23__1[[#This Row],[Fuel and light]])</f>
        <v>1</v>
      </c>
      <c r="BB243">
        <f>TYPE(All_India_Index_Upto_April23__1[[#This Row],[Household goods and services]])</f>
        <v>1</v>
      </c>
      <c r="BC243">
        <f>TYPE(All_India_Index_Upto_April23__1[[#This Row],[Health]])</f>
        <v>1</v>
      </c>
      <c r="BD243">
        <f>TYPE(All_India_Index_Upto_April23__1[[#This Row],[Transport and communication]])</f>
        <v>1</v>
      </c>
      <c r="BE243">
        <f>TYPE(All_India_Index_Upto_April23__1[[#This Row],[Recreation and amusement]])</f>
        <v>1</v>
      </c>
      <c r="BF243">
        <f>TYPE(All_India_Index_Upto_April23__1[[#This Row],[Education]])</f>
        <v>1</v>
      </c>
      <c r="BG243">
        <f>TYPE(All_India_Index_Upto_April23__1[[#This Row],[Personal care and effects]])</f>
        <v>1</v>
      </c>
      <c r="BH243">
        <f>TYPE(All_India_Index_Upto_April23__1[[#This Row],[Miscellaneous]])</f>
        <v>1</v>
      </c>
      <c r="BI243">
        <f>TYPE(All_India_Index_Upto_April23__1[[#This Row],[General index]])</f>
        <v>1</v>
      </c>
    </row>
    <row r="244" spans="1:61" x14ac:dyDescent="0.3">
      <c r="A244" t="s">
        <v>33</v>
      </c>
      <c r="B244">
        <v>2019</v>
      </c>
      <c r="C244" t="s">
        <v>42</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c r="AF244">
        <f>TYPE(All_India_Index_Upto_April23__1[[#This Row],[Sector]])</f>
        <v>2</v>
      </c>
      <c r="AG244">
        <f>TYPE(All_India_Index_Upto_April23__1[[#This Row],[Year]])</f>
        <v>1</v>
      </c>
      <c r="AH244">
        <f>TYPE(All_India_Index_Upto_April23__1[[#This Row],[Month]])</f>
        <v>2</v>
      </c>
      <c r="AI244">
        <f>TYPE(All_India_Index_Upto_April23__1[[#This Row],[Cereals and products]])</f>
        <v>1</v>
      </c>
      <c r="AJ244">
        <f>TYPE(All_India_Index_Upto_April23__1[[#This Row],[Meat and fish]])</f>
        <v>1</v>
      </c>
      <c r="AK244">
        <f>TYPE(All_India_Index_Upto_April23__1[[#This Row],[Egg]])</f>
        <v>1</v>
      </c>
      <c r="AL244">
        <f>TYPE(All_India_Index_Upto_April23__1[[#This Row],[Milk and products]])</f>
        <v>1</v>
      </c>
      <c r="AM244">
        <f>TYPE(All_India_Index_Upto_April23__1[[#This Row],[Oils and fats]])</f>
        <v>1</v>
      </c>
      <c r="AN244">
        <f>TYPE(All_India_Index_Upto_April23__1[[#This Row],[Fruits]])</f>
        <v>1</v>
      </c>
      <c r="AO244">
        <f>TYPE(All_India_Index_Upto_April23__1[[#This Row],[Vegetables]])</f>
        <v>1</v>
      </c>
      <c r="AP244">
        <f>TYPE(All_India_Index_Upto_April23__1[[#This Row],[Pulses and products]])</f>
        <v>1</v>
      </c>
      <c r="AQ244">
        <f>TYPE(All_India_Index_Upto_April23__1[[#This Row],[Sugar and Confectionery]])</f>
        <v>1</v>
      </c>
      <c r="AR244">
        <f>TYPE(All_India_Index_Upto_April23__1[[#This Row],[Spices]])</f>
        <v>1</v>
      </c>
      <c r="AS244">
        <f>TYPE(All_India_Index_Upto_April23__1[[#This Row],[Non-alcoholic beverages]])</f>
        <v>1</v>
      </c>
      <c r="AT244">
        <f>TYPE(All_India_Index_Upto_April23__1[[#This Row],[Prepared meals, snacks, sweets etc.]])</f>
        <v>1</v>
      </c>
      <c r="AU244">
        <f>TYPE(All_India_Index_Upto_April23__1[[#This Row],[Food and beverages]])</f>
        <v>1</v>
      </c>
      <c r="AV244">
        <f>TYPE(All_India_Index_Upto_April23__1[[#This Row],[Pan, tobacco and intoxicants]])</f>
        <v>1</v>
      </c>
      <c r="AW244">
        <f>TYPE(All_India_Index_Upto_April23__1[[#This Row],[Clothing]])</f>
        <v>1</v>
      </c>
      <c r="AX244">
        <f>TYPE(All_India_Index_Upto_April23__1[[#This Row],[Footwear]])</f>
        <v>1</v>
      </c>
      <c r="AY244">
        <f>TYPE(All_India_Index_Upto_April23__1[[#This Row],[Clothing and footwear]])</f>
        <v>1</v>
      </c>
      <c r="AZ244">
        <f>TYPE(All_India_Index_Upto_April23__1[[#This Row],[Housing]])</f>
        <v>1</v>
      </c>
      <c r="BA244">
        <f>TYPE(All_India_Index_Upto_April23__1[[#This Row],[Fuel and light]])</f>
        <v>1</v>
      </c>
      <c r="BB244">
        <f>TYPE(All_India_Index_Upto_April23__1[[#This Row],[Household goods and services]])</f>
        <v>1</v>
      </c>
      <c r="BC244">
        <f>TYPE(All_India_Index_Upto_April23__1[[#This Row],[Health]])</f>
        <v>1</v>
      </c>
      <c r="BD244">
        <f>TYPE(All_India_Index_Upto_April23__1[[#This Row],[Transport and communication]])</f>
        <v>1</v>
      </c>
      <c r="BE244">
        <f>TYPE(All_India_Index_Upto_April23__1[[#This Row],[Recreation and amusement]])</f>
        <v>1</v>
      </c>
      <c r="BF244">
        <f>TYPE(All_India_Index_Upto_April23__1[[#This Row],[Education]])</f>
        <v>1</v>
      </c>
      <c r="BG244">
        <f>TYPE(All_India_Index_Upto_April23__1[[#This Row],[Personal care and effects]])</f>
        <v>1</v>
      </c>
      <c r="BH244">
        <f>TYPE(All_India_Index_Upto_April23__1[[#This Row],[Miscellaneous]])</f>
        <v>1</v>
      </c>
      <c r="BI244">
        <f>TYPE(All_India_Index_Upto_April23__1[[#This Row],[General index]])</f>
        <v>1</v>
      </c>
    </row>
    <row r="245" spans="1:61" x14ac:dyDescent="0.3">
      <c r="A245" t="s">
        <v>30</v>
      </c>
      <c r="B245">
        <v>2019</v>
      </c>
      <c r="C245" t="s">
        <v>44</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v>0</v>
      </c>
      <c r="V245">
        <v>148.4</v>
      </c>
      <c r="W245">
        <v>150.9</v>
      </c>
      <c r="X245">
        <v>154.30000000000001</v>
      </c>
      <c r="Y245">
        <v>132.1</v>
      </c>
      <c r="Z245">
        <v>149.1</v>
      </c>
      <c r="AA245">
        <v>160.80000000000001</v>
      </c>
      <c r="AB245">
        <v>140.6</v>
      </c>
      <c r="AC245">
        <v>146.1</v>
      </c>
      <c r="AD245">
        <v>149.9</v>
      </c>
      <c r="AF245">
        <f>TYPE(All_India_Index_Upto_April23__1[[#This Row],[Sector]])</f>
        <v>2</v>
      </c>
      <c r="AG245">
        <f>TYPE(All_India_Index_Upto_April23__1[[#This Row],[Year]])</f>
        <v>1</v>
      </c>
      <c r="AH245">
        <f>TYPE(All_India_Index_Upto_April23__1[[#This Row],[Month]])</f>
        <v>2</v>
      </c>
      <c r="AI245">
        <f>TYPE(All_India_Index_Upto_April23__1[[#This Row],[Cereals and products]])</f>
        <v>1</v>
      </c>
      <c r="AJ245">
        <f>TYPE(All_India_Index_Upto_April23__1[[#This Row],[Meat and fish]])</f>
        <v>1</v>
      </c>
      <c r="AK245">
        <f>TYPE(All_India_Index_Upto_April23__1[[#This Row],[Egg]])</f>
        <v>1</v>
      </c>
      <c r="AL245">
        <f>TYPE(All_India_Index_Upto_April23__1[[#This Row],[Milk and products]])</f>
        <v>1</v>
      </c>
      <c r="AM245">
        <f>TYPE(All_India_Index_Upto_April23__1[[#This Row],[Oils and fats]])</f>
        <v>1</v>
      </c>
      <c r="AN245">
        <f>TYPE(All_India_Index_Upto_April23__1[[#This Row],[Fruits]])</f>
        <v>1</v>
      </c>
      <c r="AO245">
        <f>TYPE(All_India_Index_Upto_April23__1[[#This Row],[Vegetables]])</f>
        <v>1</v>
      </c>
      <c r="AP245">
        <f>TYPE(All_India_Index_Upto_April23__1[[#This Row],[Pulses and products]])</f>
        <v>1</v>
      </c>
      <c r="AQ245">
        <f>TYPE(All_India_Index_Upto_April23__1[[#This Row],[Sugar and Confectionery]])</f>
        <v>1</v>
      </c>
      <c r="AR245">
        <f>TYPE(All_India_Index_Upto_April23__1[[#This Row],[Spices]])</f>
        <v>1</v>
      </c>
      <c r="AS245">
        <f>TYPE(All_India_Index_Upto_April23__1[[#This Row],[Non-alcoholic beverages]])</f>
        <v>1</v>
      </c>
      <c r="AT245">
        <f>TYPE(All_India_Index_Upto_April23__1[[#This Row],[Prepared meals, snacks, sweets etc.]])</f>
        <v>1</v>
      </c>
      <c r="AU245">
        <f>TYPE(All_India_Index_Upto_April23__1[[#This Row],[Food and beverages]])</f>
        <v>1</v>
      </c>
      <c r="AV245">
        <f>TYPE(All_India_Index_Upto_April23__1[[#This Row],[Pan, tobacco and intoxicants]])</f>
        <v>1</v>
      </c>
      <c r="AW245">
        <f>TYPE(All_India_Index_Upto_April23__1[[#This Row],[Clothing]])</f>
        <v>1</v>
      </c>
      <c r="AX245">
        <f>TYPE(All_India_Index_Upto_April23__1[[#This Row],[Footwear]])</f>
        <v>1</v>
      </c>
      <c r="AY245">
        <f>TYPE(All_India_Index_Upto_April23__1[[#This Row],[Clothing and footwear]])</f>
        <v>1</v>
      </c>
      <c r="AZ245">
        <f>TYPE(All_India_Index_Upto_April23__1[[#This Row],[Housing]])</f>
        <v>1</v>
      </c>
      <c r="BA245">
        <f>TYPE(All_India_Index_Upto_April23__1[[#This Row],[Fuel and light]])</f>
        <v>1</v>
      </c>
      <c r="BB245">
        <f>TYPE(All_India_Index_Upto_April23__1[[#This Row],[Household goods and services]])</f>
        <v>1</v>
      </c>
      <c r="BC245">
        <f>TYPE(All_India_Index_Upto_April23__1[[#This Row],[Health]])</f>
        <v>1</v>
      </c>
      <c r="BD245">
        <f>TYPE(All_India_Index_Upto_April23__1[[#This Row],[Transport and communication]])</f>
        <v>1</v>
      </c>
      <c r="BE245">
        <f>TYPE(All_India_Index_Upto_April23__1[[#This Row],[Recreation and amusement]])</f>
        <v>1</v>
      </c>
      <c r="BF245">
        <f>TYPE(All_India_Index_Upto_April23__1[[#This Row],[Education]])</f>
        <v>1</v>
      </c>
      <c r="BG245">
        <f>TYPE(All_India_Index_Upto_April23__1[[#This Row],[Personal care and effects]])</f>
        <v>1</v>
      </c>
      <c r="BH245">
        <f>TYPE(All_India_Index_Upto_April23__1[[#This Row],[Miscellaneous]])</f>
        <v>1</v>
      </c>
      <c r="BI245">
        <f>TYPE(All_India_Index_Upto_April23__1[[#This Row],[General index]])</f>
        <v>1</v>
      </c>
    </row>
    <row r="246" spans="1:61" x14ac:dyDescent="0.3">
      <c r="A246" t="s">
        <v>32</v>
      </c>
      <c r="B246">
        <v>2019</v>
      </c>
      <c r="C246" t="s">
        <v>44</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c r="AF246">
        <f>TYPE(All_India_Index_Upto_April23__1[[#This Row],[Sector]])</f>
        <v>2</v>
      </c>
      <c r="AG246">
        <f>TYPE(All_India_Index_Upto_April23__1[[#This Row],[Year]])</f>
        <v>1</v>
      </c>
      <c r="AH246">
        <f>TYPE(All_India_Index_Upto_April23__1[[#This Row],[Month]])</f>
        <v>2</v>
      </c>
      <c r="AI246">
        <f>TYPE(All_India_Index_Upto_April23__1[[#This Row],[Cereals and products]])</f>
        <v>1</v>
      </c>
      <c r="AJ246">
        <f>TYPE(All_India_Index_Upto_April23__1[[#This Row],[Meat and fish]])</f>
        <v>1</v>
      </c>
      <c r="AK246">
        <f>TYPE(All_India_Index_Upto_April23__1[[#This Row],[Egg]])</f>
        <v>1</v>
      </c>
      <c r="AL246">
        <f>TYPE(All_India_Index_Upto_April23__1[[#This Row],[Milk and products]])</f>
        <v>1</v>
      </c>
      <c r="AM246">
        <f>TYPE(All_India_Index_Upto_April23__1[[#This Row],[Oils and fats]])</f>
        <v>1</v>
      </c>
      <c r="AN246">
        <f>TYPE(All_India_Index_Upto_April23__1[[#This Row],[Fruits]])</f>
        <v>1</v>
      </c>
      <c r="AO246">
        <f>TYPE(All_India_Index_Upto_April23__1[[#This Row],[Vegetables]])</f>
        <v>1</v>
      </c>
      <c r="AP246">
        <f>TYPE(All_India_Index_Upto_April23__1[[#This Row],[Pulses and products]])</f>
        <v>1</v>
      </c>
      <c r="AQ246">
        <f>TYPE(All_India_Index_Upto_April23__1[[#This Row],[Sugar and Confectionery]])</f>
        <v>1</v>
      </c>
      <c r="AR246">
        <f>TYPE(All_India_Index_Upto_April23__1[[#This Row],[Spices]])</f>
        <v>1</v>
      </c>
      <c r="AS246">
        <f>TYPE(All_India_Index_Upto_April23__1[[#This Row],[Non-alcoholic beverages]])</f>
        <v>1</v>
      </c>
      <c r="AT246">
        <f>TYPE(All_India_Index_Upto_April23__1[[#This Row],[Prepared meals, snacks, sweets etc.]])</f>
        <v>1</v>
      </c>
      <c r="AU246">
        <f>TYPE(All_India_Index_Upto_April23__1[[#This Row],[Food and beverages]])</f>
        <v>1</v>
      </c>
      <c r="AV246">
        <f>TYPE(All_India_Index_Upto_April23__1[[#This Row],[Pan, tobacco and intoxicants]])</f>
        <v>1</v>
      </c>
      <c r="AW246">
        <f>TYPE(All_India_Index_Upto_April23__1[[#This Row],[Clothing]])</f>
        <v>1</v>
      </c>
      <c r="AX246">
        <f>TYPE(All_India_Index_Upto_April23__1[[#This Row],[Footwear]])</f>
        <v>1</v>
      </c>
      <c r="AY246">
        <f>TYPE(All_India_Index_Upto_April23__1[[#This Row],[Clothing and footwear]])</f>
        <v>1</v>
      </c>
      <c r="AZ246">
        <f>TYPE(All_India_Index_Upto_April23__1[[#This Row],[Housing]])</f>
        <v>1</v>
      </c>
      <c r="BA246">
        <f>TYPE(All_India_Index_Upto_April23__1[[#This Row],[Fuel and light]])</f>
        <v>1</v>
      </c>
      <c r="BB246">
        <f>TYPE(All_India_Index_Upto_April23__1[[#This Row],[Household goods and services]])</f>
        <v>1</v>
      </c>
      <c r="BC246">
        <f>TYPE(All_India_Index_Upto_April23__1[[#This Row],[Health]])</f>
        <v>1</v>
      </c>
      <c r="BD246">
        <f>TYPE(All_India_Index_Upto_April23__1[[#This Row],[Transport and communication]])</f>
        <v>1</v>
      </c>
      <c r="BE246">
        <f>TYPE(All_India_Index_Upto_April23__1[[#This Row],[Recreation and amusement]])</f>
        <v>1</v>
      </c>
      <c r="BF246">
        <f>TYPE(All_India_Index_Upto_April23__1[[#This Row],[Education]])</f>
        <v>1</v>
      </c>
      <c r="BG246">
        <f>TYPE(All_India_Index_Upto_April23__1[[#This Row],[Personal care and effects]])</f>
        <v>1</v>
      </c>
      <c r="BH246">
        <f>TYPE(All_India_Index_Upto_April23__1[[#This Row],[Miscellaneous]])</f>
        <v>1</v>
      </c>
      <c r="BI246">
        <f>TYPE(All_India_Index_Upto_April23__1[[#This Row],[General index]])</f>
        <v>1</v>
      </c>
    </row>
    <row r="247" spans="1:61" x14ac:dyDescent="0.3">
      <c r="A247" t="s">
        <v>33</v>
      </c>
      <c r="B247">
        <v>2019</v>
      </c>
      <c r="C247" t="s">
        <v>44</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c r="AF247">
        <f>TYPE(All_India_Index_Upto_April23__1[[#This Row],[Sector]])</f>
        <v>2</v>
      </c>
      <c r="AG247">
        <f>TYPE(All_India_Index_Upto_April23__1[[#This Row],[Year]])</f>
        <v>1</v>
      </c>
      <c r="AH247">
        <f>TYPE(All_India_Index_Upto_April23__1[[#This Row],[Month]])</f>
        <v>2</v>
      </c>
      <c r="AI247">
        <f>TYPE(All_India_Index_Upto_April23__1[[#This Row],[Cereals and products]])</f>
        <v>1</v>
      </c>
      <c r="AJ247">
        <f>TYPE(All_India_Index_Upto_April23__1[[#This Row],[Meat and fish]])</f>
        <v>1</v>
      </c>
      <c r="AK247">
        <f>TYPE(All_India_Index_Upto_April23__1[[#This Row],[Egg]])</f>
        <v>1</v>
      </c>
      <c r="AL247">
        <f>TYPE(All_India_Index_Upto_April23__1[[#This Row],[Milk and products]])</f>
        <v>1</v>
      </c>
      <c r="AM247">
        <f>TYPE(All_India_Index_Upto_April23__1[[#This Row],[Oils and fats]])</f>
        <v>1</v>
      </c>
      <c r="AN247">
        <f>TYPE(All_India_Index_Upto_April23__1[[#This Row],[Fruits]])</f>
        <v>1</v>
      </c>
      <c r="AO247">
        <f>TYPE(All_India_Index_Upto_April23__1[[#This Row],[Vegetables]])</f>
        <v>1</v>
      </c>
      <c r="AP247">
        <f>TYPE(All_India_Index_Upto_April23__1[[#This Row],[Pulses and products]])</f>
        <v>1</v>
      </c>
      <c r="AQ247">
        <f>TYPE(All_India_Index_Upto_April23__1[[#This Row],[Sugar and Confectionery]])</f>
        <v>1</v>
      </c>
      <c r="AR247">
        <f>TYPE(All_India_Index_Upto_April23__1[[#This Row],[Spices]])</f>
        <v>1</v>
      </c>
      <c r="AS247">
        <f>TYPE(All_India_Index_Upto_April23__1[[#This Row],[Non-alcoholic beverages]])</f>
        <v>1</v>
      </c>
      <c r="AT247">
        <f>TYPE(All_India_Index_Upto_April23__1[[#This Row],[Prepared meals, snacks, sweets etc.]])</f>
        <v>1</v>
      </c>
      <c r="AU247">
        <f>TYPE(All_India_Index_Upto_April23__1[[#This Row],[Food and beverages]])</f>
        <v>1</v>
      </c>
      <c r="AV247">
        <f>TYPE(All_India_Index_Upto_April23__1[[#This Row],[Pan, tobacco and intoxicants]])</f>
        <v>1</v>
      </c>
      <c r="AW247">
        <f>TYPE(All_India_Index_Upto_April23__1[[#This Row],[Clothing]])</f>
        <v>1</v>
      </c>
      <c r="AX247">
        <f>TYPE(All_India_Index_Upto_April23__1[[#This Row],[Footwear]])</f>
        <v>1</v>
      </c>
      <c r="AY247">
        <f>TYPE(All_India_Index_Upto_April23__1[[#This Row],[Clothing and footwear]])</f>
        <v>1</v>
      </c>
      <c r="AZ247">
        <f>TYPE(All_India_Index_Upto_April23__1[[#This Row],[Housing]])</f>
        <v>1</v>
      </c>
      <c r="BA247">
        <f>TYPE(All_India_Index_Upto_April23__1[[#This Row],[Fuel and light]])</f>
        <v>1</v>
      </c>
      <c r="BB247">
        <f>TYPE(All_India_Index_Upto_April23__1[[#This Row],[Household goods and services]])</f>
        <v>1</v>
      </c>
      <c r="BC247">
        <f>TYPE(All_India_Index_Upto_April23__1[[#This Row],[Health]])</f>
        <v>1</v>
      </c>
      <c r="BD247">
        <f>TYPE(All_India_Index_Upto_April23__1[[#This Row],[Transport and communication]])</f>
        <v>1</v>
      </c>
      <c r="BE247">
        <f>TYPE(All_India_Index_Upto_April23__1[[#This Row],[Recreation and amusement]])</f>
        <v>1</v>
      </c>
      <c r="BF247">
        <f>TYPE(All_India_Index_Upto_April23__1[[#This Row],[Education]])</f>
        <v>1</v>
      </c>
      <c r="BG247">
        <f>TYPE(All_India_Index_Upto_April23__1[[#This Row],[Personal care and effects]])</f>
        <v>1</v>
      </c>
      <c r="BH247">
        <f>TYPE(All_India_Index_Upto_April23__1[[#This Row],[Miscellaneous]])</f>
        <v>1</v>
      </c>
      <c r="BI247">
        <f>TYPE(All_India_Index_Upto_April23__1[[#This Row],[General index]])</f>
        <v>1</v>
      </c>
    </row>
    <row r="248" spans="1:61" x14ac:dyDescent="0.3">
      <c r="A248" t="s">
        <v>30</v>
      </c>
      <c r="B248">
        <v>2019</v>
      </c>
      <c r="C248" t="s">
        <v>45</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v>0</v>
      </c>
      <c r="V248">
        <v>149.9</v>
      </c>
      <c r="W248">
        <v>151.19999999999999</v>
      </c>
      <c r="X248">
        <v>154.80000000000001</v>
      </c>
      <c r="Y248">
        <v>135</v>
      </c>
      <c r="Z248">
        <v>149.5</v>
      </c>
      <c r="AA248">
        <v>161.1</v>
      </c>
      <c r="AB248">
        <v>140.6</v>
      </c>
      <c r="AC248">
        <v>147.1</v>
      </c>
      <c r="AD248">
        <v>152.30000000000001</v>
      </c>
      <c r="AF248">
        <f>TYPE(All_India_Index_Upto_April23__1[[#This Row],[Sector]])</f>
        <v>2</v>
      </c>
      <c r="AG248">
        <f>TYPE(All_India_Index_Upto_April23__1[[#This Row],[Year]])</f>
        <v>1</v>
      </c>
      <c r="AH248">
        <f>TYPE(All_India_Index_Upto_April23__1[[#This Row],[Month]])</f>
        <v>2</v>
      </c>
      <c r="AI248">
        <f>TYPE(All_India_Index_Upto_April23__1[[#This Row],[Cereals and products]])</f>
        <v>1</v>
      </c>
      <c r="AJ248">
        <f>TYPE(All_India_Index_Upto_April23__1[[#This Row],[Meat and fish]])</f>
        <v>1</v>
      </c>
      <c r="AK248">
        <f>TYPE(All_India_Index_Upto_April23__1[[#This Row],[Egg]])</f>
        <v>1</v>
      </c>
      <c r="AL248">
        <f>TYPE(All_India_Index_Upto_April23__1[[#This Row],[Milk and products]])</f>
        <v>1</v>
      </c>
      <c r="AM248">
        <f>TYPE(All_India_Index_Upto_April23__1[[#This Row],[Oils and fats]])</f>
        <v>1</v>
      </c>
      <c r="AN248">
        <f>TYPE(All_India_Index_Upto_April23__1[[#This Row],[Fruits]])</f>
        <v>1</v>
      </c>
      <c r="AO248">
        <f>TYPE(All_India_Index_Upto_April23__1[[#This Row],[Vegetables]])</f>
        <v>1</v>
      </c>
      <c r="AP248">
        <f>TYPE(All_India_Index_Upto_April23__1[[#This Row],[Pulses and products]])</f>
        <v>1</v>
      </c>
      <c r="AQ248">
        <f>TYPE(All_India_Index_Upto_April23__1[[#This Row],[Sugar and Confectionery]])</f>
        <v>1</v>
      </c>
      <c r="AR248">
        <f>TYPE(All_India_Index_Upto_April23__1[[#This Row],[Spices]])</f>
        <v>1</v>
      </c>
      <c r="AS248">
        <f>TYPE(All_India_Index_Upto_April23__1[[#This Row],[Non-alcoholic beverages]])</f>
        <v>1</v>
      </c>
      <c r="AT248">
        <f>TYPE(All_India_Index_Upto_April23__1[[#This Row],[Prepared meals, snacks, sweets etc.]])</f>
        <v>1</v>
      </c>
      <c r="AU248">
        <f>TYPE(All_India_Index_Upto_April23__1[[#This Row],[Food and beverages]])</f>
        <v>1</v>
      </c>
      <c r="AV248">
        <f>TYPE(All_India_Index_Upto_April23__1[[#This Row],[Pan, tobacco and intoxicants]])</f>
        <v>1</v>
      </c>
      <c r="AW248">
        <f>TYPE(All_India_Index_Upto_April23__1[[#This Row],[Clothing]])</f>
        <v>1</v>
      </c>
      <c r="AX248">
        <f>TYPE(All_India_Index_Upto_April23__1[[#This Row],[Footwear]])</f>
        <v>1</v>
      </c>
      <c r="AY248">
        <f>TYPE(All_India_Index_Upto_April23__1[[#This Row],[Clothing and footwear]])</f>
        <v>1</v>
      </c>
      <c r="AZ248">
        <f>TYPE(All_India_Index_Upto_April23__1[[#This Row],[Housing]])</f>
        <v>1</v>
      </c>
      <c r="BA248">
        <f>TYPE(All_India_Index_Upto_April23__1[[#This Row],[Fuel and light]])</f>
        <v>1</v>
      </c>
      <c r="BB248">
        <f>TYPE(All_India_Index_Upto_April23__1[[#This Row],[Household goods and services]])</f>
        <v>1</v>
      </c>
      <c r="BC248">
        <f>TYPE(All_India_Index_Upto_April23__1[[#This Row],[Health]])</f>
        <v>1</v>
      </c>
      <c r="BD248">
        <f>TYPE(All_India_Index_Upto_April23__1[[#This Row],[Transport and communication]])</f>
        <v>1</v>
      </c>
      <c r="BE248">
        <f>TYPE(All_India_Index_Upto_April23__1[[#This Row],[Recreation and amusement]])</f>
        <v>1</v>
      </c>
      <c r="BF248">
        <f>TYPE(All_India_Index_Upto_April23__1[[#This Row],[Education]])</f>
        <v>1</v>
      </c>
      <c r="BG248">
        <f>TYPE(All_India_Index_Upto_April23__1[[#This Row],[Personal care and effects]])</f>
        <v>1</v>
      </c>
      <c r="BH248">
        <f>TYPE(All_India_Index_Upto_April23__1[[#This Row],[Miscellaneous]])</f>
        <v>1</v>
      </c>
      <c r="BI248">
        <f>TYPE(All_India_Index_Upto_April23__1[[#This Row],[General index]])</f>
        <v>1</v>
      </c>
    </row>
    <row r="249" spans="1:61" x14ac:dyDescent="0.3">
      <c r="A249" t="s">
        <v>32</v>
      </c>
      <c r="B249">
        <v>2019</v>
      </c>
      <c r="C249" t="s">
        <v>45</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c r="AF249">
        <f>TYPE(All_India_Index_Upto_April23__1[[#This Row],[Sector]])</f>
        <v>2</v>
      </c>
      <c r="AG249">
        <f>TYPE(All_India_Index_Upto_April23__1[[#This Row],[Year]])</f>
        <v>1</v>
      </c>
      <c r="AH249">
        <f>TYPE(All_India_Index_Upto_April23__1[[#This Row],[Month]])</f>
        <v>2</v>
      </c>
      <c r="AI249">
        <f>TYPE(All_India_Index_Upto_April23__1[[#This Row],[Cereals and products]])</f>
        <v>1</v>
      </c>
      <c r="AJ249">
        <f>TYPE(All_India_Index_Upto_April23__1[[#This Row],[Meat and fish]])</f>
        <v>1</v>
      </c>
      <c r="AK249">
        <f>TYPE(All_India_Index_Upto_April23__1[[#This Row],[Egg]])</f>
        <v>1</v>
      </c>
      <c r="AL249">
        <f>TYPE(All_India_Index_Upto_April23__1[[#This Row],[Milk and products]])</f>
        <v>1</v>
      </c>
      <c r="AM249">
        <f>TYPE(All_India_Index_Upto_April23__1[[#This Row],[Oils and fats]])</f>
        <v>1</v>
      </c>
      <c r="AN249">
        <f>TYPE(All_India_Index_Upto_April23__1[[#This Row],[Fruits]])</f>
        <v>1</v>
      </c>
      <c r="AO249">
        <f>TYPE(All_India_Index_Upto_April23__1[[#This Row],[Vegetables]])</f>
        <v>1</v>
      </c>
      <c r="AP249">
        <f>TYPE(All_India_Index_Upto_April23__1[[#This Row],[Pulses and products]])</f>
        <v>1</v>
      </c>
      <c r="AQ249">
        <f>TYPE(All_India_Index_Upto_April23__1[[#This Row],[Sugar and Confectionery]])</f>
        <v>1</v>
      </c>
      <c r="AR249">
        <f>TYPE(All_India_Index_Upto_April23__1[[#This Row],[Spices]])</f>
        <v>1</v>
      </c>
      <c r="AS249">
        <f>TYPE(All_India_Index_Upto_April23__1[[#This Row],[Non-alcoholic beverages]])</f>
        <v>1</v>
      </c>
      <c r="AT249">
        <f>TYPE(All_India_Index_Upto_April23__1[[#This Row],[Prepared meals, snacks, sweets etc.]])</f>
        <v>1</v>
      </c>
      <c r="AU249">
        <f>TYPE(All_India_Index_Upto_April23__1[[#This Row],[Food and beverages]])</f>
        <v>1</v>
      </c>
      <c r="AV249">
        <f>TYPE(All_India_Index_Upto_April23__1[[#This Row],[Pan, tobacco and intoxicants]])</f>
        <v>1</v>
      </c>
      <c r="AW249">
        <f>TYPE(All_India_Index_Upto_April23__1[[#This Row],[Clothing]])</f>
        <v>1</v>
      </c>
      <c r="AX249">
        <f>TYPE(All_India_Index_Upto_April23__1[[#This Row],[Footwear]])</f>
        <v>1</v>
      </c>
      <c r="AY249">
        <f>TYPE(All_India_Index_Upto_April23__1[[#This Row],[Clothing and footwear]])</f>
        <v>1</v>
      </c>
      <c r="AZ249">
        <f>TYPE(All_India_Index_Upto_April23__1[[#This Row],[Housing]])</f>
        <v>1</v>
      </c>
      <c r="BA249">
        <f>TYPE(All_India_Index_Upto_April23__1[[#This Row],[Fuel and light]])</f>
        <v>1</v>
      </c>
      <c r="BB249">
        <f>TYPE(All_India_Index_Upto_April23__1[[#This Row],[Household goods and services]])</f>
        <v>1</v>
      </c>
      <c r="BC249">
        <f>TYPE(All_India_Index_Upto_April23__1[[#This Row],[Health]])</f>
        <v>1</v>
      </c>
      <c r="BD249">
        <f>TYPE(All_India_Index_Upto_April23__1[[#This Row],[Transport and communication]])</f>
        <v>1</v>
      </c>
      <c r="BE249">
        <f>TYPE(All_India_Index_Upto_April23__1[[#This Row],[Recreation and amusement]])</f>
        <v>1</v>
      </c>
      <c r="BF249">
        <f>TYPE(All_India_Index_Upto_April23__1[[#This Row],[Education]])</f>
        <v>1</v>
      </c>
      <c r="BG249">
        <f>TYPE(All_India_Index_Upto_April23__1[[#This Row],[Personal care and effects]])</f>
        <v>1</v>
      </c>
      <c r="BH249">
        <f>TYPE(All_India_Index_Upto_April23__1[[#This Row],[Miscellaneous]])</f>
        <v>1</v>
      </c>
      <c r="BI249">
        <f>TYPE(All_India_Index_Upto_April23__1[[#This Row],[General index]])</f>
        <v>1</v>
      </c>
    </row>
    <row r="250" spans="1:61" x14ac:dyDescent="0.3">
      <c r="A250" t="s">
        <v>33</v>
      </c>
      <c r="B250">
        <v>2019</v>
      </c>
      <c r="C250" t="s">
        <v>45</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c r="AF250">
        <f>TYPE(All_India_Index_Upto_April23__1[[#This Row],[Sector]])</f>
        <v>2</v>
      </c>
      <c r="AG250">
        <f>TYPE(All_India_Index_Upto_April23__1[[#This Row],[Year]])</f>
        <v>1</v>
      </c>
      <c r="AH250">
        <f>TYPE(All_India_Index_Upto_April23__1[[#This Row],[Month]])</f>
        <v>2</v>
      </c>
      <c r="AI250">
        <f>TYPE(All_India_Index_Upto_April23__1[[#This Row],[Cereals and products]])</f>
        <v>1</v>
      </c>
      <c r="AJ250">
        <f>TYPE(All_India_Index_Upto_April23__1[[#This Row],[Meat and fish]])</f>
        <v>1</v>
      </c>
      <c r="AK250">
        <f>TYPE(All_India_Index_Upto_April23__1[[#This Row],[Egg]])</f>
        <v>1</v>
      </c>
      <c r="AL250">
        <f>TYPE(All_India_Index_Upto_April23__1[[#This Row],[Milk and products]])</f>
        <v>1</v>
      </c>
      <c r="AM250">
        <f>TYPE(All_India_Index_Upto_April23__1[[#This Row],[Oils and fats]])</f>
        <v>1</v>
      </c>
      <c r="AN250">
        <f>TYPE(All_India_Index_Upto_April23__1[[#This Row],[Fruits]])</f>
        <v>1</v>
      </c>
      <c r="AO250">
        <f>TYPE(All_India_Index_Upto_April23__1[[#This Row],[Vegetables]])</f>
        <v>1</v>
      </c>
      <c r="AP250">
        <f>TYPE(All_India_Index_Upto_April23__1[[#This Row],[Pulses and products]])</f>
        <v>1</v>
      </c>
      <c r="AQ250">
        <f>TYPE(All_India_Index_Upto_April23__1[[#This Row],[Sugar and Confectionery]])</f>
        <v>1</v>
      </c>
      <c r="AR250">
        <f>TYPE(All_India_Index_Upto_April23__1[[#This Row],[Spices]])</f>
        <v>1</v>
      </c>
      <c r="AS250">
        <f>TYPE(All_India_Index_Upto_April23__1[[#This Row],[Non-alcoholic beverages]])</f>
        <v>1</v>
      </c>
      <c r="AT250">
        <f>TYPE(All_India_Index_Upto_April23__1[[#This Row],[Prepared meals, snacks, sweets etc.]])</f>
        <v>1</v>
      </c>
      <c r="AU250">
        <f>TYPE(All_India_Index_Upto_April23__1[[#This Row],[Food and beverages]])</f>
        <v>1</v>
      </c>
      <c r="AV250">
        <f>TYPE(All_India_Index_Upto_April23__1[[#This Row],[Pan, tobacco and intoxicants]])</f>
        <v>1</v>
      </c>
      <c r="AW250">
        <f>TYPE(All_India_Index_Upto_April23__1[[#This Row],[Clothing]])</f>
        <v>1</v>
      </c>
      <c r="AX250">
        <f>TYPE(All_India_Index_Upto_April23__1[[#This Row],[Footwear]])</f>
        <v>1</v>
      </c>
      <c r="AY250">
        <f>TYPE(All_India_Index_Upto_April23__1[[#This Row],[Clothing and footwear]])</f>
        <v>1</v>
      </c>
      <c r="AZ250">
        <f>TYPE(All_India_Index_Upto_April23__1[[#This Row],[Housing]])</f>
        <v>1</v>
      </c>
      <c r="BA250">
        <f>TYPE(All_India_Index_Upto_April23__1[[#This Row],[Fuel and light]])</f>
        <v>1</v>
      </c>
      <c r="BB250">
        <f>TYPE(All_India_Index_Upto_April23__1[[#This Row],[Household goods and services]])</f>
        <v>1</v>
      </c>
      <c r="BC250">
        <f>TYPE(All_India_Index_Upto_April23__1[[#This Row],[Health]])</f>
        <v>1</v>
      </c>
      <c r="BD250">
        <f>TYPE(All_India_Index_Upto_April23__1[[#This Row],[Transport and communication]])</f>
        <v>1</v>
      </c>
      <c r="BE250">
        <f>TYPE(All_India_Index_Upto_April23__1[[#This Row],[Recreation and amusement]])</f>
        <v>1</v>
      </c>
      <c r="BF250">
        <f>TYPE(All_India_Index_Upto_April23__1[[#This Row],[Education]])</f>
        <v>1</v>
      </c>
      <c r="BG250">
        <f>TYPE(All_India_Index_Upto_April23__1[[#This Row],[Personal care and effects]])</f>
        <v>1</v>
      </c>
      <c r="BH250">
        <f>TYPE(All_India_Index_Upto_April23__1[[#This Row],[Miscellaneous]])</f>
        <v>1</v>
      </c>
      <c r="BI250">
        <f>TYPE(All_India_Index_Upto_April23__1[[#This Row],[General index]])</f>
        <v>1</v>
      </c>
    </row>
    <row r="251" spans="1:61" x14ac:dyDescent="0.3">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v>0</v>
      </c>
      <c r="V251">
        <v>150.4</v>
      </c>
      <c r="W251">
        <v>151.69999999999999</v>
      </c>
      <c r="X251">
        <v>155.69999999999999</v>
      </c>
      <c r="Y251">
        <v>136.30000000000001</v>
      </c>
      <c r="Z251">
        <v>150.1</v>
      </c>
      <c r="AA251">
        <v>161.69999999999999</v>
      </c>
      <c r="AB251">
        <v>142.5</v>
      </c>
      <c r="AC251">
        <v>148.1</v>
      </c>
      <c r="AD251">
        <v>151.9</v>
      </c>
      <c r="AF251">
        <f>TYPE(All_India_Index_Upto_April23__1[[#This Row],[Sector]])</f>
        <v>2</v>
      </c>
      <c r="AG251">
        <f>TYPE(All_India_Index_Upto_April23__1[[#This Row],[Year]])</f>
        <v>1</v>
      </c>
      <c r="AH251">
        <f>TYPE(All_India_Index_Upto_April23__1[[#This Row],[Month]])</f>
        <v>2</v>
      </c>
      <c r="AI251">
        <f>TYPE(All_India_Index_Upto_April23__1[[#This Row],[Cereals and products]])</f>
        <v>1</v>
      </c>
      <c r="AJ251">
        <f>TYPE(All_India_Index_Upto_April23__1[[#This Row],[Meat and fish]])</f>
        <v>1</v>
      </c>
      <c r="AK251">
        <f>TYPE(All_India_Index_Upto_April23__1[[#This Row],[Egg]])</f>
        <v>1</v>
      </c>
      <c r="AL251">
        <f>TYPE(All_India_Index_Upto_April23__1[[#This Row],[Milk and products]])</f>
        <v>1</v>
      </c>
      <c r="AM251">
        <f>TYPE(All_India_Index_Upto_April23__1[[#This Row],[Oils and fats]])</f>
        <v>1</v>
      </c>
      <c r="AN251">
        <f>TYPE(All_India_Index_Upto_April23__1[[#This Row],[Fruits]])</f>
        <v>1</v>
      </c>
      <c r="AO251">
        <f>TYPE(All_India_Index_Upto_April23__1[[#This Row],[Vegetables]])</f>
        <v>1</v>
      </c>
      <c r="AP251">
        <f>TYPE(All_India_Index_Upto_April23__1[[#This Row],[Pulses and products]])</f>
        <v>1</v>
      </c>
      <c r="AQ251">
        <f>TYPE(All_India_Index_Upto_April23__1[[#This Row],[Sugar and Confectionery]])</f>
        <v>1</v>
      </c>
      <c r="AR251">
        <f>TYPE(All_India_Index_Upto_April23__1[[#This Row],[Spices]])</f>
        <v>1</v>
      </c>
      <c r="AS251">
        <f>TYPE(All_India_Index_Upto_April23__1[[#This Row],[Non-alcoholic beverages]])</f>
        <v>1</v>
      </c>
      <c r="AT251">
        <f>TYPE(All_India_Index_Upto_April23__1[[#This Row],[Prepared meals, snacks, sweets etc.]])</f>
        <v>1</v>
      </c>
      <c r="AU251">
        <f>TYPE(All_India_Index_Upto_April23__1[[#This Row],[Food and beverages]])</f>
        <v>1</v>
      </c>
      <c r="AV251">
        <f>TYPE(All_India_Index_Upto_April23__1[[#This Row],[Pan, tobacco and intoxicants]])</f>
        <v>1</v>
      </c>
      <c r="AW251">
        <f>TYPE(All_India_Index_Upto_April23__1[[#This Row],[Clothing]])</f>
        <v>1</v>
      </c>
      <c r="AX251">
        <f>TYPE(All_India_Index_Upto_April23__1[[#This Row],[Footwear]])</f>
        <v>1</v>
      </c>
      <c r="AY251">
        <f>TYPE(All_India_Index_Upto_April23__1[[#This Row],[Clothing and footwear]])</f>
        <v>1</v>
      </c>
      <c r="AZ251">
        <f>TYPE(All_India_Index_Upto_April23__1[[#This Row],[Housing]])</f>
        <v>1</v>
      </c>
      <c r="BA251">
        <f>TYPE(All_India_Index_Upto_April23__1[[#This Row],[Fuel and light]])</f>
        <v>1</v>
      </c>
      <c r="BB251">
        <f>TYPE(All_India_Index_Upto_April23__1[[#This Row],[Household goods and services]])</f>
        <v>1</v>
      </c>
      <c r="BC251">
        <f>TYPE(All_India_Index_Upto_April23__1[[#This Row],[Health]])</f>
        <v>1</v>
      </c>
      <c r="BD251">
        <f>TYPE(All_India_Index_Upto_April23__1[[#This Row],[Transport and communication]])</f>
        <v>1</v>
      </c>
      <c r="BE251">
        <f>TYPE(All_India_Index_Upto_April23__1[[#This Row],[Recreation and amusement]])</f>
        <v>1</v>
      </c>
      <c r="BF251">
        <f>TYPE(All_India_Index_Upto_April23__1[[#This Row],[Education]])</f>
        <v>1</v>
      </c>
      <c r="BG251">
        <f>TYPE(All_India_Index_Upto_April23__1[[#This Row],[Personal care and effects]])</f>
        <v>1</v>
      </c>
      <c r="BH251">
        <f>TYPE(All_India_Index_Upto_April23__1[[#This Row],[Miscellaneous]])</f>
        <v>1</v>
      </c>
      <c r="BI251">
        <f>TYPE(All_India_Index_Upto_April23__1[[#This Row],[General index]])</f>
        <v>1</v>
      </c>
    </row>
    <row r="252" spans="1:61" x14ac:dyDescent="0.3">
      <c r="A252" t="s">
        <v>32</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c r="AF252">
        <f>TYPE(All_India_Index_Upto_April23__1[[#This Row],[Sector]])</f>
        <v>2</v>
      </c>
      <c r="AG252">
        <f>TYPE(All_India_Index_Upto_April23__1[[#This Row],[Year]])</f>
        <v>1</v>
      </c>
      <c r="AH252">
        <f>TYPE(All_India_Index_Upto_April23__1[[#This Row],[Month]])</f>
        <v>2</v>
      </c>
      <c r="AI252">
        <f>TYPE(All_India_Index_Upto_April23__1[[#This Row],[Cereals and products]])</f>
        <v>1</v>
      </c>
      <c r="AJ252">
        <f>TYPE(All_India_Index_Upto_April23__1[[#This Row],[Meat and fish]])</f>
        <v>1</v>
      </c>
      <c r="AK252">
        <f>TYPE(All_India_Index_Upto_April23__1[[#This Row],[Egg]])</f>
        <v>1</v>
      </c>
      <c r="AL252">
        <f>TYPE(All_India_Index_Upto_April23__1[[#This Row],[Milk and products]])</f>
        <v>1</v>
      </c>
      <c r="AM252">
        <f>TYPE(All_India_Index_Upto_April23__1[[#This Row],[Oils and fats]])</f>
        <v>1</v>
      </c>
      <c r="AN252">
        <f>TYPE(All_India_Index_Upto_April23__1[[#This Row],[Fruits]])</f>
        <v>1</v>
      </c>
      <c r="AO252">
        <f>TYPE(All_India_Index_Upto_April23__1[[#This Row],[Vegetables]])</f>
        <v>1</v>
      </c>
      <c r="AP252">
        <f>TYPE(All_India_Index_Upto_April23__1[[#This Row],[Pulses and products]])</f>
        <v>1</v>
      </c>
      <c r="AQ252">
        <f>TYPE(All_India_Index_Upto_April23__1[[#This Row],[Sugar and Confectionery]])</f>
        <v>1</v>
      </c>
      <c r="AR252">
        <f>TYPE(All_India_Index_Upto_April23__1[[#This Row],[Spices]])</f>
        <v>1</v>
      </c>
      <c r="AS252">
        <f>TYPE(All_India_Index_Upto_April23__1[[#This Row],[Non-alcoholic beverages]])</f>
        <v>1</v>
      </c>
      <c r="AT252">
        <f>TYPE(All_India_Index_Upto_April23__1[[#This Row],[Prepared meals, snacks, sweets etc.]])</f>
        <v>1</v>
      </c>
      <c r="AU252">
        <f>TYPE(All_India_Index_Upto_April23__1[[#This Row],[Food and beverages]])</f>
        <v>1</v>
      </c>
      <c r="AV252">
        <f>TYPE(All_India_Index_Upto_April23__1[[#This Row],[Pan, tobacco and intoxicants]])</f>
        <v>1</v>
      </c>
      <c r="AW252">
        <f>TYPE(All_India_Index_Upto_April23__1[[#This Row],[Clothing]])</f>
        <v>1</v>
      </c>
      <c r="AX252">
        <f>TYPE(All_India_Index_Upto_April23__1[[#This Row],[Footwear]])</f>
        <v>1</v>
      </c>
      <c r="AY252">
        <f>TYPE(All_India_Index_Upto_April23__1[[#This Row],[Clothing and footwear]])</f>
        <v>1</v>
      </c>
      <c r="AZ252">
        <f>TYPE(All_India_Index_Upto_April23__1[[#This Row],[Housing]])</f>
        <v>1</v>
      </c>
      <c r="BA252">
        <f>TYPE(All_India_Index_Upto_April23__1[[#This Row],[Fuel and light]])</f>
        <v>1</v>
      </c>
      <c r="BB252">
        <f>TYPE(All_India_Index_Upto_April23__1[[#This Row],[Household goods and services]])</f>
        <v>1</v>
      </c>
      <c r="BC252">
        <f>TYPE(All_India_Index_Upto_April23__1[[#This Row],[Health]])</f>
        <v>1</v>
      </c>
      <c r="BD252">
        <f>TYPE(All_India_Index_Upto_April23__1[[#This Row],[Transport and communication]])</f>
        <v>1</v>
      </c>
      <c r="BE252">
        <f>TYPE(All_India_Index_Upto_April23__1[[#This Row],[Recreation and amusement]])</f>
        <v>1</v>
      </c>
      <c r="BF252">
        <f>TYPE(All_India_Index_Upto_April23__1[[#This Row],[Education]])</f>
        <v>1</v>
      </c>
      <c r="BG252">
        <f>TYPE(All_India_Index_Upto_April23__1[[#This Row],[Personal care and effects]])</f>
        <v>1</v>
      </c>
      <c r="BH252">
        <f>TYPE(All_India_Index_Upto_April23__1[[#This Row],[Miscellaneous]])</f>
        <v>1</v>
      </c>
      <c r="BI252">
        <f>TYPE(All_India_Index_Upto_April23__1[[#This Row],[General index]])</f>
        <v>1</v>
      </c>
    </row>
    <row r="253" spans="1:61" x14ac:dyDescent="0.3">
      <c r="A253" t="s">
        <v>33</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c r="AF253">
        <f>TYPE(All_India_Index_Upto_April23__1[[#This Row],[Sector]])</f>
        <v>2</v>
      </c>
      <c r="AG253">
        <f>TYPE(All_India_Index_Upto_April23__1[[#This Row],[Year]])</f>
        <v>1</v>
      </c>
      <c r="AH253">
        <f>TYPE(All_India_Index_Upto_April23__1[[#This Row],[Month]])</f>
        <v>2</v>
      </c>
      <c r="AI253">
        <f>TYPE(All_India_Index_Upto_April23__1[[#This Row],[Cereals and products]])</f>
        <v>1</v>
      </c>
      <c r="AJ253">
        <f>TYPE(All_India_Index_Upto_April23__1[[#This Row],[Meat and fish]])</f>
        <v>1</v>
      </c>
      <c r="AK253">
        <f>TYPE(All_India_Index_Upto_April23__1[[#This Row],[Egg]])</f>
        <v>1</v>
      </c>
      <c r="AL253">
        <f>TYPE(All_India_Index_Upto_April23__1[[#This Row],[Milk and products]])</f>
        <v>1</v>
      </c>
      <c r="AM253">
        <f>TYPE(All_India_Index_Upto_April23__1[[#This Row],[Oils and fats]])</f>
        <v>1</v>
      </c>
      <c r="AN253">
        <f>TYPE(All_India_Index_Upto_April23__1[[#This Row],[Fruits]])</f>
        <v>1</v>
      </c>
      <c r="AO253">
        <f>TYPE(All_India_Index_Upto_April23__1[[#This Row],[Vegetables]])</f>
        <v>1</v>
      </c>
      <c r="AP253">
        <f>TYPE(All_India_Index_Upto_April23__1[[#This Row],[Pulses and products]])</f>
        <v>1</v>
      </c>
      <c r="AQ253">
        <f>TYPE(All_India_Index_Upto_April23__1[[#This Row],[Sugar and Confectionery]])</f>
        <v>1</v>
      </c>
      <c r="AR253">
        <f>TYPE(All_India_Index_Upto_April23__1[[#This Row],[Spices]])</f>
        <v>1</v>
      </c>
      <c r="AS253">
        <f>TYPE(All_India_Index_Upto_April23__1[[#This Row],[Non-alcoholic beverages]])</f>
        <v>1</v>
      </c>
      <c r="AT253">
        <f>TYPE(All_India_Index_Upto_April23__1[[#This Row],[Prepared meals, snacks, sweets etc.]])</f>
        <v>1</v>
      </c>
      <c r="AU253">
        <f>TYPE(All_India_Index_Upto_April23__1[[#This Row],[Food and beverages]])</f>
        <v>1</v>
      </c>
      <c r="AV253">
        <f>TYPE(All_India_Index_Upto_April23__1[[#This Row],[Pan, tobacco and intoxicants]])</f>
        <v>1</v>
      </c>
      <c r="AW253">
        <f>TYPE(All_India_Index_Upto_April23__1[[#This Row],[Clothing]])</f>
        <v>1</v>
      </c>
      <c r="AX253">
        <f>TYPE(All_India_Index_Upto_April23__1[[#This Row],[Footwear]])</f>
        <v>1</v>
      </c>
      <c r="AY253">
        <f>TYPE(All_India_Index_Upto_April23__1[[#This Row],[Clothing and footwear]])</f>
        <v>1</v>
      </c>
      <c r="AZ253">
        <f>TYPE(All_India_Index_Upto_April23__1[[#This Row],[Housing]])</f>
        <v>1</v>
      </c>
      <c r="BA253">
        <f>TYPE(All_India_Index_Upto_April23__1[[#This Row],[Fuel and light]])</f>
        <v>1</v>
      </c>
      <c r="BB253">
        <f>TYPE(All_India_Index_Upto_April23__1[[#This Row],[Household goods and services]])</f>
        <v>1</v>
      </c>
      <c r="BC253">
        <f>TYPE(All_India_Index_Upto_April23__1[[#This Row],[Health]])</f>
        <v>1</v>
      </c>
      <c r="BD253">
        <f>TYPE(All_India_Index_Upto_April23__1[[#This Row],[Transport and communication]])</f>
        <v>1</v>
      </c>
      <c r="BE253">
        <f>TYPE(All_India_Index_Upto_April23__1[[#This Row],[Recreation and amusement]])</f>
        <v>1</v>
      </c>
      <c r="BF253">
        <f>TYPE(All_India_Index_Upto_April23__1[[#This Row],[Education]])</f>
        <v>1</v>
      </c>
      <c r="BG253">
        <f>TYPE(All_India_Index_Upto_April23__1[[#This Row],[Personal care and effects]])</f>
        <v>1</v>
      </c>
      <c r="BH253">
        <f>TYPE(All_India_Index_Upto_April23__1[[#This Row],[Miscellaneous]])</f>
        <v>1</v>
      </c>
      <c r="BI253">
        <f>TYPE(All_India_Index_Upto_April23__1[[#This Row],[General index]])</f>
        <v>1</v>
      </c>
    </row>
    <row r="254" spans="1:61" x14ac:dyDescent="0.3">
      <c r="A254" t="s">
        <v>30</v>
      </c>
      <c r="B254">
        <v>2020</v>
      </c>
      <c r="C254" t="s">
        <v>34</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v>0</v>
      </c>
      <c r="V254">
        <v>152.30000000000001</v>
      </c>
      <c r="W254">
        <v>151.80000000000001</v>
      </c>
      <c r="X254">
        <v>156.19999999999999</v>
      </c>
      <c r="Y254">
        <v>136</v>
      </c>
      <c r="Z254">
        <v>150.4</v>
      </c>
      <c r="AA254">
        <v>161.9</v>
      </c>
      <c r="AB254">
        <v>143.4</v>
      </c>
      <c r="AC254">
        <v>148.4</v>
      </c>
      <c r="AD254">
        <v>150.4</v>
      </c>
      <c r="AF254">
        <f>TYPE(All_India_Index_Upto_April23__1[[#This Row],[Sector]])</f>
        <v>2</v>
      </c>
      <c r="AG254">
        <f>TYPE(All_India_Index_Upto_April23__1[[#This Row],[Year]])</f>
        <v>1</v>
      </c>
      <c r="AH254">
        <f>TYPE(All_India_Index_Upto_April23__1[[#This Row],[Month]])</f>
        <v>2</v>
      </c>
      <c r="AI254">
        <f>TYPE(All_India_Index_Upto_April23__1[[#This Row],[Cereals and products]])</f>
        <v>1</v>
      </c>
      <c r="AJ254">
        <f>TYPE(All_India_Index_Upto_April23__1[[#This Row],[Meat and fish]])</f>
        <v>1</v>
      </c>
      <c r="AK254">
        <f>TYPE(All_India_Index_Upto_April23__1[[#This Row],[Egg]])</f>
        <v>1</v>
      </c>
      <c r="AL254">
        <f>TYPE(All_India_Index_Upto_April23__1[[#This Row],[Milk and products]])</f>
        <v>1</v>
      </c>
      <c r="AM254">
        <f>TYPE(All_India_Index_Upto_April23__1[[#This Row],[Oils and fats]])</f>
        <v>1</v>
      </c>
      <c r="AN254">
        <f>TYPE(All_India_Index_Upto_April23__1[[#This Row],[Fruits]])</f>
        <v>1</v>
      </c>
      <c r="AO254">
        <f>TYPE(All_India_Index_Upto_April23__1[[#This Row],[Vegetables]])</f>
        <v>1</v>
      </c>
      <c r="AP254">
        <f>TYPE(All_India_Index_Upto_April23__1[[#This Row],[Pulses and products]])</f>
        <v>1</v>
      </c>
      <c r="AQ254">
        <f>TYPE(All_India_Index_Upto_April23__1[[#This Row],[Sugar and Confectionery]])</f>
        <v>1</v>
      </c>
      <c r="AR254">
        <f>TYPE(All_India_Index_Upto_April23__1[[#This Row],[Spices]])</f>
        <v>1</v>
      </c>
      <c r="AS254">
        <f>TYPE(All_India_Index_Upto_April23__1[[#This Row],[Non-alcoholic beverages]])</f>
        <v>1</v>
      </c>
      <c r="AT254">
        <f>TYPE(All_India_Index_Upto_April23__1[[#This Row],[Prepared meals, snacks, sweets etc.]])</f>
        <v>1</v>
      </c>
      <c r="AU254">
        <f>TYPE(All_India_Index_Upto_April23__1[[#This Row],[Food and beverages]])</f>
        <v>1</v>
      </c>
      <c r="AV254">
        <f>TYPE(All_India_Index_Upto_April23__1[[#This Row],[Pan, tobacco and intoxicants]])</f>
        <v>1</v>
      </c>
      <c r="AW254">
        <f>TYPE(All_India_Index_Upto_April23__1[[#This Row],[Clothing]])</f>
        <v>1</v>
      </c>
      <c r="AX254">
        <f>TYPE(All_India_Index_Upto_April23__1[[#This Row],[Footwear]])</f>
        <v>1</v>
      </c>
      <c r="AY254">
        <f>TYPE(All_India_Index_Upto_April23__1[[#This Row],[Clothing and footwear]])</f>
        <v>1</v>
      </c>
      <c r="AZ254">
        <f>TYPE(All_India_Index_Upto_April23__1[[#This Row],[Housing]])</f>
        <v>1</v>
      </c>
      <c r="BA254">
        <f>TYPE(All_India_Index_Upto_April23__1[[#This Row],[Fuel and light]])</f>
        <v>1</v>
      </c>
      <c r="BB254">
        <f>TYPE(All_India_Index_Upto_April23__1[[#This Row],[Household goods and services]])</f>
        <v>1</v>
      </c>
      <c r="BC254">
        <f>TYPE(All_India_Index_Upto_April23__1[[#This Row],[Health]])</f>
        <v>1</v>
      </c>
      <c r="BD254">
        <f>TYPE(All_India_Index_Upto_April23__1[[#This Row],[Transport and communication]])</f>
        <v>1</v>
      </c>
      <c r="BE254">
        <f>TYPE(All_India_Index_Upto_April23__1[[#This Row],[Recreation and amusement]])</f>
        <v>1</v>
      </c>
      <c r="BF254">
        <f>TYPE(All_India_Index_Upto_April23__1[[#This Row],[Education]])</f>
        <v>1</v>
      </c>
      <c r="BG254">
        <f>TYPE(All_India_Index_Upto_April23__1[[#This Row],[Personal care and effects]])</f>
        <v>1</v>
      </c>
      <c r="BH254">
        <f>TYPE(All_India_Index_Upto_April23__1[[#This Row],[Miscellaneous]])</f>
        <v>1</v>
      </c>
      <c r="BI254">
        <f>TYPE(All_India_Index_Upto_April23__1[[#This Row],[General index]])</f>
        <v>1</v>
      </c>
    </row>
    <row r="255" spans="1:61" x14ac:dyDescent="0.3">
      <c r="A255" t="s">
        <v>32</v>
      </c>
      <c r="B255">
        <v>2020</v>
      </c>
      <c r="C255" t="s">
        <v>34</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c r="AF255">
        <f>TYPE(All_India_Index_Upto_April23__1[[#This Row],[Sector]])</f>
        <v>2</v>
      </c>
      <c r="AG255">
        <f>TYPE(All_India_Index_Upto_April23__1[[#This Row],[Year]])</f>
        <v>1</v>
      </c>
      <c r="AH255">
        <f>TYPE(All_India_Index_Upto_April23__1[[#This Row],[Month]])</f>
        <v>2</v>
      </c>
      <c r="AI255">
        <f>TYPE(All_India_Index_Upto_April23__1[[#This Row],[Cereals and products]])</f>
        <v>1</v>
      </c>
      <c r="AJ255">
        <f>TYPE(All_India_Index_Upto_April23__1[[#This Row],[Meat and fish]])</f>
        <v>1</v>
      </c>
      <c r="AK255">
        <f>TYPE(All_India_Index_Upto_April23__1[[#This Row],[Egg]])</f>
        <v>1</v>
      </c>
      <c r="AL255">
        <f>TYPE(All_India_Index_Upto_April23__1[[#This Row],[Milk and products]])</f>
        <v>1</v>
      </c>
      <c r="AM255">
        <f>TYPE(All_India_Index_Upto_April23__1[[#This Row],[Oils and fats]])</f>
        <v>1</v>
      </c>
      <c r="AN255">
        <f>TYPE(All_India_Index_Upto_April23__1[[#This Row],[Fruits]])</f>
        <v>1</v>
      </c>
      <c r="AO255">
        <f>TYPE(All_India_Index_Upto_April23__1[[#This Row],[Vegetables]])</f>
        <v>1</v>
      </c>
      <c r="AP255">
        <f>TYPE(All_India_Index_Upto_April23__1[[#This Row],[Pulses and products]])</f>
        <v>1</v>
      </c>
      <c r="AQ255">
        <f>TYPE(All_India_Index_Upto_April23__1[[#This Row],[Sugar and Confectionery]])</f>
        <v>1</v>
      </c>
      <c r="AR255">
        <f>TYPE(All_India_Index_Upto_April23__1[[#This Row],[Spices]])</f>
        <v>1</v>
      </c>
      <c r="AS255">
        <f>TYPE(All_India_Index_Upto_April23__1[[#This Row],[Non-alcoholic beverages]])</f>
        <v>1</v>
      </c>
      <c r="AT255">
        <f>TYPE(All_India_Index_Upto_April23__1[[#This Row],[Prepared meals, snacks, sweets etc.]])</f>
        <v>1</v>
      </c>
      <c r="AU255">
        <f>TYPE(All_India_Index_Upto_April23__1[[#This Row],[Food and beverages]])</f>
        <v>1</v>
      </c>
      <c r="AV255">
        <f>TYPE(All_India_Index_Upto_April23__1[[#This Row],[Pan, tobacco and intoxicants]])</f>
        <v>1</v>
      </c>
      <c r="AW255">
        <f>TYPE(All_India_Index_Upto_April23__1[[#This Row],[Clothing]])</f>
        <v>1</v>
      </c>
      <c r="AX255">
        <f>TYPE(All_India_Index_Upto_April23__1[[#This Row],[Footwear]])</f>
        <v>1</v>
      </c>
      <c r="AY255">
        <f>TYPE(All_India_Index_Upto_April23__1[[#This Row],[Clothing and footwear]])</f>
        <v>1</v>
      </c>
      <c r="AZ255">
        <f>TYPE(All_India_Index_Upto_April23__1[[#This Row],[Housing]])</f>
        <v>1</v>
      </c>
      <c r="BA255">
        <f>TYPE(All_India_Index_Upto_April23__1[[#This Row],[Fuel and light]])</f>
        <v>1</v>
      </c>
      <c r="BB255">
        <f>TYPE(All_India_Index_Upto_April23__1[[#This Row],[Household goods and services]])</f>
        <v>1</v>
      </c>
      <c r="BC255">
        <f>TYPE(All_India_Index_Upto_April23__1[[#This Row],[Health]])</f>
        <v>1</v>
      </c>
      <c r="BD255">
        <f>TYPE(All_India_Index_Upto_April23__1[[#This Row],[Transport and communication]])</f>
        <v>1</v>
      </c>
      <c r="BE255">
        <f>TYPE(All_India_Index_Upto_April23__1[[#This Row],[Recreation and amusement]])</f>
        <v>1</v>
      </c>
      <c r="BF255">
        <f>TYPE(All_India_Index_Upto_April23__1[[#This Row],[Education]])</f>
        <v>1</v>
      </c>
      <c r="BG255">
        <f>TYPE(All_India_Index_Upto_April23__1[[#This Row],[Personal care and effects]])</f>
        <v>1</v>
      </c>
      <c r="BH255">
        <f>TYPE(All_India_Index_Upto_April23__1[[#This Row],[Miscellaneous]])</f>
        <v>1</v>
      </c>
      <c r="BI255">
        <f>TYPE(All_India_Index_Upto_April23__1[[#This Row],[General index]])</f>
        <v>1</v>
      </c>
    </row>
    <row r="256" spans="1:61" x14ac:dyDescent="0.3">
      <c r="A256" t="s">
        <v>33</v>
      </c>
      <c r="B256">
        <v>2020</v>
      </c>
      <c r="C256" t="s">
        <v>34</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c r="AF256">
        <f>TYPE(All_India_Index_Upto_April23__1[[#This Row],[Sector]])</f>
        <v>2</v>
      </c>
      <c r="AG256">
        <f>TYPE(All_India_Index_Upto_April23__1[[#This Row],[Year]])</f>
        <v>1</v>
      </c>
      <c r="AH256">
        <f>TYPE(All_India_Index_Upto_April23__1[[#This Row],[Month]])</f>
        <v>2</v>
      </c>
      <c r="AI256">
        <f>TYPE(All_India_Index_Upto_April23__1[[#This Row],[Cereals and products]])</f>
        <v>1</v>
      </c>
      <c r="AJ256">
        <f>TYPE(All_India_Index_Upto_April23__1[[#This Row],[Meat and fish]])</f>
        <v>1</v>
      </c>
      <c r="AK256">
        <f>TYPE(All_India_Index_Upto_April23__1[[#This Row],[Egg]])</f>
        <v>1</v>
      </c>
      <c r="AL256">
        <f>TYPE(All_India_Index_Upto_April23__1[[#This Row],[Milk and products]])</f>
        <v>1</v>
      </c>
      <c r="AM256">
        <f>TYPE(All_India_Index_Upto_April23__1[[#This Row],[Oils and fats]])</f>
        <v>1</v>
      </c>
      <c r="AN256">
        <f>TYPE(All_India_Index_Upto_April23__1[[#This Row],[Fruits]])</f>
        <v>1</v>
      </c>
      <c r="AO256">
        <f>TYPE(All_India_Index_Upto_April23__1[[#This Row],[Vegetables]])</f>
        <v>1</v>
      </c>
      <c r="AP256">
        <f>TYPE(All_India_Index_Upto_April23__1[[#This Row],[Pulses and products]])</f>
        <v>1</v>
      </c>
      <c r="AQ256">
        <f>TYPE(All_India_Index_Upto_April23__1[[#This Row],[Sugar and Confectionery]])</f>
        <v>1</v>
      </c>
      <c r="AR256">
        <f>TYPE(All_India_Index_Upto_April23__1[[#This Row],[Spices]])</f>
        <v>1</v>
      </c>
      <c r="AS256">
        <f>TYPE(All_India_Index_Upto_April23__1[[#This Row],[Non-alcoholic beverages]])</f>
        <v>1</v>
      </c>
      <c r="AT256">
        <f>TYPE(All_India_Index_Upto_April23__1[[#This Row],[Prepared meals, snacks, sweets etc.]])</f>
        <v>1</v>
      </c>
      <c r="AU256">
        <f>TYPE(All_India_Index_Upto_April23__1[[#This Row],[Food and beverages]])</f>
        <v>1</v>
      </c>
      <c r="AV256">
        <f>TYPE(All_India_Index_Upto_April23__1[[#This Row],[Pan, tobacco and intoxicants]])</f>
        <v>1</v>
      </c>
      <c r="AW256">
        <f>TYPE(All_India_Index_Upto_April23__1[[#This Row],[Clothing]])</f>
        <v>1</v>
      </c>
      <c r="AX256">
        <f>TYPE(All_India_Index_Upto_April23__1[[#This Row],[Footwear]])</f>
        <v>1</v>
      </c>
      <c r="AY256">
        <f>TYPE(All_India_Index_Upto_April23__1[[#This Row],[Clothing and footwear]])</f>
        <v>1</v>
      </c>
      <c r="AZ256">
        <f>TYPE(All_India_Index_Upto_April23__1[[#This Row],[Housing]])</f>
        <v>1</v>
      </c>
      <c r="BA256">
        <f>TYPE(All_India_Index_Upto_April23__1[[#This Row],[Fuel and light]])</f>
        <v>1</v>
      </c>
      <c r="BB256">
        <f>TYPE(All_India_Index_Upto_April23__1[[#This Row],[Household goods and services]])</f>
        <v>1</v>
      </c>
      <c r="BC256">
        <f>TYPE(All_India_Index_Upto_April23__1[[#This Row],[Health]])</f>
        <v>1</v>
      </c>
      <c r="BD256">
        <f>TYPE(All_India_Index_Upto_April23__1[[#This Row],[Transport and communication]])</f>
        <v>1</v>
      </c>
      <c r="BE256">
        <f>TYPE(All_India_Index_Upto_April23__1[[#This Row],[Recreation and amusement]])</f>
        <v>1</v>
      </c>
      <c r="BF256">
        <f>TYPE(All_India_Index_Upto_April23__1[[#This Row],[Education]])</f>
        <v>1</v>
      </c>
      <c r="BG256">
        <f>TYPE(All_India_Index_Upto_April23__1[[#This Row],[Personal care and effects]])</f>
        <v>1</v>
      </c>
      <c r="BH256">
        <f>TYPE(All_India_Index_Upto_April23__1[[#This Row],[Miscellaneous]])</f>
        <v>1</v>
      </c>
      <c r="BI256">
        <f>TYPE(All_India_Index_Upto_April23__1[[#This Row],[General index]])</f>
        <v>1</v>
      </c>
    </row>
    <row r="257" spans="1:61" x14ac:dyDescent="0.3">
      <c r="A257" t="s">
        <v>30</v>
      </c>
      <c r="B257">
        <v>2020</v>
      </c>
      <c r="C257" t="s">
        <v>35</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v>0</v>
      </c>
      <c r="V257">
        <v>153.4</v>
      </c>
      <c r="W257">
        <v>151.5</v>
      </c>
      <c r="X257">
        <v>156.69999999999999</v>
      </c>
      <c r="Y257">
        <v>135.80000000000001</v>
      </c>
      <c r="Z257">
        <v>151.19999999999999</v>
      </c>
      <c r="AA257">
        <v>161.19999999999999</v>
      </c>
      <c r="AB257">
        <v>145.1</v>
      </c>
      <c r="AC257">
        <v>148.6</v>
      </c>
      <c r="AD257">
        <v>149.80000000000001</v>
      </c>
      <c r="AF257">
        <f>TYPE(All_India_Index_Upto_April23__1[[#This Row],[Sector]])</f>
        <v>2</v>
      </c>
      <c r="AG257">
        <f>TYPE(All_India_Index_Upto_April23__1[[#This Row],[Year]])</f>
        <v>1</v>
      </c>
      <c r="AH257">
        <f>TYPE(All_India_Index_Upto_April23__1[[#This Row],[Month]])</f>
        <v>2</v>
      </c>
      <c r="AI257">
        <f>TYPE(All_India_Index_Upto_April23__1[[#This Row],[Cereals and products]])</f>
        <v>1</v>
      </c>
      <c r="AJ257">
        <f>TYPE(All_India_Index_Upto_April23__1[[#This Row],[Meat and fish]])</f>
        <v>1</v>
      </c>
      <c r="AK257">
        <f>TYPE(All_India_Index_Upto_April23__1[[#This Row],[Egg]])</f>
        <v>1</v>
      </c>
      <c r="AL257">
        <f>TYPE(All_India_Index_Upto_April23__1[[#This Row],[Milk and products]])</f>
        <v>1</v>
      </c>
      <c r="AM257">
        <f>TYPE(All_India_Index_Upto_April23__1[[#This Row],[Oils and fats]])</f>
        <v>1</v>
      </c>
      <c r="AN257">
        <f>TYPE(All_India_Index_Upto_April23__1[[#This Row],[Fruits]])</f>
        <v>1</v>
      </c>
      <c r="AO257">
        <f>TYPE(All_India_Index_Upto_April23__1[[#This Row],[Vegetables]])</f>
        <v>1</v>
      </c>
      <c r="AP257">
        <f>TYPE(All_India_Index_Upto_April23__1[[#This Row],[Pulses and products]])</f>
        <v>1</v>
      </c>
      <c r="AQ257">
        <f>TYPE(All_India_Index_Upto_April23__1[[#This Row],[Sugar and Confectionery]])</f>
        <v>1</v>
      </c>
      <c r="AR257">
        <f>TYPE(All_India_Index_Upto_April23__1[[#This Row],[Spices]])</f>
        <v>1</v>
      </c>
      <c r="AS257">
        <f>TYPE(All_India_Index_Upto_April23__1[[#This Row],[Non-alcoholic beverages]])</f>
        <v>1</v>
      </c>
      <c r="AT257">
        <f>TYPE(All_India_Index_Upto_April23__1[[#This Row],[Prepared meals, snacks, sweets etc.]])</f>
        <v>1</v>
      </c>
      <c r="AU257">
        <f>TYPE(All_India_Index_Upto_April23__1[[#This Row],[Food and beverages]])</f>
        <v>1</v>
      </c>
      <c r="AV257">
        <f>TYPE(All_India_Index_Upto_April23__1[[#This Row],[Pan, tobacco and intoxicants]])</f>
        <v>1</v>
      </c>
      <c r="AW257">
        <f>TYPE(All_India_Index_Upto_April23__1[[#This Row],[Clothing]])</f>
        <v>1</v>
      </c>
      <c r="AX257">
        <f>TYPE(All_India_Index_Upto_April23__1[[#This Row],[Footwear]])</f>
        <v>1</v>
      </c>
      <c r="AY257">
        <f>TYPE(All_India_Index_Upto_April23__1[[#This Row],[Clothing and footwear]])</f>
        <v>1</v>
      </c>
      <c r="AZ257">
        <f>TYPE(All_India_Index_Upto_April23__1[[#This Row],[Housing]])</f>
        <v>1</v>
      </c>
      <c r="BA257">
        <f>TYPE(All_India_Index_Upto_April23__1[[#This Row],[Fuel and light]])</f>
        <v>1</v>
      </c>
      <c r="BB257">
        <f>TYPE(All_India_Index_Upto_April23__1[[#This Row],[Household goods and services]])</f>
        <v>1</v>
      </c>
      <c r="BC257">
        <f>TYPE(All_India_Index_Upto_April23__1[[#This Row],[Health]])</f>
        <v>1</v>
      </c>
      <c r="BD257">
        <f>TYPE(All_India_Index_Upto_April23__1[[#This Row],[Transport and communication]])</f>
        <v>1</v>
      </c>
      <c r="BE257">
        <f>TYPE(All_India_Index_Upto_April23__1[[#This Row],[Recreation and amusement]])</f>
        <v>1</v>
      </c>
      <c r="BF257">
        <f>TYPE(All_India_Index_Upto_April23__1[[#This Row],[Education]])</f>
        <v>1</v>
      </c>
      <c r="BG257">
        <f>TYPE(All_India_Index_Upto_April23__1[[#This Row],[Personal care and effects]])</f>
        <v>1</v>
      </c>
      <c r="BH257">
        <f>TYPE(All_India_Index_Upto_April23__1[[#This Row],[Miscellaneous]])</f>
        <v>1</v>
      </c>
      <c r="BI257">
        <f>TYPE(All_India_Index_Upto_April23__1[[#This Row],[General index]])</f>
        <v>1</v>
      </c>
    </row>
    <row r="258" spans="1:61" x14ac:dyDescent="0.3">
      <c r="A258" t="s">
        <v>32</v>
      </c>
      <c r="B258">
        <v>2020</v>
      </c>
      <c r="C258" t="s">
        <v>35</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c r="AF258">
        <f>TYPE(All_India_Index_Upto_April23__1[[#This Row],[Sector]])</f>
        <v>2</v>
      </c>
      <c r="AG258">
        <f>TYPE(All_India_Index_Upto_April23__1[[#This Row],[Year]])</f>
        <v>1</v>
      </c>
      <c r="AH258">
        <f>TYPE(All_India_Index_Upto_April23__1[[#This Row],[Month]])</f>
        <v>2</v>
      </c>
      <c r="AI258">
        <f>TYPE(All_India_Index_Upto_April23__1[[#This Row],[Cereals and products]])</f>
        <v>1</v>
      </c>
      <c r="AJ258">
        <f>TYPE(All_India_Index_Upto_April23__1[[#This Row],[Meat and fish]])</f>
        <v>1</v>
      </c>
      <c r="AK258">
        <f>TYPE(All_India_Index_Upto_April23__1[[#This Row],[Egg]])</f>
        <v>1</v>
      </c>
      <c r="AL258">
        <f>TYPE(All_India_Index_Upto_April23__1[[#This Row],[Milk and products]])</f>
        <v>1</v>
      </c>
      <c r="AM258">
        <f>TYPE(All_India_Index_Upto_April23__1[[#This Row],[Oils and fats]])</f>
        <v>1</v>
      </c>
      <c r="AN258">
        <f>TYPE(All_India_Index_Upto_April23__1[[#This Row],[Fruits]])</f>
        <v>1</v>
      </c>
      <c r="AO258">
        <f>TYPE(All_India_Index_Upto_April23__1[[#This Row],[Vegetables]])</f>
        <v>1</v>
      </c>
      <c r="AP258">
        <f>TYPE(All_India_Index_Upto_April23__1[[#This Row],[Pulses and products]])</f>
        <v>1</v>
      </c>
      <c r="AQ258">
        <f>TYPE(All_India_Index_Upto_April23__1[[#This Row],[Sugar and Confectionery]])</f>
        <v>1</v>
      </c>
      <c r="AR258">
        <f>TYPE(All_India_Index_Upto_April23__1[[#This Row],[Spices]])</f>
        <v>1</v>
      </c>
      <c r="AS258">
        <f>TYPE(All_India_Index_Upto_April23__1[[#This Row],[Non-alcoholic beverages]])</f>
        <v>1</v>
      </c>
      <c r="AT258">
        <f>TYPE(All_India_Index_Upto_April23__1[[#This Row],[Prepared meals, snacks, sweets etc.]])</f>
        <v>1</v>
      </c>
      <c r="AU258">
        <f>TYPE(All_India_Index_Upto_April23__1[[#This Row],[Food and beverages]])</f>
        <v>1</v>
      </c>
      <c r="AV258">
        <f>TYPE(All_India_Index_Upto_April23__1[[#This Row],[Pan, tobacco and intoxicants]])</f>
        <v>1</v>
      </c>
      <c r="AW258">
        <f>TYPE(All_India_Index_Upto_April23__1[[#This Row],[Clothing]])</f>
        <v>1</v>
      </c>
      <c r="AX258">
        <f>TYPE(All_India_Index_Upto_April23__1[[#This Row],[Footwear]])</f>
        <v>1</v>
      </c>
      <c r="AY258">
        <f>TYPE(All_India_Index_Upto_April23__1[[#This Row],[Clothing and footwear]])</f>
        <v>1</v>
      </c>
      <c r="AZ258">
        <f>TYPE(All_India_Index_Upto_April23__1[[#This Row],[Housing]])</f>
        <v>1</v>
      </c>
      <c r="BA258">
        <f>TYPE(All_India_Index_Upto_April23__1[[#This Row],[Fuel and light]])</f>
        <v>1</v>
      </c>
      <c r="BB258">
        <f>TYPE(All_India_Index_Upto_April23__1[[#This Row],[Household goods and services]])</f>
        <v>1</v>
      </c>
      <c r="BC258">
        <f>TYPE(All_India_Index_Upto_April23__1[[#This Row],[Health]])</f>
        <v>1</v>
      </c>
      <c r="BD258">
        <f>TYPE(All_India_Index_Upto_April23__1[[#This Row],[Transport and communication]])</f>
        <v>1</v>
      </c>
      <c r="BE258">
        <f>TYPE(All_India_Index_Upto_April23__1[[#This Row],[Recreation and amusement]])</f>
        <v>1</v>
      </c>
      <c r="BF258">
        <f>TYPE(All_India_Index_Upto_April23__1[[#This Row],[Education]])</f>
        <v>1</v>
      </c>
      <c r="BG258">
        <f>TYPE(All_India_Index_Upto_April23__1[[#This Row],[Personal care and effects]])</f>
        <v>1</v>
      </c>
      <c r="BH258">
        <f>TYPE(All_India_Index_Upto_April23__1[[#This Row],[Miscellaneous]])</f>
        <v>1</v>
      </c>
      <c r="BI258">
        <f>TYPE(All_India_Index_Upto_April23__1[[#This Row],[General index]])</f>
        <v>1</v>
      </c>
    </row>
    <row r="259" spans="1:61" x14ac:dyDescent="0.3">
      <c r="A259" t="s">
        <v>33</v>
      </c>
      <c r="B259">
        <v>2020</v>
      </c>
      <c r="C259" t="s">
        <v>35</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c r="AF259">
        <f>TYPE(All_India_Index_Upto_April23__1[[#This Row],[Sector]])</f>
        <v>2</v>
      </c>
      <c r="AG259">
        <f>TYPE(All_India_Index_Upto_April23__1[[#This Row],[Year]])</f>
        <v>1</v>
      </c>
      <c r="AH259">
        <f>TYPE(All_India_Index_Upto_April23__1[[#This Row],[Month]])</f>
        <v>2</v>
      </c>
      <c r="AI259">
        <f>TYPE(All_India_Index_Upto_April23__1[[#This Row],[Cereals and products]])</f>
        <v>1</v>
      </c>
      <c r="AJ259">
        <f>TYPE(All_India_Index_Upto_April23__1[[#This Row],[Meat and fish]])</f>
        <v>1</v>
      </c>
      <c r="AK259">
        <f>TYPE(All_India_Index_Upto_April23__1[[#This Row],[Egg]])</f>
        <v>1</v>
      </c>
      <c r="AL259">
        <f>TYPE(All_India_Index_Upto_April23__1[[#This Row],[Milk and products]])</f>
        <v>1</v>
      </c>
      <c r="AM259">
        <f>TYPE(All_India_Index_Upto_April23__1[[#This Row],[Oils and fats]])</f>
        <v>1</v>
      </c>
      <c r="AN259">
        <f>TYPE(All_India_Index_Upto_April23__1[[#This Row],[Fruits]])</f>
        <v>1</v>
      </c>
      <c r="AO259">
        <f>TYPE(All_India_Index_Upto_April23__1[[#This Row],[Vegetables]])</f>
        <v>1</v>
      </c>
      <c r="AP259">
        <f>TYPE(All_India_Index_Upto_April23__1[[#This Row],[Pulses and products]])</f>
        <v>1</v>
      </c>
      <c r="AQ259">
        <f>TYPE(All_India_Index_Upto_April23__1[[#This Row],[Sugar and Confectionery]])</f>
        <v>1</v>
      </c>
      <c r="AR259">
        <f>TYPE(All_India_Index_Upto_April23__1[[#This Row],[Spices]])</f>
        <v>1</v>
      </c>
      <c r="AS259">
        <f>TYPE(All_India_Index_Upto_April23__1[[#This Row],[Non-alcoholic beverages]])</f>
        <v>1</v>
      </c>
      <c r="AT259">
        <f>TYPE(All_India_Index_Upto_April23__1[[#This Row],[Prepared meals, snacks, sweets etc.]])</f>
        <v>1</v>
      </c>
      <c r="AU259">
        <f>TYPE(All_India_Index_Upto_April23__1[[#This Row],[Food and beverages]])</f>
        <v>1</v>
      </c>
      <c r="AV259">
        <f>TYPE(All_India_Index_Upto_April23__1[[#This Row],[Pan, tobacco and intoxicants]])</f>
        <v>1</v>
      </c>
      <c r="AW259">
        <f>TYPE(All_India_Index_Upto_April23__1[[#This Row],[Clothing]])</f>
        <v>1</v>
      </c>
      <c r="AX259">
        <f>TYPE(All_India_Index_Upto_April23__1[[#This Row],[Footwear]])</f>
        <v>1</v>
      </c>
      <c r="AY259">
        <f>TYPE(All_India_Index_Upto_April23__1[[#This Row],[Clothing and footwear]])</f>
        <v>1</v>
      </c>
      <c r="AZ259">
        <f>TYPE(All_India_Index_Upto_April23__1[[#This Row],[Housing]])</f>
        <v>1</v>
      </c>
      <c r="BA259">
        <f>TYPE(All_India_Index_Upto_April23__1[[#This Row],[Fuel and light]])</f>
        <v>1</v>
      </c>
      <c r="BB259">
        <f>TYPE(All_India_Index_Upto_April23__1[[#This Row],[Household goods and services]])</f>
        <v>1</v>
      </c>
      <c r="BC259">
        <f>TYPE(All_India_Index_Upto_April23__1[[#This Row],[Health]])</f>
        <v>1</v>
      </c>
      <c r="BD259">
        <f>TYPE(All_India_Index_Upto_April23__1[[#This Row],[Transport and communication]])</f>
        <v>1</v>
      </c>
      <c r="BE259">
        <f>TYPE(All_India_Index_Upto_April23__1[[#This Row],[Recreation and amusement]])</f>
        <v>1</v>
      </c>
      <c r="BF259">
        <f>TYPE(All_India_Index_Upto_April23__1[[#This Row],[Education]])</f>
        <v>1</v>
      </c>
      <c r="BG259">
        <f>TYPE(All_India_Index_Upto_April23__1[[#This Row],[Personal care and effects]])</f>
        <v>1</v>
      </c>
      <c r="BH259">
        <f>TYPE(All_India_Index_Upto_April23__1[[#This Row],[Miscellaneous]])</f>
        <v>1</v>
      </c>
      <c r="BI259">
        <f>TYPE(All_India_Index_Upto_April23__1[[#This Row],[General index]])</f>
        <v>1</v>
      </c>
    </row>
    <row r="260" spans="1:61" x14ac:dyDescent="0.3">
      <c r="A260" t="s">
        <v>30</v>
      </c>
      <c r="B260">
        <v>2020</v>
      </c>
      <c r="C260" t="s">
        <v>36</v>
      </c>
      <c r="D260">
        <v>147.19999999999999</v>
      </c>
      <c r="E260">
        <v>166.8</v>
      </c>
      <c r="F260">
        <v>146.9</v>
      </c>
      <c r="G260">
        <v>155.6</v>
      </c>
      <c r="H260">
        <v>137.1</v>
      </c>
      <c r="I260">
        <v>147.30000000000001</v>
      </c>
      <c r="J260">
        <v>162.69999999999999</v>
      </c>
      <c r="K260">
        <v>150.19999999999999</v>
      </c>
      <c r="L260">
        <v>119.8</v>
      </c>
      <c r="M260">
        <v>158.69999999999999</v>
      </c>
      <c r="N260">
        <v>139.19999999999999</v>
      </c>
      <c r="O260">
        <v>160</v>
      </c>
      <c r="P260">
        <v>150.1</v>
      </c>
      <c r="Q260">
        <v>170.5</v>
      </c>
      <c r="R260">
        <v>153.4</v>
      </c>
      <c r="S260">
        <v>147.6</v>
      </c>
      <c r="T260">
        <v>152.5</v>
      </c>
      <c r="U260">
        <v>0</v>
      </c>
      <c r="V260">
        <v>148.4</v>
      </c>
      <c r="W260">
        <v>151.5</v>
      </c>
      <c r="X260">
        <v>154.30000000000001</v>
      </c>
      <c r="Y260">
        <v>135.80000000000001</v>
      </c>
      <c r="Z260">
        <v>151.19999999999999</v>
      </c>
      <c r="AA260">
        <v>161.19999999999999</v>
      </c>
      <c r="AB260">
        <v>145.1</v>
      </c>
      <c r="AC260">
        <v>148.6</v>
      </c>
      <c r="AD260">
        <v>149.80000000000001</v>
      </c>
    </row>
    <row r="261" spans="1:61" x14ac:dyDescent="0.3">
      <c r="A261" t="s">
        <v>32</v>
      </c>
      <c r="B261">
        <v>2020</v>
      </c>
      <c r="C261" t="s">
        <v>36</v>
      </c>
      <c r="D261">
        <v>151.80000000000001</v>
      </c>
      <c r="E261">
        <v>167.5</v>
      </c>
      <c r="F261">
        <v>151.9</v>
      </c>
      <c r="G261">
        <v>155.5</v>
      </c>
      <c r="H261">
        <v>131.6</v>
      </c>
      <c r="I261">
        <v>152.9</v>
      </c>
      <c r="J261">
        <v>180</v>
      </c>
      <c r="K261">
        <v>150.80000000000001</v>
      </c>
      <c r="L261">
        <v>121.2</v>
      </c>
      <c r="M261">
        <v>154</v>
      </c>
      <c r="N261">
        <v>133.5</v>
      </c>
      <c r="O261">
        <v>159.1</v>
      </c>
      <c r="P261">
        <v>153.5</v>
      </c>
      <c r="Q261">
        <v>173.3</v>
      </c>
      <c r="R261">
        <v>147.69999999999999</v>
      </c>
      <c r="S261">
        <v>133.80000000000001</v>
      </c>
      <c r="T261">
        <v>145.6</v>
      </c>
      <c r="U261">
        <v>155.6</v>
      </c>
      <c r="V261">
        <v>137.1</v>
      </c>
      <c r="W261">
        <v>140.80000000000001</v>
      </c>
      <c r="X261">
        <v>144.80000000000001</v>
      </c>
      <c r="Y261">
        <v>124.6</v>
      </c>
      <c r="Z261">
        <v>137.9</v>
      </c>
      <c r="AA261">
        <v>152.5</v>
      </c>
      <c r="AB261">
        <v>145.30000000000001</v>
      </c>
      <c r="AC261">
        <v>138.69999999999999</v>
      </c>
      <c r="AD261">
        <v>147.30000000000001</v>
      </c>
    </row>
    <row r="262" spans="1:61" x14ac:dyDescent="0.3">
      <c r="A262" t="s">
        <v>33</v>
      </c>
      <c r="B262">
        <v>2020</v>
      </c>
      <c r="C262" t="s">
        <v>36</v>
      </c>
      <c r="D262">
        <v>148.69999999999999</v>
      </c>
      <c r="E262">
        <v>167</v>
      </c>
      <c r="F262">
        <v>148.80000000000001</v>
      </c>
      <c r="G262">
        <v>155.6</v>
      </c>
      <c r="H262">
        <v>135.1</v>
      </c>
      <c r="I262">
        <v>149.9</v>
      </c>
      <c r="J262">
        <v>168.6</v>
      </c>
      <c r="K262">
        <v>150.4</v>
      </c>
      <c r="L262">
        <v>120.3</v>
      </c>
      <c r="M262">
        <v>157.1</v>
      </c>
      <c r="N262">
        <v>136.80000000000001</v>
      </c>
      <c r="O262">
        <v>159.6</v>
      </c>
      <c r="P262">
        <v>151.4</v>
      </c>
      <c r="Q262">
        <v>171.2</v>
      </c>
      <c r="R262">
        <v>151.19999999999999</v>
      </c>
      <c r="S262">
        <v>141.9</v>
      </c>
      <c r="T262">
        <v>149.80000000000001</v>
      </c>
      <c r="U262">
        <v>155.6</v>
      </c>
      <c r="V262">
        <v>144.1</v>
      </c>
      <c r="W262">
        <v>146.4</v>
      </c>
      <c r="X262">
        <v>150.69999999999999</v>
      </c>
      <c r="Y262">
        <v>129.9</v>
      </c>
      <c r="Z262">
        <v>143.69999999999999</v>
      </c>
      <c r="AA262">
        <v>156.1</v>
      </c>
      <c r="AB262">
        <v>145.19999999999999</v>
      </c>
      <c r="AC262">
        <v>143.80000000000001</v>
      </c>
      <c r="AD262">
        <v>148.6</v>
      </c>
    </row>
    <row r="263" spans="1:61" x14ac:dyDescent="0.3">
      <c r="A263" t="s">
        <v>30</v>
      </c>
      <c r="B263">
        <v>2020</v>
      </c>
      <c r="C263" t="s">
        <v>37</v>
      </c>
      <c r="D263">
        <v>147.19999999999999</v>
      </c>
      <c r="E263">
        <v>166.8</v>
      </c>
      <c r="F263">
        <v>146.9</v>
      </c>
      <c r="G263">
        <v>155.6</v>
      </c>
      <c r="H263">
        <v>137.1</v>
      </c>
      <c r="I263">
        <v>147.30000000000001</v>
      </c>
      <c r="J263">
        <v>162.69999999999999</v>
      </c>
      <c r="K263">
        <v>150.19999999999999</v>
      </c>
      <c r="L263">
        <v>119.8</v>
      </c>
      <c r="M263">
        <v>158.69999999999999</v>
      </c>
      <c r="N263">
        <v>139.19999999999999</v>
      </c>
      <c r="O263">
        <v>160</v>
      </c>
      <c r="P263">
        <v>150.1</v>
      </c>
      <c r="Q263">
        <v>170.5</v>
      </c>
      <c r="R263">
        <v>153.4</v>
      </c>
      <c r="S263">
        <v>147.6</v>
      </c>
      <c r="T263">
        <v>152.5</v>
      </c>
      <c r="U263">
        <v>0</v>
      </c>
      <c r="V263">
        <v>148.4</v>
      </c>
      <c r="W263">
        <v>151.5</v>
      </c>
      <c r="X263">
        <v>154.30000000000001</v>
      </c>
      <c r="Y263">
        <v>135.80000000000001</v>
      </c>
      <c r="Z263">
        <v>151.19999999999999</v>
      </c>
      <c r="AA263">
        <v>161.19999999999999</v>
      </c>
      <c r="AB263">
        <v>145.1</v>
      </c>
      <c r="AC263">
        <v>148.6</v>
      </c>
      <c r="AD263">
        <v>149.80000000000001</v>
      </c>
    </row>
    <row r="264" spans="1:61" x14ac:dyDescent="0.3">
      <c r="A264" t="s">
        <v>32</v>
      </c>
      <c r="B264">
        <v>2020</v>
      </c>
      <c r="C264" t="s">
        <v>37</v>
      </c>
      <c r="D264">
        <v>151.80000000000001</v>
      </c>
      <c r="E264">
        <v>167.5</v>
      </c>
      <c r="F264">
        <v>151.9</v>
      </c>
      <c r="G264">
        <v>155.5</v>
      </c>
      <c r="H264">
        <v>131.6</v>
      </c>
      <c r="I264">
        <v>152.9</v>
      </c>
      <c r="J264">
        <v>180</v>
      </c>
      <c r="K264">
        <v>150.80000000000001</v>
      </c>
      <c r="L264">
        <v>121.2</v>
      </c>
      <c r="M264">
        <v>154</v>
      </c>
      <c r="N264">
        <v>133.5</v>
      </c>
      <c r="O264">
        <v>159.1</v>
      </c>
      <c r="P264">
        <v>153.5</v>
      </c>
      <c r="Q264">
        <v>173.3</v>
      </c>
      <c r="R264">
        <v>147.69999999999999</v>
      </c>
      <c r="S264">
        <v>133.80000000000001</v>
      </c>
      <c r="T264">
        <v>145.6</v>
      </c>
      <c r="U264">
        <v>155.6</v>
      </c>
      <c r="V264">
        <v>137.1</v>
      </c>
      <c r="W264">
        <v>140.80000000000001</v>
      </c>
      <c r="X264">
        <v>144.80000000000001</v>
      </c>
      <c r="Y264">
        <v>124.6</v>
      </c>
      <c r="Z264">
        <v>137.9</v>
      </c>
      <c r="AA264">
        <v>152.5</v>
      </c>
      <c r="AB264">
        <v>145.30000000000001</v>
      </c>
      <c r="AC264">
        <v>138.69999999999999</v>
      </c>
      <c r="AD264">
        <v>147.30000000000001</v>
      </c>
    </row>
    <row r="265" spans="1:61" x14ac:dyDescent="0.3">
      <c r="A265" t="s">
        <v>33</v>
      </c>
      <c r="B265">
        <v>2020</v>
      </c>
      <c r="C265" t="s">
        <v>37</v>
      </c>
      <c r="D265">
        <v>148.69999999999999</v>
      </c>
      <c r="E265">
        <v>167</v>
      </c>
      <c r="F265">
        <v>148.80000000000001</v>
      </c>
      <c r="G265">
        <v>155.6</v>
      </c>
      <c r="H265">
        <v>135.1</v>
      </c>
      <c r="I265">
        <v>149.9</v>
      </c>
      <c r="J265">
        <v>168.6</v>
      </c>
      <c r="K265">
        <v>150.4</v>
      </c>
      <c r="L265">
        <v>120.3</v>
      </c>
      <c r="M265">
        <v>157.1</v>
      </c>
      <c r="N265">
        <v>136.80000000000001</v>
      </c>
      <c r="O265">
        <v>159.6</v>
      </c>
      <c r="P265">
        <v>151.4</v>
      </c>
      <c r="Q265">
        <v>171.2</v>
      </c>
      <c r="R265">
        <v>151.19999999999999</v>
      </c>
      <c r="S265">
        <v>141.9</v>
      </c>
      <c r="T265">
        <v>149.80000000000001</v>
      </c>
      <c r="U265">
        <v>155.6</v>
      </c>
      <c r="V265">
        <v>144.1</v>
      </c>
      <c r="W265">
        <v>146.4</v>
      </c>
      <c r="X265">
        <v>150.69999999999999</v>
      </c>
      <c r="Y265">
        <v>129.9</v>
      </c>
      <c r="Z265">
        <v>143.69999999999999</v>
      </c>
      <c r="AA265">
        <v>156.1</v>
      </c>
      <c r="AB265">
        <v>145.19999999999999</v>
      </c>
      <c r="AC265">
        <v>143.80000000000001</v>
      </c>
      <c r="AD265">
        <v>148.6</v>
      </c>
    </row>
    <row r="266" spans="1:61" x14ac:dyDescent="0.3">
      <c r="A266" t="s">
        <v>30</v>
      </c>
      <c r="B266">
        <v>2020</v>
      </c>
      <c r="C266" t="s">
        <v>38</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v>0</v>
      </c>
      <c r="V266">
        <v>144.9</v>
      </c>
      <c r="W266">
        <v>151.69999999999999</v>
      </c>
      <c r="X266">
        <v>158.19999999999999</v>
      </c>
      <c r="Y266">
        <v>141.4</v>
      </c>
      <c r="Z266">
        <v>153.19999999999999</v>
      </c>
      <c r="AA266">
        <v>161.80000000000001</v>
      </c>
      <c r="AB266">
        <v>151.19999999999999</v>
      </c>
      <c r="AC266">
        <v>151.69999999999999</v>
      </c>
      <c r="AD266">
        <v>152.69999999999999</v>
      </c>
    </row>
    <row r="267" spans="1:61" x14ac:dyDescent="0.3">
      <c r="A267" t="s">
        <v>32</v>
      </c>
      <c r="B267">
        <v>2020</v>
      </c>
      <c r="C267" t="s">
        <v>38</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61" x14ac:dyDescent="0.3">
      <c r="A268" t="s">
        <v>33</v>
      </c>
      <c r="B268">
        <v>2020</v>
      </c>
      <c r="C268" t="s">
        <v>38</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61" x14ac:dyDescent="0.3">
      <c r="A269" t="s">
        <v>30</v>
      </c>
      <c r="B269">
        <v>2020</v>
      </c>
      <c r="C269" t="s">
        <v>39</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v>0</v>
      </c>
      <c r="V269">
        <v>144.9</v>
      </c>
      <c r="W269">
        <v>151.69999999999999</v>
      </c>
      <c r="X269">
        <v>158.19999999999999</v>
      </c>
      <c r="Y269">
        <v>141.4</v>
      </c>
      <c r="Z269">
        <v>153.19999999999999</v>
      </c>
      <c r="AA269">
        <v>161.80000000000001</v>
      </c>
      <c r="AB269">
        <v>151.19999999999999</v>
      </c>
      <c r="AC269">
        <v>151.69999999999999</v>
      </c>
      <c r="AD269">
        <v>152.69999999999999</v>
      </c>
    </row>
    <row r="270" spans="1:61" x14ac:dyDescent="0.3">
      <c r="A270" t="s">
        <v>32</v>
      </c>
      <c r="B270">
        <v>2020</v>
      </c>
      <c r="C270" t="s">
        <v>39</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61" x14ac:dyDescent="0.3">
      <c r="A271" t="s">
        <v>33</v>
      </c>
      <c r="B271">
        <v>2020</v>
      </c>
      <c r="C271" t="s">
        <v>39</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61" x14ac:dyDescent="0.3">
      <c r="A272" t="s">
        <v>30</v>
      </c>
      <c r="B272">
        <v>2020</v>
      </c>
      <c r="C272" t="s">
        <v>40</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v>0</v>
      </c>
      <c r="V272">
        <v>145.80000000000001</v>
      </c>
      <c r="W272">
        <v>151.9</v>
      </c>
      <c r="X272">
        <v>158.80000000000001</v>
      </c>
      <c r="Y272">
        <v>143.6</v>
      </c>
      <c r="Z272">
        <v>152.19999999999999</v>
      </c>
      <c r="AA272">
        <v>162.69999999999999</v>
      </c>
      <c r="AB272">
        <v>153.6</v>
      </c>
      <c r="AC272">
        <v>153</v>
      </c>
      <c r="AD272">
        <v>154.69999999999999</v>
      </c>
    </row>
    <row r="273" spans="1:30" x14ac:dyDescent="0.3">
      <c r="A273" t="s">
        <v>32</v>
      </c>
      <c r="B273">
        <v>2020</v>
      </c>
      <c r="C273" t="s">
        <v>40</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3">
      <c r="A274" t="s">
        <v>33</v>
      </c>
      <c r="B274">
        <v>2020</v>
      </c>
      <c r="C274" t="s">
        <v>40</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3">
      <c r="A275" t="s">
        <v>30</v>
      </c>
      <c r="B275">
        <v>2020</v>
      </c>
      <c r="C275" t="s">
        <v>41</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v>0</v>
      </c>
      <c r="V275">
        <v>146.4</v>
      </c>
      <c r="W275">
        <v>151.6</v>
      </c>
      <c r="X275">
        <v>159.1</v>
      </c>
      <c r="Y275">
        <v>144.6</v>
      </c>
      <c r="Z275">
        <v>152.80000000000001</v>
      </c>
      <c r="AA275">
        <v>161.1</v>
      </c>
      <c r="AB275">
        <v>157.4</v>
      </c>
      <c r="AC275">
        <v>153.69999999999999</v>
      </c>
      <c r="AD275">
        <v>155.4</v>
      </c>
    </row>
    <row r="276" spans="1:30" x14ac:dyDescent="0.3">
      <c r="A276" t="s">
        <v>32</v>
      </c>
      <c r="B276">
        <v>2020</v>
      </c>
      <c r="C276" t="s">
        <v>41</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3">
      <c r="A277" t="s">
        <v>33</v>
      </c>
      <c r="B277">
        <v>2020</v>
      </c>
      <c r="C277" t="s">
        <v>41</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3">
      <c r="A278" t="s">
        <v>30</v>
      </c>
      <c r="B278">
        <v>2020</v>
      </c>
      <c r="C278" t="s">
        <v>42</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v>0</v>
      </c>
      <c r="V278">
        <v>146.80000000000001</v>
      </c>
      <c r="W278">
        <v>152</v>
      </c>
      <c r="X278">
        <v>159.5</v>
      </c>
      <c r="Y278">
        <v>146.4</v>
      </c>
      <c r="Z278">
        <v>152.4</v>
      </c>
      <c r="AA278">
        <v>162.5</v>
      </c>
      <c r="AB278">
        <v>156.19999999999999</v>
      </c>
      <c r="AC278">
        <v>154.30000000000001</v>
      </c>
      <c r="AD278">
        <v>157.5</v>
      </c>
    </row>
    <row r="279" spans="1:30" x14ac:dyDescent="0.3">
      <c r="A279" t="s">
        <v>32</v>
      </c>
      <c r="B279">
        <v>2020</v>
      </c>
      <c r="C279" t="s">
        <v>42</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3">
      <c r="A280" t="s">
        <v>33</v>
      </c>
      <c r="B280">
        <v>2020</v>
      </c>
      <c r="C280" t="s">
        <v>42</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3">
      <c r="A281" t="s">
        <v>30</v>
      </c>
      <c r="B281">
        <v>2020</v>
      </c>
      <c r="C281" t="s">
        <v>44</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v>0</v>
      </c>
      <c r="V281">
        <v>147.5</v>
      </c>
      <c r="W281">
        <v>152.80000000000001</v>
      </c>
      <c r="X281">
        <v>160.4</v>
      </c>
      <c r="Y281">
        <v>146.1</v>
      </c>
      <c r="Z281">
        <v>153.6</v>
      </c>
      <c r="AA281">
        <v>161.6</v>
      </c>
      <c r="AB281">
        <v>156.19999999999999</v>
      </c>
      <c r="AC281">
        <v>154.5</v>
      </c>
      <c r="AD281">
        <v>159.80000000000001</v>
      </c>
    </row>
    <row r="282" spans="1:30" x14ac:dyDescent="0.3">
      <c r="A282" t="s">
        <v>32</v>
      </c>
      <c r="B282">
        <v>2020</v>
      </c>
      <c r="C282" t="s">
        <v>44</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3">
      <c r="A283" t="s">
        <v>33</v>
      </c>
      <c r="B283">
        <v>2020</v>
      </c>
      <c r="C283" t="s">
        <v>44</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3">
      <c r="A284" t="s">
        <v>30</v>
      </c>
      <c r="B284">
        <v>2020</v>
      </c>
      <c r="C284" t="s">
        <v>45</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v>0</v>
      </c>
      <c r="V284">
        <v>148.69999999999999</v>
      </c>
      <c r="W284">
        <v>153.4</v>
      </c>
      <c r="X284">
        <v>161.6</v>
      </c>
      <c r="Y284">
        <v>146.4</v>
      </c>
      <c r="Z284">
        <v>153.9</v>
      </c>
      <c r="AA284">
        <v>162.9</v>
      </c>
      <c r="AB284">
        <v>156.6</v>
      </c>
      <c r="AC284">
        <v>155.19999999999999</v>
      </c>
      <c r="AD284">
        <v>160.69999999999999</v>
      </c>
    </row>
    <row r="285" spans="1:30" x14ac:dyDescent="0.3">
      <c r="A285" t="s">
        <v>32</v>
      </c>
      <c r="B285">
        <v>2020</v>
      </c>
      <c r="C285" t="s">
        <v>45</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3">
      <c r="A286" t="s">
        <v>33</v>
      </c>
      <c r="B286">
        <v>2020</v>
      </c>
      <c r="C286" t="s">
        <v>45</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3">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v>0</v>
      </c>
      <c r="V287">
        <v>150.9</v>
      </c>
      <c r="W287">
        <v>153.9</v>
      </c>
      <c r="X287">
        <v>162.5</v>
      </c>
      <c r="Y287">
        <v>147.5</v>
      </c>
      <c r="Z287">
        <v>155.1</v>
      </c>
      <c r="AA287">
        <v>163.5</v>
      </c>
      <c r="AB287">
        <v>156.19999999999999</v>
      </c>
      <c r="AC287">
        <v>155.9</v>
      </c>
      <c r="AD287">
        <v>158.5</v>
      </c>
    </row>
    <row r="288" spans="1:30" x14ac:dyDescent="0.3">
      <c r="A288" t="s">
        <v>32</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3">
      <c r="A289" t="s">
        <v>33</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3">
      <c r="A290" t="s">
        <v>30</v>
      </c>
      <c r="B290">
        <v>2021</v>
      </c>
      <c r="C290" t="s">
        <v>34</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v>0</v>
      </c>
      <c r="V290">
        <v>154.4</v>
      </c>
      <c r="W290">
        <v>154.80000000000001</v>
      </c>
      <c r="X290">
        <v>164.3</v>
      </c>
      <c r="Y290">
        <v>150.19999999999999</v>
      </c>
      <c r="Z290">
        <v>157</v>
      </c>
      <c r="AA290">
        <v>163.6</v>
      </c>
      <c r="AB290">
        <v>155.19999999999999</v>
      </c>
      <c r="AC290">
        <v>157.19999999999999</v>
      </c>
      <c r="AD290">
        <v>156.69999999999999</v>
      </c>
    </row>
    <row r="291" spans="1:30" x14ac:dyDescent="0.3">
      <c r="A291" t="s">
        <v>32</v>
      </c>
      <c r="B291">
        <v>2021</v>
      </c>
      <c r="C291" t="s">
        <v>34</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3">
      <c r="A292" t="s">
        <v>33</v>
      </c>
      <c r="B292">
        <v>2021</v>
      </c>
      <c r="C292" t="s">
        <v>34</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3">
      <c r="A293" t="s">
        <v>30</v>
      </c>
      <c r="B293">
        <v>2021</v>
      </c>
      <c r="C293" t="s">
        <v>35</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v>0</v>
      </c>
      <c r="V293">
        <v>156</v>
      </c>
      <c r="W293">
        <v>154.80000000000001</v>
      </c>
      <c r="X293">
        <v>164.6</v>
      </c>
      <c r="Y293">
        <v>151.30000000000001</v>
      </c>
      <c r="Z293">
        <v>157.80000000000001</v>
      </c>
      <c r="AA293">
        <v>163.80000000000001</v>
      </c>
      <c r="AB293">
        <v>153.1</v>
      </c>
      <c r="AC293">
        <v>157.30000000000001</v>
      </c>
      <c r="AD293">
        <v>156.69999999999999</v>
      </c>
    </row>
    <row r="294" spans="1:30" x14ac:dyDescent="0.3">
      <c r="A294" t="s">
        <v>32</v>
      </c>
      <c r="B294">
        <v>2021</v>
      </c>
      <c r="C294" t="s">
        <v>35</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3">
      <c r="A295" t="s">
        <v>33</v>
      </c>
      <c r="B295">
        <v>2021</v>
      </c>
      <c r="C295" t="s">
        <v>35</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3">
      <c r="A296" t="s">
        <v>30</v>
      </c>
      <c r="B296">
        <v>2021</v>
      </c>
      <c r="C296" t="s">
        <v>36</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v>0</v>
      </c>
      <c r="V296">
        <v>156</v>
      </c>
      <c r="W296">
        <v>155.5</v>
      </c>
      <c r="X296">
        <v>165.3</v>
      </c>
      <c r="Y296">
        <v>151.69999999999999</v>
      </c>
      <c r="Z296">
        <v>158.6</v>
      </c>
      <c r="AA296">
        <v>164.1</v>
      </c>
      <c r="AB296">
        <v>154.6</v>
      </c>
      <c r="AC296">
        <v>158</v>
      </c>
      <c r="AD296">
        <v>157.6</v>
      </c>
    </row>
    <row r="297" spans="1:30" x14ac:dyDescent="0.3">
      <c r="A297" t="s">
        <v>32</v>
      </c>
      <c r="B297">
        <v>2021</v>
      </c>
      <c r="C297" t="s">
        <v>36</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3">
      <c r="A298" t="s">
        <v>33</v>
      </c>
      <c r="B298">
        <v>2021</v>
      </c>
      <c r="C298" t="s">
        <v>36</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3">
      <c r="A299" t="s">
        <v>30</v>
      </c>
      <c r="B299">
        <v>2021</v>
      </c>
      <c r="C299" t="s">
        <v>37</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v>0</v>
      </c>
      <c r="V299">
        <v>161.69999999999999</v>
      </c>
      <c r="W299">
        <v>158.80000000000001</v>
      </c>
      <c r="X299">
        <v>169.1</v>
      </c>
      <c r="Y299">
        <v>153.19999999999999</v>
      </c>
      <c r="Z299">
        <v>160</v>
      </c>
      <c r="AA299">
        <v>167.6</v>
      </c>
      <c r="AB299">
        <v>159.30000000000001</v>
      </c>
      <c r="AC299">
        <v>161.1</v>
      </c>
      <c r="AD299">
        <v>161.1</v>
      </c>
    </row>
    <row r="300" spans="1:30" x14ac:dyDescent="0.3">
      <c r="A300" t="s">
        <v>32</v>
      </c>
      <c r="B300">
        <v>2021</v>
      </c>
      <c r="C300" t="s">
        <v>37</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3">
      <c r="A301" t="s">
        <v>33</v>
      </c>
      <c r="B301">
        <v>2021</v>
      </c>
      <c r="C301" t="s">
        <v>37</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3">
      <c r="A302" t="s">
        <v>30</v>
      </c>
      <c r="B302">
        <v>2021</v>
      </c>
      <c r="C302" t="s">
        <v>38</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v>0</v>
      </c>
      <c r="V302">
        <v>162.1</v>
      </c>
      <c r="W302">
        <v>159.19999999999999</v>
      </c>
      <c r="X302">
        <v>169.7</v>
      </c>
      <c r="Y302">
        <v>154.19999999999999</v>
      </c>
      <c r="Z302">
        <v>160.4</v>
      </c>
      <c r="AA302">
        <v>166.8</v>
      </c>
      <c r="AB302">
        <v>159.4</v>
      </c>
      <c r="AC302">
        <v>161.5</v>
      </c>
      <c r="AD302">
        <v>162.1</v>
      </c>
    </row>
    <row r="303" spans="1:30" x14ac:dyDescent="0.3">
      <c r="A303" t="s">
        <v>32</v>
      </c>
      <c r="B303">
        <v>2021</v>
      </c>
      <c r="C303" t="s">
        <v>38</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3">
      <c r="A304" t="s">
        <v>33</v>
      </c>
      <c r="B304">
        <v>2021</v>
      </c>
      <c r="C304" t="s">
        <v>38</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3">
      <c r="A305" t="s">
        <v>30</v>
      </c>
      <c r="B305">
        <v>2021</v>
      </c>
      <c r="C305" t="s">
        <v>39</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v>0</v>
      </c>
      <c r="V305">
        <v>162.5</v>
      </c>
      <c r="W305">
        <v>160.30000000000001</v>
      </c>
      <c r="X305">
        <v>170.4</v>
      </c>
      <c r="Y305">
        <v>157.1</v>
      </c>
      <c r="Z305">
        <v>160.69999999999999</v>
      </c>
      <c r="AA305">
        <v>167.2</v>
      </c>
      <c r="AB305">
        <v>160.4</v>
      </c>
      <c r="AC305">
        <v>162.80000000000001</v>
      </c>
      <c r="AD305">
        <v>163.19999999999999</v>
      </c>
    </row>
    <row r="306" spans="1:30" x14ac:dyDescent="0.3">
      <c r="A306" t="s">
        <v>32</v>
      </c>
      <c r="B306">
        <v>2021</v>
      </c>
      <c r="C306" t="s">
        <v>39</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3">
      <c r="A307" t="s">
        <v>33</v>
      </c>
      <c r="B307">
        <v>2021</v>
      </c>
      <c r="C307" t="s">
        <v>39</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3">
      <c r="A308" t="s">
        <v>30</v>
      </c>
      <c r="B308">
        <v>2021</v>
      </c>
      <c r="C308" t="s">
        <v>40</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v>0</v>
      </c>
      <c r="V308">
        <v>163.1</v>
      </c>
      <c r="W308">
        <v>160.9</v>
      </c>
      <c r="X308">
        <v>171.1</v>
      </c>
      <c r="Y308">
        <v>157.69999999999999</v>
      </c>
      <c r="Z308">
        <v>161.1</v>
      </c>
      <c r="AA308">
        <v>167.5</v>
      </c>
      <c r="AB308">
        <v>160.30000000000001</v>
      </c>
      <c r="AC308">
        <v>163.30000000000001</v>
      </c>
      <c r="AD308">
        <v>163.6</v>
      </c>
    </row>
    <row r="309" spans="1:30" x14ac:dyDescent="0.3">
      <c r="A309" t="s">
        <v>32</v>
      </c>
      <c r="B309">
        <v>2021</v>
      </c>
      <c r="C309" t="s">
        <v>40</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3">
      <c r="A310" t="s">
        <v>33</v>
      </c>
      <c r="B310">
        <v>2021</v>
      </c>
      <c r="C310" t="s">
        <v>40</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3">
      <c r="A311" t="s">
        <v>30</v>
      </c>
      <c r="B311">
        <v>2021</v>
      </c>
      <c r="C311" t="s">
        <v>41</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v>0</v>
      </c>
      <c r="V311">
        <v>163.69999999999999</v>
      </c>
      <c r="W311">
        <v>161.30000000000001</v>
      </c>
      <c r="X311">
        <v>171.9</v>
      </c>
      <c r="Y311">
        <v>157.80000000000001</v>
      </c>
      <c r="Z311">
        <v>162.69999999999999</v>
      </c>
      <c r="AA311">
        <v>168.5</v>
      </c>
      <c r="AB311">
        <v>160.19999999999999</v>
      </c>
      <c r="AC311">
        <v>163.80000000000001</v>
      </c>
      <c r="AD311">
        <v>164</v>
      </c>
    </row>
    <row r="312" spans="1:30" x14ac:dyDescent="0.3">
      <c r="A312" t="s">
        <v>32</v>
      </c>
      <c r="B312">
        <v>2021</v>
      </c>
      <c r="C312" t="s">
        <v>41</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3">
      <c r="A313" t="s">
        <v>33</v>
      </c>
      <c r="B313">
        <v>2021</v>
      </c>
      <c r="C313" t="s">
        <v>41</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3">
      <c r="A314" t="s">
        <v>30</v>
      </c>
      <c r="B314">
        <v>2021</v>
      </c>
      <c r="C314" t="s">
        <v>42</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v>0</v>
      </c>
      <c r="V314">
        <v>165.5</v>
      </c>
      <c r="W314">
        <v>162</v>
      </c>
      <c r="X314">
        <v>172.5</v>
      </c>
      <c r="Y314">
        <v>159.5</v>
      </c>
      <c r="Z314">
        <v>163.19999999999999</v>
      </c>
      <c r="AA314">
        <v>169</v>
      </c>
      <c r="AB314">
        <v>161.1</v>
      </c>
      <c r="AC314">
        <v>164.7</v>
      </c>
      <c r="AD314">
        <v>166.3</v>
      </c>
    </row>
    <row r="315" spans="1:30" x14ac:dyDescent="0.3">
      <c r="A315" t="s">
        <v>32</v>
      </c>
      <c r="B315">
        <v>2021</v>
      </c>
      <c r="C315" t="s">
        <v>42</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3">
      <c r="A316" t="s">
        <v>33</v>
      </c>
      <c r="B316">
        <v>2021</v>
      </c>
      <c r="C316" t="s">
        <v>42</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3">
      <c r="A317" t="s">
        <v>30</v>
      </c>
      <c r="B317">
        <v>2021</v>
      </c>
      <c r="C317" t="s">
        <v>44</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v>0</v>
      </c>
      <c r="V317">
        <v>165.3</v>
      </c>
      <c r="W317">
        <v>162.9</v>
      </c>
      <c r="X317">
        <v>173.4</v>
      </c>
      <c r="Y317">
        <v>158.9</v>
      </c>
      <c r="Z317">
        <v>163.80000000000001</v>
      </c>
      <c r="AA317">
        <v>169.3</v>
      </c>
      <c r="AB317">
        <v>162.4</v>
      </c>
      <c r="AC317">
        <v>165.2</v>
      </c>
      <c r="AD317">
        <v>167.6</v>
      </c>
    </row>
    <row r="318" spans="1:30" x14ac:dyDescent="0.3">
      <c r="A318" t="s">
        <v>32</v>
      </c>
      <c r="B318">
        <v>2021</v>
      </c>
      <c r="C318" t="s">
        <v>44</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3">
      <c r="A319" t="s">
        <v>33</v>
      </c>
      <c r="B319">
        <v>2021</v>
      </c>
      <c r="C319" t="s">
        <v>44</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3">
      <c r="A320" t="s">
        <v>30</v>
      </c>
      <c r="B320">
        <v>2021</v>
      </c>
      <c r="C320" t="s">
        <v>45</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v>0</v>
      </c>
      <c r="V320">
        <v>165.6</v>
      </c>
      <c r="W320">
        <v>163.9</v>
      </c>
      <c r="X320">
        <v>174</v>
      </c>
      <c r="Y320">
        <v>160.1</v>
      </c>
      <c r="Z320">
        <v>164.5</v>
      </c>
      <c r="AA320">
        <v>169.7</v>
      </c>
      <c r="AB320">
        <v>162.80000000000001</v>
      </c>
      <c r="AC320">
        <v>166</v>
      </c>
      <c r="AD320">
        <v>167</v>
      </c>
    </row>
    <row r="321" spans="1:30" x14ac:dyDescent="0.3">
      <c r="A321" t="s">
        <v>32</v>
      </c>
      <c r="B321">
        <v>2021</v>
      </c>
      <c r="C321" t="s">
        <v>45</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3">
      <c r="A322" t="s">
        <v>33</v>
      </c>
      <c r="B322">
        <v>2021</v>
      </c>
      <c r="C322" t="s">
        <v>45</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3">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v>0</v>
      </c>
      <c r="V323">
        <v>165.8</v>
      </c>
      <c r="W323">
        <v>164.9</v>
      </c>
      <c r="X323">
        <v>174.7</v>
      </c>
      <c r="Y323">
        <v>160.80000000000001</v>
      </c>
      <c r="Z323">
        <v>164.9</v>
      </c>
      <c r="AA323">
        <v>169.9</v>
      </c>
      <c r="AB323">
        <v>163.19999999999999</v>
      </c>
      <c r="AC323">
        <v>166.6</v>
      </c>
      <c r="AD323">
        <v>166.4</v>
      </c>
    </row>
    <row r="324" spans="1:30" x14ac:dyDescent="0.3">
      <c r="A324" t="s">
        <v>32</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3">
      <c r="A325" t="s">
        <v>33</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3">
      <c r="A326" t="s">
        <v>30</v>
      </c>
      <c r="B326">
        <v>2022</v>
      </c>
      <c r="C326" t="s">
        <v>34</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v>0</v>
      </c>
      <c r="V326">
        <v>167.4</v>
      </c>
      <c r="W326">
        <v>165.7</v>
      </c>
      <c r="X326">
        <v>175.3</v>
      </c>
      <c r="Y326">
        <v>161.19999999999999</v>
      </c>
      <c r="Z326">
        <v>165.5</v>
      </c>
      <c r="AA326">
        <v>170.3</v>
      </c>
      <c r="AB326">
        <v>164.5</v>
      </c>
      <c r="AC326">
        <v>167.3</v>
      </c>
      <c r="AD326">
        <v>166.7</v>
      </c>
    </row>
    <row r="327" spans="1:30" x14ac:dyDescent="0.3">
      <c r="A327" t="s">
        <v>32</v>
      </c>
      <c r="B327">
        <v>2022</v>
      </c>
      <c r="C327" t="s">
        <v>34</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3">
      <c r="A328" t="s">
        <v>33</v>
      </c>
      <c r="B328">
        <v>2022</v>
      </c>
      <c r="C328" t="s">
        <v>34</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3">
      <c r="A329" t="s">
        <v>30</v>
      </c>
      <c r="B329">
        <v>2022</v>
      </c>
      <c r="C329" t="s">
        <v>35</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v>0</v>
      </c>
      <c r="V329">
        <v>168.9</v>
      </c>
      <c r="W329">
        <v>166.5</v>
      </c>
      <c r="X329">
        <v>176</v>
      </c>
      <c r="Y329">
        <v>162</v>
      </c>
      <c r="Z329">
        <v>166.6</v>
      </c>
      <c r="AA329">
        <v>170.6</v>
      </c>
      <c r="AB329">
        <v>167.4</v>
      </c>
      <c r="AC329">
        <v>168.3</v>
      </c>
      <c r="AD329">
        <v>168.7</v>
      </c>
    </row>
    <row r="330" spans="1:30" x14ac:dyDescent="0.3">
      <c r="A330" t="s">
        <v>32</v>
      </c>
      <c r="B330">
        <v>2022</v>
      </c>
      <c r="C330" t="s">
        <v>35</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3">
      <c r="A331" t="s">
        <v>33</v>
      </c>
      <c r="B331">
        <v>2022</v>
      </c>
      <c r="C331" t="s">
        <v>35</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3">
      <c r="A332" t="s">
        <v>30</v>
      </c>
      <c r="B332">
        <v>2022</v>
      </c>
      <c r="C332" t="s">
        <v>36</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v>0</v>
      </c>
      <c r="V332">
        <v>173.3</v>
      </c>
      <c r="W332">
        <v>167.7</v>
      </c>
      <c r="X332">
        <v>177</v>
      </c>
      <c r="Y332">
        <v>166.2</v>
      </c>
      <c r="Z332">
        <v>167.2</v>
      </c>
      <c r="AA332">
        <v>170.9</v>
      </c>
      <c r="AB332">
        <v>169</v>
      </c>
      <c r="AC332">
        <v>170.2</v>
      </c>
      <c r="AD332">
        <v>170.8</v>
      </c>
    </row>
    <row r="333" spans="1:30" x14ac:dyDescent="0.3">
      <c r="A333" t="s">
        <v>32</v>
      </c>
      <c r="B333">
        <v>2022</v>
      </c>
      <c r="C333" t="s">
        <v>36</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3">
      <c r="A334" t="s">
        <v>33</v>
      </c>
      <c r="B334">
        <v>2022</v>
      </c>
      <c r="C334" t="s">
        <v>36</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3">
      <c r="A335" t="s">
        <v>30</v>
      </c>
      <c r="B335">
        <v>2022</v>
      </c>
      <c r="C335" t="s">
        <v>37</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v>0</v>
      </c>
      <c r="V335">
        <v>175.3</v>
      </c>
      <c r="W335">
        <v>168.9</v>
      </c>
      <c r="X335">
        <v>177.7</v>
      </c>
      <c r="Y335">
        <v>167.1</v>
      </c>
      <c r="Z335">
        <v>167.6</v>
      </c>
      <c r="AA335">
        <v>171.8</v>
      </c>
      <c r="AB335">
        <v>168.5</v>
      </c>
      <c r="AC335">
        <v>170.9</v>
      </c>
      <c r="AD335">
        <v>172.5</v>
      </c>
    </row>
    <row r="336" spans="1:30" x14ac:dyDescent="0.3">
      <c r="A336" t="s">
        <v>32</v>
      </c>
      <c r="B336">
        <v>2022</v>
      </c>
      <c r="C336" t="s">
        <v>37</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3">
      <c r="A337" t="s">
        <v>33</v>
      </c>
      <c r="B337">
        <v>2022</v>
      </c>
      <c r="C337" t="s">
        <v>37</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3">
      <c r="A338" t="s">
        <v>30</v>
      </c>
      <c r="B338">
        <v>2022</v>
      </c>
      <c r="C338" t="s">
        <v>38</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v>0</v>
      </c>
      <c r="V338">
        <v>176.7</v>
      </c>
      <c r="W338">
        <v>170.3</v>
      </c>
      <c r="X338">
        <v>178.2</v>
      </c>
      <c r="Y338">
        <v>165.5</v>
      </c>
      <c r="Z338">
        <v>168</v>
      </c>
      <c r="AA338">
        <v>172.6</v>
      </c>
      <c r="AB338">
        <v>169.5</v>
      </c>
      <c r="AC338">
        <v>171</v>
      </c>
      <c r="AD338">
        <v>173.6</v>
      </c>
    </row>
    <row r="339" spans="1:30" x14ac:dyDescent="0.3">
      <c r="A339" t="s">
        <v>32</v>
      </c>
      <c r="B339">
        <v>2022</v>
      </c>
      <c r="C339" t="s">
        <v>38</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3">
      <c r="A340" t="s">
        <v>33</v>
      </c>
      <c r="B340">
        <v>2022</v>
      </c>
      <c r="C340" t="s">
        <v>38</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3">
      <c r="A341" t="s">
        <v>30</v>
      </c>
      <c r="B341">
        <v>2022</v>
      </c>
      <c r="C341" t="s">
        <v>39</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v>0</v>
      </c>
      <c r="V341">
        <v>179.6</v>
      </c>
      <c r="W341">
        <v>171.3</v>
      </c>
      <c r="X341">
        <v>178.8</v>
      </c>
      <c r="Y341">
        <v>166.3</v>
      </c>
      <c r="Z341">
        <v>168.6</v>
      </c>
      <c r="AA341">
        <v>174.7</v>
      </c>
      <c r="AB341">
        <v>169.7</v>
      </c>
      <c r="AC341">
        <v>171.8</v>
      </c>
      <c r="AD341">
        <v>174.3</v>
      </c>
    </row>
    <row r="342" spans="1:30" x14ac:dyDescent="0.3">
      <c r="A342" t="s">
        <v>32</v>
      </c>
      <c r="B342">
        <v>2022</v>
      </c>
      <c r="C342" t="s">
        <v>39</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3">
      <c r="A343" t="s">
        <v>33</v>
      </c>
      <c r="B343">
        <v>2022</v>
      </c>
      <c r="C343" t="s">
        <v>39</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3">
      <c r="A344" t="s">
        <v>30</v>
      </c>
      <c r="B344">
        <v>2022</v>
      </c>
      <c r="C344" t="s">
        <v>40</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v>0</v>
      </c>
      <c r="V344">
        <v>179.1</v>
      </c>
      <c r="W344">
        <v>172.3</v>
      </c>
      <c r="X344">
        <v>179.4</v>
      </c>
      <c r="Y344">
        <v>166.6</v>
      </c>
      <c r="Z344">
        <v>169.3</v>
      </c>
      <c r="AA344">
        <v>175.7</v>
      </c>
      <c r="AB344">
        <v>171.1</v>
      </c>
      <c r="AC344">
        <v>172.6</v>
      </c>
      <c r="AD344">
        <v>175.3</v>
      </c>
    </row>
    <row r="345" spans="1:30" x14ac:dyDescent="0.3">
      <c r="A345" t="s">
        <v>32</v>
      </c>
      <c r="B345">
        <v>2022</v>
      </c>
      <c r="C345" t="s">
        <v>40</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3">
      <c r="A346" t="s">
        <v>33</v>
      </c>
      <c r="B346">
        <v>2022</v>
      </c>
      <c r="C346" t="s">
        <v>40</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3">
      <c r="A347" t="s">
        <v>30</v>
      </c>
      <c r="B347">
        <v>2022</v>
      </c>
      <c r="C347" t="s">
        <v>41</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v>0</v>
      </c>
      <c r="V347">
        <v>179.7</v>
      </c>
      <c r="W347">
        <v>173.6</v>
      </c>
      <c r="X347">
        <v>180.2</v>
      </c>
      <c r="Y347">
        <v>166.9</v>
      </c>
      <c r="Z347">
        <v>170</v>
      </c>
      <c r="AA347">
        <v>176.2</v>
      </c>
      <c r="AB347">
        <v>170.8</v>
      </c>
      <c r="AC347">
        <v>173.1</v>
      </c>
      <c r="AD347">
        <v>176.4</v>
      </c>
    </row>
    <row r="348" spans="1:30" x14ac:dyDescent="0.3">
      <c r="A348" t="s">
        <v>32</v>
      </c>
      <c r="B348">
        <v>2022</v>
      </c>
      <c r="C348" t="s">
        <v>41</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3">
      <c r="A349" t="s">
        <v>33</v>
      </c>
      <c r="B349">
        <v>2022</v>
      </c>
      <c r="C349" t="s">
        <v>41</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3">
      <c r="A350" t="s">
        <v>30</v>
      </c>
      <c r="B350">
        <v>2022</v>
      </c>
      <c r="C350" t="s">
        <v>42</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v>0</v>
      </c>
      <c r="V350">
        <v>180.8</v>
      </c>
      <c r="W350">
        <v>174.4</v>
      </c>
      <c r="X350">
        <v>181.2</v>
      </c>
      <c r="Y350">
        <v>167.4</v>
      </c>
      <c r="Z350">
        <v>170.6</v>
      </c>
      <c r="AA350">
        <v>176.5</v>
      </c>
      <c r="AB350">
        <v>172</v>
      </c>
      <c r="AC350">
        <v>173.9</v>
      </c>
      <c r="AD350">
        <v>177.9</v>
      </c>
    </row>
    <row r="351" spans="1:30" x14ac:dyDescent="0.3">
      <c r="A351" t="s">
        <v>32</v>
      </c>
      <c r="B351">
        <v>2022</v>
      </c>
      <c r="C351" t="s">
        <v>42</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3">
      <c r="A352" t="s">
        <v>33</v>
      </c>
      <c r="B352">
        <v>2022</v>
      </c>
      <c r="C352" t="s">
        <v>42</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3">
      <c r="A353" t="s">
        <v>30</v>
      </c>
      <c r="B353">
        <v>2022</v>
      </c>
      <c r="C353" t="s">
        <v>44</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v>0</v>
      </c>
      <c r="V353">
        <v>181.9</v>
      </c>
      <c r="W353">
        <v>175.5</v>
      </c>
      <c r="X353">
        <v>182.3</v>
      </c>
      <c r="Y353">
        <v>167.5</v>
      </c>
      <c r="Z353">
        <v>170.8</v>
      </c>
      <c r="AA353">
        <v>176.9</v>
      </c>
      <c r="AB353">
        <v>173.4</v>
      </c>
      <c r="AC353">
        <v>174.6</v>
      </c>
      <c r="AD353">
        <v>177.8</v>
      </c>
    </row>
    <row r="354" spans="1:30" x14ac:dyDescent="0.3">
      <c r="A354" t="s">
        <v>32</v>
      </c>
      <c r="B354">
        <v>2022</v>
      </c>
      <c r="C354" t="s">
        <v>44</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3">
      <c r="A355" t="s">
        <v>33</v>
      </c>
      <c r="B355">
        <v>2022</v>
      </c>
      <c r="C355" t="s">
        <v>44</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3">
      <c r="A356" t="s">
        <v>30</v>
      </c>
      <c r="B356">
        <v>2022</v>
      </c>
      <c r="C356" t="s">
        <v>45</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v>0</v>
      </c>
      <c r="V356">
        <v>182.8</v>
      </c>
      <c r="W356">
        <v>176.4</v>
      </c>
      <c r="X356">
        <v>183.5</v>
      </c>
      <c r="Y356">
        <v>167.8</v>
      </c>
      <c r="Z356">
        <v>171.2</v>
      </c>
      <c r="AA356">
        <v>177.3</v>
      </c>
      <c r="AB356">
        <v>175.7</v>
      </c>
      <c r="AC356">
        <v>175.5</v>
      </c>
      <c r="AD356">
        <v>177.1</v>
      </c>
    </row>
    <row r="357" spans="1:30" x14ac:dyDescent="0.3">
      <c r="A357" t="s">
        <v>32</v>
      </c>
      <c r="B357">
        <v>2022</v>
      </c>
      <c r="C357" t="s">
        <v>45</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3">
      <c r="A358" t="s">
        <v>33</v>
      </c>
      <c r="B358">
        <v>2022</v>
      </c>
      <c r="C358" t="s">
        <v>45</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3">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v>0</v>
      </c>
      <c r="V359">
        <v>183.2</v>
      </c>
      <c r="W359">
        <v>177.2</v>
      </c>
      <c r="X359">
        <v>184.7</v>
      </c>
      <c r="Y359">
        <v>168.2</v>
      </c>
      <c r="Z359">
        <v>171.8</v>
      </c>
      <c r="AA359">
        <v>177.8</v>
      </c>
      <c r="AB359">
        <v>178.4</v>
      </c>
      <c r="AC359">
        <v>176.5</v>
      </c>
      <c r="AD359">
        <v>177.8</v>
      </c>
    </row>
    <row r="360" spans="1:30" x14ac:dyDescent="0.3">
      <c r="A360" t="s">
        <v>32</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3">
      <c r="A361" t="s">
        <v>33</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3">
      <c r="A362" t="s">
        <v>30</v>
      </c>
      <c r="B362">
        <v>2023</v>
      </c>
      <c r="C362" t="s">
        <v>34</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v>0</v>
      </c>
      <c r="V362">
        <v>181.6</v>
      </c>
      <c r="W362">
        <v>178.6</v>
      </c>
      <c r="X362">
        <v>186.6</v>
      </c>
      <c r="Y362">
        <v>169</v>
      </c>
      <c r="Z362">
        <v>172.8</v>
      </c>
      <c r="AA362">
        <v>178.5</v>
      </c>
      <c r="AB362">
        <v>180.7</v>
      </c>
      <c r="AC362">
        <v>177.9</v>
      </c>
      <c r="AD362">
        <v>178</v>
      </c>
    </row>
    <row r="363" spans="1:30" x14ac:dyDescent="0.3">
      <c r="A363" t="s">
        <v>32</v>
      </c>
      <c r="B363">
        <v>2023</v>
      </c>
      <c r="C363" t="s">
        <v>34</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3">
      <c r="A364" t="s">
        <v>33</v>
      </c>
      <c r="B364">
        <v>2023</v>
      </c>
      <c r="C364" t="s">
        <v>34</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3">
      <c r="A365" t="s">
        <v>30</v>
      </c>
      <c r="B365">
        <v>2023</v>
      </c>
      <c r="C365" t="s">
        <v>35</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v>0</v>
      </c>
      <c r="V365">
        <v>181.4</v>
      </c>
      <c r="W365">
        <v>178.6</v>
      </c>
      <c r="X365">
        <v>186.6</v>
      </c>
      <c r="Y365">
        <v>169</v>
      </c>
      <c r="Z365">
        <v>172.8</v>
      </c>
      <c r="AA365">
        <v>178.5</v>
      </c>
      <c r="AB365">
        <v>180.7</v>
      </c>
      <c r="AC365">
        <v>177.9</v>
      </c>
      <c r="AD365">
        <v>178</v>
      </c>
    </row>
    <row r="366" spans="1:30" x14ac:dyDescent="0.3">
      <c r="A366" t="s">
        <v>32</v>
      </c>
      <c r="B366">
        <v>2023</v>
      </c>
      <c r="C366" t="s">
        <v>35</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3">
      <c r="A367" t="s">
        <v>33</v>
      </c>
      <c r="B367">
        <v>2023</v>
      </c>
      <c r="C367" t="s">
        <v>35</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3">
      <c r="A368" t="s">
        <v>30</v>
      </c>
      <c r="B368">
        <v>2023</v>
      </c>
      <c r="C368" t="s">
        <v>36</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v>0</v>
      </c>
      <c r="V368">
        <v>181.5</v>
      </c>
      <c r="W368">
        <v>179.1</v>
      </c>
      <c r="X368">
        <v>187.2</v>
      </c>
      <c r="Y368">
        <v>169.4</v>
      </c>
      <c r="Z368">
        <v>173.2</v>
      </c>
      <c r="AA368">
        <v>179.4</v>
      </c>
      <c r="AB368">
        <v>183.8</v>
      </c>
      <c r="AC368">
        <v>178.9</v>
      </c>
      <c r="AD368">
        <v>178.8</v>
      </c>
    </row>
    <row r="369" spans="1:30" x14ac:dyDescent="0.3">
      <c r="A369" t="s">
        <v>32</v>
      </c>
      <c r="B369">
        <v>2023</v>
      </c>
      <c r="C369" t="s">
        <v>36</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3">
      <c r="A370" t="s">
        <v>33</v>
      </c>
      <c r="B370">
        <v>2023</v>
      </c>
      <c r="C370" t="s">
        <v>36</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3">
      <c r="A371" t="s">
        <v>30</v>
      </c>
      <c r="B371">
        <v>2023</v>
      </c>
      <c r="C371" t="s">
        <v>37</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v>0</v>
      </c>
      <c r="V371">
        <v>182.5</v>
      </c>
      <c r="W371">
        <v>179.8</v>
      </c>
      <c r="X371">
        <v>187.8</v>
      </c>
      <c r="Y371">
        <v>169.7</v>
      </c>
      <c r="Z371">
        <v>173.8</v>
      </c>
      <c r="AA371">
        <v>180.3</v>
      </c>
      <c r="AB371">
        <v>184.9</v>
      </c>
      <c r="AC371">
        <v>179.5</v>
      </c>
      <c r="AD371">
        <v>179.8</v>
      </c>
    </row>
    <row r="372" spans="1:30" x14ac:dyDescent="0.3">
      <c r="A372" t="s">
        <v>32</v>
      </c>
      <c r="B372">
        <v>2023</v>
      </c>
      <c r="C372" t="s">
        <v>37</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3">
      <c r="A373" t="s">
        <v>33</v>
      </c>
      <c r="B373">
        <v>2023</v>
      </c>
      <c r="C373" t="s">
        <v>37</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F1:BI259" xr:uid="{CE499CC2-AA7E-4750-BE6D-97F0D0A57CAD}"/>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A648CE-64B6-493C-88AE-A9CC8E37AF70}">
  <dimension ref="A2:AP375"/>
  <sheetViews>
    <sheetView tabSelected="1" workbookViewId="0">
      <pane xSplit="3" ySplit="2" topLeftCell="AB3" activePane="bottomRight" state="frozen"/>
      <selection pane="topRight" activeCell="D1" sqref="D1"/>
      <selection pane="bottomLeft" activeCell="A2" sqref="A2"/>
      <selection pane="bottomRight" activeCell="AH2" sqref="AH2"/>
    </sheetView>
  </sheetViews>
  <sheetFormatPr defaultRowHeight="14.4" x14ac:dyDescent="0.3"/>
  <cols>
    <col min="1" max="1" width="11.21875" bestFit="1" customWidth="1"/>
    <col min="2" max="2" width="5" bestFit="1" customWidth="1"/>
    <col min="3" max="3" width="10" bestFit="1" customWidth="1"/>
    <col min="4" max="4" width="18.21875" customWidth="1"/>
    <col min="5" max="5" width="12.109375" customWidth="1"/>
    <col min="6" max="6" width="6" customWidth="1"/>
    <col min="7" max="7" width="15.5546875" customWidth="1"/>
    <col min="8" max="8" width="11" customWidth="1"/>
    <col min="9" max="9" width="6" customWidth="1"/>
    <col min="10" max="10" width="9.88671875" customWidth="1"/>
    <col min="11" max="11" width="17.21875" customWidth="1"/>
    <col min="12" max="12" width="21.109375" customWidth="1"/>
    <col min="13" max="13" width="6" customWidth="1"/>
    <col min="14" max="14" width="21.44140625" customWidth="1"/>
    <col min="15" max="15" width="30.44140625" customWidth="1"/>
    <col min="16" max="16" width="17.44140625" customWidth="1"/>
    <col min="17" max="17" width="24.6640625" customWidth="1"/>
    <col min="18" max="18" width="7.6640625" customWidth="1"/>
    <col min="19" max="19" width="8.88671875" customWidth="1"/>
    <col min="20" max="20" width="19.44140625" customWidth="1"/>
    <col min="21" max="21" width="7.44140625" customWidth="1"/>
    <col min="22" max="22" width="11.6640625" style="5" customWidth="1"/>
    <col min="23" max="23" width="25.77734375" customWidth="1"/>
    <col min="24" max="24" width="6.33203125" customWidth="1"/>
    <col min="25" max="25" width="25.88671875" customWidth="1"/>
    <col min="26" max="26" width="23.6640625" customWidth="1"/>
    <col min="27" max="27" width="9.109375" customWidth="1"/>
    <col min="28" max="28" width="21.88671875" customWidth="1"/>
    <col min="29" max="29" width="12.5546875" customWidth="1"/>
    <col min="30" max="30" width="12.109375" bestFit="1" customWidth="1"/>
    <col min="31" max="31" width="12.109375" style="5" customWidth="1"/>
    <col min="32" max="34" width="12.109375" customWidth="1"/>
    <col min="35" max="35" width="11.44140625" style="23" bestFit="1" customWidth="1"/>
  </cols>
  <sheetData>
    <row r="2" spans="1:35" x14ac:dyDescent="0.3">
      <c r="A2" s="7" t="s">
        <v>0</v>
      </c>
      <c r="B2" s="7" t="s">
        <v>1</v>
      </c>
      <c r="C2" s="7" t="s">
        <v>2</v>
      </c>
      <c r="D2" s="7" t="s">
        <v>3</v>
      </c>
      <c r="E2" s="7" t="s">
        <v>4</v>
      </c>
      <c r="F2" s="7" t="s">
        <v>5</v>
      </c>
      <c r="G2" s="7" t="s">
        <v>6</v>
      </c>
      <c r="H2" s="7" t="s">
        <v>7</v>
      </c>
      <c r="I2" s="7" t="s">
        <v>8</v>
      </c>
      <c r="J2" s="7" t="s">
        <v>9</v>
      </c>
      <c r="K2" s="7" t="s">
        <v>10</v>
      </c>
      <c r="L2" s="7" t="s">
        <v>11</v>
      </c>
      <c r="M2" s="7" t="s">
        <v>12</v>
      </c>
      <c r="N2" s="7" t="s">
        <v>13</v>
      </c>
      <c r="O2" s="7" t="s">
        <v>14</v>
      </c>
      <c r="P2" s="7" t="s">
        <v>15</v>
      </c>
      <c r="Q2" s="7" t="s">
        <v>16</v>
      </c>
      <c r="R2" s="7" t="s">
        <v>17</v>
      </c>
      <c r="S2" s="7" t="s">
        <v>18</v>
      </c>
      <c r="T2" s="7" t="s">
        <v>19</v>
      </c>
      <c r="U2" s="7" t="s">
        <v>20</v>
      </c>
      <c r="V2" s="75" t="s">
        <v>21</v>
      </c>
      <c r="W2" s="7" t="s">
        <v>22</v>
      </c>
      <c r="X2" s="7" t="s">
        <v>23</v>
      </c>
      <c r="Y2" s="7" t="s">
        <v>24</v>
      </c>
      <c r="Z2" s="7" t="s">
        <v>25</v>
      </c>
      <c r="AA2" s="7" t="s">
        <v>26</v>
      </c>
      <c r="AB2" s="7" t="s">
        <v>27</v>
      </c>
      <c r="AC2" s="7" t="s">
        <v>28</v>
      </c>
      <c r="AD2" s="7" t="s">
        <v>29</v>
      </c>
      <c r="AE2" s="73" t="s">
        <v>47</v>
      </c>
      <c r="AF2" s="8" t="s">
        <v>48</v>
      </c>
      <c r="AG2" s="8" t="s">
        <v>49</v>
      </c>
      <c r="AH2" s="8" t="s">
        <v>50</v>
      </c>
      <c r="AI2" s="9" t="s">
        <v>51</v>
      </c>
    </row>
    <row r="3" spans="1:35" x14ac:dyDescent="0.3">
      <c r="A3" t="s">
        <v>30</v>
      </c>
      <c r="B3">
        <v>2013</v>
      </c>
      <c r="C3" t="s">
        <v>31</v>
      </c>
      <c r="D3">
        <v>107.5</v>
      </c>
      <c r="E3">
        <v>106.3</v>
      </c>
      <c r="F3">
        <v>108.1</v>
      </c>
      <c r="G3">
        <v>104.9</v>
      </c>
      <c r="H3">
        <v>106.1</v>
      </c>
      <c r="I3">
        <v>103.9</v>
      </c>
      <c r="J3">
        <v>101.9</v>
      </c>
      <c r="K3">
        <v>106.1</v>
      </c>
      <c r="L3">
        <v>106.8</v>
      </c>
      <c r="M3">
        <v>103.1</v>
      </c>
      <c r="N3">
        <v>104.8</v>
      </c>
      <c r="O3">
        <v>106.7</v>
      </c>
      <c r="P3">
        <v>105.5</v>
      </c>
      <c r="Q3">
        <v>105.1</v>
      </c>
      <c r="R3">
        <v>106.5</v>
      </c>
      <c r="S3">
        <v>105.8</v>
      </c>
      <c r="T3">
        <v>106.4</v>
      </c>
      <c r="U3">
        <v>0</v>
      </c>
      <c r="V3" s="5">
        <v>105.5</v>
      </c>
      <c r="W3">
        <v>104.8</v>
      </c>
      <c r="X3">
        <v>104</v>
      </c>
      <c r="Y3">
        <v>103.3</v>
      </c>
      <c r="Z3">
        <v>103.4</v>
      </c>
      <c r="AA3">
        <v>103.8</v>
      </c>
      <c r="AB3">
        <v>104.7</v>
      </c>
      <c r="AC3">
        <v>104</v>
      </c>
      <c r="AD3">
        <v>105.1</v>
      </c>
      <c r="AE3" s="72">
        <f t="shared" ref="AE3:AE66" si="0">SUM(D3:Q3)</f>
        <v>1476.7999999999997</v>
      </c>
      <c r="AF3" s="4">
        <f t="shared" ref="AF3:AF66" si="1">SUM(R3:T3,AB3)</f>
        <v>423.40000000000003</v>
      </c>
      <c r="AG3" s="4">
        <f t="shared" ref="AG3:AG66" si="2">SUM(U3:W3,Y3)</f>
        <v>313.60000000000002</v>
      </c>
      <c r="AH3" s="4">
        <f t="shared" ref="AH3:AH66" si="3">X3+Z3+AA3+AC3</f>
        <v>415.2</v>
      </c>
      <c r="AI3" s="6">
        <f t="shared" ref="AI3:AI66" si="4">SUM(AE3:AH3)</f>
        <v>2628.9999999999995</v>
      </c>
    </row>
    <row r="4" spans="1:35" x14ac:dyDescent="0.3">
      <c r="A4" t="s">
        <v>32</v>
      </c>
      <c r="B4">
        <v>2013</v>
      </c>
      <c r="C4" t="s">
        <v>31</v>
      </c>
      <c r="D4">
        <v>110.5</v>
      </c>
      <c r="E4">
        <v>109.1</v>
      </c>
      <c r="F4">
        <v>113</v>
      </c>
      <c r="G4">
        <v>103.6</v>
      </c>
      <c r="H4">
        <v>103.4</v>
      </c>
      <c r="I4">
        <v>102.3</v>
      </c>
      <c r="J4">
        <v>102.9</v>
      </c>
      <c r="K4">
        <v>105.8</v>
      </c>
      <c r="L4">
        <v>105.1</v>
      </c>
      <c r="M4">
        <v>101.8</v>
      </c>
      <c r="N4">
        <v>105.1</v>
      </c>
      <c r="O4">
        <v>107.9</v>
      </c>
      <c r="P4">
        <v>105.9</v>
      </c>
      <c r="Q4">
        <v>105.2</v>
      </c>
      <c r="R4">
        <v>105.9</v>
      </c>
      <c r="S4">
        <v>105</v>
      </c>
      <c r="T4">
        <v>105.8</v>
      </c>
      <c r="U4">
        <v>100.3</v>
      </c>
      <c r="V4" s="5">
        <v>105.4</v>
      </c>
      <c r="W4">
        <v>104.8</v>
      </c>
      <c r="X4">
        <v>104.1</v>
      </c>
      <c r="Y4">
        <v>103.2</v>
      </c>
      <c r="Z4">
        <v>102.9</v>
      </c>
      <c r="AA4">
        <v>103.5</v>
      </c>
      <c r="AB4">
        <v>104.3</v>
      </c>
      <c r="AC4">
        <v>103.7</v>
      </c>
      <c r="AD4">
        <v>104</v>
      </c>
      <c r="AE4" s="72">
        <f t="shared" si="0"/>
        <v>1481.6000000000001</v>
      </c>
      <c r="AF4" s="4">
        <f t="shared" si="1"/>
        <v>421</v>
      </c>
      <c r="AG4" s="4">
        <f t="shared" si="2"/>
        <v>413.7</v>
      </c>
      <c r="AH4" s="4">
        <f t="shared" si="3"/>
        <v>414.2</v>
      </c>
      <c r="AI4" s="6">
        <f t="shared" si="4"/>
        <v>2730.5</v>
      </c>
    </row>
    <row r="5" spans="1:35" x14ac:dyDescent="0.3">
      <c r="A5" t="s">
        <v>33</v>
      </c>
      <c r="B5">
        <v>2013</v>
      </c>
      <c r="C5" t="s">
        <v>31</v>
      </c>
      <c r="D5">
        <v>108.4</v>
      </c>
      <c r="E5">
        <v>107.3</v>
      </c>
      <c r="F5">
        <v>110</v>
      </c>
      <c r="G5">
        <v>104.4</v>
      </c>
      <c r="H5">
        <v>105.1</v>
      </c>
      <c r="I5">
        <v>103.2</v>
      </c>
      <c r="J5">
        <v>102.2</v>
      </c>
      <c r="K5">
        <v>106</v>
      </c>
      <c r="L5">
        <v>106.2</v>
      </c>
      <c r="M5">
        <v>102.7</v>
      </c>
      <c r="N5">
        <v>104.9</v>
      </c>
      <c r="O5">
        <v>107.3</v>
      </c>
      <c r="P5">
        <v>105.6</v>
      </c>
      <c r="Q5">
        <v>105.1</v>
      </c>
      <c r="R5">
        <v>106.3</v>
      </c>
      <c r="S5">
        <v>105.5</v>
      </c>
      <c r="T5">
        <v>106.2</v>
      </c>
      <c r="U5">
        <v>100.3</v>
      </c>
      <c r="V5" s="5">
        <v>105.5</v>
      </c>
      <c r="W5">
        <v>104.8</v>
      </c>
      <c r="X5">
        <v>104</v>
      </c>
      <c r="Y5">
        <v>103.2</v>
      </c>
      <c r="Z5">
        <v>103.1</v>
      </c>
      <c r="AA5">
        <v>103.6</v>
      </c>
      <c r="AB5">
        <v>104.5</v>
      </c>
      <c r="AC5">
        <v>103.9</v>
      </c>
      <c r="AD5">
        <v>104.6</v>
      </c>
      <c r="AE5" s="72">
        <f t="shared" si="0"/>
        <v>1478.4</v>
      </c>
      <c r="AF5" s="4">
        <f t="shared" si="1"/>
        <v>422.5</v>
      </c>
      <c r="AG5" s="4">
        <f t="shared" si="2"/>
        <v>413.8</v>
      </c>
      <c r="AH5" s="4">
        <f t="shared" si="3"/>
        <v>414.6</v>
      </c>
      <c r="AI5" s="6">
        <f t="shared" si="4"/>
        <v>2729.3</v>
      </c>
    </row>
    <row r="6" spans="1:35" x14ac:dyDescent="0.3">
      <c r="A6" t="s">
        <v>30</v>
      </c>
      <c r="B6">
        <v>2013</v>
      </c>
      <c r="C6" t="s">
        <v>34</v>
      </c>
      <c r="D6">
        <v>109.2</v>
      </c>
      <c r="E6">
        <v>108.7</v>
      </c>
      <c r="F6">
        <v>110.2</v>
      </c>
      <c r="G6">
        <v>105.4</v>
      </c>
      <c r="H6">
        <v>106.7</v>
      </c>
      <c r="I6">
        <v>104</v>
      </c>
      <c r="J6">
        <v>102.4</v>
      </c>
      <c r="K6">
        <v>105.9</v>
      </c>
      <c r="L6">
        <v>105.7</v>
      </c>
      <c r="M6">
        <v>103.1</v>
      </c>
      <c r="N6">
        <v>105.1</v>
      </c>
      <c r="O6">
        <v>107.7</v>
      </c>
      <c r="P6">
        <v>106.3</v>
      </c>
      <c r="Q6">
        <v>105.6</v>
      </c>
      <c r="R6">
        <v>107.1</v>
      </c>
      <c r="S6">
        <v>106.3</v>
      </c>
      <c r="T6">
        <v>107</v>
      </c>
      <c r="U6">
        <v>0</v>
      </c>
      <c r="V6" s="5">
        <v>106.2</v>
      </c>
      <c r="W6">
        <v>105.2</v>
      </c>
      <c r="X6">
        <v>104.4</v>
      </c>
      <c r="Y6">
        <v>103.9</v>
      </c>
      <c r="Z6">
        <v>104</v>
      </c>
      <c r="AA6">
        <v>104.1</v>
      </c>
      <c r="AB6">
        <v>104.6</v>
      </c>
      <c r="AC6">
        <v>104.4</v>
      </c>
      <c r="AD6">
        <v>105.8</v>
      </c>
      <c r="AE6" s="72">
        <f t="shared" si="0"/>
        <v>1485.9999999999998</v>
      </c>
      <c r="AF6" s="4">
        <f t="shared" si="1"/>
        <v>425</v>
      </c>
      <c r="AG6" s="4">
        <f t="shared" si="2"/>
        <v>315.3</v>
      </c>
      <c r="AH6" s="4">
        <f t="shared" si="3"/>
        <v>416.9</v>
      </c>
      <c r="AI6" s="6">
        <f t="shared" si="4"/>
        <v>2643.2</v>
      </c>
    </row>
    <row r="7" spans="1:35" x14ac:dyDescent="0.3">
      <c r="A7" t="s">
        <v>32</v>
      </c>
      <c r="B7">
        <v>2013</v>
      </c>
      <c r="C7" t="s">
        <v>34</v>
      </c>
      <c r="D7">
        <v>112.9</v>
      </c>
      <c r="E7">
        <v>112.9</v>
      </c>
      <c r="F7">
        <v>116.9</v>
      </c>
      <c r="G7">
        <v>104</v>
      </c>
      <c r="H7">
        <v>103.5</v>
      </c>
      <c r="I7">
        <v>103.1</v>
      </c>
      <c r="J7">
        <v>104.9</v>
      </c>
      <c r="K7">
        <v>104.1</v>
      </c>
      <c r="L7">
        <v>103.8</v>
      </c>
      <c r="M7">
        <v>102.3</v>
      </c>
      <c r="N7">
        <v>106</v>
      </c>
      <c r="O7">
        <v>109</v>
      </c>
      <c r="P7">
        <v>107.2</v>
      </c>
      <c r="Q7">
        <v>106</v>
      </c>
      <c r="R7">
        <v>106.6</v>
      </c>
      <c r="S7">
        <v>105.5</v>
      </c>
      <c r="T7">
        <v>106.4</v>
      </c>
      <c r="U7">
        <v>100.4</v>
      </c>
      <c r="V7" s="5">
        <v>105.7</v>
      </c>
      <c r="W7">
        <v>105.2</v>
      </c>
      <c r="X7">
        <v>104.7</v>
      </c>
      <c r="Y7">
        <v>104.4</v>
      </c>
      <c r="Z7">
        <v>103.3</v>
      </c>
      <c r="AA7">
        <v>103.7</v>
      </c>
      <c r="AB7">
        <v>104.3</v>
      </c>
      <c r="AC7">
        <v>104.3</v>
      </c>
      <c r="AD7">
        <v>104.7</v>
      </c>
      <c r="AE7" s="72">
        <f t="shared" si="0"/>
        <v>1496.6000000000001</v>
      </c>
      <c r="AF7" s="4">
        <f t="shared" si="1"/>
        <v>422.8</v>
      </c>
      <c r="AG7" s="4">
        <f t="shared" si="2"/>
        <v>415.70000000000005</v>
      </c>
      <c r="AH7" s="4">
        <f t="shared" si="3"/>
        <v>416</v>
      </c>
      <c r="AI7" s="6">
        <f t="shared" si="4"/>
        <v>2751.1000000000004</v>
      </c>
    </row>
    <row r="8" spans="1:35" x14ac:dyDescent="0.3">
      <c r="A8" t="s">
        <v>33</v>
      </c>
      <c r="B8">
        <v>2013</v>
      </c>
      <c r="C8" t="s">
        <v>34</v>
      </c>
      <c r="D8">
        <v>110.4</v>
      </c>
      <c r="E8">
        <v>110.2</v>
      </c>
      <c r="F8">
        <v>112.8</v>
      </c>
      <c r="G8">
        <v>104.9</v>
      </c>
      <c r="H8">
        <v>105.5</v>
      </c>
      <c r="I8">
        <v>103.6</v>
      </c>
      <c r="J8">
        <v>103.2</v>
      </c>
      <c r="K8">
        <v>105.3</v>
      </c>
      <c r="L8">
        <v>105.1</v>
      </c>
      <c r="M8">
        <v>102.8</v>
      </c>
      <c r="N8">
        <v>105.5</v>
      </c>
      <c r="O8">
        <v>108.3</v>
      </c>
      <c r="P8">
        <v>106.6</v>
      </c>
      <c r="Q8">
        <v>105.7</v>
      </c>
      <c r="R8">
        <v>106.9</v>
      </c>
      <c r="S8">
        <v>106</v>
      </c>
      <c r="T8">
        <v>106.8</v>
      </c>
      <c r="U8">
        <v>100.4</v>
      </c>
      <c r="V8" s="5">
        <v>106</v>
      </c>
      <c r="W8">
        <v>105.2</v>
      </c>
      <c r="X8">
        <v>104.5</v>
      </c>
      <c r="Y8">
        <v>104.2</v>
      </c>
      <c r="Z8">
        <v>103.6</v>
      </c>
      <c r="AA8">
        <v>103.9</v>
      </c>
      <c r="AB8">
        <v>104.5</v>
      </c>
      <c r="AC8">
        <v>104.4</v>
      </c>
      <c r="AD8">
        <v>105.3</v>
      </c>
      <c r="AE8" s="72">
        <f t="shared" si="0"/>
        <v>1489.9</v>
      </c>
      <c r="AF8" s="4">
        <f t="shared" si="1"/>
        <v>424.2</v>
      </c>
      <c r="AG8" s="4">
        <f t="shared" si="2"/>
        <v>415.8</v>
      </c>
      <c r="AH8" s="4">
        <f t="shared" si="3"/>
        <v>416.4</v>
      </c>
      <c r="AI8" s="6">
        <f t="shared" si="4"/>
        <v>2746.3</v>
      </c>
    </row>
    <row r="9" spans="1:35" x14ac:dyDescent="0.3">
      <c r="A9" t="s">
        <v>30</v>
      </c>
      <c r="B9">
        <v>2013</v>
      </c>
      <c r="C9" t="s">
        <v>35</v>
      </c>
      <c r="D9">
        <v>110.2</v>
      </c>
      <c r="E9">
        <v>108.8</v>
      </c>
      <c r="F9">
        <v>109.9</v>
      </c>
      <c r="G9">
        <v>105.6</v>
      </c>
      <c r="H9">
        <v>106.2</v>
      </c>
      <c r="I9">
        <v>105.7</v>
      </c>
      <c r="J9">
        <v>101.4</v>
      </c>
      <c r="K9">
        <v>105.7</v>
      </c>
      <c r="L9">
        <v>105</v>
      </c>
      <c r="M9">
        <v>103.3</v>
      </c>
      <c r="N9">
        <v>105.6</v>
      </c>
      <c r="O9">
        <v>108.2</v>
      </c>
      <c r="P9">
        <v>106.6</v>
      </c>
      <c r="Q9">
        <v>106.5</v>
      </c>
      <c r="R9">
        <v>107.6</v>
      </c>
      <c r="S9">
        <v>106.8</v>
      </c>
      <c r="T9">
        <v>107.5</v>
      </c>
      <c r="U9">
        <v>0</v>
      </c>
      <c r="V9" s="5">
        <v>106.1</v>
      </c>
      <c r="W9">
        <v>105.6</v>
      </c>
      <c r="X9">
        <v>104.7</v>
      </c>
      <c r="Y9">
        <v>104.6</v>
      </c>
      <c r="Z9">
        <v>104</v>
      </c>
      <c r="AA9">
        <v>104.3</v>
      </c>
      <c r="AB9">
        <v>104.3</v>
      </c>
      <c r="AC9">
        <v>104.6</v>
      </c>
      <c r="AD9">
        <v>106</v>
      </c>
      <c r="AE9" s="72">
        <f t="shared" si="0"/>
        <v>1488.7</v>
      </c>
      <c r="AF9" s="4">
        <f t="shared" si="1"/>
        <v>426.2</v>
      </c>
      <c r="AG9" s="4">
        <f t="shared" si="2"/>
        <v>316.29999999999995</v>
      </c>
      <c r="AH9" s="4">
        <f t="shared" si="3"/>
        <v>417.6</v>
      </c>
      <c r="AI9" s="6">
        <f t="shared" si="4"/>
        <v>2648.7999999999997</v>
      </c>
    </row>
    <row r="10" spans="1:35" x14ac:dyDescent="0.3">
      <c r="A10" t="s">
        <v>32</v>
      </c>
      <c r="B10">
        <v>2013</v>
      </c>
      <c r="C10" t="s">
        <v>35</v>
      </c>
      <c r="D10">
        <v>113.9</v>
      </c>
      <c r="E10">
        <v>111.4</v>
      </c>
      <c r="F10">
        <v>113.2</v>
      </c>
      <c r="G10">
        <v>104.3</v>
      </c>
      <c r="H10">
        <v>102.7</v>
      </c>
      <c r="I10">
        <v>104.9</v>
      </c>
      <c r="J10">
        <v>103.8</v>
      </c>
      <c r="K10">
        <v>103.5</v>
      </c>
      <c r="L10">
        <v>102.6</v>
      </c>
      <c r="M10">
        <v>102.4</v>
      </c>
      <c r="N10">
        <v>107</v>
      </c>
      <c r="O10">
        <v>109.8</v>
      </c>
      <c r="P10">
        <v>107.3</v>
      </c>
      <c r="Q10">
        <v>106.8</v>
      </c>
      <c r="R10">
        <v>107.2</v>
      </c>
      <c r="S10">
        <v>106</v>
      </c>
      <c r="T10">
        <v>107</v>
      </c>
      <c r="U10">
        <v>100.4</v>
      </c>
      <c r="V10" s="5">
        <v>106</v>
      </c>
      <c r="W10">
        <v>105.7</v>
      </c>
      <c r="X10">
        <v>105.2</v>
      </c>
      <c r="Y10">
        <v>105.5</v>
      </c>
      <c r="Z10">
        <v>103.5</v>
      </c>
      <c r="AA10">
        <v>103.8</v>
      </c>
      <c r="AB10">
        <v>104.2</v>
      </c>
      <c r="AC10">
        <v>104.9</v>
      </c>
      <c r="AD10">
        <v>105</v>
      </c>
      <c r="AE10" s="72">
        <f t="shared" si="0"/>
        <v>1493.6</v>
      </c>
      <c r="AF10" s="4">
        <f t="shared" si="1"/>
        <v>424.4</v>
      </c>
      <c r="AG10" s="4">
        <f t="shared" si="2"/>
        <v>417.6</v>
      </c>
      <c r="AH10" s="4">
        <f t="shared" si="3"/>
        <v>417.4</v>
      </c>
      <c r="AI10" s="6">
        <f t="shared" si="4"/>
        <v>2753</v>
      </c>
    </row>
    <row r="11" spans="1:35" x14ac:dyDescent="0.3">
      <c r="A11" t="s">
        <v>33</v>
      </c>
      <c r="B11">
        <v>2013</v>
      </c>
      <c r="C11" t="s">
        <v>35</v>
      </c>
      <c r="D11">
        <v>111.4</v>
      </c>
      <c r="E11">
        <v>109.7</v>
      </c>
      <c r="F11">
        <v>111.2</v>
      </c>
      <c r="G11">
        <v>105.1</v>
      </c>
      <c r="H11">
        <v>104.9</v>
      </c>
      <c r="I11">
        <v>105.3</v>
      </c>
      <c r="J11">
        <v>102.2</v>
      </c>
      <c r="K11">
        <v>105</v>
      </c>
      <c r="L11">
        <v>104.2</v>
      </c>
      <c r="M11">
        <v>103</v>
      </c>
      <c r="N11">
        <v>106.2</v>
      </c>
      <c r="O11">
        <v>108.9</v>
      </c>
      <c r="P11">
        <v>106.9</v>
      </c>
      <c r="Q11">
        <v>106.6</v>
      </c>
      <c r="R11">
        <v>107.4</v>
      </c>
      <c r="S11">
        <v>106.5</v>
      </c>
      <c r="T11">
        <v>107.3</v>
      </c>
      <c r="U11">
        <v>100.4</v>
      </c>
      <c r="V11" s="5">
        <v>106.1</v>
      </c>
      <c r="W11">
        <v>105.6</v>
      </c>
      <c r="X11">
        <v>104.9</v>
      </c>
      <c r="Y11">
        <v>105.1</v>
      </c>
      <c r="Z11">
        <v>103.7</v>
      </c>
      <c r="AA11">
        <v>104</v>
      </c>
      <c r="AB11">
        <v>104.3</v>
      </c>
      <c r="AC11">
        <v>104.7</v>
      </c>
      <c r="AD11">
        <v>105.5</v>
      </c>
      <c r="AE11" s="72">
        <f t="shared" si="0"/>
        <v>1490.6000000000001</v>
      </c>
      <c r="AF11" s="4">
        <f t="shared" si="1"/>
        <v>425.5</v>
      </c>
      <c r="AG11" s="4">
        <f t="shared" si="2"/>
        <v>417.20000000000005</v>
      </c>
      <c r="AH11" s="4">
        <f t="shared" si="3"/>
        <v>417.3</v>
      </c>
      <c r="AI11" s="6">
        <f t="shared" si="4"/>
        <v>2750.6000000000004</v>
      </c>
    </row>
    <row r="12" spans="1:35" x14ac:dyDescent="0.3">
      <c r="A12" t="s">
        <v>30</v>
      </c>
      <c r="B12">
        <v>2013</v>
      </c>
      <c r="C12" t="s">
        <v>36</v>
      </c>
      <c r="D12">
        <v>110.2</v>
      </c>
      <c r="E12">
        <v>109.5</v>
      </c>
      <c r="F12">
        <v>106.9</v>
      </c>
      <c r="G12">
        <v>106.3</v>
      </c>
      <c r="H12">
        <v>105.7</v>
      </c>
      <c r="I12">
        <v>108.3</v>
      </c>
      <c r="J12">
        <v>103.4</v>
      </c>
      <c r="K12">
        <v>105.7</v>
      </c>
      <c r="L12">
        <v>104.2</v>
      </c>
      <c r="M12">
        <v>103.2</v>
      </c>
      <c r="N12">
        <v>106.5</v>
      </c>
      <c r="O12">
        <v>108.8</v>
      </c>
      <c r="P12">
        <v>107.1</v>
      </c>
      <c r="Q12">
        <v>107.1</v>
      </c>
      <c r="R12">
        <v>108.1</v>
      </c>
      <c r="S12">
        <v>107.4</v>
      </c>
      <c r="T12">
        <v>108</v>
      </c>
      <c r="U12">
        <v>0</v>
      </c>
      <c r="V12" s="5">
        <v>106.5</v>
      </c>
      <c r="W12">
        <v>106.1</v>
      </c>
      <c r="X12">
        <v>105.1</v>
      </c>
      <c r="Y12">
        <v>104.4</v>
      </c>
      <c r="Z12">
        <v>104.5</v>
      </c>
      <c r="AA12">
        <v>104.8</v>
      </c>
      <c r="AB12">
        <v>102.7</v>
      </c>
      <c r="AC12">
        <v>104.6</v>
      </c>
      <c r="AD12">
        <v>106.4</v>
      </c>
      <c r="AE12" s="72">
        <f t="shared" si="0"/>
        <v>1492.8999999999999</v>
      </c>
      <c r="AF12" s="4">
        <f t="shared" si="1"/>
        <v>426.2</v>
      </c>
      <c r="AG12" s="4">
        <f t="shared" si="2"/>
        <v>317</v>
      </c>
      <c r="AH12" s="4">
        <f t="shared" si="3"/>
        <v>419</v>
      </c>
      <c r="AI12" s="6">
        <f t="shared" si="4"/>
        <v>2655.1</v>
      </c>
    </row>
    <row r="13" spans="1:35" x14ac:dyDescent="0.3">
      <c r="A13" t="s">
        <v>32</v>
      </c>
      <c r="B13">
        <v>2013</v>
      </c>
      <c r="C13" t="s">
        <v>36</v>
      </c>
      <c r="D13">
        <v>114.6</v>
      </c>
      <c r="E13">
        <v>113.4</v>
      </c>
      <c r="F13">
        <v>106</v>
      </c>
      <c r="G13">
        <v>104.7</v>
      </c>
      <c r="H13">
        <v>102.1</v>
      </c>
      <c r="I13">
        <v>109.5</v>
      </c>
      <c r="J13">
        <v>109.7</v>
      </c>
      <c r="K13">
        <v>104.6</v>
      </c>
      <c r="L13">
        <v>102</v>
      </c>
      <c r="M13">
        <v>103.5</v>
      </c>
      <c r="N13">
        <v>108.2</v>
      </c>
      <c r="O13">
        <v>110.6</v>
      </c>
      <c r="P13">
        <v>108.8</v>
      </c>
      <c r="Q13">
        <v>108.5</v>
      </c>
      <c r="R13">
        <v>107.9</v>
      </c>
      <c r="S13">
        <v>106.4</v>
      </c>
      <c r="T13">
        <v>107.7</v>
      </c>
      <c r="U13">
        <v>100.5</v>
      </c>
      <c r="V13" s="5">
        <v>106.4</v>
      </c>
      <c r="W13">
        <v>106.5</v>
      </c>
      <c r="X13">
        <v>105.7</v>
      </c>
      <c r="Y13">
        <v>105</v>
      </c>
      <c r="Z13">
        <v>104</v>
      </c>
      <c r="AA13">
        <v>105.2</v>
      </c>
      <c r="AB13">
        <v>103.2</v>
      </c>
      <c r="AC13">
        <v>105.1</v>
      </c>
      <c r="AD13">
        <v>105.7</v>
      </c>
      <c r="AE13" s="72">
        <f t="shared" si="0"/>
        <v>1506.1999999999998</v>
      </c>
      <c r="AF13" s="4">
        <f t="shared" si="1"/>
        <v>425.2</v>
      </c>
      <c r="AG13" s="4">
        <f t="shared" si="2"/>
        <v>418.4</v>
      </c>
      <c r="AH13" s="4">
        <f t="shared" si="3"/>
        <v>420</v>
      </c>
      <c r="AI13" s="6">
        <f t="shared" si="4"/>
        <v>2769.7999999999997</v>
      </c>
    </row>
    <row r="14" spans="1:35" x14ac:dyDescent="0.3">
      <c r="A14" t="s">
        <v>33</v>
      </c>
      <c r="B14">
        <v>2013</v>
      </c>
      <c r="C14" t="s">
        <v>36</v>
      </c>
      <c r="D14">
        <v>111.6</v>
      </c>
      <c r="E14">
        <v>110.9</v>
      </c>
      <c r="F14">
        <v>106.6</v>
      </c>
      <c r="G14">
        <v>105.7</v>
      </c>
      <c r="H14">
        <v>104.4</v>
      </c>
      <c r="I14">
        <v>108.9</v>
      </c>
      <c r="J14">
        <v>105.5</v>
      </c>
      <c r="K14">
        <v>105.3</v>
      </c>
      <c r="L14">
        <v>103.5</v>
      </c>
      <c r="M14">
        <v>103.3</v>
      </c>
      <c r="N14">
        <v>107.2</v>
      </c>
      <c r="O14">
        <v>109.6</v>
      </c>
      <c r="P14">
        <v>107.7</v>
      </c>
      <c r="Q14">
        <v>107.5</v>
      </c>
      <c r="R14">
        <v>108</v>
      </c>
      <c r="S14">
        <v>107</v>
      </c>
      <c r="T14">
        <v>107.9</v>
      </c>
      <c r="U14">
        <v>100.5</v>
      </c>
      <c r="V14" s="5">
        <v>106.5</v>
      </c>
      <c r="W14">
        <v>106.3</v>
      </c>
      <c r="X14">
        <v>105.3</v>
      </c>
      <c r="Y14">
        <v>104.7</v>
      </c>
      <c r="Z14">
        <v>104.2</v>
      </c>
      <c r="AA14">
        <v>105</v>
      </c>
      <c r="AB14">
        <v>102.9</v>
      </c>
      <c r="AC14">
        <v>104.8</v>
      </c>
      <c r="AD14">
        <v>106.1</v>
      </c>
      <c r="AE14" s="72">
        <f t="shared" si="0"/>
        <v>1497.7</v>
      </c>
      <c r="AF14" s="4">
        <f t="shared" si="1"/>
        <v>425.79999999999995</v>
      </c>
      <c r="AG14" s="4">
        <f t="shared" si="2"/>
        <v>418</v>
      </c>
      <c r="AH14" s="4">
        <f t="shared" si="3"/>
        <v>419.3</v>
      </c>
      <c r="AI14" s="6">
        <f t="shared" si="4"/>
        <v>2760.8</v>
      </c>
    </row>
    <row r="15" spans="1:35" x14ac:dyDescent="0.3">
      <c r="A15" t="s">
        <v>30</v>
      </c>
      <c r="B15">
        <v>2013</v>
      </c>
      <c r="C15" t="s">
        <v>37</v>
      </c>
      <c r="D15">
        <v>110.9</v>
      </c>
      <c r="E15">
        <v>109.8</v>
      </c>
      <c r="F15">
        <v>105.9</v>
      </c>
      <c r="G15">
        <v>107.5</v>
      </c>
      <c r="H15">
        <v>105.3</v>
      </c>
      <c r="I15">
        <v>108.1</v>
      </c>
      <c r="J15">
        <v>107.3</v>
      </c>
      <c r="K15">
        <v>106.1</v>
      </c>
      <c r="L15">
        <v>103.7</v>
      </c>
      <c r="M15">
        <v>104</v>
      </c>
      <c r="N15">
        <v>107.4</v>
      </c>
      <c r="O15">
        <v>109.9</v>
      </c>
      <c r="P15">
        <v>108.1</v>
      </c>
      <c r="Q15">
        <v>108.1</v>
      </c>
      <c r="R15">
        <v>108.8</v>
      </c>
      <c r="S15">
        <v>107.9</v>
      </c>
      <c r="T15">
        <v>108.6</v>
      </c>
      <c r="U15">
        <v>0</v>
      </c>
      <c r="V15" s="5">
        <v>107.5</v>
      </c>
      <c r="W15">
        <v>106.8</v>
      </c>
      <c r="X15">
        <v>105.7</v>
      </c>
      <c r="Y15">
        <v>104.1</v>
      </c>
      <c r="Z15">
        <v>105</v>
      </c>
      <c r="AA15">
        <v>105.5</v>
      </c>
      <c r="AB15">
        <v>102.1</v>
      </c>
      <c r="AC15">
        <v>104.8</v>
      </c>
      <c r="AD15">
        <v>107.2</v>
      </c>
      <c r="AE15" s="72">
        <f t="shared" si="0"/>
        <v>1502.1</v>
      </c>
      <c r="AF15" s="4">
        <f t="shared" si="1"/>
        <v>427.4</v>
      </c>
      <c r="AG15" s="4">
        <f t="shared" si="2"/>
        <v>318.39999999999998</v>
      </c>
      <c r="AH15" s="4">
        <f t="shared" si="3"/>
        <v>421</v>
      </c>
      <c r="AI15" s="6">
        <f t="shared" si="4"/>
        <v>2668.9</v>
      </c>
    </row>
    <row r="16" spans="1:35" x14ac:dyDescent="0.3">
      <c r="A16" t="s">
        <v>32</v>
      </c>
      <c r="B16">
        <v>2013</v>
      </c>
      <c r="C16" t="s">
        <v>37</v>
      </c>
      <c r="D16">
        <v>115.4</v>
      </c>
      <c r="E16">
        <v>114.2</v>
      </c>
      <c r="F16">
        <v>102.7</v>
      </c>
      <c r="G16">
        <v>105.5</v>
      </c>
      <c r="H16">
        <v>101.5</v>
      </c>
      <c r="I16">
        <v>110.6</v>
      </c>
      <c r="J16">
        <v>123.7</v>
      </c>
      <c r="K16">
        <v>105.2</v>
      </c>
      <c r="L16">
        <v>101.9</v>
      </c>
      <c r="M16">
        <v>105</v>
      </c>
      <c r="N16">
        <v>109.1</v>
      </c>
      <c r="O16">
        <v>111.3</v>
      </c>
      <c r="P16">
        <v>111.1</v>
      </c>
      <c r="Q16">
        <v>109.8</v>
      </c>
      <c r="R16">
        <v>108.5</v>
      </c>
      <c r="S16">
        <v>106.7</v>
      </c>
      <c r="T16">
        <v>108.3</v>
      </c>
      <c r="U16">
        <v>100.5</v>
      </c>
      <c r="V16" s="5">
        <v>107.2</v>
      </c>
      <c r="W16">
        <v>107.1</v>
      </c>
      <c r="X16">
        <v>106.2</v>
      </c>
      <c r="Y16">
        <v>103.9</v>
      </c>
      <c r="Z16">
        <v>104.6</v>
      </c>
      <c r="AA16">
        <v>105.7</v>
      </c>
      <c r="AB16">
        <v>102.6</v>
      </c>
      <c r="AC16">
        <v>104.9</v>
      </c>
      <c r="AD16">
        <v>106.6</v>
      </c>
      <c r="AE16" s="72">
        <f t="shared" si="0"/>
        <v>1526.9999999999998</v>
      </c>
      <c r="AF16" s="4">
        <f t="shared" si="1"/>
        <v>426.1</v>
      </c>
      <c r="AG16" s="4">
        <f t="shared" si="2"/>
        <v>418.69999999999993</v>
      </c>
      <c r="AH16" s="4">
        <f t="shared" si="3"/>
        <v>421.4</v>
      </c>
      <c r="AI16" s="6">
        <f t="shared" si="4"/>
        <v>2793.2</v>
      </c>
    </row>
    <row r="17" spans="1:35" x14ac:dyDescent="0.3">
      <c r="A17" t="s">
        <v>33</v>
      </c>
      <c r="B17">
        <v>2013</v>
      </c>
      <c r="C17" t="s">
        <v>37</v>
      </c>
      <c r="D17">
        <v>112.3</v>
      </c>
      <c r="E17">
        <v>111.3</v>
      </c>
      <c r="F17">
        <v>104.7</v>
      </c>
      <c r="G17">
        <v>106.8</v>
      </c>
      <c r="H17">
        <v>103.9</v>
      </c>
      <c r="I17">
        <v>109.3</v>
      </c>
      <c r="J17">
        <v>112.9</v>
      </c>
      <c r="K17">
        <v>105.8</v>
      </c>
      <c r="L17">
        <v>103.1</v>
      </c>
      <c r="M17">
        <v>104.3</v>
      </c>
      <c r="N17">
        <v>108.1</v>
      </c>
      <c r="O17">
        <v>110.5</v>
      </c>
      <c r="P17">
        <v>109.2</v>
      </c>
      <c r="Q17">
        <v>108.6</v>
      </c>
      <c r="R17">
        <v>108.7</v>
      </c>
      <c r="S17">
        <v>107.4</v>
      </c>
      <c r="T17">
        <v>108.5</v>
      </c>
      <c r="U17">
        <v>100.5</v>
      </c>
      <c r="V17" s="5">
        <v>107.4</v>
      </c>
      <c r="W17">
        <v>106.9</v>
      </c>
      <c r="X17">
        <v>105.9</v>
      </c>
      <c r="Y17">
        <v>104</v>
      </c>
      <c r="Z17">
        <v>104.8</v>
      </c>
      <c r="AA17">
        <v>105.6</v>
      </c>
      <c r="AB17">
        <v>102.3</v>
      </c>
      <c r="AC17">
        <v>104.8</v>
      </c>
      <c r="AD17">
        <v>106.9</v>
      </c>
      <c r="AE17" s="72">
        <f t="shared" si="0"/>
        <v>1510.7999999999997</v>
      </c>
      <c r="AF17" s="4">
        <f t="shared" si="1"/>
        <v>426.90000000000003</v>
      </c>
      <c r="AG17" s="4">
        <f t="shared" si="2"/>
        <v>418.8</v>
      </c>
      <c r="AH17" s="4">
        <f t="shared" si="3"/>
        <v>421.09999999999997</v>
      </c>
      <c r="AI17" s="6">
        <f t="shared" si="4"/>
        <v>2777.6</v>
      </c>
    </row>
    <row r="18" spans="1:35" x14ac:dyDescent="0.3">
      <c r="A18" t="s">
        <v>30</v>
      </c>
      <c r="B18">
        <v>2013</v>
      </c>
      <c r="C18" t="s">
        <v>38</v>
      </c>
      <c r="D18">
        <v>112.3</v>
      </c>
      <c r="E18">
        <v>112.1</v>
      </c>
      <c r="F18">
        <v>108.1</v>
      </c>
      <c r="G18">
        <v>108.3</v>
      </c>
      <c r="H18">
        <v>105.9</v>
      </c>
      <c r="I18">
        <v>109.2</v>
      </c>
      <c r="J18">
        <v>118</v>
      </c>
      <c r="K18">
        <v>106.8</v>
      </c>
      <c r="L18">
        <v>104.1</v>
      </c>
      <c r="M18">
        <v>105.4</v>
      </c>
      <c r="N18">
        <v>108.2</v>
      </c>
      <c r="O18">
        <v>111</v>
      </c>
      <c r="P18">
        <v>110.6</v>
      </c>
      <c r="Q18">
        <v>109</v>
      </c>
      <c r="R18">
        <v>109.7</v>
      </c>
      <c r="S18">
        <v>108.8</v>
      </c>
      <c r="T18">
        <v>109.5</v>
      </c>
      <c r="U18">
        <v>0</v>
      </c>
      <c r="V18" s="5">
        <v>108.5</v>
      </c>
      <c r="W18">
        <v>107.5</v>
      </c>
      <c r="X18">
        <v>106.3</v>
      </c>
      <c r="Y18">
        <v>105</v>
      </c>
      <c r="Z18">
        <v>105.6</v>
      </c>
      <c r="AA18">
        <v>106.5</v>
      </c>
      <c r="AB18">
        <v>102.5</v>
      </c>
      <c r="AC18">
        <v>105.5</v>
      </c>
      <c r="AD18">
        <v>108.9</v>
      </c>
      <c r="AE18" s="72">
        <f t="shared" si="0"/>
        <v>1529</v>
      </c>
      <c r="AF18" s="4">
        <f t="shared" si="1"/>
        <v>430.5</v>
      </c>
      <c r="AG18" s="4">
        <f t="shared" si="2"/>
        <v>321</v>
      </c>
      <c r="AH18" s="4">
        <f t="shared" si="3"/>
        <v>423.9</v>
      </c>
      <c r="AI18" s="6">
        <f t="shared" si="4"/>
        <v>2704.4</v>
      </c>
    </row>
    <row r="19" spans="1:35" x14ac:dyDescent="0.3">
      <c r="A19" t="s">
        <v>32</v>
      </c>
      <c r="B19">
        <v>2013</v>
      </c>
      <c r="C19" t="s">
        <v>38</v>
      </c>
      <c r="D19">
        <v>117</v>
      </c>
      <c r="E19">
        <v>120.1</v>
      </c>
      <c r="F19">
        <v>112.5</v>
      </c>
      <c r="G19">
        <v>107.3</v>
      </c>
      <c r="H19">
        <v>101.3</v>
      </c>
      <c r="I19">
        <v>112.4</v>
      </c>
      <c r="J19">
        <v>143.6</v>
      </c>
      <c r="K19">
        <v>105.4</v>
      </c>
      <c r="L19">
        <v>101.4</v>
      </c>
      <c r="M19">
        <v>106.4</v>
      </c>
      <c r="N19">
        <v>110</v>
      </c>
      <c r="O19">
        <v>112.2</v>
      </c>
      <c r="P19">
        <v>115</v>
      </c>
      <c r="Q19">
        <v>110.9</v>
      </c>
      <c r="R19">
        <v>109.2</v>
      </c>
      <c r="S19">
        <v>107.2</v>
      </c>
      <c r="T19">
        <v>108.9</v>
      </c>
      <c r="U19">
        <v>106.6</v>
      </c>
      <c r="V19" s="5">
        <v>108</v>
      </c>
      <c r="W19">
        <v>107.7</v>
      </c>
      <c r="X19">
        <v>106.5</v>
      </c>
      <c r="Y19">
        <v>105.2</v>
      </c>
      <c r="Z19">
        <v>105.2</v>
      </c>
      <c r="AA19">
        <v>108.1</v>
      </c>
      <c r="AB19">
        <v>103.3</v>
      </c>
      <c r="AC19">
        <v>106.1</v>
      </c>
      <c r="AD19">
        <v>109.7</v>
      </c>
      <c r="AE19" s="72">
        <f t="shared" si="0"/>
        <v>1575.5000000000002</v>
      </c>
      <c r="AF19" s="4">
        <f t="shared" si="1"/>
        <v>428.6</v>
      </c>
      <c r="AG19" s="4">
        <f t="shared" si="2"/>
        <v>427.5</v>
      </c>
      <c r="AH19" s="4">
        <f t="shared" si="3"/>
        <v>425.9</v>
      </c>
      <c r="AI19" s="6">
        <f t="shared" si="4"/>
        <v>2857.5000000000005</v>
      </c>
    </row>
    <row r="20" spans="1:35" x14ac:dyDescent="0.3">
      <c r="A20" t="s">
        <v>33</v>
      </c>
      <c r="B20">
        <v>2013</v>
      </c>
      <c r="C20" t="s">
        <v>38</v>
      </c>
      <c r="D20">
        <v>113.8</v>
      </c>
      <c r="E20">
        <v>114.9</v>
      </c>
      <c r="F20">
        <v>109.8</v>
      </c>
      <c r="G20">
        <v>107.9</v>
      </c>
      <c r="H20">
        <v>104.2</v>
      </c>
      <c r="I20">
        <v>110.7</v>
      </c>
      <c r="J20">
        <v>126.7</v>
      </c>
      <c r="K20">
        <v>106.3</v>
      </c>
      <c r="L20">
        <v>103.2</v>
      </c>
      <c r="M20">
        <v>105.7</v>
      </c>
      <c r="N20">
        <v>109</v>
      </c>
      <c r="O20">
        <v>111.6</v>
      </c>
      <c r="P20">
        <v>112.2</v>
      </c>
      <c r="Q20">
        <v>109.5</v>
      </c>
      <c r="R20">
        <v>109.5</v>
      </c>
      <c r="S20">
        <v>108.1</v>
      </c>
      <c r="T20">
        <v>109.3</v>
      </c>
      <c r="U20">
        <v>106.6</v>
      </c>
      <c r="V20" s="5">
        <v>108.3</v>
      </c>
      <c r="W20">
        <v>107.6</v>
      </c>
      <c r="X20">
        <v>106.4</v>
      </c>
      <c r="Y20">
        <v>105.1</v>
      </c>
      <c r="Z20">
        <v>105.4</v>
      </c>
      <c r="AA20">
        <v>107.4</v>
      </c>
      <c r="AB20">
        <v>102.8</v>
      </c>
      <c r="AC20">
        <v>105.8</v>
      </c>
      <c r="AD20">
        <v>109.3</v>
      </c>
      <c r="AE20" s="72">
        <f t="shared" si="0"/>
        <v>1545.5</v>
      </c>
      <c r="AF20" s="4">
        <f t="shared" si="1"/>
        <v>429.7</v>
      </c>
      <c r="AG20" s="4">
        <f t="shared" si="2"/>
        <v>427.6</v>
      </c>
      <c r="AH20" s="4">
        <f t="shared" si="3"/>
        <v>425.00000000000006</v>
      </c>
      <c r="AI20" s="6">
        <f t="shared" si="4"/>
        <v>2827.8</v>
      </c>
    </row>
    <row r="21" spans="1:35" x14ac:dyDescent="0.3">
      <c r="A21" t="s">
        <v>30</v>
      </c>
      <c r="B21">
        <v>2013</v>
      </c>
      <c r="C21" t="s">
        <v>39</v>
      </c>
      <c r="D21">
        <v>113.4</v>
      </c>
      <c r="E21">
        <v>114.9</v>
      </c>
      <c r="F21">
        <v>110.5</v>
      </c>
      <c r="G21">
        <v>109.3</v>
      </c>
      <c r="H21">
        <v>106.2</v>
      </c>
      <c r="I21">
        <v>110.3</v>
      </c>
      <c r="J21">
        <v>129.19999999999999</v>
      </c>
      <c r="K21">
        <v>107.1</v>
      </c>
      <c r="L21">
        <v>104.3</v>
      </c>
      <c r="M21">
        <v>106.4</v>
      </c>
      <c r="N21">
        <v>109.1</v>
      </c>
      <c r="O21">
        <v>112.1</v>
      </c>
      <c r="P21">
        <v>113.1</v>
      </c>
      <c r="Q21">
        <v>109.8</v>
      </c>
      <c r="R21">
        <v>110.5</v>
      </c>
      <c r="S21">
        <v>109.5</v>
      </c>
      <c r="T21">
        <v>110.3</v>
      </c>
      <c r="U21">
        <v>0</v>
      </c>
      <c r="V21" s="5">
        <v>109.5</v>
      </c>
      <c r="W21">
        <v>108.3</v>
      </c>
      <c r="X21">
        <v>106.9</v>
      </c>
      <c r="Y21">
        <v>106.8</v>
      </c>
      <c r="Z21">
        <v>106.4</v>
      </c>
      <c r="AA21">
        <v>107.8</v>
      </c>
      <c r="AB21">
        <v>102.5</v>
      </c>
      <c r="AC21">
        <v>106.5</v>
      </c>
      <c r="AD21">
        <v>110.7</v>
      </c>
      <c r="AE21" s="72">
        <f t="shared" si="0"/>
        <v>1555.6999999999996</v>
      </c>
      <c r="AF21" s="4">
        <f t="shared" si="1"/>
        <v>432.8</v>
      </c>
      <c r="AG21" s="4">
        <f t="shared" si="2"/>
        <v>324.60000000000002</v>
      </c>
      <c r="AH21" s="4">
        <f t="shared" si="3"/>
        <v>427.6</v>
      </c>
      <c r="AI21" s="6">
        <f t="shared" si="4"/>
        <v>2740.6999999999994</v>
      </c>
    </row>
    <row r="22" spans="1:35" x14ac:dyDescent="0.3">
      <c r="A22" t="s">
        <v>32</v>
      </c>
      <c r="B22">
        <v>2013</v>
      </c>
      <c r="C22" t="s">
        <v>39</v>
      </c>
      <c r="D22">
        <v>117.8</v>
      </c>
      <c r="E22">
        <v>119.2</v>
      </c>
      <c r="F22">
        <v>114</v>
      </c>
      <c r="G22">
        <v>108.3</v>
      </c>
      <c r="H22">
        <v>101.1</v>
      </c>
      <c r="I22">
        <v>113.2</v>
      </c>
      <c r="J22">
        <v>160.9</v>
      </c>
      <c r="K22">
        <v>105.1</v>
      </c>
      <c r="L22">
        <v>101.3</v>
      </c>
      <c r="M22">
        <v>107.5</v>
      </c>
      <c r="N22">
        <v>110.4</v>
      </c>
      <c r="O22">
        <v>113.1</v>
      </c>
      <c r="P22">
        <v>117.5</v>
      </c>
      <c r="Q22">
        <v>111.7</v>
      </c>
      <c r="R22">
        <v>109.8</v>
      </c>
      <c r="S22">
        <v>107.8</v>
      </c>
      <c r="T22">
        <v>109.5</v>
      </c>
      <c r="U22">
        <v>107.7</v>
      </c>
      <c r="V22" s="5">
        <v>108.6</v>
      </c>
      <c r="W22">
        <v>108.1</v>
      </c>
      <c r="X22">
        <v>107.1</v>
      </c>
      <c r="Y22">
        <v>107.3</v>
      </c>
      <c r="Z22">
        <v>105.9</v>
      </c>
      <c r="AA22">
        <v>110.1</v>
      </c>
      <c r="AB22">
        <v>103.2</v>
      </c>
      <c r="AC22">
        <v>107.3</v>
      </c>
      <c r="AD22">
        <v>111.4</v>
      </c>
      <c r="AE22" s="72">
        <f t="shared" si="0"/>
        <v>1601.1000000000001</v>
      </c>
      <c r="AF22" s="4">
        <f t="shared" si="1"/>
        <v>430.3</v>
      </c>
      <c r="AG22" s="4">
        <f t="shared" si="2"/>
        <v>431.7</v>
      </c>
      <c r="AH22" s="4">
        <f t="shared" si="3"/>
        <v>430.40000000000003</v>
      </c>
      <c r="AI22" s="6">
        <f t="shared" si="4"/>
        <v>2893.5</v>
      </c>
    </row>
    <row r="23" spans="1:35" x14ac:dyDescent="0.3">
      <c r="A23" t="s">
        <v>33</v>
      </c>
      <c r="B23">
        <v>2013</v>
      </c>
      <c r="C23" t="s">
        <v>39</v>
      </c>
      <c r="D23">
        <v>114.8</v>
      </c>
      <c r="E23">
        <v>116.4</v>
      </c>
      <c r="F23">
        <v>111.9</v>
      </c>
      <c r="G23">
        <v>108.9</v>
      </c>
      <c r="H23">
        <v>104.3</v>
      </c>
      <c r="I23">
        <v>111.7</v>
      </c>
      <c r="J23">
        <v>140</v>
      </c>
      <c r="K23">
        <v>106.4</v>
      </c>
      <c r="L23">
        <v>103.3</v>
      </c>
      <c r="M23">
        <v>106.8</v>
      </c>
      <c r="N23">
        <v>109.6</v>
      </c>
      <c r="O23">
        <v>112.6</v>
      </c>
      <c r="P23">
        <v>114.7</v>
      </c>
      <c r="Q23">
        <v>110.3</v>
      </c>
      <c r="R23">
        <v>110.2</v>
      </c>
      <c r="S23">
        <v>108.8</v>
      </c>
      <c r="T23">
        <v>110</v>
      </c>
      <c r="U23">
        <v>107.7</v>
      </c>
      <c r="V23" s="5">
        <v>109.2</v>
      </c>
      <c r="W23">
        <v>108.2</v>
      </c>
      <c r="X23">
        <v>107</v>
      </c>
      <c r="Y23">
        <v>107.1</v>
      </c>
      <c r="Z23">
        <v>106.1</v>
      </c>
      <c r="AA23">
        <v>109.1</v>
      </c>
      <c r="AB23">
        <v>102.8</v>
      </c>
      <c r="AC23">
        <v>106.9</v>
      </c>
      <c r="AD23">
        <v>111</v>
      </c>
      <c r="AE23" s="72">
        <f t="shared" si="0"/>
        <v>1571.6999999999998</v>
      </c>
      <c r="AF23" s="4">
        <f t="shared" si="1"/>
        <v>431.8</v>
      </c>
      <c r="AG23" s="4">
        <f t="shared" si="2"/>
        <v>432.20000000000005</v>
      </c>
      <c r="AH23" s="4">
        <f t="shared" si="3"/>
        <v>429.1</v>
      </c>
      <c r="AI23" s="6">
        <f t="shared" si="4"/>
        <v>2864.7999999999997</v>
      </c>
    </row>
    <row r="24" spans="1:35" x14ac:dyDescent="0.3">
      <c r="A24" t="s">
        <v>30</v>
      </c>
      <c r="B24">
        <v>2013</v>
      </c>
      <c r="C24" t="s">
        <v>40</v>
      </c>
      <c r="D24">
        <v>114.3</v>
      </c>
      <c r="E24">
        <v>115.4</v>
      </c>
      <c r="F24">
        <v>111.1</v>
      </c>
      <c r="G24">
        <v>110</v>
      </c>
      <c r="H24">
        <v>106.4</v>
      </c>
      <c r="I24">
        <v>110.8</v>
      </c>
      <c r="J24">
        <v>138.9</v>
      </c>
      <c r="K24">
        <v>107.4</v>
      </c>
      <c r="L24">
        <v>104.1</v>
      </c>
      <c r="M24">
        <v>106.9</v>
      </c>
      <c r="N24">
        <v>109.7</v>
      </c>
      <c r="O24">
        <v>112.6</v>
      </c>
      <c r="P24">
        <v>114.9</v>
      </c>
      <c r="Q24">
        <v>110.7</v>
      </c>
      <c r="R24">
        <v>111.3</v>
      </c>
      <c r="S24">
        <v>110.2</v>
      </c>
      <c r="T24">
        <v>111.1</v>
      </c>
      <c r="U24">
        <v>0</v>
      </c>
      <c r="V24" s="5">
        <v>109.9</v>
      </c>
      <c r="W24">
        <v>108.7</v>
      </c>
      <c r="X24">
        <v>107.5</v>
      </c>
      <c r="Y24">
        <v>107.8</v>
      </c>
      <c r="Z24">
        <v>106.8</v>
      </c>
      <c r="AA24">
        <v>108.7</v>
      </c>
      <c r="AB24">
        <v>105</v>
      </c>
      <c r="AC24">
        <v>107.5</v>
      </c>
      <c r="AD24">
        <v>112.1</v>
      </c>
      <c r="AE24" s="72">
        <f t="shared" si="0"/>
        <v>1573.2</v>
      </c>
      <c r="AF24" s="4">
        <f t="shared" si="1"/>
        <v>437.6</v>
      </c>
      <c r="AG24" s="4">
        <f t="shared" si="2"/>
        <v>326.40000000000003</v>
      </c>
      <c r="AH24" s="4">
        <f t="shared" si="3"/>
        <v>430.5</v>
      </c>
      <c r="AI24" s="6">
        <f t="shared" si="4"/>
        <v>2767.7000000000003</v>
      </c>
    </row>
    <row r="25" spans="1:35" x14ac:dyDescent="0.3">
      <c r="A25" t="s">
        <v>32</v>
      </c>
      <c r="B25">
        <v>2013</v>
      </c>
      <c r="C25" t="s">
        <v>40</v>
      </c>
      <c r="D25">
        <v>118.3</v>
      </c>
      <c r="E25">
        <v>120.4</v>
      </c>
      <c r="F25">
        <v>112.7</v>
      </c>
      <c r="G25">
        <v>108.9</v>
      </c>
      <c r="H25">
        <v>101.1</v>
      </c>
      <c r="I25">
        <v>108.7</v>
      </c>
      <c r="J25">
        <v>177</v>
      </c>
      <c r="K25">
        <v>104.7</v>
      </c>
      <c r="L25">
        <v>101</v>
      </c>
      <c r="M25">
        <v>108.5</v>
      </c>
      <c r="N25">
        <v>110.9</v>
      </c>
      <c r="O25">
        <v>114.3</v>
      </c>
      <c r="P25">
        <v>119.6</v>
      </c>
      <c r="Q25">
        <v>112.4</v>
      </c>
      <c r="R25">
        <v>110.6</v>
      </c>
      <c r="S25">
        <v>108.3</v>
      </c>
      <c r="T25">
        <v>110.2</v>
      </c>
      <c r="U25">
        <v>108.9</v>
      </c>
      <c r="V25" s="5">
        <v>109.3</v>
      </c>
      <c r="W25">
        <v>108.7</v>
      </c>
      <c r="X25">
        <v>107.6</v>
      </c>
      <c r="Y25">
        <v>108.1</v>
      </c>
      <c r="Z25">
        <v>106.5</v>
      </c>
      <c r="AA25">
        <v>110.8</v>
      </c>
      <c r="AB25">
        <v>106</v>
      </c>
      <c r="AC25">
        <v>108.3</v>
      </c>
      <c r="AD25">
        <v>112.7</v>
      </c>
      <c r="AE25" s="72">
        <f t="shared" si="0"/>
        <v>1618.5000000000002</v>
      </c>
      <c r="AF25" s="4">
        <f t="shared" si="1"/>
        <v>435.09999999999997</v>
      </c>
      <c r="AG25" s="4">
        <f t="shared" si="2"/>
        <v>435</v>
      </c>
      <c r="AH25" s="4">
        <f t="shared" si="3"/>
        <v>433.2</v>
      </c>
      <c r="AI25" s="6">
        <f t="shared" si="4"/>
        <v>2921.8</v>
      </c>
    </row>
    <row r="26" spans="1:35" x14ac:dyDescent="0.3">
      <c r="A26" t="s">
        <v>33</v>
      </c>
      <c r="B26">
        <v>2013</v>
      </c>
      <c r="C26" t="s">
        <v>40</v>
      </c>
      <c r="D26">
        <v>115.6</v>
      </c>
      <c r="E26">
        <v>117.2</v>
      </c>
      <c r="F26">
        <v>111.7</v>
      </c>
      <c r="G26">
        <v>109.6</v>
      </c>
      <c r="H26">
        <v>104.5</v>
      </c>
      <c r="I26">
        <v>109.8</v>
      </c>
      <c r="J26">
        <v>151.80000000000001</v>
      </c>
      <c r="K26">
        <v>106.5</v>
      </c>
      <c r="L26">
        <v>103.1</v>
      </c>
      <c r="M26">
        <v>107.4</v>
      </c>
      <c r="N26">
        <v>110.2</v>
      </c>
      <c r="O26">
        <v>113.4</v>
      </c>
      <c r="P26">
        <v>116.6</v>
      </c>
      <c r="Q26">
        <v>111.2</v>
      </c>
      <c r="R26">
        <v>111</v>
      </c>
      <c r="S26">
        <v>109.4</v>
      </c>
      <c r="T26">
        <v>110.7</v>
      </c>
      <c r="U26">
        <v>108.9</v>
      </c>
      <c r="V26" s="5">
        <v>109.7</v>
      </c>
      <c r="W26">
        <v>108.7</v>
      </c>
      <c r="X26">
        <v>107.5</v>
      </c>
      <c r="Y26">
        <v>108</v>
      </c>
      <c r="Z26">
        <v>106.6</v>
      </c>
      <c r="AA26">
        <v>109.9</v>
      </c>
      <c r="AB26">
        <v>105.4</v>
      </c>
      <c r="AC26">
        <v>107.9</v>
      </c>
      <c r="AD26">
        <v>112.4</v>
      </c>
      <c r="AE26" s="72">
        <f t="shared" si="0"/>
        <v>1588.6000000000001</v>
      </c>
      <c r="AF26" s="4">
        <f t="shared" si="1"/>
        <v>436.5</v>
      </c>
      <c r="AG26" s="4">
        <f t="shared" si="2"/>
        <v>435.3</v>
      </c>
      <c r="AH26" s="4">
        <f t="shared" si="3"/>
        <v>431.9</v>
      </c>
      <c r="AI26" s="6">
        <f t="shared" si="4"/>
        <v>2892.3</v>
      </c>
    </row>
    <row r="27" spans="1:35" x14ac:dyDescent="0.3">
      <c r="A27" t="s">
        <v>30</v>
      </c>
      <c r="B27">
        <v>2013</v>
      </c>
      <c r="C27" t="s">
        <v>41</v>
      </c>
      <c r="D27">
        <v>115.4</v>
      </c>
      <c r="E27">
        <v>115.7</v>
      </c>
      <c r="F27">
        <v>111.7</v>
      </c>
      <c r="G27">
        <v>111</v>
      </c>
      <c r="H27">
        <v>107.4</v>
      </c>
      <c r="I27">
        <v>110.9</v>
      </c>
      <c r="J27">
        <v>154</v>
      </c>
      <c r="K27">
        <v>108.1</v>
      </c>
      <c r="L27">
        <v>104.2</v>
      </c>
      <c r="M27">
        <v>107.9</v>
      </c>
      <c r="N27">
        <v>110.4</v>
      </c>
      <c r="O27">
        <v>114</v>
      </c>
      <c r="P27">
        <v>117.8</v>
      </c>
      <c r="Q27">
        <v>111.7</v>
      </c>
      <c r="R27">
        <v>112.7</v>
      </c>
      <c r="S27">
        <v>111.4</v>
      </c>
      <c r="T27">
        <v>112.5</v>
      </c>
      <c r="U27">
        <v>0</v>
      </c>
      <c r="V27" s="5">
        <v>111.1</v>
      </c>
      <c r="W27">
        <v>109.6</v>
      </c>
      <c r="X27">
        <v>108.3</v>
      </c>
      <c r="Y27">
        <v>109.3</v>
      </c>
      <c r="Z27">
        <v>107.7</v>
      </c>
      <c r="AA27">
        <v>109.8</v>
      </c>
      <c r="AB27">
        <v>106.7</v>
      </c>
      <c r="AC27">
        <v>108.7</v>
      </c>
      <c r="AD27">
        <v>114.2</v>
      </c>
      <c r="AE27" s="72">
        <f t="shared" si="0"/>
        <v>1600.2000000000003</v>
      </c>
      <c r="AF27" s="4">
        <f t="shared" si="1"/>
        <v>443.3</v>
      </c>
      <c r="AG27" s="4">
        <f t="shared" si="2"/>
        <v>330</v>
      </c>
      <c r="AH27" s="4">
        <f t="shared" si="3"/>
        <v>434.5</v>
      </c>
      <c r="AI27" s="6">
        <f t="shared" si="4"/>
        <v>2808</v>
      </c>
    </row>
    <row r="28" spans="1:35" x14ac:dyDescent="0.3">
      <c r="A28" t="s">
        <v>32</v>
      </c>
      <c r="B28">
        <v>2013</v>
      </c>
      <c r="C28" t="s">
        <v>41</v>
      </c>
      <c r="D28">
        <v>118.6</v>
      </c>
      <c r="E28">
        <v>119.1</v>
      </c>
      <c r="F28">
        <v>113.2</v>
      </c>
      <c r="G28">
        <v>109.6</v>
      </c>
      <c r="H28">
        <v>101.7</v>
      </c>
      <c r="I28">
        <v>103.2</v>
      </c>
      <c r="J28">
        <v>174.3</v>
      </c>
      <c r="K28">
        <v>105.1</v>
      </c>
      <c r="L28">
        <v>100.8</v>
      </c>
      <c r="M28">
        <v>109.1</v>
      </c>
      <c r="N28">
        <v>111.1</v>
      </c>
      <c r="O28">
        <v>115.4</v>
      </c>
      <c r="P28">
        <v>119.2</v>
      </c>
      <c r="Q28">
        <v>112.9</v>
      </c>
      <c r="R28">
        <v>111.4</v>
      </c>
      <c r="S28">
        <v>109</v>
      </c>
      <c r="T28">
        <v>111.1</v>
      </c>
      <c r="U28">
        <v>109.7</v>
      </c>
      <c r="V28" s="5">
        <v>109.5</v>
      </c>
      <c r="W28">
        <v>109.6</v>
      </c>
      <c r="X28">
        <v>107.9</v>
      </c>
      <c r="Y28">
        <v>110.4</v>
      </c>
      <c r="Z28">
        <v>107.4</v>
      </c>
      <c r="AA28">
        <v>111.2</v>
      </c>
      <c r="AB28">
        <v>106.9</v>
      </c>
      <c r="AC28">
        <v>109.4</v>
      </c>
      <c r="AD28">
        <v>113.2</v>
      </c>
      <c r="AE28" s="72">
        <f t="shared" si="0"/>
        <v>1613.3000000000002</v>
      </c>
      <c r="AF28" s="4">
        <f t="shared" si="1"/>
        <v>438.4</v>
      </c>
      <c r="AG28" s="4">
        <f t="shared" si="2"/>
        <v>439.19999999999993</v>
      </c>
      <c r="AH28" s="4">
        <f t="shared" si="3"/>
        <v>435.9</v>
      </c>
      <c r="AI28" s="6">
        <f t="shared" si="4"/>
        <v>2926.8</v>
      </c>
    </row>
    <row r="29" spans="1:35" x14ac:dyDescent="0.3">
      <c r="A29" t="s">
        <v>33</v>
      </c>
      <c r="B29">
        <v>2013</v>
      </c>
      <c r="C29" t="s">
        <v>41</v>
      </c>
      <c r="D29">
        <v>116.4</v>
      </c>
      <c r="E29">
        <v>116.9</v>
      </c>
      <c r="F29">
        <v>112.3</v>
      </c>
      <c r="G29">
        <v>110.5</v>
      </c>
      <c r="H29">
        <v>105.3</v>
      </c>
      <c r="I29">
        <v>107.3</v>
      </c>
      <c r="J29">
        <v>160.9</v>
      </c>
      <c r="K29">
        <v>107.1</v>
      </c>
      <c r="L29">
        <v>103.1</v>
      </c>
      <c r="M29">
        <v>108.3</v>
      </c>
      <c r="N29">
        <v>110.7</v>
      </c>
      <c r="O29">
        <v>114.6</v>
      </c>
      <c r="P29">
        <v>118.3</v>
      </c>
      <c r="Q29">
        <v>112</v>
      </c>
      <c r="R29">
        <v>112.2</v>
      </c>
      <c r="S29">
        <v>110.4</v>
      </c>
      <c r="T29">
        <v>111.9</v>
      </c>
      <c r="U29">
        <v>109.7</v>
      </c>
      <c r="V29" s="5">
        <v>110.5</v>
      </c>
      <c r="W29">
        <v>109.6</v>
      </c>
      <c r="X29">
        <v>108.1</v>
      </c>
      <c r="Y29">
        <v>109.9</v>
      </c>
      <c r="Z29">
        <v>107.5</v>
      </c>
      <c r="AA29">
        <v>110.6</v>
      </c>
      <c r="AB29">
        <v>106.8</v>
      </c>
      <c r="AC29">
        <v>109</v>
      </c>
      <c r="AD29">
        <v>113.7</v>
      </c>
      <c r="AE29" s="72">
        <f t="shared" si="0"/>
        <v>1603.6999999999998</v>
      </c>
      <c r="AF29" s="4">
        <f t="shared" si="1"/>
        <v>441.3</v>
      </c>
      <c r="AG29" s="4">
        <f t="shared" si="2"/>
        <v>439.69999999999993</v>
      </c>
      <c r="AH29" s="4">
        <f t="shared" si="3"/>
        <v>435.2</v>
      </c>
      <c r="AI29" s="6">
        <f t="shared" si="4"/>
        <v>2919.8999999999996</v>
      </c>
    </row>
    <row r="30" spans="1:35" x14ac:dyDescent="0.3">
      <c r="A30" t="s">
        <v>30</v>
      </c>
      <c r="B30">
        <v>2013</v>
      </c>
      <c r="C30" t="s">
        <v>42</v>
      </c>
      <c r="D30">
        <v>116.3</v>
      </c>
      <c r="E30">
        <v>115.4</v>
      </c>
      <c r="F30">
        <v>112.6</v>
      </c>
      <c r="G30">
        <v>111.7</v>
      </c>
      <c r="H30">
        <v>107.7</v>
      </c>
      <c r="I30">
        <v>113.2</v>
      </c>
      <c r="J30">
        <v>164.9</v>
      </c>
      <c r="K30">
        <v>108.3</v>
      </c>
      <c r="L30">
        <v>103.9</v>
      </c>
      <c r="M30">
        <v>108.2</v>
      </c>
      <c r="N30">
        <v>111.1</v>
      </c>
      <c r="O30">
        <v>114.9</v>
      </c>
      <c r="P30">
        <v>119.8</v>
      </c>
      <c r="Q30">
        <v>112.2</v>
      </c>
      <c r="R30">
        <v>113.6</v>
      </c>
      <c r="S30">
        <v>112.3</v>
      </c>
      <c r="T30">
        <v>113.4</v>
      </c>
      <c r="U30">
        <v>0</v>
      </c>
      <c r="V30" s="5">
        <v>111.6</v>
      </c>
      <c r="W30">
        <v>110.4</v>
      </c>
      <c r="X30">
        <v>108.9</v>
      </c>
      <c r="Y30">
        <v>109.3</v>
      </c>
      <c r="Z30">
        <v>108.3</v>
      </c>
      <c r="AA30">
        <v>110.2</v>
      </c>
      <c r="AB30">
        <v>107.5</v>
      </c>
      <c r="AC30">
        <v>109.1</v>
      </c>
      <c r="AD30">
        <v>115.5</v>
      </c>
      <c r="AE30" s="72">
        <f t="shared" si="0"/>
        <v>1620.2</v>
      </c>
      <c r="AF30" s="4">
        <f t="shared" si="1"/>
        <v>446.79999999999995</v>
      </c>
      <c r="AG30" s="4">
        <f t="shared" si="2"/>
        <v>331.3</v>
      </c>
      <c r="AH30" s="4">
        <f t="shared" si="3"/>
        <v>436.5</v>
      </c>
      <c r="AI30" s="6">
        <f t="shared" si="4"/>
        <v>2834.8</v>
      </c>
    </row>
    <row r="31" spans="1:35" x14ac:dyDescent="0.3">
      <c r="A31" t="s">
        <v>32</v>
      </c>
      <c r="B31">
        <v>2013</v>
      </c>
      <c r="C31" t="s">
        <v>42</v>
      </c>
      <c r="D31">
        <v>118.9</v>
      </c>
      <c r="E31">
        <v>118.1</v>
      </c>
      <c r="F31">
        <v>114.5</v>
      </c>
      <c r="G31">
        <v>110.4</v>
      </c>
      <c r="H31">
        <v>102.3</v>
      </c>
      <c r="I31">
        <v>106.2</v>
      </c>
      <c r="J31">
        <v>183.5</v>
      </c>
      <c r="K31">
        <v>105.3</v>
      </c>
      <c r="L31">
        <v>100.2</v>
      </c>
      <c r="M31">
        <v>109.6</v>
      </c>
      <c r="N31">
        <v>111.4</v>
      </c>
      <c r="O31">
        <v>116</v>
      </c>
      <c r="P31">
        <v>120.8</v>
      </c>
      <c r="Q31">
        <v>113.5</v>
      </c>
      <c r="R31">
        <v>112.5</v>
      </c>
      <c r="S31">
        <v>109.7</v>
      </c>
      <c r="T31">
        <v>112</v>
      </c>
      <c r="U31">
        <v>110.5</v>
      </c>
      <c r="V31" s="5">
        <v>109.7</v>
      </c>
      <c r="W31">
        <v>110.2</v>
      </c>
      <c r="X31">
        <v>108.2</v>
      </c>
      <c r="Y31">
        <v>109.7</v>
      </c>
      <c r="Z31">
        <v>108</v>
      </c>
      <c r="AA31">
        <v>111.3</v>
      </c>
      <c r="AB31">
        <v>107.3</v>
      </c>
      <c r="AC31">
        <v>109.4</v>
      </c>
      <c r="AD31">
        <v>114</v>
      </c>
      <c r="AE31" s="72">
        <f t="shared" si="0"/>
        <v>1630.6999999999998</v>
      </c>
      <c r="AF31" s="4">
        <f t="shared" si="1"/>
        <v>441.5</v>
      </c>
      <c r="AG31" s="4">
        <f t="shared" si="2"/>
        <v>440.09999999999997</v>
      </c>
      <c r="AH31" s="4">
        <f t="shared" si="3"/>
        <v>436.9</v>
      </c>
      <c r="AI31" s="6">
        <f t="shared" si="4"/>
        <v>2949.2</v>
      </c>
    </row>
    <row r="32" spans="1:35" x14ac:dyDescent="0.3">
      <c r="A32" t="s">
        <v>33</v>
      </c>
      <c r="B32">
        <v>2013</v>
      </c>
      <c r="C32" t="s">
        <v>42</v>
      </c>
      <c r="D32">
        <v>117.1</v>
      </c>
      <c r="E32">
        <v>116.3</v>
      </c>
      <c r="F32">
        <v>113.3</v>
      </c>
      <c r="G32">
        <v>111.2</v>
      </c>
      <c r="H32">
        <v>105.7</v>
      </c>
      <c r="I32">
        <v>109.9</v>
      </c>
      <c r="J32">
        <v>171.2</v>
      </c>
      <c r="K32">
        <v>107.3</v>
      </c>
      <c r="L32">
        <v>102.7</v>
      </c>
      <c r="M32">
        <v>108.7</v>
      </c>
      <c r="N32">
        <v>111.2</v>
      </c>
      <c r="O32">
        <v>115.4</v>
      </c>
      <c r="P32">
        <v>120.2</v>
      </c>
      <c r="Q32">
        <v>112.5</v>
      </c>
      <c r="R32">
        <v>113.2</v>
      </c>
      <c r="S32">
        <v>111.2</v>
      </c>
      <c r="T32">
        <v>112.8</v>
      </c>
      <c r="U32">
        <v>110.5</v>
      </c>
      <c r="V32" s="5">
        <v>110.9</v>
      </c>
      <c r="W32">
        <v>110.3</v>
      </c>
      <c r="X32">
        <v>108.6</v>
      </c>
      <c r="Y32">
        <v>109.5</v>
      </c>
      <c r="Z32">
        <v>108.1</v>
      </c>
      <c r="AA32">
        <v>110.8</v>
      </c>
      <c r="AB32">
        <v>107.4</v>
      </c>
      <c r="AC32">
        <v>109.2</v>
      </c>
      <c r="AD32">
        <v>114.8</v>
      </c>
      <c r="AE32" s="72">
        <f t="shared" si="0"/>
        <v>1622.7000000000003</v>
      </c>
      <c r="AF32" s="4">
        <f t="shared" si="1"/>
        <v>444.6</v>
      </c>
      <c r="AG32" s="4">
        <f t="shared" si="2"/>
        <v>441.2</v>
      </c>
      <c r="AH32" s="4">
        <f t="shared" si="3"/>
        <v>436.7</v>
      </c>
      <c r="AI32" s="6">
        <f t="shared" si="4"/>
        <v>2945.2</v>
      </c>
    </row>
    <row r="33" spans="1:35" x14ac:dyDescent="0.3">
      <c r="A33" t="s">
        <v>30</v>
      </c>
      <c r="B33">
        <v>2013</v>
      </c>
      <c r="C33" t="s">
        <v>43</v>
      </c>
      <c r="D33">
        <v>117.3</v>
      </c>
      <c r="E33">
        <v>114.9</v>
      </c>
      <c r="F33">
        <v>116.2</v>
      </c>
      <c r="G33">
        <v>112.8</v>
      </c>
      <c r="H33">
        <v>108.9</v>
      </c>
      <c r="I33">
        <v>116.6</v>
      </c>
      <c r="J33">
        <v>178.1</v>
      </c>
      <c r="K33">
        <v>109.1</v>
      </c>
      <c r="L33">
        <v>103.6</v>
      </c>
      <c r="M33">
        <v>109</v>
      </c>
      <c r="N33">
        <v>111.8</v>
      </c>
      <c r="O33">
        <v>116</v>
      </c>
      <c r="P33">
        <v>122.5</v>
      </c>
      <c r="Q33">
        <v>112.8</v>
      </c>
      <c r="R33">
        <v>114.6</v>
      </c>
      <c r="S33">
        <v>113.1</v>
      </c>
      <c r="T33">
        <v>114.4</v>
      </c>
      <c r="U33">
        <v>0</v>
      </c>
      <c r="V33" s="5">
        <v>112.6</v>
      </c>
      <c r="W33">
        <v>111.3</v>
      </c>
      <c r="X33">
        <v>109.7</v>
      </c>
      <c r="Y33">
        <v>109.6</v>
      </c>
      <c r="Z33">
        <v>108.7</v>
      </c>
      <c r="AA33">
        <v>111</v>
      </c>
      <c r="AB33">
        <v>108.2</v>
      </c>
      <c r="AC33">
        <v>109.8</v>
      </c>
      <c r="AD33">
        <v>117.4</v>
      </c>
      <c r="AE33" s="72">
        <f t="shared" si="0"/>
        <v>1649.6</v>
      </c>
      <c r="AF33" s="4">
        <f t="shared" si="1"/>
        <v>450.3</v>
      </c>
      <c r="AG33" s="4">
        <f t="shared" si="2"/>
        <v>333.5</v>
      </c>
      <c r="AH33" s="4">
        <f t="shared" si="3"/>
        <v>439.2</v>
      </c>
      <c r="AI33" s="6">
        <f t="shared" si="4"/>
        <v>2872.6</v>
      </c>
    </row>
    <row r="34" spans="1:35" x14ac:dyDescent="0.3">
      <c r="A34" t="s">
        <v>32</v>
      </c>
      <c r="B34">
        <v>2013</v>
      </c>
      <c r="C34" t="s">
        <v>44</v>
      </c>
      <c r="D34">
        <v>119.8</v>
      </c>
      <c r="E34">
        <v>116.3</v>
      </c>
      <c r="F34">
        <v>122.6</v>
      </c>
      <c r="G34">
        <v>112</v>
      </c>
      <c r="H34">
        <v>103.2</v>
      </c>
      <c r="I34">
        <v>110</v>
      </c>
      <c r="J34">
        <v>192.8</v>
      </c>
      <c r="K34">
        <v>106.3</v>
      </c>
      <c r="L34">
        <v>99.5</v>
      </c>
      <c r="M34">
        <v>110.3</v>
      </c>
      <c r="N34">
        <v>111.8</v>
      </c>
      <c r="O34">
        <v>117.1</v>
      </c>
      <c r="P34">
        <v>122.9</v>
      </c>
      <c r="Q34">
        <v>114.1</v>
      </c>
      <c r="R34">
        <v>113.5</v>
      </c>
      <c r="S34">
        <v>110.3</v>
      </c>
      <c r="T34">
        <v>113</v>
      </c>
      <c r="U34">
        <v>111.1</v>
      </c>
      <c r="V34" s="5">
        <v>110</v>
      </c>
      <c r="W34">
        <v>110.9</v>
      </c>
      <c r="X34">
        <v>108.6</v>
      </c>
      <c r="Y34">
        <v>109.5</v>
      </c>
      <c r="Z34">
        <v>108.5</v>
      </c>
      <c r="AA34">
        <v>111.3</v>
      </c>
      <c r="AB34">
        <v>107.9</v>
      </c>
      <c r="AC34">
        <v>109.6</v>
      </c>
      <c r="AD34">
        <v>115</v>
      </c>
      <c r="AE34" s="72">
        <f t="shared" si="0"/>
        <v>1658.6999999999998</v>
      </c>
      <c r="AF34" s="4">
        <f t="shared" si="1"/>
        <v>444.70000000000005</v>
      </c>
      <c r="AG34" s="4">
        <f t="shared" si="2"/>
        <v>441.5</v>
      </c>
      <c r="AH34" s="4">
        <f t="shared" si="3"/>
        <v>438</v>
      </c>
      <c r="AI34" s="6">
        <f t="shared" si="4"/>
        <v>2982.8999999999996</v>
      </c>
    </row>
    <row r="35" spans="1:35" x14ac:dyDescent="0.3">
      <c r="A35" t="s">
        <v>33</v>
      </c>
      <c r="B35">
        <v>2013</v>
      </c>
      <c r="C35" t="s">
        <v>44</v>
      </c>
      <c r="D35">
        <v>118.1</v>
      </c>
      <c r="E35">
        <v>115.4</v>
      </c>
      <c r="F35">
        <v>118.7</v>
      </c>
      <c r="G35">
        <v>112.5</v>
      </c>
      <c r="H35">
        <v>106.8</v>
      </c>
      <c r="I35">
        <v>113.5</v>
      </c>
      <c r="J35">
        <v>183.1</v>
      </c>
      <c r="K35">
        <v>108.2</v>
      </c>
      <c r="L35">
        <v>102.2</v>
      </c>
      <c r="M35">
        <v>109.4</v>
      </c>
      <c r="N35">
        <v>111.8</v>
      </c>
      <c r="O35">
        <v>116.5</v>
      </c>
      <c r="P35">
        <v>122.6</v>
      </c>
      <c r="Q35">
        <v>113.1</v>
      </c>
      <c r="R35">
        <v>114.2</v>
      </c>
      <c r="S35">
        <v>111.9</v>
      </c>
      <c r="T35">
        <v>113.8</v>
      </c>
      <c r="U35">
        <v>111.1</v>
      </c>
      <c r="V35" s="5">
        <v>111.6</v>
      </c>
      <c r="W35">
        <v>111.1</v>
      </c>
      <c r="X35">
        <v>109.3</v>
      </c>
      <c r="Y35">
        <v>109.5</v>
      </c>
      <c r="Z35">
        <v>108.6</v>
      </c>
      <c r="AA35">
        <v>111.2</v>
      </c>
      <c r="AB35">
        <v>108.1</v>
      </c>
      <c r="AC35">
        <v>109.7</v>
      </c>
      <c r="AD35">
        <v>116.3</v>
      </c>
      <c r="AE35" s="72">
        <f t="shared" si="0"/>
        <v>1651.8999999999999</v>
      </c>
      <c r="AF35" s="4">
        <f t="shared" si="1"/>
        <v>448</v>
      </c>
      <c r="AG35" s="4">
        <f t="shared" si="2"/>
        <v>443.29999999999995</v>
      </c>
      <c r="AH35" s="4">
        <f t="shared" si="3"/>
        <v>438.79999999999995</v>
      </c>
      <c r="AI35" s="6">
        <f t="shared" si="4"/>
        <v>2982</v>
      </c>
    </row>
    <row r="36" spans="1:35" x14ac:dyDescent="0.3">
      <c r="A36" t="s">
        <v>30</v>
      </c>
      <c r="B36">
        <v>2013</v>
      </c>
      <c r="C36" t="s">
        <v>45</v>
      </c>
      <c r="D36">
        <v>118.4</v>
      </c>
      <c r="E36">
        <v>115.9</v>
      </c>
      <c r="F36">
        <v>120.4</v>
      </c>
      <c r="G36">
        <v>113.8</v>
      </c>
      <c r="H36">
        <v>109.5</v>
      </c>
      <c r="I36">
        <v>115.5</v>
      </c>
      <c r="J36">
        <v>145.69999999999999</v>
      </c>
      <c r="K36">
        <v>109.5</v>
      </c>
      <c r="L36">
        <v>102.9</v>
      </c>
      <c r="M36">
        <v>109.8</v>
      </c>
      <c r="N36">
        <v>112.1</v>
      </c>
      <c r="O36">
        <v>116.8</v>
      </c>
      <c r="P36">
        <v>118.7</v>
      </c>
      <c r="Q36">
        <v>113.6</v>
      </c>
      <c r="R36">
        <v>115.8</v>
      </c>
      <c r="S36">
        <v>114</v>
      </c>
      <c r="T36">
        <v>115.5</v>
      </c>
      <c r="U36">
        <v>0</v>
      </c>
      <c r="V36" s="5">
        <v>112.8</v>
      </c>
      <c r="W36">
        <v>112.1</v>
      </c>
      <c r="X36">
        <v>110.1</v>
      </c>
      <c r="Y36">
        <v>109.9</v>
      </c>
      <c r="Z36">
        <v>109.2</v>
      </c>
      <c r="AA36">
        <v>111.6</v>
      </c>
      <c r="AB36">
        <v>108.1</v>
      </c>
      <c r="AC36">
        <v>110.1</v>
      </c>
      <c r="AD36">
        <v>115.5</v>
      </c>
      <c r="AE36" s="72">
        <f t="shared" si="0"/>
        <v>1622.6</v>
      </c>
      <c r="AF36" s="4">
        <f t="shared" si="1"/>
        <v>453.4</v>
      </c>
      <c r="AG36" s="4">
        <f t="shared" si="2"/>
        <v>334.79999999999995</v>
      </c>
      <c r="AH36" s="4">
        <f t="shared" si="3"/>
        <v>441</v>
      </c>
      <c r="AI36" s="6">
        <f t="shared" si="4"/>
        <v>2851.8</v>
      </c>
    </row>
    <row r="37" spans="1:35" x14ac:dyDescent="0.3">
      <c r="A37" t="s">
        <v>32</v>
      </c>
      <c r="B37">
        <v>2013</v>
      </c>
      <c r="C37" t="s">
        <v>45</v>
      </c>
      <c r="D37">
        <v>120.5</v>
      </c>
      <c r="E37">
        <v>118.1</v>
      </c>
      <c r="F37">
        <v>128.5</v>
      </c>
      <c r="G37">
        <v>112.8</v>
      </c>
      <c r="H37">
        <v>103.4</v>
      </c>
      <c r="I37">
        <v>110.7</v>
      </c>
      <c r="J37">
        <v>144.80000000000001</v>
      </c>
      <c r="K37">
        <v>107.1</v>
      </c>
      <c r="L37">
        <v>98.6</v>
      </c>
      <c r="M37">
        <v>111.9</v>
      </c>
      <c r="N37">
        <v>112.1</v>
      </c>
      <c r="O37">
        <v>118.1</v>
      </c>
      <c r="P37">
        <v>117.8</v>
      </c>
      <c r="Q37">
        <v>115</v>
      </c>
      <c r="R37">
        <v>114.2</v>
      </c>
      <c r="S37">
        <v>110.9</v>
      </c>
      <c r="T37">
        <v>113.7</v>
      </c>
      <c r="U37">
        <v>110.7</v>
      </c>
      <c r="V37" s="5">
        <v>110.4</v>
      </c>
      <c r="W37">
        <v>111.3</v>
      </c>
      <c r="X37">
        <v>109</v>
      </c>
      <c r="Y37">
        <v>109.7</v>
      </c>
      <c r="Z37">
        <v>108.9</v>
      </c>
      <c r="AA37">
        <v>111.4</v>
      </c>
      <c r="AB37">
        <v>107.7</v>
      </c>
      <c r="AC37">
        <v>109.8</v>
      </c>
      <c r="AD37">
        <v>113.3</v>
      </c>
      <c r="AE37" s="72">
        <f t="shared" si="0"/>
        <v>1619.4</v>
      </c>
      <c r="AF37" s="4">
        <f t="shared" si="1"/>
        <v>446.5</v>
      </c>
      <c r="AG37" s="4">
        <f t="shared" si="2"/>
        <v>442.1</v>
      </c>
      <c r="AH37" s="4">
        <f t="shared" si="3"/>
        <v>439.1</v>
      </c>
      <c r="AI37" s="6">
        <f t="shared" si="4"/>
        <v>2947.1</v>
      </c>
    </row>
    <row r="38" spans="1:35" x14ac:dyDescent="0.3">
      <c r="A38" t="s">
        <v>33</v>
      </c>
      <c r="B38">
        <v>2013</v>
      </c>
      <c r="C38" t="s">
        <v>45</v>
      </c>
      <c r="D38">
        <v>119.1</v>
      </c>
      <c r="E38">
        <v>116.7</v>
      </c>
      <c r="F38">
        <v>123.5</v>
      </c>
      <c r="G38">
        <v>113.4</v>
      </c>
      <c r="H38">
        <v>107.3</v>
      </c>
      <c r="I38">
        <v>113.3</v>
      </c>
      <c r="J38">
        <v>145.4</v>
      </c>
      <c r="K38">
        <v>108.7</v>
      </c>
      <c r="L38">
        <v>101.5</v>
      </c>
      <c r="M38">
        <v>110.5</v>
      </c>
      <c r="N38">
        <v>112.1</v>
      </c>
      <c r="O38">
        <v>117.4</v>
      </c>
      <c r="P38">
        <v>118.4</v>
      </c>
      <c r="Q38">
        <v>114</v>
      </c>
      <c r="R38">
        <v>115.2</v>
      </c>
      <c r="S38">
        <v>112.7</v>
      </c>
      <c r="T38">
        <v>114.8</v>
      </c>
      <c r="U38">
        <v>110.7</v>
      </c>
      <c r="V38" s="5">
        <v>111.9</v>
      </c>
      <c r="W38">
        <v>111.7</v>
      </c>
      <c r="X38">
        <v>109.7</v>
      </c>
      <c r="Y38">
        <v>109.8</v>
      </c>
      <c r="Z38">
        <v>109</v>
      </c>
      <c r="AA38">
        <v>111.5</v>
      </c>
      <c r="AB38">
        <v>107.9</v>
      </c>
      <c r="AC38">
        <v>110</v>
      </c>
      <c r="AD38">
        <v>114.5</v>
      </c>
      <c r="AE38" s="72">
        <f t="shared" si="0"/>
        <v>1621.3000000000002</v>
      </c>
      <c r="AF38" s="4">
        <f t="shared" si="1"/>
        <v>450.6</v>
      </c>
      <c r="AG38" s="4">
        <f t="shared" si="2"/>
        <v>444.1</v>
      </c>
      <c r="AH38" s="4">
        <f t="shared" si="3"/>
        <v>440.2</v>
      </c>
      <c r="AI38" s="6">
        <f t="shared" si="4"/>
        <v>2956.2</v>
      </c>
    </row>
    <row r="39" spans="1:35" x14ac:dyDescent="0.3">
      <c r="A39" t="s">
        <v>30</v>
      </c>
      <c r="B39">
        <v>2014</v>
      </c>
      <c r="C39" t="s">
        <v>31</v>
      </c>
      <c r="D39">
        <v>118.9</v>
      </c>
      <c r="E39">
        <v>117.1</v>
      </c>
      <c r="F39">
        <v>120.5</v>
      </c>
      <c r="G39">
        <v>114.4</v>
      </c>
      <c r="H39">
        <v>109</v>
      </c>
      <c r="I39">
        <v>115.5</v>
      </c>
      <c r="J39">
        <v>123.9</v>
      </c>
      <c r="K39">
        <v>109.6</v>
      </c>
      <c r="L39">
        <v>101.8</v>
      </c>
      <c r="M39">
        <v>110.2</v>
      </c>
      <c r="N39">
        <v>112.4</v>
      </c>
      <c r="O39">
        <v>117.3</v>
      </c>
      <c r="P39">
        <v>116</v>
      </c>
      <c r="Q39">
        <v>114</v>
      </c>
      <c r="R39">
        <v>116.5</v>
      </c>
      <c r="S39">
        <v>114.5</v>
      </c>
      <c r="T39">
        <v>116.2</v>
      </c>
      <c r="U39">
        <v>0</v>
      </c>
      <c r="V39" s="5">
        <v>113</v>
      </c>
      <c r="W39">
        <v>112.6</v>
      </c>
      <c r="X39">
        <v>110.6</v>
      </c>
      <c r="Y39">
        <v>110.5</v>
      </c>
      <c r="Z39">
        <v>109.6</v>
      </c>
      <c r="AA39">
        <v>111.8</v>
      </c>
      <c r="AB39">
        <v>108.3</v>
      </c>
      <c r="AC39">
        <v>110.6</v>
      </c>
      <c r="AD39">
        <v>114.2</v>
      </c>
      <c r="AE39" s="72">
        <f t="shared" si="0"/>
        <v>1600.6000000000001</v>
      </c>
      <c r="AF39" s="4">
        <f t="shared" si="1"/>
        <v>455.5</v>
      </c>
      <c r="AG39" s="4">
        <f t="shared" si="2"/>
        <v>336.1</v>
      </c>
      <c r="AH39" s="4">
        <f t="shared" si="3"/>
        <v>442.6</v>
      </c>
      <c r="AI39" s="6">
        <f t="shared" si="4"/>
        <v>2834.8</v>
      </c>
    </row>
    <row r="40" spans="1:35" x14ac:dyDescent="0.3">
      <c r="A40" t="s">
        <v>32</v>
      </c>
      <c r="B40">
        <v>2014</v>
      </c>
      <c r="C40" t="s">
        <v>31</v>
      </c>
      <c r="D40">
        <v>121.2</v>
      </c>
      <c r="E40">
        <v>122</v>
      </c>
      <c r="F40">
        <v>129.9</v>
      </c>
      <c r="G40">
        <v>113.6</v>
      </c>
      <c r="H40">
        <v>102.9</v>
      </c>
      <c r="I40">
        <v>112.1</v>
      </c>
      <c r="J40">
        <v>118.9</v>
      </c>
      <c r="K40">
        <v>107.5</v>
      </c>
      <c r="L40">
        <v>96.9</v>
      </c>
      <c r="M40">
        <v>112.7</v>
      </c>
      <c r="N40">
        <v>112.1</v>
      </c>
      <c r="O40">
        <v>119</v>
      </c>
      <c r="P40">
        <v>115.5</v>
      </c>
      <c r="Q40">
        <v>115.7</v>
      </c>
      <c r="R40">
        <v>114.8</v>
      </c>
      <c r="S40">
        <v>111.3</v>
      </c>
      <c r="T40">
        <v>114.3</v>
      </c>
      <c r="U40">
        <v>111.6</v>
      </c>
      <c r="V40" s="5">
        <v>111</v>
      </c>
      <c r="W40">
        <v>111.9</v>
      </c>
      <c r="X40">
        <v>109.7</v>
      </c>
      <c r="Y40">
        <v>110.8</v>
      </c>
      <c r="Z40">
        <v>109.8</v>
      </c>
      <c r="AA40">
        <v>111.5</v>
      </c>
      <c r="AB40">
        <v>108</v>
      </c>
      <c r="AC40">
        <v>110.5</v>
      </c>
      <c r="AD40">
        <v>112.9</v>
      </c>
      <c r="AE40" s="72">
        <f t="shared" si="0"/>
        <v>1600</v>
      </c>
      <c r="AF40" s="4">
        <f t="shared" si="1"/>
        <v>448.4</v>
      </c>
      <c r="AG40" s="4">
        <f t="shared" si="2"/>
        <v>445.3</v>
      </c>
      <c r="AH40" s="4">
        <f t="shared" si="3"/>
        <v>441.5</v>
      </c>
      <c r="AI40" s="6">
        <f t="shared" si="4"/>
        <v>2935.2000000000003</v>
      </c>
    </row>
    <row r="41" spans="1:35" x14ac:dyDescent="0.3">
      <c r="A41" t="s">
        <v>33</v>
      </c>
      <c r="B41">
        <v>2014</v>
      </c>
      <c r="C41" t="s">
        <v>31</v>
      </c>
      <c r="D41">
        <v>119.6</v>
      </c>
      <c r="E41">
        <v>118.8</v>
      </c>
      <c r="F41">
        <v>124.1</v>
      </c>
      <c r="G41">
        <v>114.1</v>
      </c>
      <c r="H41">
        <v>106.8</v>
      </c>
      <c r="I41">
        <v>113.9</v>
      </c>
      <c r="J41">
        <v>122.2</v>
      </c>
      <c r="K41">
        <v>108.9</v>
      </c>
      <c r="L41">
        <v>100.2</v>
      </c>
      <c r="M41">
        <v>111</v>
      </c>
      <c r="N41">
        <v>112.3</v>
      </c>
      <c r="O41">
        <v>118.1</v>
      </c>
      <c r="P41">
        <v>115.8</v>
      </c>
      <c r="Q41">
        <v>114.5</v>
      </c>
      <c r="R41">
        <v>115.8</v>
      </c>
      <c r="S41">
        <v>113.2</v>
      </c>
      <c r="T41">
        <v>115.4</v>
      </c>
      <c r="U41">
        <v>111.6</v>
      </c>
      <c r="V41" s="5">
        <v>112.2</v>
      </c>
      <c r="W41">
        <v>112.3</v>
      </c>
      <c r="X41">
        <v>110.3</v>
      </c>
      <c r="Y41">
        <v>110.7</v>
      </c>
      <c r="Z41">
        <v>109.7</v>
      </c>
      <c r="AA41">
        <v>111.6</v>
      </c>
      <c r="AB41">
        <v>108.2</v>
      </c>
      <c r="AC41">
        <v>110.6</v>
      </c>
      <c r="AD41">
        <v>113.6</v>
      </c>
      <c r="AE41" s="72">
        <f t="shared" si="0"/>
        <v>1600.2999999999997</v>
      </c>
      <c r="AF41" s="4">
        <f t="shared" si="1"/>
        <v>452.59999999999997</v>
      </c>
      <c r="AG41" s="4">
        <f t="shared" si="2"/>
        <v>446.8</v>
      </c>
      <c r="AH41" s="4">
        <f t="shared" si="3"/>
        <v>442.20000000000005</v>
      </c>
      <c r="AI41" s="6">
        <f t="shared" si="4"/>
        <v>2941.8999999999996</v>
      </c>
    </row>
    <row r="42" spans="1:35" x14ac:dyDescent="0.3">
      <c r="A42" t="s">
        <v>30</v>
      </c>
      <c r="B42">
        <v>2014</v>
      </c>
      <c r="C42" t="s">
        <v>34</v>
      </c>
      <c r="D42">
        <v>119.4</v>
      </c>
      <c r="E42">
        <v>117.7</v>
      </c>
      <c r="F42">
        <v>121.2</v>
      </c>
      <c r="G42">
        <v>115</v>
      </c>
      <c r="H42">
        <v>109</v>
      </c>
      <c r="I42">
        <v>116.6</v>
      </c>
      <c r="J42">
        <v>116</v>
      </c>
      <c r="K42">
        <v>109.8</v>
      </c>
      <c r="L42">
        <v>101.1</v>
      </c>
      <c r="M42">
        <v>110.4</v>
      </c>
      <c r="N42">
        <v>112.9</v>
      </c>
      <c r="O42">
        <v>117.8</v>
      </c>
      <c r="P42">
        <v>115.3</v>
      </c>
      <c r="Q42">
        <v>114.2</v>
      </c>
      <c r="R42">
        <v>117.1</v>
      </c>
      <c r="S42">
        <v>114.5</v>
      </c>
      <c r="T42">
        <v>116.7</v>
      </c>
      <c r="U42">
        <v>0</v>
      </c>
      <c r="V42" s="5">
        <v>113.2</v>
      </c>
      <c r="W42">
        <v>112.9</v>
      </c>
      <c r="X42">
        <v>110.9</v>
      </c>
      <c r="Y42">
        <v>110.8</v>
      </c>
      <c r="Z42">
        <v>109.9</v>
      </c>
      <c r="AA42">
        <v>112</v>
      </c>
      <c r="AB42">
        <v>108.7</v>
      </c>
      <c r="AC42">
        <v>110.9</v>
      </c>
      <c r="AD42">
        <v>114</v>
      </c>
      <c r="AE42" s="72">
        <f t="shared" si="0"/>
        <v>1596.4</v>
      </c>
      <c r="AF42" s="4">
        <f t="shared" si="1"/>
        <v>457</v>
      </c>
      <c r="AG42" s="4">
        <f t="shared" si="2"/>
        <v>336.90000000000003</v>
      </c>
      <c r="AH42" s="4">
        <f t="shared" si="3"/>
        <v>443.70000000000005</v>
      </c>
      <c r="AI42" s="6">
        <f t="shared" si="4"/>
        <v>2834</v>
      </c>
    </row>
    <row r="43" spans="1:35" x14ac:dyDescent="0.3">
      <c r="A43" t="s">
        <v>32</v>
      </c>
      <c r="B43">
        <v>2014</v>
      </c>
      <c r="C43" t="s">
        <v>34</v>
      </c>
      <c r="D43">
        <v>121.9</v>
      </c>
      <c r="E43">
        <v>122</v>
      </c>
      <c r="F43">
        <v>124.5</v>
      </c>
      <c r="G43">
        <v>115.2</v>
      </c>
      <c r="H43">
        <v>102.5</v>
      </c>
      <c r="I43">
        <v>114.1</v>
      </c>
      <c r="J43">
        <v>111.5</v>
      </c>
      <c r="K43">
        <v>108.2</v>
      </c>
      <c r="L43">
        <v>95.4</v>
      </c>
      <c r="M43">
        <v>113.5</v>
      </c>
      <c r="N43">
        <v>112.1</v>
      </c>
      <c r="O43">
        <v>119.9</v>
      </c>
      <c r="P43">
        <v>115.2</v>
      </c>
      <c r="Q43">
        <v>116.2</v>
      </c>
      <c r="R43">
        <v>115.3</v>
      </c>
      <c r="S43">
        <v>111.7</v>
      </c>
      <c r="T43">
        <v>114.7</v>
      </c>
      <c r="U43">
        <v>112.5</v>
      </c>
      <c r="V43" s="5">
        <v>111.1</v>
      </c>
      <c r="W43">
        <v>112.6</v>
      </c>
      <c r="X43">
        <v>110.4</v>
      </c>
      <c r="Y43">
        <v>111.3</v>
      </c>
      <c r="Z43">
        <v>110.3</v>
      </c>
      <c r="AA43">
        <v>111.6</v>
      </c>
      <c r="AB43">
        <v>108.7</v>
      </c>
      <c r="AC43">
        <v>111</v>
      </c>
      <c r="AD43">
        <v>113.1</v>
      </c>
      <c r="AE43" s="72">
        <f t="shared" si="0"/>
        <v>1592.2</v>
      </c>
      <c r="AF43" s="4">
        <f t="shared" si="1"/>
        <v>450.4</v>
      </c>
      <c r="AG43" s="4">
        <f t="shared" si="2"/>
        <v>447.5</v>
      </c>
      <c r="AH43" s="4">
        <f t="shared" si="3"/>
        <v>443.29999999999995</v>
      </c>
      <c r="AI43" s="6">
        <f t="shared" si="4"/>
        <v>2933.3999999999996</v>
      </c>
    </row>
    <row r="44" spans="1:35" x14ac:dyDescent="0.3">
      <c r="A44" t="s">
        <v>33</v>
      </c>
      <c r="B44">
        <v>2014</v>
      </c>
      <c r="C44" t="s">
        <v>34</v>
      </c>
      <c r="D44">
        <v>120.2</v>
      </c>
      <c r="E44">
        <v>119.2</v>
      </c>
      <c r="F44">
        <v>122.5</v>
      </c>
      <c r="G44">
        <v>115.1</v>
      </c>
      <c r="H44">
        <v>106.6</v>
      </c>
      <c r="I44">
        <v>115.4</v>
      </c>
      <c r="J44">
        <v>114.5</v>
      </c>
      <c r="K44">
        <v>109.3</v>
      </c>
      <c r="L44">
        <v>99.2</v>
      </c>
      <c r="M44">
        <v>111.4</v>
      </c>
      <c r="N44">
        <v>112.6</v>
      </c>
      <c r="O44">
        <v>118.8</v>
      </c>
      <c r="P44">
        <v>115.3</v>
      </c>
      <c r="Q44">
        <v>114.7</v>
      </c>
      <c r="R44">
        <v>116.4</v>
      </c>
      <c r="S44">
        <v>113.3</v>
      </c>
      <c r="T44">
        <v>115.9</v>
      </c>
      <c r="U44">
        <v>112.5</v>
      </c>
      <c r="V44" s="5">
        <v>112.4</v>
      </c>
      <c r="W44">
        <v>112.8</v>
      </c>
      <c r="X44">
        <v>110.7</v>
      </c>
      <c r="Y44">
        <v>111.1</v>
      </c>
      <c r="Z44">
        <v>110.1</v>
      </c>
      <c r="AA44">
        <v>111.8</v>
      </c>
      <c r="AB44">
        <v>108.7</v>
      </c>
      <c r="AC44">
        <v>110.9</v>
      </c>
      <c r="AD44">
        <v>113.6</v>
      </c>
      <c r="AE44" s="72">
        <f t="shared" si="0"/>
        <v>1594.8</v>
      </c>
      <c r="AF44" s="4">
        <f t="shared" si="1"/>
        <v>454.3</v>
      </c>
      <c r="AG44" s="4">
        <f t="shared" si="2"/>
        <v>448.79999999999995</v>
      </c>
      <c r="AH44" s="4">
        <f t="shared" si="3"/>
        <v>443.5</v>
      </c>
      <c r="AI44" s="6">
        <f t="shared" si="4"/>
        <v>2941.3999999999996</v>
      </c>
    </row>
    <row r="45" spans="1:35" x14ac:dyDescent="0.3">
      <c r="A45" t="s">
        <v>30</v>
      </c>
      <c r="B45">
        <v>2014</v>
      </c>
      <c r="C45" t="s">
        <v>35</v>
      </c>
      <c r="D45">
        <v>120.1</v>
      </c>
      <c r="E45">
        <v>118.1</v>
      </c>
      <c r="F45">
        <v>120.7</v>
      </c>
      <c r="G45">
        <v>116.1</v>
      </c>
      <c r="H45">
        <v>109.3</v>
      </c>
      <c r="I45">
        <v>119.6</v>
      </c>
      <c r="J45">
        <v>117.9</v>
      </c>
      <c r="K45">
        <v>110.2</v>
      </c>
      <c r="L45">
        <v>101.2</v>
      </c>
      <c r="M45">
        <v>110.7</v>
      </c>
      <c r="N45">
        <v>113</v>
      </c>
      <c r="O45">
        <v>118.3</v>
      </c>
      <c r="P45">
        <v>116.2</v>
      </c>
      <c r="Q45">
        <v>114.6</v>
      </c>
      <c r="R45">
        <v>117.5</v>
      </c>
      <c r="S45">
        <v>114.9</v>
      </c>
      <c r="T45">
        <v>117.2</v>
      </c>
      <c r="U45">
        <v>0</v>
      </c>
      <c r="V45" s="5">
        <v>113.4</v>
      </c>
      <c r="W45">
        <v>113.4</v>
      </c>
      <c r="X45">
        <v>111.4</v>
      </c>
      <c r="Y45">
        <v>111.2</v>
      </c>
      <c r="Z45">
        <v>110.2</v>
      </c>
      <c r="AA45">
        <v>112.4</v>
      </c>
      <c r="AB45">
        <v>108.9</v>
      </c>
      <c r="AC45">
        <v>111.3</v>
      </c>
      <c r="AD45">
        <v>114.6</v>
      </c>
      <c r="AE45" s="72">
        <f t="shared" si="0"/>
        <v>1606</v>
      </c>
      <c r="AF45" s="4">
        <f t="shared" si="1"/>
        <v>458.5</v>
      </c>
      <c r="AG45" s="4">
        <f t="shared" si="2"/>
        <v>338</v>
      </c>
      <c r="AH45" s="4">
        <f t="shared" si="3"/>
        <v>445.3</v>
      </c>
      <c r="AI45" s="6">
        <f t="shared" si="4"/>
        <v>2847.8</v>
      </c>
    </row>
    <row r="46" spans="1:35" x14ac:dyDescent="0.3">
      <c r="A46" t="s">
        <v>32</v>
      </c>
      <c r="B46">
        <v>2014</v>
      </c>
      <c r="C46" t="s">
        <v>35</v>
      </c>
      <c r="D46">
        <v>122.1</v>
      </c>
      <c r="E46">
        <v>121.4</v>
      </c>
      <c r="F46">
        <v>121.5</v>
      </c>
      <c r="G46">
        <v>116.2</v>
      </c>
      <c r="H46">
        <v>102.8</v>
      </c>
      <c r="I46">
        <v>117.7</v>
      </c>
      <c r="J46">
        <v>113.3</v>
      </c>
      <c r="K46">
        <v>108.9</v>
      </c>
      <c r="L46">
        <v>96.3</v>
      </c>
      <c r="M46">
        <v>114.1</v>
      </c>
      <c r="N46">
        <v>112.2</v>
      </c>
      <c r="O46">
        <v>120.5</v>
      </c>
      <c r="P46">
        <v>116</v>
      </c>
      <c r="Q46">
        <v>116.7</v>
      </c>
      <c r="R46">
        <v>115.8</v>
      </c>
      <c r="S46">
        <v>112.1</v>
      </c>
      <c r="T46">
        <v>115.2</v>
      </c>
      <c r="U46">
        <v>113.2</v>
      </c>
      <c r="V46" s="5">
        <v>110.9</v>
      </c>
      <c r="W46">
        <v>113</v>
      </c>
      <c r="X46">
        <v>110.8</v>
      </c>
      <c r="Y46">
        <v>111.6</v>
      </c>
      <c r="Z46">
        <v>110.9</v>
      </c>
      <c r="AA46">
        <v>111.8</v>
      </c>
      <c r="AB46">
        <v>109.2</v>
      </c>
      <c r="AC46">
        <v>111.4</v>
      </c>
      <c r="AD46">
        <v>113.7</v>
      </c>
      <c r="AE46" s="72">
        <f t="shared" si="0"/>
        <v>1599.7</v>
      </c>
      <c r="AF46" s="4">
        <f t="shared" si="1"/>
        <v>452.29999999999995</v>
      </c>
      <c r="AG46" s="4">
        <f t="shared" si="2"/>
        <v>448.70000000000005</v>
      </c>
      <c r="AH46" s="4">
        <f t="shared" si="3"/>
        <v>444.9</v>
      </c>
      <c r="AI46" s="6">
        <f t="shared" si="4"/>
        <v>2945.6</v>
      </c>
    </row>
    <row r="47" spans="1:35" x14ac:dyDescent="0.3">
      <c r="A47" t="s">
        <v>33</v>
      </c>
      <c r="B47">
        <v>2014</v>
      </c>
      <c r="C47" t="s">
        <v>35</v>
      </c>
      <c r="D47">
        <v>120.7</v>
      </c>
      <c r="E47">
        <v>119.3</v>
      </c>
      <c r="F47">
        <v>121</v>
      </c>
      <c r="G47">
        <v>116.1</v>
      </c>
      <c r="H47">
        <v>106.9</v>
      </c>
      <c r="I47">
        <v>118.7</v>
      </c>
      <c r="J47">
        <v>116.3</v>
      </c>
      <c r="K47">
        <v>109.8</v>
      </c>
      <c r="L47">
        <v>99.6</v>
      </c>
      <c r="M47">
        <v>111.8</v>
      </c>
      <c r="N47">
        <v>112.7</v>
      </c>
      <c r="O47">
        <v>119.3</v>
      </c>
      <c r="P47">
        <v>116.1</v>
      </c>
      <c r="Q47">
        <v>115.2</v>
      </c>
      <c r="R47">
        <v>116.8</v>
      </c>
      <c r="S47">
        <v>113.7</v>
      </c>
      <c r="T47">
        <v>116.4</v>
      </c>
      <c r="U47">
        <v>113.2</v>
      </c>
      <c r="V47" s="5">
        <v>112.5</v>
      </c>
      <c r="W47">
        <v>113.2</v>
      </c>
      <c r="X47">
        <v>111.2</v>
      </c>
      <c r="Y47">
        <v>111.4</v>
      </c>
      <c r="Z47">
        <v>110.6</v>
      </c>
      <c r="AA47">
        <v>112</v>
      </c>
      <c r="AB47">
        <v>109</v>
      </c>
      <c r="AC47">
        <v>111.3</v>
      </c>
      <c r="AD47">
        <v>114.2</v>
      </c>
      <c r="AE47" s="72">
        <f t="shared" si="0"/>
        <v>1603.4999999999998</v>
      </c>
      <c r="AF47" s="4">
        <f t="shared" si="1"/>
        <v>455.9</v>
      </c>
      <c r="AG47" s="4">
        <f t="shared" si="2"/>
        <v>450.29999999999995</v>
      </c>
      <c r="AH47" s="4">
        <f t="shared" si="3"/>
        <v>445.1</v>
      </c>
      <c r="AI47" s="6">
        <f t="shared" si="4"/>
        <v>2954.7999999999997</v>
      </c>
    </row>
    <row r="48" spans="1:35" x14ac:dyDescent="0.3">
      <c r="A48" t="s">
        <v>30</v>
      </c>
      <c r="B48">
        <v>2014</v>
      </c>
      <c r="C48" t="s">
        <v>36</v>
      </c>
      <c r="D48">
        <v>120.2</v>
      </c>
      <c r="E48">
        <v>118.9</v>
      </c>
      <c r="F48">
        <v>118.1</v>
      </c>
      <c r="G48">
        <v>117</v>
      </c>
      <c r="H48">
        <v>109.7</v>
      </c>
      <c r="I48">
        <v>125.5</v>
      </c>
      <c r="J48">
        <v>120.5</v>
      </c>
      <c r="K48">
        <v>111</v>
      </c>
      <c r="L48">
        <v>102.6</v>
      </c>
      <c r="M48">
        <v>111.2</v>
      </c>
      <c r="N48">
        <v>113.5</v>
      </c>
      <c r="O48">
        <v>118.7</v>
      </c>
      <c r="P48">
        <v>117.2</v>
      </c>
      <c r="Q48">
        <v>115.4</v>
      </c>
      <c r="R48">
        <v>118.1</v>
      </c>
      <c r="S48">
        <v>116.1</v>
      </c>
      <c r="T48">
        <v>117.8</v>
      </c>
      <c r="U48">
        <v>0</v>
      </c>
      <c r="V48" s="5">
        <v>113.4</v>
      </c>
      <c r="W48">
        <v>113.7</v>
      </c>
      <c r="X48">
        <v>111.8</v>
      </c>
      <c r="Y48">
        <v>111.2</v>
      </c>
      <c r="Z48">
        <v>110.5</v>
      </c>
      <c r="AA48">
        <v>113</v>
      </c>
      <c r="AB48">
        <v>108.9</v>
      </c>
      <c r="AC48">
        <v>111.5</v>
      </c>
      <c r="AD48">
        <v>115.4</v>
      </c>
      <c r="AE48" s="72">
        <f t="shared" si="0"/>
        <v>1619.5000000000002</v>
      </c>
      <c r="AF48" s="4">
        <f t="shared" si="1"/>
        <v>460.9</v>
      </c>
      <c r="AG48" s="4">
        <f t="shared" si="2"/>
        <v>338.3</v>
      </c>
      <c r="AH48" s="4">
        <f t="shared" si="3"/>
        <v>446.8</v>
      </c>
      <c r="AI48" s="6">
        <f t="shared" si="4"/>
        <v>2865.5000000000005</v>
      </c>
    </row>
    <row r="49" spans="1:35" x14ac:dyDescent="0.3">
      <c r="A49" t="s">
        <v>32</v>
      </c>
      <c r="B49">
        <v>2014</v>
      </c>
      <c r="C49" t="s">
        <v>36</v>
      </c>
      <c r="D49">
        <v>122.5</v>
      </c>
      <c r="E49">
        <v>121.7</v>
      </c>
      <c r="F49">
        <v>113.3</v>
      </c>
      <c r="G49">
        <v>117</v>
      </c>
      <c r="H49">
        <v>103.1</v>
      </c>
      <c r="I49">
        <v>126.7</v>
      </c>
      <c r="J49">
        <v>121.2</v>
      </c>
      <c r="K49">
        <v>111</v>
      </c>
      <c r="L49">
        <v>100.3</v>
      </c>
      <c r="M49">
        <v>115.3</v>
      </c>
      <c r="N49">
        <v>112.7</v>
      </c>
      <c r="O49">
        <v>121</v>
      </c>
      <c r="P49">
        <v>118.2</v>
      </c>
      <c r="Q49">
        <v>117.6</v>
      </c>
      <c r="R49">
        <v>116.3</v>
      </c>
      <c r="S49">
        <v>112.5</v>
      </c>
      <c r="T49">
        <v>115.7</v>
      </c>
      <c r="U49">
        <v>113.9</v>
      </c>
      <c r="V49" s="5">
        <v>110.9</v>
      </c>
      <c r="W49">
        <v>113.4</v>
      </c>
      <c r="X49">
        <v>111</v>
      </c>
      <c r="Y49">
        <v>111.2</v>
      </c>
      <c r="Z49">
        <v>111.2</v>
      </c>
      <c r="AA49">
        <v>112.5</v>
      </c>
      <c r="AB49">
        <v>109.1</v>
      </c>
      <c r="AC49">
        <v>111.4</v>
      </c>
      <c r="AD49">
        <v>114.7</v>
      </c>
      <c r="AE49" s="72">
        <f t="shared" si="0"/>
        <v>1621.6000000000001</v>
      </c>
      <c r="AF49" s="4">
        <f t="shared" si="1"/>
        <v>453.6</v>
      </c>
      <c r="AG49" s="4">
        <f t="shared" si="2"/>
        <v>449.40000000000003</v>
      </c>
      <c r="AH49" s="4">
        <f t="shared" si="3"/>
        <v>446.1</v>
      </c>
      <c r="AI49" s="6">
        <f t="shared" si="4"/>
        <v>2970.7000000000003</v>
      </c>
    </row>
    <row r="50" spans="1:35" x14ac:dyDescent="0.3">
      <c r="A50" t="s">
        <v>33</v>
      </c>
      <c r="B50">
        <v>2014</v>
      </c>
      <c r="C50" t="s">
        <v>36</v>
      </c>
      <c r="D50">
        <v>120.9</v>
      </c>
      <c r="E50">
        <v>119.9</v>
      </c>
      <c r="F50">
        <v>116.2</v>
      </c>
      <c r="G50">
        <v>117</v>
      </c>
      <c r="H50">
        <v>107.3</v>
      </c>
      <c r="I50">
        <v>126.1</v>
      </c>
      <c r="J50">
        <v>120.7</v>
      </c>
      <c r="K50">
        <v>111</v>
      </c>
      <c r="L50">
        <v>101.8</v>
      </c>
      <c r="M50">
        <v>112.6</v>
      </c>
      <c r="N50">
        <v>113.2</v>
      </c>
      <c r="O50">
        <v>119.8</v>
      </c>
      <c r="P50">
        <v>117.6</v>
      </c>
      <c r="Q50">
        <v>116</v>
      </c>
      <c r="R50">
        <v>117.4</v>
      </c>
      <c r="S50">
        <v>114.6</v>
      </c>
      <c r="T50">
        <v>117</v>
      </c>
      <c r="U50">
        <v>113.9</v>
      </c>
      <c r="V50" s="5">
        <v>112.5</v>
      </c>
      <c r="W50">
        <v>113.6</v>
      </c>
      <c r="X50">
        <v>111.5</v>
      </c>
      <c r="Y50">
        <v>111.2</v>
      </c>
      <c r="Z50">
        <v>110.9</v>
      </c>
      <c r="AA50">
        <v>112.7</v>
      </c>
      <c r="AB50">
        <v>109</v>
      </c>
      <c r="AC50">
        <v>111.5</v>
      </c>
      <c r="AD50">
        <v>115.1</v>
      </c>
      <c r="AE50" s="72">
        <f t="shared" si="0"/>
        <v>1620.1</v>
      </c>
      <c r="AF50" s="4">
        <f t="shared" si="1"/>
        <v>458</v>
      </c>
      <c r="AG50" s="4">
        <f t="shared" si="2"/>
        <v>451.2</v>
      </c>
      <c r="AH50" s="4">
        <f t="shared" si="3"/>
        <v>446.6</v>
      </c>
      <c r="AI50" s="6">
        <f t="shared" si="4"/>
        <v>2975.8999999999996</v>
      </c>
    </row>
    <row r="51" spans="1:35" x14ac:dyDescent="0.3">
      <c r="A51" t="s">
        <v>30</v>
      </c>
      <c r="B51">
        <v>2014</v>
      </c>
      <c r="C51" t="s">
        <v>37</v>
      </c>
      <c r="D51">
        <v>120.3</v>
      </c>
      <c r="E51">
        <v>120.2</v>
      </c>
      <c r="F51">
        <v>116.9</v>
      </c>
      <c r="G51">
        <v>118</v>
      </c>
      <c r="H51">
        <v>110.1</v>
      </c>
      <c r="I51">
        <v>126.3</v>
      </c>
      <c r="J51">
        <v>123.9</v>
      </c>
      <c r="K51">
        <v>111.5</v>
      </c>
      <c r="L51">
        <v>103.5</v>
      </c>
      <c r="M51">
        <v>111.6</v>
      </c>
      <c r="N51">
        <v>114.2</v>
      </c>
      <c r="O51">
        <v>119.2</v>
      </c>
      <c r="P51">
        <v>118.2</v>
      </c>
      <c r="Q51">
        <v>116.3</v>
      </c>
      <c r="R51">
        <v>118.7</v>
      </c>
      <c r="S51">
        <v>116.8</v>
      </c>
      <c r="T51">
        <v>118.5</v>
      </c>
      <c r="U51">
        <v>0</v>
      </c>
      <c r="V51" s="5">
        <v>113.4</v>
      </c>
      <c r="W51">
        <v>114.1</v>
      </c>
      <c r="X51">
        <v>112.1</v>
      </c>
      <c r="Y51">
        <v>111.4</v>
      </c>
      <c r="Z51">
        <v>110.9</v>
      </c>
      <c r="AA51">
        <v>113.1</v>
      </c>
      <c r="AB51">
        <v>108.9</v>
      </c>
      <c r="AC51">
        <v>111.8</v>
      </c>
      <c r="AD51">
        <v>116</v>
      </c>
      <c r="AE51" s="72">
        <f t="shared" si="0"/>
        <v>1630.1999999999998</v>
      </c>
      <c r="AF51" s="4">
        <f t="shared" si="1"/>
        <v>462.9</v>
      </c>
      <c r="AG51" s="4">
        <f t="shared" si="2"/>
        <v>338.9</v>
      </c>
      <c r="AH51" s="4">
        <f t="shared" si="3"/>
        <v>447.90000000000003</v>
      </c>
      <c r="AI51" s="6">
        <f t="shared" si="4"/>
        <v>2879.9</v>
      </c>
    </row>
    <row r="52" spans="1:35" x14ac:dyDescent="0.3">
      <c r="A52" t="s">
        <v>32</v>
      </c>
      <c r="B52">
        <v>2014</v>
      </c>
      <c r="C52" t="s">
        <v>37</v>
      </c>
      <c r="D52">
        <v>122.7</v>
      </c>
      <c r="E52">
        <v>124.1</v>
      </c>
      <c r="F52">
        <v>114.2</v>
      </c>
      <c r="G52">
        <v>119.1</v>
      </c>
      <c r="H52">
        <v>103.5</v>
      </c>
      <c r="I52">
        <v>129.19999999999999</v>
      </c>
      <c r="J52">
        <v>127</v>
      </c>
      <c r="K52">
        <v>112.6</v>
      </c>
      <c r="L52">
        <v>101.3</v>
      </c>
      <c r="M52">
        <v>117</v>
      </c>
      <c r="N52">
        <v>112.9</v>
      </c>
      <c r="O52">
        <v>121.7</v>
      </c>
      <c r="P52">
        <v>120</v>
      </c>
      <c r="Q52">
        <v>118.3</v>
      </c>
      <c r="R52">
        <v>116.8</v>
      </c>
      <c r="S52">
        <v>112.9</v>
      </c>
      <c r="T52">
        <v>116.2</v>
      </c>
      <c r="U52">
        <v>114.3</v>
      </c>
      <c r="V52" s="5">
        <v>111.1</v>
      </c>
      <c r="W52">
        <v>114.1</v>
      </c>
      <c r="X52">
        <v>111.2</v>
      </c>
      <c r="Y52">
        <v>111.3</v>
      </c>
      <c r="Z52">
        <v>111.5</v>
      </c>
      <c r="AA52">
        <v>112.9</v>
      </c>
      <c r="AB52">
        <v>109.3</v>
      </c>
      <c r="AC52">
        <v>111.7</v>
      </c>
      <c r="AD52">
        <v>115.6</v>
      </c>
      <c r="AE52" s="72">
        <f t="shared" si="0"/>
        <v>1643.6000000000001</v>
      </c>
      <c r="AF52" s="4">
        <f t="shared" si="1"/>
        <v>455.2</v>
      </c>
      <c r="AG52" s="4">
        <f t="shared" si="2"/>
        <v>450.8</v>
      </c>
      <c r="AH52" s="4">
        <f t="shared" si="3"/>
        <v>447.3</v>
      </c>
      <c r="AI52" s="6">
        <f t="shared" si="4"/>
        <v>2996.9000000000005</v>
      </c>
    </row>
    <row r="53" spans="1:35" x14ac:dyDescent="0.3">
      <c r="A53" t="s">
        <v>33</v>
      </c>
      <c r="B53">
        <v>2014</v>
      </c>
      <c r="C53" t="s">
        <v>37</v>
      </c>
      <c r="D53">
        <v>121.1</v>
      </c>
      <c r="E53">
        <v>121.6</v>
      </c>
      <c r="F53">
        <v>115.9</v>
      </c>
      <c r="G53">
        <v>118.4</v>
      </c>
      <c r="H53">
        <v>107.7</v>
      </c>
      <c r="I53">
        <v>127.7</v>
      </c>
      <c r="J53">
        <v>125</v>
      </c>
      <c r="K53">
        <v>111.9</v>
      </c>
      <c r="L53">
        <v>102.8</v>
      </c>
      <c r="M53">
        <v>113.4</v>
      </c>
      <c r="N53">
        <v>113.7</v>
      </c>
      <c r="O53">
        <v>120.4</v>
      </c>
      <c r="P53">
        <v>118.9</v>
      </c>
      <c r="Q53">
        <v>116.8</v>
      </c>
      <c r="R53">
        <v>118</v>
      </c>
      <c r="S53">
        <v>115.2</v>
      </c>
      <c r="T53">
        <v>117.6</v>
      </c>
      <c r="U53">
        <v>114.3</v>
      </c>
      <c r="V53" s="5">
        <v>112.5</v>
      </c>
      <c r="W53">
        <v>114.1</v>
      </c>
      <c r="X53">
        <v>111.8</v>
      </c>
      <c r="Y53">
        <v>111.3</v>
      </c>
      <c r="Z53">
        <v>111.2</v>
      </c>
      <c r="AA53">
        <v>113</v>
      </c>
      <c r="AB53">
        <v>109.1</v>
      </c>
      <c r="AC53">
        <v>111.8</v>
      </c>
      <c r="AD53">
        <v>115.8</v>
      </c>
      <c r="AE53" s="72">
        <f t="shared" si="0"/>
        <v>1635.3000000000004</v>
      </c>
      <c r="AF53" s="4">
        <f t="shared" si="1"/>
        <v>459.9</v>
      </c>
      <c r="AG53" s="4">
        <f t="shared" si="2"/>
        <v>452.2</v>
      </c>
      <c r="AH53" s="4">
        <f t="shared" si="3"/>
        <v>447.8</v>
      </c>
      <c r="AI53" s="6">
        <f t="shared" si="4"/>
        <v>2995.2000000000003</v>
      </c>
    </row>
    <row r="54" spans="1:35" x14ac:dyDescent="0.3">
      <c r="A54" t="s">
        <v>30</v>
      </c>
      <c r="B54">
        <v>2014</v>
      </c>
      <c r="C54" t="s">
        <v>38</v>
      </c>
      <c r="D54">
        <v>120.7</v>
      </c>
      <c r="E54">
        <v>121.6</v>
      </c>
      <c r="F54">
        <v>116.1</v>
      </c>
      <c r="G54">
        <v>119.3</v>
      </c>
      <c r="H54">
        <v>110.3</v>
      </c>
      <c r="I54">
        <v>125.8</v>
      </c>
      <c r="J54">
        <v>129.30000000000001</v>
      </c>
      <c r="K54">
        <v>112.2</v>
      </c>
      <c r="L54">
        <v>103.6</v>
      </c>
      <c r="M54">
        <v>112.3</v>
      </c>
      <c r="N54">
        <v>114.9</v>
      </c>
      <c r="O54">
        <v>120.1</v>
      </c>
      <c r="P54">
        <v>119.5</v>
      </c>
      <c r="Q54">
        <v>117.3</v>
      </c>
      <c r="R54">
        <v>119.7</v>
      </c>
      <c r="S54">
        <v>117.3</v>
      </c>
      <c r="T54">
        <v>119.3</v>
      </c>
      <c r="U54">
        <v>0</v>
      </c>
      <c r="V54" s="5">
        <v>114.4</v>
      </c>
      <c r="W54">
        <v>114.9</v>
      </c>
      <c r="X54">
        <v>112.8</v>
      </c>
      <c r="Y54">
        <v>112.2</v>
      </c>
      <c r="Z54">
        <v>111.4</v>
      </c>
      <c r="AA54">
        <v>114.3</v>
      </c>
      <c r="AB54">
        <v>108</v>
      </c>
      <c r="AC54">
        <v>112.3</v>
      </c>
      <c r="AD54">
        <v>117</v>
      </c>
      <c r="AE54" s="72">
        <f t="shared" si="0"/>
        <v>1642.9999999999998</v>
      </c>
      <c r="AF54" s="4">
        <f t="shared" si="1"/>
        <v>464.3</v>
      </c>
      <c r="AG54" s="4">
        <f t="shared" si="2"/>
        <v>341.5</v>
      </c>
      <c r="AH54" s="4">
        <f t="shared" si="3"/>
        <v>450.8</v>
      </c>
      <c r="AI54" s="6">
        <f t="shared" si="4"/>
        <v>2899.6</v>
      </c>
    </row>
    <row r="55" spans="1:35" x14ac:dyDescent="0.3">
      <c r="A55" t="s">
        <v>32</v>
      </c>
      <c r="B55">
        <v>2014</v>
      </c>
      <c r="C55" t="s">
        <v>38</v>
      </c>
      <c r="D55">
        <v>123.1</v>
      </c>
      <c r="E55">
        <v>125.9</v>
      </c>
      <c r="F55">
        <v>115.4</v>
      </c>
      <c r="G55">
        <v>120.4</v>
      </c>
      <c r="H55">
        <v>103.4</v>
      </c>
      <c r="I55">
        <v>131.19999999999999</v>
      </c>
      <c r="J55">
        <v>137.5</v>
      </c>
      <c r="K55">
        <v>112.8</v>
      </c>
      <c r="L55">
        <v>101.4</v>
      </c>
      <c r="M55">
        <v>118.3</v>
      </c>
      <c r="N55">
        <v>113.2</v>
      </c>
      <c r="O55">
        <v>122.4</v>
      </c>
      <c r="P55">
        <v>122</v>
      </c>
      <c r="Q55">
        <v>119</v>
      </c>
      <c r="R55">
        <v>117.4</v>
      </c>
      <c r="S55">
        <v>113.2</v>
      </c>
      <c r="T55">
        <v>116.7</v>
      </c>
      <c r="U55">
        <v>113.9</v>
      </c>
      <c r="V55" s="5">
        <v>111.2</v>
      </c>
      <c r="W55">
        <v>114.3</v>
      </c>
      <c r="X55">
        <v>111.4</v>
      </c>
      <c r="Y55">
        <v>111.5</v>
      </c>
      <c r="Z55">
        <v>111.8</v>
      </c>
      <c r="AA55">
        <v>115.1</v>
      </c>
      <c r="AB55">
        <v>108.7</v>
      </c>
      <c r="AC55">
        <v>112.2</v>
      </c>
      <c r="AD55">
        <v>116.4</v>
      </c>
      <c r="AE55" s="72">
        <f t="shared" si="0"/>
        <v>1666</v>
      </c>
      <c r="AF55" s="4">
        <f t="shared" si="1"/>
        <v>456</v>
      </c>
      <c r="AG55" s="4">
        <f t="shared" si="2"/>
        <v>450.90000000000003</v>
      </c>
      <c r="AH55" s="4">
        <f t="shared" si="3"/>
        <v>450.49999999999994</v>
      </c>
      <c r="AI55" s="6">
        <f t="shared" si="4"/>
        <v>3023.4</v>
      </c>
    </row>
    <row r="56" spans="1:35" x14ac:dyDescent="0.3">
      <c r="A56" t="s">
        <v>33</v>
      </c>
      <c r="B56">
        <v>2014</v>
      </c>
      <c r="C56" t="s">
        <v>38</v>
      </c>
      <c r="D56">
        <v>121.5</v>
      </c>
      <c r="E56">
        <v>123.1</v>
      </c>
      <c r="F56">
        <v>115.8</v>
      </c>
      <c r="G56">
        <v>119.7</v>
      </c>
      <c r="H56">
        <v>107.8</v>
      </c>
      <c r="I56">
        <v>128.30000000000001</v>
      </c>
      <c r="J56">
        <v>132.1</v>
      </c>
      <c r="K56">
        <v>112.4</v>
      </c>
      <c r="L56">
        <v>102.9</v>
      </c>
      <c r="M56">
        <v>114.3</v>
      </c>
      <c r="N56">
        <v>114.2</v>
      </c>
      <c r="O56">
        <v>121.2</v>
      </c>
      <c r="P56">
        <v>120.4</v>
      </c>
      <c r="Q56">
        <v>117.8</v>
      </c>
      <c r="R56">
        <v>118.8</v>
      </c>
      <c r="S56">
        <v>115.6</v>
      </c>
      <c r="T56">
        <v>118.3</v>
      </c>
      <c r="U56">
        <v>113.9</v>
      </c>
      <c r="V56" s="5">
        <v>113.2</v>
      </c>
      <c r="W56">
        <v>114.6</v>
      </c>
      <c r="X56">
        <v>112.3</v>
      </c>
      <c r="Y56">
        <v>111.8</v>
      </c>
      <c r="Z56">
        <v>111.6</v>
      </c>
      <c r="AA56">
        <v>114.8</v>
      </c>
      <c r="AB56">
        <v>108.3</v>
      </c>
      <c r="AC56">
        <v>112.3</v>
      </c>
      <c r="AD56">
        <v>116.7</v>
      </c>
      <c r="AE56" s="72">
        <f t="shared" si="0"/>
        <v>1651.5000000000002</v>
      </c>
      <c r="AF56" s="4">
        <f t="shared" si="1"/>
        <v>461</v>
      </c>
      <c r="AG56" s="4">
        <f t="shared" si="2"/>
        <v>453.50000000000006</v>
      </c>
      <c r="AH56" s="4">
        <f t="shared" si="3"/>
        <v>451</v>
      </c>
      <c r="AI56" s="6">
        <f t="shared" si="4"/>
        <v>3017</v>
      </c>
    </row>
    <row r="57" spans="1:35" x14ac:dyDescent="0.3">
      <c r="A57" t="s">
        <v>30</v>
      </c>
      <c r="B57">
        <v>2014</v>
      </c>
      <c r="C57" t="s">
        <v>39</v>
      </c>
      <c r="D57">
        <v>121.7</v>
      </c>
      <c r="E57">
        <v>122.5</v>
      </c>
      <c r="F57">
        <v>117.7</v>
      </c>
      <c r="G57">
        <v>120.6</v>
      </c>
      <c r="H57">
        <v>110.4</v>
      </c>
      <c r="I57">
        <v>129.1</v>
      </c>
      <c r="J57">
        <v>150.1</v>
      </c>
      <c r="K57">
        <v>113.2</v>
      </c>
      <c r="L57">
        <v>104.8</v>
      </c>
      <c r="M57">
        <v>113.3</v>
      </c>
      <c r="N57">
        <v>115.6</v>
      </c>
      <c r="O57">
        <v>120.9</v>
      </c>
      <c r="P57">
        <v>123.3</v>
      </c>
      <c r="Q57">
        <v>118</v>
      </c>
      <c r="R57">
        <v>120.7</v>
      </c>
      <c r="S57">
        <v>118.3</v>
      </c>
      <c r="T57">
        <v>120.3</v>
      </c>
      <c r="U57">
        <v>0</v>
      </c>
      <c r="V57" s="5">
        <v>115.3</v>
      </c>
      <c r="W57">
        <v>115.4</v>
      </c>
      <c r="X57">
        <v>113.4</v>
      </c>
      <c r="Y57">
        <v>113.2</v>
      </c>
      <c r="Z57">
        <v>111.8</v>
      </c>
      <c r="AA57">
        <v>115.5</v>
      </c>
      <c r="AB57">
        <v>108.8</v>
      </c>
      <c r="AC57">
        <v>113.1</v>
      </c>
      <c r="AD57">
        <v>119.5</v>
      </c>
      <c r="AE57" s="72">
        <f t="shared" si="0"/>
        <v>1681.2</v>
      </c>
      <c r="AF57" s="4">
        <f t="shared" si="1"/>
        <v>468.1</v>
      </c>
      <c r="AG57" s="4">
        <f t="shared" si="2"/>
        <v>343.9</v>
      </c>
      <c r="AH57" s="4">
        <f t="shared" si="3"/>
        <v>453.79999999999995</v>
      </c>
      <c r="AI57" s="6">
        <f t="shared" si="4"/>
        <v>2947</v>
      </c>
    </row>
    <row r="58" spans="1:35" x14ac:dyDescent="0.3">
      <c r="A58" t="s">
        <v>32</v>
      </c>
      <c r="B58">
        <v>2014</v>
      </c>
      <c r="C58" t="s">
        <v>39</v>
      </c>
      <c r="D58">
        <v>123.8</v>
      </c>
      <c r="E58">
        <v>126.4</v>
      </c>
      <c r="F58">
        <v>118</v>
      </c>
      <c r="G58">
        <v>121.6</v>
      </c>
      <c r="H58">
        <v>103.5</v>
      </c>
      <c r="I58">
        <v>133.69999999999999</v>
      </c>
      <c r="J58">
        <v>172.4</v>
      </c>
      <c r="K58">
        <v>113.1</v>
      </c>
      <c r="L58">
        <v>102.7</v>
      </c>
      <c r="M58">
        <v>120</v>
      </c>
      <c r="N58">
        <v>113.8</v>
      </c>
      <c r="O58">
        <v>123.4</v>
      </c>
      <c r="P58">
        <v>127.1</v>
      </c>
      <c r="Q58">
        <v>121</v>
      </c>
      <c r="R58">
        <v>118</v>
      </c>
      <c r="S58">
        <v>113.6</v>
      </c>
      <c r="T58">
        <v>117.4</v>
      </c>
      <c r="U58">
        <v>114.8</v>
      </c>
      <c r="V58" s="5">
        <v>111.6</v>
      </c>
      <c r="W58">
        <v>114.9</v>
      </c>
      <c r="X58">
        <v>111.5</v>
      </c>
      <c r="Y58">
        <v>113</v>
      </c>
      <c r="Z58">
        <v>112.4</v>
      </c>
      <c r="AA58">
        <v>117.8</v>
      </c>
      <c r="AB58">
        <v>109.7</v>
      </c>
      <c r="AC58">
        <v>113.5</v>
      </c>
      <c r="AD58">
        <v>118.9</v>
      </c>
      <c r="AE58" s="72">
        <f t="shared" si="0"/>
        <v>1720.5</v>
      </c>
      <c r="AF58" s="4">
        <f t="shared" si="1"/>
        <v>458.7</v>
      </c>
      <c r="AG58" s="4">
        <f t="shared" si="2"/>
        <v>454.29999999999995</v>
      </c>
      <c r="AH58" s="4">
        <f t="shared" si="3"/>
        <v>455.2</v>
      </c>
      <c r="AI58" s="6">
        <f t="shared" si="4"/>
        <v>3088.7</v>
      </c>
    </row>
    <row r="59" spans="1:35" x14ac:dyDescent="0.3">
      <c r="A59" t="s">
        <v>33</v>
      </c>
      <c r="B59">
        <v>2014</v>
      </c>
      <c r="C59" t="s">
        <v>39</v>
      </c>
      <c r="D59">
        <v>122.4</v>
      </c>
      <c r="E59">
        <v>123.9</v>
      </c>
      <c r="F59">
        <v>117.8</v>
      </c>
      <c r="G59">
        <v>121</v>
      </c>
      <c r="H59">
        <v>107.9</v>
      </c>
      <c r="I59">
        <v>131.19999999999999</v>
      </c>
      <c r="J59">
        <v>157.69999999999999</v>
      </c>
      <c r="K59">
        <v>113.2</v>
      </c>
      <c r="L59">
        <v>104.1</v>
      </c>
      <c r="M59">
        <v>115.5</v>
      </c>
      <c r="N59">
        <v>114.8</v>
      </c>
      <c r="O59">
        <v>122.1</v>
      </c>
      <c r="P59">
        <v>124.7</v>
      </c>
      <c r="Q59">
        <v>118.8</v>
      </c>
      <c r="R59">
        <v>119.6</v>
      </c>
      <c r="S59">
        <v>116.3</v>
      </c>
      <c r="T59">
        <v>119.1</v>
      </c>
      <c r="U59">
        <v>114.8</v>
      </c>
      <c r="V59" s="5">
        <v>113.9</v>
      </c>
      <c r="W59">
        <v>115.2</v>
      </c>
      <c r="X59">
        <v>112.7</v>
      </c>
      <c r="Y59">
        <v>113.1</v>
      </c>
      <c r="Z59">
        <v>112.1</v>
      </c>
      <c r="AA59">
        <v>116.8</v>
      </c>
      <c r="AB59">
        <v>109.2</v>
      </c>
      <c r="AC59">
        <v>113.3</v>
      </c>
      <c r="AD59">
        <v>119.2</v>
      </c>
      <c r="AE59" s="72">
        <f t="shared" si="0"/>
        <v>1695.1</v>
      </c>
      <c r="AF59" s="4">
        <f t="shared" si="1"/>
        <v>464.2</v>
      </c>
      <c r="AG59" s="4">
        <f t="shared" si="2"/>
        <v>457</v>
      </c>
      <c r="AH59" s="4">
        <f t="shared" si="3"/>
        <v>454.90000000000003</v>
      </c>
      <c r="AI59" s="6">
        <f t="shared" si="4"/>
        <v>3071.2</v>
      </c>
    </row>
    <row r="60" spans="1:35" x14ac:dyDescent="0.3">
      <c r="A60" t="s">
        <v>30</v>
      </c>
      <c r="B60">
        <v>2014</v>
      </c>
      <c r="C60" t="s">
        <v>40</v>
      </c>
      <c r="D60">
        <v>121.8</v>
      </c>
      <c r="E60">
        <v>122.8</v>
      </c>
      <c r="F60">
        <v>117.8</v>
      </c>
      <c r="G60">
        <v>121.9</v>
      </c>
      <c r="H60">
        <v>110.6</v>
      </c>
      <c r="I60">
        <v>129.69999999999999</v>
      </c>
      <c r="J60">
        <v>161.1</v>
      </c>
      <c r="K60">
        <v>114.1</v>
      </c>
      <c r="L60">
        <v>105.1</v>
      </c>
      <c r="M60">
        <v>114.6</v>
      </c>
      <c r="N60">
        <v>115.8</v>
      </c>
      <c r="O60">
        <v>121.7</v>
      </c>
      <c r="P60">
        <v>125.3</v>
      </c>
      <c r="Q60">
        <v>118.8</v>
      </c>
      <c r="R60">
        <v>120.9</v>
      </c>
      <c r="S60">
        <v>118.8</v>
      </c>
      <c r="T60">
        <v>120.7</v>
      </c>
      <c r="U60">
        <v>0</v>
      </c>
      <c r="V60" s="5">
        <v>115.4</v>
      </c>
      <c r="W60">
        <v>115.9</v>
      </c>
      <c r="X60">
        <v>114</v>
      </c>
      <c r="Y60">
        <v>113.2</v>
      </c>
      <c r="Z60">
        <v>112.2</v>
      </c>
      <c r="AA60">
        <v>116.2</v>
      </c>
      <c r="AB60">
        <v>109.4</v>
      </c>
      <c r="AC60">
        <v>113.5</v>
      </c>
      <c r="AD60">
        <v>120.7</v>
      </c>
      <c r="AE60" s="72">
        <f t="shared" si="0"/>
        <v>1701.0999999999997</v>
      </c>
      <c r="AF60" s="4">
        <f t="shared" si="1"/>
        <v>469.79999999999995</v>
      </c>
      <c r="AG60" s="4">
        <f t="shared" si="2"/>
        <v>344.5</v>
      </c>
      <c r="AH60" s="4">
        <f t="shared" si="3"/>
        <v>455.9</v>
      </c>
      <c r="AI60" s="6">
        <f t="shared" si="4"/>
        <v>2971.2999999999997</v>
      </c>
    </row>
    <row r="61" spans="1:35" x14ac:dyDescent="0.3">
      <c r="A61" t="s">
        <v>32</v>
      </c>
      <c r="B61">
        <v>2014</v>
      </c>
      <c r="C61" t="s">
        <v>40</v>
      </c>
      <c r="D61">
        <v>124.8</v>
      </c>
      <c r="E61">
        <v>127.3</v>
      </c>
      <c r="F61">
        <v>116.5</v>
      </c>
      <c r="G61">
        <v>122.2</v>
      </c>
      <c r="H61">
        <v>103.6</v>
      </c>
      <c r="I61">
        <v>132.69999999999999</v>
      </c>
      <c r="J61">
        <v>181.9</v>
      </c>
      <c r="K61">
        <v>115.2</v>
      </c>
      <c r="L61">
        <v>102.7</v>
      </c>
      <c r="M61">
        <v>122.1</v>
      </c>
      <c r="N61">
        <v>114.4</v>
      </c>
      <c r="O61">
        <v>124.7</v>
      </c>
      <c r="P61">
        <v>128.9</v>
      </c>
      <c r="Q61">
        <v>123</v>
      </c>
      <c r="R61">
        <v>118.6</v>
      </c>
      <c r="S61">
        <v>114.1</v>
      </c>
      <c r="T61">
        <v>117.9</v>
      </c>
      <c r="U61">
        <v>115.5</v>
      </c>
      <c r="V61" s="5">
        <v>111.8</v>
      </c>
      <c r="W61">
        <v>115.3</v>
      </c>
      <c r="X61">
        <v>112.2</v>
      </c>
      <c r="Y61">
        <v>112.5</v>
      </c>
      <c r="Z61">
        <v>112.9</v>
      </c>
      <c r="AA61">
        <v>119.2</v>
      </c>
      <c r="AB61">
        <v>110.5</v>
      </c>
      <c r="AC61">
        <v>113.9</v>
      </c>
      <c r="AD61">
        <v>119.9</v>
      </c>
      <c r="AE61" s="72">
        <f t="shared" si="0"/>
        <v>1740</v>
      </c>
      <c r="AF61" s="4">
        <f t="shared" si="1"/>
        <v>461.1</v>
      </c>
      <c r="AG61" s="4">
        <f t="shared" si="2"/>
        <v>455.1</v>
      </c>
      <c r="AH61" s="4">
        <f t="shared" si="3"/>
        <v>458.20000000000005</v>
      </c>
      <c r="AI61" s="6">
        <f t="shared" si="4"/>
        <v>3114.3999999999996</v>
      </c>
    </row>
    <row r="62" spans="1:35" x14ac:dyDescent="0.3">
      <c r="A62" t="s">
        <v>33</v>
      </c>
      <c r="B62">
        <v>2014</v>
      </c>
      <c r="C62" t="s">
        <v>40</v>
      </c>
      <c r="D62">
        <v>122.7</v>
      </c>
      <c r="E62">
        <v>124.4</v>
      </c>
      <c r="F62">
        <v>117.3</v>
      </c>
      <c r="G62">
        <v>122</v>
      </c>
      <c r="H62">
        <v>108</v>
      </c>
      <c r="I62">
        <v>131.1</v>
      </c>
      <c r="J62">
        <v>168.2</v>
      </c>
      <c r="K62">
        <v>114.5</v>
      </c>
      <c r="L62">
        <v>104.3</v>
      </c>
      <c r="M62">
        <v>117.1</v>
      </c>
      <c r="N62">
        <v>115.2</v>
      </c>
      <c r="O62">
        <v>123.1</v>
      </c>
      <c r="P62">
        <v>126.6</v>
      </c>
      <c r="Q62">
        <v>119.9</v>
      </c>
      <c r="R62">
        <v>120</v>
      </c>
      <c r="S62">
        <v>116.8</v>
      </c>
      <c r="T62">
        <v>119.6</v>
      </c>
      <c r="U62">
        <v>115.5</v>
      </c>
      <c r="V62" s="5">
        <v>114</v>
      </c>
      <c r="W62">
        <v>115.6</v>
      </c>
      <c r="X62">
        <v>113.3</v>
      </c>
      <c r="Y62">
        <v>112.8</v>
      </c>
      <c r="Z62">
        <v>112.6</v>
      </c>
      <c r="AA62">
        <v>118</v>
      </c>
      <c r="AB62">
        <v>109.9</v>
      </c>
      <c r="AC62">
        <v>113.7</v>
      </c>
      <c r="AD62">
        <v>120.3</v>
      </c>
      <c r="AE62" s="72">
        <f t="shared" si="0"/>
        <v>1714.3999999999999</v>
      </c>
      <c r="AF62" s="4">
        <f t="shared" si="1"/>
        <v>466.29999999999995</v>
      </c>
      <c r="AG62" s="4">
        <f t="shared" si="2"/>
        <v>457.90000000000003</v>
      </c>
      <c r="AH62" s="4">
        <f t="shared" si="3"/>
        <v>457.59999999999997</v>
      </c>
      <c r="AI62" s="6">
        <f t="shared" si="4"/>
        <v>3096.2</v>
      </c>
    </row>
    <row r="63" spans="1:35" x14ac:dyDescent="0.3">
      <c r="A63" t="s">
        <v>30</v>
      </c>
      <c r="B63">
        <v>2014</v>
      </c>
      <c r="C63" t="s">
        <v>41</v>
      </c>
      <c r="D63">
        <v>122.3</v>
      </c>
      <c r="E63">
        <v>122.4</v>
      </c>
      <c r="F63">
        <v>117.8</v>
      </c>
      <c r="G63">
        <v>122.7</v>
      </c>
      <c r="H63">
        <v>110.4</v>
      </c>
      <c r="I63">
        <v>129.80000000000001</v>
      </c>
      <c r="J63">
        <v>158.80000000000001</v>
      </c>
      <c r="K63">
        <v>115</v>
      </c>
      <c r="L63">
        <v>104.7</v>
      </c>
      <c r="M63">
        <v>114.9</v>
      </c>
      <c r="N63">
        <v>116.5</v>
      </c>
      <c r="O63">
        <v>122.6</v>
      </c>
      <c r="P63">
        <v>125.3</v>
      </c>
      <c r="Q63">
        <v>119.5</v>
      </c>
      <c r="R63">
        <v>121.7</v>
      </c>
      <c r="S63">
        <v>119.2</v>
      </c>
      <c r="T63">
        <v>121.3</v>
      </c>
      <c r="U63">
        <v>0</v>
      </c>
      <c r="V63" s="5">
        <v>115.8</v>
      </c>
      <c r="W63">
        <v>116.7</v>
      </c>
      <c r="X63">
        <v>114.5</v>
      </c>
      <c r="Y63">
        <v>112.8</v>
      </c>
      <c r="Z63">
        <v>112.6</v>
      </c>
      <c r="AA63">
        <v>116.6</v>
      </c>
      <c r="AB63">
        <v>109.1</v>
      </c>
      <c r="AC63">
        <v>113.7</v>
      </c>
      <c r="AD63">
        <v>120.9</v>
      </c>
      <c r="AE63" s="72">
        <f t="shared" si="0"/>
        <v>1702.7</v>
      </c>
      <c r="AF63" s="4">
        <f t="shared" si="1"/>
        <v>471.29999999999995</v>
      </c>
      <c r="AG63" s="4">
        <f t="shared" si="2"/>
        <v>345.3</v>
      </c>
      <c r="AH63" s="4">
        <f t="shared" si="3"/>
        <v>457.4</v>
      </c>
      <c r="AI63" s="6">
        <f t="shared" si="4"/>
        <v>2976.7000000000003</v>
      </c>
    </row>
    <row r="64" spans="1:35" x14ac:dyDescent="0.3">
      <c r="A64" t="s">
        <v>32</v>
      </c>
      <c r="B64">
        <v>2014</v>
      </c>
      <c r="C64" t="s">
        <v>41</v>
      </c>
      <c r="D64">
        <v>124.2</v>
      </c>
      <c r="E64">
        <v>125.4</v>
      </c>
      <c r="F64">
        <v>116.4</v>
      </c>
      <c r="G64">
        <v>122.7</v>
      </c>
      <c r="H64">
        <v>103.5</v>
      </c>
      <c r="I64">
        <v>124.5</v>
      </c>
      <c r="J64">
        <v>168.6</v>
      </c>
      <c r="K64">
        <v>116.9</v>
      </c>
      <c r="L64">
        <v>101.9</v>
      </c>
      <c r="M64">
        <v>122.9</v>
      </c>
      <c r="N64">
        <v>114.8</v>
      </c>
      <c r="O64">
        <v>125.2</v>
      </c>
      <c r="P64">
        <v>126.7</v>
      </c>
      <c r="Q64">
        <v>124.3</v>
      </c>
      <c r="R64">
        <v>119.2</v>
      </c>
      <c r="S64">
        <v>114.5</v>
      </c>
      <c r="T64">
        <v>118.4</v>
      </c>
      <c r="U64">
        <v>116.1</v>
      </c>
      <c r="V64" s="5">
        <v>111.8</v>
      </c>
      <c r="W64">
        <v>115.5</v>
      </c>
      <c r="X64">
        <v>112.3</v>
      </c>
      <c r="Y64">
        <v>111.2</v>
      </c>
      <c r="Z64">
        <v>113.4</v>
      </c>
      <c r="AA64">
        <v>120</v>
      </c>
      <c r="AB64">
        <v>110</v>
      </c>
      <c r="AC64">
        <v>113.6</v>
      </c>
      <c r="AD64">
        <v>119.2</v>
      </c>
      <c r="AE64" s="72">
        <f t="shared" si="0"/>
        <v>1718.0000000000002</v>
      </c>
      <c r="AF64" s="4">
        <f t="shared" si="1"/>
        <v>462.1</v>
      </c>
      <c r="AG64" s="4">
        <f t="shared" si="2"/>
        <v>454.59999999999997</v>
      </c>
      <c r="AH64" s="4">
        <f t="shared" si="3"/>
        <v>459.29999999999995</v>
      </c>
      <c r="AI64" s="6">
        <f t="shared" si="4"/>
        <v>3094</v>
      </c>
    </row>
    <row r="65" spans="1:35" x14ac:dyDescent="0.3">
      <c r="A65" t="s">
        <v>33</v>
      </c>
      <c r="B65">
        <v>2014</v>
      </c>
      <c r="C65" t="s">
        <v>41</v>
      </c>
      <c r="D65">
        <v>122.9</v>
      </c>
      <c r="E65">
        <v>123.5</v>
      </c>
      <c r="F65">
        <v>117.3</v>
      </c>
      <c r="G65">
        <v>122.7</v>
      </c>
      <c r="H65">
        <v>107.9</v>
      </c>
      <c r="I65">
        <v>127.3</v>
      </c>
      <c r="J65">
        <v>162.1</v>
      </c>
      <c r="K65">
        <v>115.6</v>
      </c>
      <c r="L65">
        <v>103.8</v>
      </c>
      <c r="M65">
        <v>117.6</v>
      </c>
      <c r="N65">
        <v>115.8</v>
      </c>
      <c r="O65">
        <v>123.8</v>
      </c>
      <c r="P65">
        <v>125.8</v>
      </c>
      <c r="Q65">
        <v>120.8</v>
      </c>
      <c r="R65">
        <v>120.7</v>
      </c>
      <c r="S65">
        <v>117.2</v>
      </c>
      <c r="T65">
        <v>120.1</v>
      </c>
      <c r="U65">
        <v>116.1</v>
      </c>
      <c r="V65" s="5">
        <v>114.3</v>
      </c>
      <c r="W65">
        <v>116.1</v>
      </c>
      <c r="X65">
        <v>113.7</v>
      </c>
      <c r="Y65">
        <v>112</v>
      </c>
      <c r="Z65">
        <v>113.1</v>
      </c>
      <c r="AA65">
        <v>118.6</v>
      </c>
      <c r="AB65">
        <v>109.5</v>
      </c>
      <c r="AC65">
        <v>113.7</v>
      </c>
      <c r="AD65">
        <v>120.1</v>
      </c>
      <c r="AE65" s="72">
        <f t="shared" si="0"/>
        <v>1706.8999999999996</v>
      </c>
      <c r="AF65" s="4">
        <f t="shared" si="1"/>
        <v>467.5</v>
      </c>
      <c r="AG65" s="4">
        <f t="shared" si="2"/>
        <v>458.5</v>
      </c>
      <c r="AH65" s="4">
        <f t="shared" si="3"/>
        <v>459.09999999999997</v>
      </c>
      <c r="AI65" s="6">
        <f t="shared" si="4"/>
        <v>3091.9999999999995</v>
      </c>
    </row>
    <row r="66" spans="1:35" x14ac:dyDescent="0.3">
      <c r="A66" t="s">
        <v>30</v>
      </c>
      <c r="B66">
        <v>2014</v>
      </c>
      <c r="C66" t="s">
        <v>42</v>
      </c>
      <c r="D66">
        <v>122.6</v>
      </c>
      <c r="E66">
        <v>122.5</v>
      </c>
      <c r="F66">
        <v>118.3</v>
      </c>
      <c r="G66">
        <v>123.2</v>
      </c>
      <c r="H66">
        <v>110.5</v>
      </c>
      <c r="I66">
        <v>128.9</v>
      </c>
      <c r="J66">
        <v>155.30000000000001</v>
      </c>
      <c r="K66">
        <v>115.5</v>
      </c>
      <c r="L66">
        <v>104</v>
      </c>
      <c r="M66">
        <v>115.3</v>
      </c>
      <c r="N66">
        <v>116.8</v>
      </c>
      <c r="O66">
        <v>123.2</v>
      </c>
      <c r="P66">
        <v>125.1</v>
      </c>
      <c r="Q66">
        <v>120</v>
      </c>
      <c r="R66">
        <v>122.7</v>
      </c>
      <c r="S66">
        <v>120.3</v>
      </c>
      <c r="T66">
        <v>122.3</v>
      </c>
      <c r="U66">
        <v>0</v>
      </c>
      <c r="V66" s="5">
        <v>116.4</v>
      </c>
      <c r="W66">
        <v>117.5</v>
      </c>
      <c r="X66">
        <v>115.3</v>
      </c>
      <c r="Y66">
        <v>112.6</v>
      </c>
      <c r="Z66">
        <v>113</v>
      </c>
      <c r="AA66">
        <v>116.9</v>
      </c>
      <c r="AB66">
        <v>109.3</v>
      </c>
      <c r="AC66">
        <v>114</v>
      </c>
      <c r="AD66">
        <v>121</v>
      </c>
      <c r="AE66" s="72">
        <f t="shared" si="0"/>
        <v>1701.1999999999998</v>
      </c>
      <c r="AF66" s="4">
        <f t="shared" si="1"/>
        <v>474.6</v>
      </c>
      <c r="AG66" s="4">
        <f t="shared" si="2"/>
        <v>346.5</v>
      </c>
      <c r="AH66" s="4">
        <f t="shared" si="3"/>
        <v>459.20000000000005</v>
      </c>
      <c r="AI66" s="6">
        <f t="shared" si="4"/>
        <v>2981.5</v>
      </c>
    </row>
    <row r="67" spans="1:35" x14ac:dyDescent="0.3">
      <c r="A67" t="s">
        <v>32</v>
      </c>
      <c r="B67">
        <v>2014</v>
      </c>
      <c r="C67" t="s">
        <v>42</v>
      </c>
      <c r="D67">
        <v>124.6</v>
      </c>
      <c r="E67">
        <v>126.1</v>
      </c>
      <c r="F67">
        <v>117.8</v>
      </c>
      <c r="G67">
        <v>123.1</v>
      </c>
      <c r="H67">
        <v>103.5</v>
      </c>
      <c r="I67">
        <v>123.5</v>
      </c>
      <c r="J67">
        <v>159.6</v>
      </c>
      <c r="K67">
        <v>117.4</v>
      </c>
      <c r="L67">
        <v>101.2</v>
      </c>
      <c r="M67">
        <v>123.8</v>
      </c>
      <c r="N67">
        <v>115.2</v>
      </c>
      <c r="O67">
        <v>125.9</v>
      </c>
      <c r="P67">
        <v>125.8</v>
      </c>
      <c r="Q67">
        <v>124.3</v>
      </c>
      <c r="R67">
        <v>119.6</v>
      </c>
      <c r="S67">
        <v>114.9</v>
      </c>
      <c r="T67">
        <v>118.9</v>
      </c>
      <c r="U67">
        <v>116.7</v>
      </c>
      <c r="V67" s="5">
        <v>112</v>
      </c>
      <c r="W67">
        <v>115.8</v>
      </c>
      <c r="X67">
        <v>112.6</v>
      </c>
      <c r="Y67">
        <v>111</v>
      </c>
      <c r="Z67">
        <v>113.6</v>
      </c>
      <c r="AA67">
        <v>120.2</v>
      </c>
      <c r="AB67">
        <v>110.1</v>
      </c>
      <c r="AC67">
        <v>113.7</v>
      </c>
      <c r="AD67">
        <v>119.1</v>
      </c>
      <c r="AE67" s="72">
        <f t="shared" ref="AE67:AE130" si="5">SUM(D67:Q67)</f>
        <v>1711.8</v>
      </c>
      <c r="AF67" s="4">
        <f t="shared" ref="AF67:AF130" si="6">SUM(R67:T67,AB67)</f>
        <v>463.5</v>
      </c>
      <c r="AG67" s="4">
        <f t="shared" ref="AG67:AG130" si="7">SUM(U67:W67,Y67)</f>
        <v>455.5</v>
      </c>
      <c r="AH67" s="4">
        <f t="shared" ref="AH67:AH130" si="8">X67+Z67+AA67+AC67</f>
        <v>460.09999999999997</v>
      </c>
      <c r="AI67" s="6">
        <f t="shared" ref="AI67:AI130" si="9">SUM(AE67:AH67)</f>
        <v>3090.9</v>
      </c>
    </row>
    <row r="68" spans="1:35" x14ac:dyDescent="0.3">
      <c r="A68" t="s">
        <v>33</v>
      </c>
      <c r="B68">
        <v>2014</v>
      </c>
      <c r="C68" t="s">
        <v>42</v>
      </c>
      <c r="D68">
        <v>123.2</v>
      </c>
      <c r="E68">
        <v>123.8</v>
      </c>
      <c r="F68">
        <v>118.1</v>
      </c>
      <c r="G68">
        <v>123.2</v>
      </c>
      <c r="H68">
        <v>107.9</v>
      </c>
      <c r="I68">
        <v>126.4</v>
      </c>
      <c r="J68">
        <v>156.80000000000001</v>
      </c>
      <c r="K68">
        <v>116.1</v>
      </c>
      <c r="L68">
        <v>103.1</v>
      </c>
      <c r="M68">
        <v>118.1</v>
      </c>
      <c r="N68">
        <v>116.1</v>
      </c>
      <c r="O68">
        <v>124.5</v>
      </c>
      <c r="P68">
        <v>125.4</v>
      </c>
      <c r="Q68">
        <v>121.1</v>
      </c>
      <c r="R68">
        <v>121.5</v>
      </c>
      <c r="S68">
        <v>118.1</v>
      </c>
      <c r="T68">
        <v>121</v>
      </c>
      <c r="U68">
        <v>116.7</v>
      </c>
      <c r="V68" s="5">
        <v>114.7</v>
      </c>
      <c r="W68">
        <v>116.7</v>
      </c>
      <c r="X68">
        <v>114.3</v>
      </c>
      <c r="Y68">
        <v>111.8</v>
      </c>
      <c r="Z68">
        <v>113.3</v>
      </c>
      <c r="AA68">
        <v>118.8</v>
      </c>
      <c r="AB68">
        <v>109.6</v>
      </c>
      <c r="AC68">
        <v>113.9</v>
      </c>
      <c r="AD68">
        <v>120.1</v>
      </c>
      <c r="AE68" s="72">
        <f t="shared" si="5"/>
        <v>1703.8</v>
      </c>
      <c r="AF68" s="4">
        <f t="shared" si="6"/>
        <v>470.20000000000005</v>
      </c>
      <c r="AG68" s="4">
        <f t="shared" si="7"/>
        <v>459.90000000000003</v>
      </c>
      <c r="AH68" s="4">
        <f t="shared" si="8"/>
        <v>460.29999999999995</v>
      </c>
      <c r="AI68" s="6">
        <f t="shared" si="9"/>
        <v>3094.2</v>
      </c>
    </row>
    <row r="69" spans="1:35" x14ac:dyDescent="0.3">
      <c r="A69" t="s">
        <v>30</v>
      </c>
      <c r="B69">
        <v>2014</v>
      </c>
      <c r="C69" t="s">
        <v>44</v>
      </c>
      <c r="D69">
        <v>122.7</v>
      </c>
      <c r="E69">
        <v>122.6</v>
      </c>
      <c r="F69">
        <v>119.9</v>
      </c>
      <c r="G69">
        <v>124</v>
      </c>
      <c r="H69">
        <v>110.5</v>
      </c>
      <c r="I69">
        <v>128.80000000000001</v>
      </c>
      <c r="J69">
        <v>152</v>
      </c>
      <c r="K69">
        <v>116.2</v>
      </c>
      <c r="L69">
        <v>103.3</v>
      </c>
      <c r="M69">
        <v>115.8</v>
      </c>
      <c r="N69">
        <v>116.8</v>
      </c>
      <c r="O69">
        <v>124.5</v>
      </c>
      <c r="P69">
        <v>124.9</v>
      </c>
      <c r="Q69">
        <v>120.8</v>
      </c>
      <c r="R69">
        <v>123.3</v>
      </c>
      <c r="S69">
        <v>120.5</v>
      </c>
      <c r="T69">
        <v>122.9</v>
      </c>
      <c r="U69">
        <v>0</v>
      </c>
      <c r="V69" s="5">
        <v>117.3</v>
      </c>
      <c r="W69">
        <v>118.1</v>
      </c>
      <c r="X69">
        <v>115.9</v>
      </c>
      <c r="Y69">
        <v>112</v>
      </c>
      <c r="Z69">
        <v>113.3</v>
      </c>
      <c r="AA69">
        <v>117.2</v>
      </c>
      <c r="AB69">
        <v>108.8</v>
      </c>
      <c r="AC69">
        <v>114.1</v>
      </c>
      <c r="AD69">
        <v>121.1</v>
      </c>
      <c r="AE69" s="72">
        <f t="shared" si="5"/>
        <v>1702.8</v>
      </c>
      <c r="AF69" s="4">
        <f t="shared" si="6"/>
        <v>475.50000000000006</v>
      </c>
      <c r="AG69" s="4">
        <f t="shared" si="7"/>
        <v>347.4</v>
      </c>
      <c r="AH69" s="4">
        <f t="shared" si="8"/>
        <v>460.5</v>
      </c>
      <c r="AI69" s="6">
        <f t="shared" si="9"/>
        <v>2986.2000000000003</v>
      </c>
    </row>
    <row r="70" spans="1:35" x14ac:dyDescent="0.3">
      <c r="A70" t="s">
        <v>32</v>
      </c>
      <c r="B70">
        <v>2014</v>
      </c>
      <c r="C70" t="s">
        <v>44</v>
      </c>
      <c r="D70">
        <v>124.5</v>
      </c>
      <c r="E70">
        <v>125.6</v>
      </c>
      <c r="F70">
        <v>122.7</v>
      </c>
      <c r="G70">
        <v>124.6</v>
      </c>
      <c r="H70">
        <v>103.2</v>
      </c>
      <c r="I70">
        <v>122.2</v>
      </c>
      <c r="J70">
        <v>153.19999999999999</v>
      </c>
      <c r="K70">
        <v>119.3</v>
      </c>
      <c r="L70">
        <v>99.8</v>
      </c>
      <c r="M70">
        <v>124.6</v>
      </c>
      <c r="N70">
        <v>115.8</v>
      </c>
      <c r="O70">
        <v>126.9</v>
      </c>
      <c r="P70">
        <v>125.4</v>
      </c>
      <c r="Q70">
        <v>125.8</v>
      </c>
      <c r="R70">
        <v>120.3</v>
      </c>
      <c r="S70">
        <v>115.4</v>
      </c>
      <c r="T70">
        <v>119.5</v>
      </c>
      <c r="U70">
        <v>117.1</v>
      </c>
      <c r="V70" s="5">
        <v>112.6</v>
      </c>
      <c r="W70">
        <v>116.4</v>
      </c>
      <c r="X70">
        <v>113</v>
      </c>
      <c r="Y70">
        <v>109.7</v>
      </c>
      <c r="Z70">
        <v>114</v>
      </c>
      <c r="AA70">
        <v>120.3</v>
      </c>
      <c r="AB70">
        <v>109.6</v>
      </c>
      <c r="AC70">
        <v>113.4</v>
      </c>
      <c r="AD70">
        <v>119</v>
      </c>
      <c r="AE70" s="72">
        <f t="shared" si="5"/>
        <v>1713.6</v>
      </c>
      <c r="AF70" s="4">
        <f t="shared" si="6"/>
        <v>464.79999999999995</v>
      </c>
      <c r="AG70" s="4">
        <f t="shared" si="7"/>
        <v>455.8</v>
      </c>
      <c r="AH70" s="4">
        <f t="shared" si="8"/>
        <v>460.70000000000005</v>
      </c>
      <c r="AI70" s="6">
        <f t="shared" si="9"/>
        <v>3094.8999999999996</v>
      </c>
    </row>
    <row r="71" spans="1:35" x14ac:dyDescent="0.3">
      <c r="A71" t="s">
        <v>33</v>
      </c>
      <c r="B71">
        <v>2014</v>
      </c>
      <c r="C71" t="s">
        <v>44</v>
      </c>
      <c r="D71">
        <v>123.3</v>
      </c>
      <c r="E71">
        <v>123.7</v>
      </c>
      <c r="F71">
        <v>121</v>
      </c>
      <c r="G71">
        <v>124.2</v>
      </c>
      <c r="H71">
        <v>107.8</v>
      </c>
      <c r="I71">
        <v>125.7</v>
      </c>
      <c r="J71">
        <v>152.4</v>
      </c>
      <c r="K71">
        <v>117.2</v>
      </c>
      <c r="L71">
        <v>102.1</v>
      </c>
      <c r="M71">
        <v>118.7</v>
      </c>
      <c r="N71">
        <v>116.4</v>
      </c>
      <c r="O71">
        <v>125.6</v>
      </c>
      <c r="P71">
        <v>125.1</v>
      </c>
      <c r="Q71">
        <v>122.1</v>
      </c>
      <c r="R71">
        <v>122.1</v>
      </c>
      <c r="S71">
        <v>118.4</v>
      </c>
      <c r="T71">
        <v>121.6</v>
      </c>
      <c r="U71">
        <v>117.1</v>
      </c>
      <c r="V71" s="5">
        <v>115.5</v>
      </c>
      <c r="W71">
        <v>117.3</v>
      </c>
      <c r="X71">
        <v>114.8</v>
      </c>
      <c r="Y71">
        <v>110.8</v>
      </c>
      <c r="Z71">
        <v>113.7</v>
      </c>
      <c r="AA71">
        <v>119</v>
      </c>
      <c r="AB71">
        <v>109.1</v>
      </c>
      <c r="AC71">
        <v>113.8</v>
      </c>
      <c r="AD71">
        <v>120.1</v>
      </c>
      <c r="AE71" s="72">
        <f t="shared" si="5"/>
        <v>1705.3</v>
      </c>
      <c r="AF71" s="4">
        <f t="shared" si="6"/>
        <v>471.20000000000005</v>
      </c>
      <c r="AG71" s="4">
        <f t="shared" si="7"/>
        <v>460.7</v>
      </c>
      <c r="AH71" s="4">
        <f t="shared" si="8"/>
        <v>461.3</v>
      </c>
      <c r="AI71" s="6">
        <f t="shared" si="9"/>
        <v>3098.5</v>
      </c>
    </row>
    <row r="72" spans="1:35" x14ac:dyDescent="0.3">
      <c r="A72" t="s">
        <v>30</v>
      </c>
      <c r="B72">
        <v>2014</v>
      </c>
      <c r="C72" t="s">
        <v>45</v>
      </c>
      <c r="D72">
        <v>122.4</v>
      </c>
      <c r="E72">
        <v>122.4</v>
      </c>
      <c r="F72">
        <v>121.8</v>
      </c>
      <c r="G72">
        <v>124.2</v>
      </c>
      <c r="H72">
        <v>110.2</v>
      </c>
      <c r="I72">
        <v>128.6</v>
      </c>
      <c r="J72">
        <v>140.30000000000001</v>
      </c>
      <c r="K72">
        <v>116.3</v>
      </c>
      <c r="L72">
        <v>102</v>
      </c>
      <c r="M72">
        <v>116</v>
      </c>
      <c r="N72">
        <v>117.3</v>
      </c>
      <c r="O72">
        <v>124.8</v>
      </c>
      <c r="P72">
        <v>123.3</v>
      </c>
      <c r="Q72">
        <v>121.7</v>
      </c>
      <c r="R72">
        <v>123.8</v>
      </c>
      <c r="S72">
        <v>120.6</v>
      </c>
      <c r="T72">
        <v>123.3</v>
      </c>
      <c r="U72">
        <v>0</v>
      </c>
      <c r="V72" s="5">
        <v>117.4</v>
      </c>
      <c r="W72">
        <v>118.2</v>
      </c>
      <c r="X72">
        <v>116.2</v>
      </c>
      <c r="Y72">
        <v>111.5</v>
      </c>
      <c r="Z72">
        <v>113.3</v>
      </c>
      <c r="AA72">
        <v>117.7</v>
      </c>
      <c r="AB72">
        <v>109.4</v>
      </c>
      <c r="AC72">
        <v>114.2</v>
      </c>
      <c r="AD72">
        <v>120.3</v>
      </c>
      <c r="AE72" s="72">
        <f t="shared" si="5"/>
        <v>1691.3</v>
      </c>
      <c r="AF72" s="4">
        <f t="shared" si="6"/>
        <v>477.1</v>
      </c>
      <c r="AG72" s="4">
        <f t="shared" si="7"/>
        <v>347.1</v>
      </c>
      <c r="AH72" s="4">
        <f t="shared" si="8"/>
        <v>461.4</v>
      </c>
      <c r="AI72" s="6">
        <f t="shared" si="9"/>
        <v>2976.9</v>
      </c>
    </row>
    <row r="73" spans="1:35" x14ac:dyDescent="0.3">
      <c r="A73" t="s">
        <v>32</v>
      </c>
      <c r="B73">
        <v>2014</v>
      </c>
      <c r="C73" t="s">
        <v>45</v>
      </c>
      <c r="D73">
        <v>124</v>
      </c>
      <c r="E73">
        <v>124.7</v>
      </c>
      <c r="F73">
        <v>126.3</v>
      </c>
      <c r="G73">
        <v>124.9</v>
      </c>
      <c r="H73">
        <v>103</v>
      </c>
      <c r="I73">
        <v>122.3</v>
      </c>
      <c r="J73">
        <v>141</v>
      </c>
      <c r="K73">
        <v>120.1</v>
      </c>
      <c r="L73">
        <v>97.8</v>
      </c>
      <c r="M73">
        <v>125.4</v>
      </c>
      <c r="N73">
        <v>116.1</v>
      </c>
      <c r="O73">
        <v>127.6</v>
      </c>
      <c r="P73">
        <v>124</v>
      </c>
      <c r="Q73">
        <v>126.4</v>
      </c>
      <c r="R73">
        <v>120.7</v>
      </c>
      <c r="S73">
        <v>115.8</v>
      </c>
      <c r="T73">
        <v>120</v>
      </c>
      <c r="U73">
        <v>116.5</v>
      </c>
      <c r="V73" s="5">
        <v>113</v>
      </c>
      <c r="W73">
        <v>116.8</v>
      </c>
      <c r="X73">
        <v>113.2</v>
      </c>
      <c r="Y73">
        <v>108.8</v>
      </c>
      <c r="Z73">
        <v>114.3</v>
      </c>
      <c r="AA73">
        <v>120.7</v>
      </c>
      <c r="AB73">
        <v>110.4</v>
      </c>
      <c r="AC73">
        <v>113.4</v>
      </c>
      <c r="AD73">
        <v>118.4</v>
      </c>
      <c r="AE73" s="72">
        <f t="shared" si="5"/>
        <v>1703.6</v>
      </c>
      <c r="AF73" s="4">
        <f t="shared" si="6"/>
        <v>466.9</v>
      </c>
      <c r="AG73" s="4">
        <f t="shared" si="7"/>
        <v>455.1</v>
      </c>
      <c r="AH73" s="4">
        <f t="shared" si="8"/>
        <v>461.6</v>
      </c>
      <c r="AI73" s="6">
        <f t="shared" si="9"/>
        <v>3087.2</v>
      </c>
    </row>
    <row r="74" spans="1:35" x14ac:dyDescent="0.3">
      <c r="A74" t="s">
        <v>33</v>
      </c>
      <c r="B74">
        <v>2014</v>
      </c>
      <c r="C74" t="s">
        <v>45</v>
      </c>
      <c r="D74">
        <v>122.9</v>
      </c>
      <c r="E74">
        <v>123.2</v>
      </c>
      <c r="F74">
        <v>123.5</v>
      </c>
      <c r="G74">
        <v>124.5</v>
      </c>
      <c r="H74">
        <v>107.6</v>
      </c>
      <c r="I74">
        <v>125.7</v>
      </c>
      <c r="J74">
        <v>140.5</v>
      </c>
      <c r="K74">
        <v>117.6</v>
      </c>
      <c r="L74">
        <v>100.6</v>
      </c>
      <c r="M74">
        <v>119.1</v>
      </c>
      <c r="N74">
        <v>116.8</v>
      </c>
      <c r="O74">
        <v>126.1</v>
      </c>
      <c r="P74">
        <v>123.6</v>
      </c>
      <c r="Q74">
        <v>123</v>
      </c>
      <c r="R74">
        <v>122.6</v>
      </c>
      <c r="S74">
        <v>118.6</v>
      </c>
      <c r="T74">
        <v>122</v>
      </c>
      <c r="U74">
        <v>116.5</v>
      </c>
      <c r="V74" s="5">
        <v>115.7</v>
      </c>
      <c r="W74">
        <v>117.5</v>
      </c>
      <c r="X74">
        <v>115.1</v>
      </c>
      <c r="Y74">
        <v>110.1</v>
      </c>
      <c r="Z74">
        <v>113.9</v>
      </c>
      <c r="AA74">
        <v>119.5</v>
      </c>
      <c r="AB74">
        <v>109.8</v>
      </c>
      <c r="AC74">
        <v>113.8</v>
      </c>
      <c r="AD74">
        <v>119.4</v>
      </c>
      <c r="AE74" s="72">
        <f t="shared" si="5"/>
        <v>1694.6999999999998</v>
      </c>
      <c r="AF74" s="4">
        <f t="shared" si="6"/>
        <v>473</v>
      </c>
      <c r="AG74" s="4">
        <f t="shared" si="7"/>
        <v>459.79999999999995</v>
      </c>
      <c r="AH74" s="4">
        <f t="shared" si="8"/>
        <v>462.3</v>
      </c>
      <c r="AI74" s="6">
        <f t="shared" si="9"/>
        <v>3089.8</v>
      </c>
    </row>
    <row r="75" spans="1:35" x14ac:dyDescent="0.3">
      <c r="A75" t="s">
        <v>30</v>
      </c>
      <c r="B75">
        <v>2015</v>
      </c>
      <c r="C75" t="s">
        <v>31</v>
      </c>
      <c r="D75">
        <v>123.1</v>
      </c>
      <c r="E75">
        <v>123.1</v>
      </c>
      <c r="F75">
        <v>122.1</v>
      </c>
      <c r="G75">
        <v>124.9</v>
      </c>
      <c r="H75">
        <v>111</v>
      </c>
      <c r="I75">
        <v>130.4</v>
      </c>
      <c r="J75">
        <v>132.30000000000001</v>
      </c>
      <c r="K75">
        <v>117.2</v>
      </c>
      <c r="L75">
        <v>100.5</v>
      </c>
      <c r="M75">
        <v>117.2</v>
      </c>
      <c r="N75">
        <v>117.9</v>
      </c>
      <c r="O75">
        <v>125.6</v>
      </c>
      <c r="P75">
        <v>122.8</v>
      </c>
      <c r="Q75">
        <v>122.7</v>
      </c>
      <c r="R75">
        <v>124.4</v>
      </c>
      <c r="S75">
        <v>121.6</v>
      </c>
      <c r="T75">
        <v>124</v>
      </c>
      <c r="U75">
        <v>0</v>
      </c>
      <c r="V75" s="5">
        <v>118.4</v>
      </c>
      <c r="W75">
        <v>118.9</v>
      </c>
      <c r="X75">
        <v>116.6</v>
      </c>
      <c r="Y75">
        <v>111</v>
      </c>
      <c r="Z75">
        <v>114</v>
      </c>
      <c r="AA75">
        <v>118.2</v>
      </c>
      <c r="AB75">
        <v>110.2</v>
      </c>
      <c r="AC75">
        <v>114.5</v>
      </c>
      <c r="AD75">
        <v>120.3</v>
      </c>
      <c r="AE75" s="72">
        <f t="shared" si="5"/>
        <v>1690.8</v>
      </c>
      <c r="AF75" s="4">
        <f t="shared" si="6"/>
        <v>480.2</v>
      </c>
      <c r="AG75" s="4">
        <f t="shared" si="7"/>
        <v>348.3</v>
      </c>
      <c r="AH75" s="4">
        <f t="shared" si="8"/>
        <v>463.3</v>
      </c>
      <c r="AI75" s="6">
        <f t="shared" si="9"/>
        <v>2982.6000000000004</v>
      </c>
    </row>
    <row r="76" spans="1:35" x14ac:dyDescent="0.3">
      <c r="A76" t="s">
        <v>32</v>
      </c>
      <c r="B76">
        <v>2015</v>
      </c>
      <c r="C76" t="s">
        <v>31</v>
      </c>
      <c r="D76">
        <v>124</v>
      </c>
      <c r="E76">
        <v>125.5</v>
      </c>
      <c r="F76">
        <v>126.6</v>
      </c>
      <c r="G76">
        <v>125.2</v>
      </c>
      <c r="H76">
        <v>104.3</v>
      </c>
      <c r="I76">
        <v>121.3</v>
      </c>
      <c r="J76">
        <v>134.4</v>
      </c>
      <c r="K76">
        <v>122.9</v>
      </c>
      <c r="L76">
        <v>96.1</v>
      </c>
      <c r="M76">
        <v>126.6</v>
      </c>
      <c r="N76">
        <v>116.5</v>
      </c>
      <c r="O76">
        <v>128</v>
      </c>
      <c r="P76">
        <v>123.5</v>
      </c>
      <c r="Q76">
        <v>127.4</v>
      </c>
      <c r="R76">
        <v>121</v>
      </c>
      <c r="S76">
        <v>116.1</v>
      </c>
      <c r="T76">
        <v>120.2</v>
      </c>
      <c r="U76">
        <v>117.3</v>
      </c>
      <c r="V76" s="5">
        <v>113.4</v>
      </c>
      <c r="W76">
        <v>117.2</v>
      </c>
      <c r="X76">
        <v>113.7</v>
      </c>
      <c r="Y76">
        <v>107.9</v>
      </c>
      <c r="Z76">
        <v>114.6</v>
      </c>
      <c r="AA76">
        <v>120.8</v>
      </c>
      <c r="AB76">
        <v>111.4</v>
      </c>
      <c r="AC76">
        <v>113.4</v>
      </c>
      <c r="AD76">
        <v>118.5</v>
      </c>
      <c r="AE76" s="72">
        <f t="shared" si="5"/>
        <v>1702.3</v>
      </c>
      <c r="AF76" s="4">
        <f t="shared" si="6"/>
        <v>468.70000000000005</v>
      </c>
      <c r="AG76" s="4">
        <f t="shared" si="7"/>
        <v>455.79999999999995</v>
      </c>
      <c r="AH76" s="4">
        <f t="shared" si="8"/>
        <v>462.5</v>
      </c>
      <c r="AI76" s="6">
        <f t="shared" si="9"/>
        <v>3089.3</v>
      </c>
    </row>
    <row r="77" spans="1:35" x14ac:dyDescent="0.3">
      <c r="A77" t="s">
        <v>33</v>
      </c>
      <c r="B77">
        <v>2015</v>
      </c>
      <c r="C77" t="s">
        <v>31</v>
      </c>
      <c r="D77">
        <v>123.4</v>
      </c>
      <c r="E77">
        <v>123.9</v>
      </c>
      <c r="F77">
        <v>123.8</v>
      </c>
      <c r="G77">
        <v>125</v>
      </c>
      <c r="H77">
        <v>108.5</v>
      </c>
      <c r="I77">
        <v>126.2</v>
      </c>
      <c r="J77">
        <v>133</v>
      </c>
      <c r="K77">
        <v>119.1</v>
      </c>
      <c r="L77">
        <v>99</v>
      </c>
      <c r="M77">
        <v>120.3</v>
      </c>
      <c r="N77">
        <v>117.3</v>
      </c>
      <c r="O77">
        <v>126.7</v>
      </c>
      <c r="P77">
        <v>123.1</v>
      </c>
      <c r="Q77">
        <v>124</v>
      </c>
      <c r="R77">
        <v>123.1</v>
      </c>
      <c r="S77">
        <v>119.3</v>
      </c>
      <c r="T77">
        <v>122.5</v>
      </c>
      <c r="U77">
        <v>117.3</v>
      </c>
      <c r="V77" s="5">
        <v>116.5</v>
      </c>
      <c r="W77">
        <v>118.1</v>
      </c>
      <c r="X77">
        <v>115.5</v>
      </c>
      <c r="Y77">
        <v>109.4</v>
      </c>
      <c r="Z77">
        <v>114.3</v>
      </c>
      <c r="AA77">
        <v>119.7</v>
      </c>
      <c r="AB77">
        <v>110.7</v>
      </c>
      <c r="AC77">
        <v>114</v>
      </c>
      <c r="AD77">
        <v>119.5</v>
      </c>
      <c r="AE77" s="72">
        <f t="shared" si="5"/>
        <v>1693.3</v>
      </c>
      <c r="AF77" s="4">
        <f t="shared" si="6"/>
        <v>475.59999999999997</v>
      </c>
      <c r="AG77" s="4">
        <f t="shared" si="7"/>
        <v>461.29999999999995</v>
      </c>
      <c r="AH77" s="4">
        <f t="shared" si="8"/>
        <v>463.5</v>
      </c>
      <c r="AI77" s="6">
        <f t="shared" si="9"/>
        <v>3093.7</v>
      </c>
    </row>
    <row r="78" spans="1:35" x14ac:dyDescent="0.3">
      <c r="A78" t="s">
        <v>30</v>
      </c>
      <c r="B78">
        <v>2015</v>
      </c>
      <c r="C78" t="s">
        <v>34</v>
      </c>
      <c r="D78">
        <v>123.4</v>
      </c>
      <c r="E78">
        <v>124.4</v>
      </c>
      <c r="F78">
        <v>122.1</v>
      </c>
      <c r="G78">
        <v>125.8</v>
      </c>
      <c r="H78">
        <v>111.5</v>
      </c>
      <c r="I78">
        <v>129.4</v>
      </c>
      <c r="J78">
        <v>128.19999999999999</v>
      </c>
      <c r="K78">
        <v>118.8</v>
      </c>
      <c r="L78">
        <v>100</v>
      </c>
      <c r="M78">
        <v>118.6</v>
      </c>
      <c r="N78">
        <v>118.8</v>
      </c>
      <c r="O78">
        <v>126.8</v>
      </c>
      <c r="P78">
        <v>122.8</v>
      </c>
      <c r="Q78">
        <v>124.2</v>
      </c>
      <c r="R78">
        <v>125.4</v>
      </c>
      <c r="S78">
        <v>122.7</v>
      </c>
      <c r="T78">
        <v>125</v>
      </c>
      <c r="U78">
        <v>0</v>
      </c>
      <c r="V78" s="5">
        <v>120</v>
      </c>
      <c r="W78">
        <v>119.6</v>
      </c>
      <c r="X78">
        <v>117.7</v>
      </c>
      <c r="Y78">
        <v>110.9</v>
      </c>
      <c r="Z78">
        <v>114.8</v>
      </c>
      <c r="AA78">
        <v>118.7</v>
      </c>
      <c r="AB78">
        <v>110.8</v>
      </c>
      <c r="AC78">
        <v>115</v>
      </c>
      <c r="AD78">
        <v>120.6</v>
      </c>
      <c r="AE78" s="72">
        <f t="shared" si="5"/>
        <v>1694.7999999999997</v>
      </c>
      <c r="AF78" s="4">
        <f t="shared" si="6"/>
        <v>483.90000000000003</v>
      </c>
      <c r="AG78" s="4">
        <f t="shared" si="7"/>
        <v>350.5</v>
      </c>
      <c r="AH78" s="4">
        <f t="shared" si="8"/>
        <v>466.2</v>
      </c>
      <c r="AI78" s="6">
        <f t="shared" si="9"/>
        <v>2995.3999999999996</v>
      </c>
    </row>
    <row r="79" spans="1:35" x14ac:dyDescent="0.3">
      <c r="A79" t="s">
        <v>32</v>
      </c>
      <c r="B79">
        <v>2015</v>
      </c>
      <c r="C79" t="s">
        <v>34</v>
      </c>
      <c r="D79">
        <v>124.3</v>
      </c>
      <c r="E79">
        <v>126.5</v>
      </c>
      <c r="F79">
        <v>119.5</v>
      </c>
      <c r="G79">
        <v>125.6</v>
      </c>
      <c r="H79">
        <v>104.9</v>
      </c>
      <c r="I79">
        <v>121.6</v>
      </c>
      <c r="J79">
        <v>131.80000000000001</v>
      </c>
      <c r="K79">
        <v>125.1</v>
      </c>
      <c r="L79">
        <v>95</v>
      </c>
      <c r="M79">
        <v>127.7</v>
      </c>
      <c r="N79">
        <v>116.8</v>
      </c>
      <c r="O79">
        <v>128.6</v>
      </c>
      <c r="P79">
        <v>123.7</v>
      </c>
      <c r="Q79">
        <v>128.1</v>
      </c>
      <c r="R79">
        <v>121.3</v>
      </c>
      <c r="S79">
        <v>116.5</v>
      </c>
      <c r="T79">
        <v>120.6</v>
      </c>
      <c r="U79">
        <v>118.1</v>
      </c>
      <c r="V79" s="5">
        <v>114</v>
      </c>
      <c r="W79">
        <v>117.7</v>
      </c>
      <c r="X79">
        <v>114.1</v>
      </c>
      <c r="Y79">
        <v>106.8</v>
      </c>
      <c r="Z79">
        <v>114.9</v>
      </c>
      <c r="AA79">
        <v>120.4</v>
      </c>
      <c r="AB79">
        <v>111.7</v>
      </c>
      <c r="AC79">
        <v>113.2</v>
      </c>
      <c r="AD79">
        <v>118.7</v>
      </c>
      <c r="AE79" s="72">
        <f t="shared" si="5"/>
        <v>1699.2</v>
      </c>
      <c r="AF79" s="4">
        <f t="shared" si="6"/>
        <v>470.09999999999997</v>
      </c>
      <c r="AG79" s="4">
        <f t="shared" si="7"/>
        <v>456.6</v>
      </c>
      <c r="AH79" s="4">
        <f t="shared" si="8"/>
        <v>462.59999999999997</v>
      </c>
      <c r="AI79" s="6">
        <f t="shared" si="9"/>
        <v>3088.5</v>
      </c>
    </row>
    <row r="80" spans="1:35" x14ac:dyDescent="0.3">
      <c r="A80" t="s">
        <v>33</v>
      </c>
      <c r="B80">
        <v>2015</v>
      </c>
      <c r="C80" t="s">
        <v>34</v>
      </c>
      <c r="D80">
        <v>123.7</v>
      </c>
      <c r="E80">
        <v>125.1</v>
      </c>
      <c r="F80">
        <v>121.1</v>
      </c>
      <c r="G80">
        <v>125.7</v>
      </c>
      <c r="H80">
        <v>109.1</v>
      </c>
      <c r="I80">
        <v>125.8</v>
      </c>
      <c r="J80">
        <v>129.4</v>
      </c>
      <c r="K80">
        <v>120.9</v>
      </c>
      <c r="L80">
        <v>98.3</v>
      </c>
      <c r="M80">
        <v>121.6</v>
      </c>
      <c r="N80">
        <v>118</v>
      </c>
      <c r="O80">
        <v>127.6</v>
      </c>
      <c r="P80">
        <v>123.1</v>
      </c>
      <c r="Q80">
        <v>125.2</v>
      </c>
      <c r="R80">
        <v>123.8</v>
      </c>
      <c r="S80">
        <v>120.1</v>
      </c>
      <c r="T80">
        <v>123.3</v>
      </c>
      <c r="U80">
        <v>118.1</v>
      </c>
      <c r="V80" s="5">
        <v>117.7</v>
      </c>
      <c r="W80">
        <v>118.7</v>
      </c>
      <c r="X80">
        <v>116.3</v>
      </c>
      <c r="Y80">
        <v>108.7</v>
      </c>
      <c r="Z80">
        <v>114.9</v>
      </c>
      <c r="AA80">
        <v>119.7</v>
      </c>
      <c r="AB80">
        <v>111.2</v>
      </c>
      <c r="AC80">
        <v>114.1</v>
      </c>
      <c r="AD80">
        <v>119.7</v>
      </c>
      <c r="AE80" s="72">
        <f t="shared" si="5"/>
        <v>1694.5999999999997</v>
      </c>
      <c r="AF80" s="4">
        <f t="shared" si="6"/>
        <v>478.4</v>
      </c>
      <c r="AG80" s="4">
        <f t="shared" si="7"/>
        <v>463.2</v>
      </c>
      <c r="AH80" s="4">
        <f t="shared" si="8"/>
        <v>465</v>
      </c>
      <c r="AI80" s="6">
        <f t="shared" si="9"/>
        <v>3101.1999999999994</v>
      </c>
    </row>
    <row r="81" spans="1:35" x14ac:dyDescent="0.3">
      <c r="A81" t="s">
        <v>30</v>
      </c>
      <c r="B81">
        <v>2015</v>
      </c>
      <c r="C81" t="s">
        <v>35</v>
      </c>
      <c r="D81">
        <v>123.3</v>
      </c>
      <c r="E81">
        <v>124.7</v>
      </c>
      <c r="F81">
        <v>118.9</v>
      </c>
      <c r="G81">
        <v>126</v>
      </c>
      <c r="H81">
        <v>111.8</v>
      </c>
      <c r="I81">
        <v>130.9</v>
      </c>
      <c r="J81">
        <v>128</v>
      </c>
      <c r="K81">
        <v>119.9</v>
      </c>
      <c r="L81">
        <v>98.9</v>
      </c>
      <c r="M81">
        <v>119.4</v>
      </c>
      <c r="N81">
        <v>118.9</v>
      </c>
      <c r="O81">
        <v>127.7</v>
      </c>
      <c r="P81">
        <v>123.1</v>
      </c>
      <c r="Q81">
        <v>124.7</v>
      </c>
      <c r="R81">
        <v>126</v>
      </c>
      <c r="S81">
        <v>122.9</v>
      </c>
      <c r="T81">
        <v>125.5</v>
      </c>
      <c r="U81">
        <v>0</v>
      </c>
      <c r="V81" s="5">
        <v>120.6</v>
      </c>
      <c r="W81">
        <v>120.2</v>
      </c>
      <c r="X81">
        <v>118.2</v>
      </c>
      <c r="Y81">
        <v>111.6</v>
      </c>
      <c r="Z81">
        <v>115.5</v>
      </c>
      <c r="AA81">
        <v>119.4</v>
      </c>
      <c r="AB81">
        <v>110.8</v>
      </c>
      <c r="AC81">
        <v>115.5</v>
      </c>
      <c r="AD81">
        <v>121.1</v>
      </c>
      <c r="AE81" s="72">
        <f t="shared" si="5"/>
        <v>1696.2</v>
      </c>
      <c r="AF81" s="4">
        <f t="shared" si="6"/>
        <v>485.2</v>
      </c>
      <c r="AG81" s="4">
        <f t="shared" si="7"/>
        <v>352.4</v>
      </c>
      <c r="AH81" s="4">
        <f t="shared" si="8"/>
        <v>468.6</v>
      </c>
      <c r="AI81" s="6">
        <f t="shared" si="9"/>
        <v>3002.4</v>
      </c>
    </row>
    <row r="82" spans="1:35" x14ac:dyDescent="0.3">
      <c r="A82" t="s">
        <v>32</v>
      </c>
      <c r="B82">
        <v>2015</v>
      </c>
      <c r="C82" t="s">
        <v>35</v>
      </c>
      <c r="D82">
        <v>124</v>
      </c>
      <c r="E82">
        <v>126.7</v>
      </c>
      <c r="F82">
        <v>113.5</v>
      </c>
      <c r="G82">
        <v>125.9</v>
      </c>
      <c r="H82">
        <v>104.8</v>
      </c>
      <c r="I82">
        <v>123.8</v>
      </c>
      <c r="J82">
        <v>131.4</v>
      </c>
      <c r="K82">
        <v>127.2</v>
      </c>
      <c r="L82">
        <v>93.2</v>
      </c>
      <c r="M82">
        <v>127.4</v>
      </c>
      <c r="N82">
        <v>117</v>
      </c>
      <c r="O82">
        <v>129.19999999999999</v>
      </c>
      <c r="P82">
        <v>123.9</v>
      </c>
      <c r="Q82">
        <v>128.80000000000001</v>
      </c>
      <c r="R82">
        <v>121.7</v>
      </c>
      <c r="S82">
        <v>116.9</v>
      </c>
      <c r="T82">
        <v>120.9</v>
      </c>
      <c r="U82">
        <v>118.6</v>
      </c>
      <c r="V82" s="5">
        <v>114.4</v>
      </c>
      <c r="W82">
        <v>118</v>
      </c>
      <c r="X82">
        <v>114.3</v>
      </c>
      <c r="Y82">
        <v>108.4</v>
      </c>
      <c r="Z82">
        <v>115.4</v>
      </c>
      <c r="AA82">
        <v>120.6</v>
      </c>
      <c r="AB82">
        <v>111.3</v>
      </c>
      <c r="AC82">
        <v>113.8</v>
      </c>
      <c r="AD82">
        <v>119.1</v>
      </c>
      <c r="AE82" s="72">
        <f t="shared" si="5"/>
        <v>1696.8000000000002</v>
      </c>
      <c r="AF82" s="4">
        <f t="shared" si="6"/>
        <v>470.8</v>
      </c>
      <c r="AG82" s="4">
        <f t="shared" si="7"/>
        <v>459.4</v>
      </c>
      <c r="AH82" s="4">
        <f t="shared" si="8"/>
        <v>464.09999999999997</v>
      </c>
      <c r="AI82" s="6">
        <f t="shared" si="9"/>
        <v>3091.1000000000004</v>
      </c>
    </row>
    <row r="83" spans="1:35" x14ac:dyDescent="0.3">
      <c r="A83" t="s">
        <v>33</v>
      </c>
      <c r="B83">
        <v>2015</v>
      </c>
      <c r="C83" t="s">
        <v>35</v>
      </c>
      <c r="D83">
        <v>123.5</v>
      </c>
      <c r="E83">
        <v>125.4</v>
      </c>
      <c r="F83">
        <v>116.8</v>
      </c>
      <c r="G83">
        <v>126</v>
      </c>
      <c r="H83">
        <v>109.2</v>
      </c>
      <c r="I83">
        <v>127.6</v>
      </c>
      <c r="J83">
        <v>129.19999999999999</v>
      </c>
      <c r="K83">
        <v>122.4</v>
      </c>
      <c r="L83">
        <v>97</v>
      </c>
      <c r="M83">
        <v>122.1</v>
      </c>
      <c r="N83">
        <v>118.1</v>
      </c>
      <c r="O83">
        <v>128.4</v>
      </c>
      <c r="P83">
        <v>123.4</v>
      </c>
      <c r="Q83">
        <v>125.8</v>
      </c>
      <c r="R83">
        <v>124.3</v>
      </c>
      <c r="S83">
        <v>120.4</v>
      </c>
      <c r="T83">
        <v>123.7</v>
      </c>
      <c r="U83">
        <v>118.6</v>
      </c>
      <c r="V83" s="5">
        <v>118.3</v>
      </c>
      <c r="W83">
        <v>119.2</v>
      </c>
      <c r="X83">
        <v>116.7</v>
      </c>
      <c r="Y83">
        <v>109.9</v>
      </c>
      <c r="Z83">
        <v>115.4</v>
      </c>
      <c r="AA83">
        <v>120.1</v>
      </c>
      <c r="AB83">
        <v>111</v>
      </c>
      <c r="AC83">
        <v>114.7</v>
      </c>
      <c r="AD83">
        <v>120.2</v>
      </c>
      <c r="AE83" s="72">
        <f t="shared" si="5"/>
        <v>1694.8999999999999</v>
      </c>
      <c r="AF83" s="4">
        <f t="shared" si="6"/>
        <v>479.4</v>
      </c>
      <c r="AG83" s="4">
        <f t="shared" si="7"/>
        <v>466</v>
      </c>
      <c r="AH83" s="4">
        <f t="shared" si="8"/>
        <v>466.90000000000003</v>
      </c>
      <c r="AI83" s="6">
        <f t="shared" si="9"/>
        <v>3107.2</v>
      </c>
    </row>
    <row r="84" spans="1:35" x14ac:dyDescent="0.3">
      <c r="A84" t="s">
        <v>30</v>
      </c>
      <c r="B84">
        <v>2015</v>
      </c>
      <c r="C84" t="s">
        <v>36</v>
      </c>
      <c r="D84">
        <v>123.3</v>
      </c>
      <c r="E84">
        <v>125.5</v>
      </c>
      <c r="F84">
        <v>117.2</v>
      </c>
      <c r="G84">
        <v>126.8</v>
      </c>
      <c r="H84">
        <v>111.9</v>
      </c>
      <c r="I84">
        <v>134.19999999999999</v>
      </c>
      <c r="J84">
        <v>127.5</v>
      </c>
      <c r="K84">
        <v>121.5</v>
      </c>
      <c r="L84">
        <v>97.8</v>
      </c>
      <c r="M84">
        <v>119.8</v>
      </c>
      <c r="N84">
        <v>119.4</v>
      </c>
      <c r="O84">
        <v>128.69999999999999</v>
      </c>
      <c r="P84">
        <v>123.6</v>
      </c>
      <c r="Q84">
        <v>125.7</v>
      </c>
      <c r="R84">
        <v>126.4</v>
      </c>
      <c r="S84">
        <v>123.3</v>
      </c>
      <c r="T84">
        <v>126</v>
      </c>
      <c r="U84">
        <v>0</v>
      </c>
      <c r="V84" s="5">
        <v>121.2</v>
      </c>
      <c r="W84">
        <v>120.9</v>
      </c>
      <c r="X84">
        <v>118.6</v>
      </c>
      <c r="Y84">
        <v>111.9</v>
      </c>
      <c r="Z84">
        <v>116.2</v>
      </c>
      <c r="AA84">
        <v>119.9</v>
      </c>
      <c r="AB84">
        <v>111.6</v>
      </c>
      <c r="AC84">
        <v>116</v>
      </c>
      <c r="AD84">
        <v>121.5</v>
      </c>
      <c r="AE84" s="72">
        <f t="shared" si="5"/>
        <v>1702.9</v>
      </c>
      <c r="AF84" s="4">
        <f t="shared" si="6"/>
        <v>487.29999999999995</v>
      </c>
      <c r="AG84" s="4">
        <f t="shared" si="7"/>
        <v>354</v>
      </c>
      <c r="AH84" s="4">
        <f t="shared" si="8"/>
        <v>470.70000000000005</v>
      </c>
      <c r="AI84" s="6">
        <f t="shared" si="9"/>
        <v>3014.8999999999996</v>
      </c>
    </row>
    <row r="85" spans="1:35" x14ac:dyDescent="0.3">
      <c r="A85" t="s">
        <v>32</v>
      </c>
      <c r="B85">
        <v>2015</v>
      </c>
      <c r="C85" t="s">
        <v>36</v>
      </c>
      <c r="D85">
        <v>123.8</v>
      </c>
      <c r="E85">
        <v>128.19999999999999</v>
      </c>
      <c r="F85">
        <v>110</v>
      </c>
      <c r="G85">
        <v>126.3</v>
      </c>
      <c r="H85">
        <v>104.5</v>
      </c>
      <c r="I85">
        <v>130.6</v>
      </c>
      <c r="J85">
        <v>130.80000000000001</v>
      </c>
      <c r="K85">
        <v>131.30000000000001</v>
      </c>
      <c r="L85">
        <v>91.6</v>
      </c>
      <c r="M85">
        <v>127.7</v>
      </c>
      <c r="N85">
        <v>117.2</v>
      </c>
      <c r="O85">
        <v>129.5</v>
      </c>
      <c r="P85">
        <v>124.6</v>
      </c>
      <c r="Q85">
        <v>130.1</v>
      </c>
      <c r="R85">
        <v>122.1</v>
      </c>
      <c r="S85">
        <v>117.2</v>
      </c>
      <c r="T85">
        <v>121.3</v>
      </c>
      <c r="U85">
        <v>119.2</v>
      </c>
      <c r="V85" s="5">
        <v>114.7</v>
      </c>
      <c r="W85">
        <v>118.4</v>
      </c>
      <c r="X85">
        <v>114.6</v>
      </c>
      <c r="Y85">
        <v>108.4</v>
      </c>
      <c r="Z85">
        <v>115.6</v>
      </c>
      <c r="AA85">
        <v>121.7</v>
      </c>
      <c r="AB85">
        <v>111.8</v>
      </c>
      <c r="AC85">
        <v>114.2</v>
      </c>
      <c r="AD85">
        <v>119.7</v>
      </c>
      <c r="AE85" s="72">
        <f t="shared" si="5"/>
        <v>1706.1999999999998</v>
      </c>
      <c r="AF85" s="4">
        <f t="shared" si="6"/>
        <v>472.40000000000003</v>
      </c>
      <c r="AG85" s="4">
        <f t="shared" si="7"/>
        <v>460.70000000000005</v>
      </c>
      <c r="AH85" s="4">
        <f t="shared" si="8"/>
        <v>466.09999999999997</v>
      </c>
      <c r="AI85" s="6">
        <f t="shared" si="9"/>
        <v>3105.4</v>
      </c>
    </row>
    <row r="86" spans="1:35" x14ac:dyDescent="0.3">
      <c r="A86" t="s">
        <v>33</v>
      </c>
      <c r="B86">
        <v>2015</v>
      </c>
      <c r="C86" t="s">
        <v>36</v>
      </c>
      <c r="D86">
        <v>123.5</v>
      </c>
      <c r="E86">
        <v>126.4</v>
      </c>
      <c r="F86">
        <v>114.4</v>
      </c>
      <c r="G86">
        <v>126.6</v>
      </c>
      <c r="H86">
        <v>109.2</v>
      </c>
      <c r="I86">
        <v>132.5</v>
      </c>
      <c r="J86">
        <v>128.6</v>
      </c>
      <c r="K86">
        <v>124.8</v>
      </c>
      <c r="L86">
        <v>95.7</v>
      </c>
      <c r="M86">
        <v>122.4</v>
      </c>
      <c r="N86">
        <v>118.5</v>
      </c>
      <c r="O86">
        <v>129.1</v>
      </c>
      <c r="P86">
        <v>124</v>
      </c>
      <c r="Q86">
        <v>126.9</v>
      </c>
      <c r="R86">
        <v>124.7</v>
      </c>
      <c r="S86">
        <v>120.8</v>
      </c>
      <c r="T86">
        <v>124.1</v>
      </c>
      <c r="U86">
        <v>119.2</v>
      </c>
      <c r="V86" s="5">
        <v>118.7</v>
      </c>
      <c r="W86">
        <v>119.7</v>
      </c>
      <c r="X86">
        <v>117.1</v>
      </c>
      <c r="Y86">
        <v>110.1</v>
      </c>
      <c r="Z86">
        <v>115.9</v>
      </c>
      <c r="AA86">
        <v>121</v>
      </c>
      <c r="AB86">
        <v>111.7</v>
      </c>
      <c r="AC86">
        <v>115.1</v>
      </c>
      <c r="AD86">
        <v>120.7</v>
      </c>
      <c r="AE86" s="72">
        <f t="shared" si="5"/>
        <v>1702.6000000000001</v>
      </c>
      <c r="AF86" s="4">
        <f t="shared" si="6"/>
        <v>481.3</v>
      </c>
      <c r="AG86" s="4">
        <f t="shared" si="7"/>
        <v>467.70000000000005</v>
      </c>
      <c r="AH86" s="4">
        <f t="shared" si="8"/>
        <v>469.1</v>
      </c>
      <c r="AI86" s="6">
        <f t="shared" si="9"/>
        <v>3120.7000000000003</v>
      </c>
    </row>
    <row r="87" spans="1:35" x14ac:dyDescent="0.3">
      <c r="A87" t="s">
        <v>30</v>
      </c>
      <c r="B87">
        <v>2015</v>
      </c>
      <c r="C87" t="s">
        <v>37</v>
      </c>
      <c r="D87">
        <v>123.5</v>
      </c>
      <c r="E87">
        <v>127.1</v>
      </c>
      <c r="F87">
        <v>117.3</v>
      </c>
      <c r="G87">
        <v>127.7</v>
      </c>
      <c r="H87">
        <v>112.5</v>
      </c>
      <c r="I87">
        <v>134.1</v>
      </c>
      <c r="J87">
        <v>128.5</v>
      </c>
      <c r="K87">
        <v>124.3</v>
      </c>
      <c r="L87">
        <v>97.6</v>
      </c>
      <c r="M87">
        <v>120.7</v>
      </c>
      <c r="N87">
        <v>120.2</v>
      </c>
      <c r="O87">
        <v>129.80000000000001</v>
      </c>
      <c r="P87">
        <v>124.4</v>
      </c>
      <c r="Q87">
        <v>126.7</v>
      </c>
      <c r="R87">
        <v>127.3</v>
      </c>
      <c r="S87">
        <v>124.1</v>
      </c>
      <c r="T87">
        <v>126.8</v>
      </c>
      <c r="U87">
        <v>0</v>
      </c>
      <c r="V87" s="5">
        <v>121.9</v>
      </c>
      <c r="W87">
        <v>121.5</v>
      </c>
      <c r="X87">
        <v>119.4</v>
      </c>
      <c r="Y87">
        <v>113.3</v>
      </c>
      <c r="Z87">
        <v>116.7</v>
      </c>
      <c r="AA87">
        <v>120.5</v>
      </c>
      <c r="AB87">
        <v>112.3</v>
      </c>
      <c r="AC87">
        <v>116.9</v>
      </c>
      <c r="AD87">
        <v>122.4</v>
      </c>
      <c r="AE87" s="72">
        <f t="shared" si="5"/>
        <v>1714.4</v>
      </c>
      <c r="AF87" s="4">
        <f t="shared" si="6"/>
        <v>490.5</v>
      </c>
      <c r="AG87" s="4">
        <f t="shared" si="7"/>
        <v>356.7</v>
      </c>
      <c r="AH87" s="4">
        <f t="shared" si="8"/>
        <v>473.5</v>
      </c>
      <c r="AI87" s="6">
        <f t="shared" si="9"/>
        <v>3035.1</v>
      </c>
    </row>
    <row r="88" spans="1:35" x14ac:dyDescent="0.3">
      <c r="A88" t="s">
        <v>32</v>
      </c>
      <c r="B88">
        <v>2015</v>
      </c>
      <c r="C88" t="s">
        <v>37</v>
      </c>
      <c r="D88">
        <v>123.8</v>
      </c>
      <c r="E88">
        <v>129.69999999999999</v>
      </c>
      <c r="F88">
        <v>111.3</v>
      </c>
      <c r="G88">
        <v>126.6</v>
      </c>
      <c r="H88">
        <v>105.2</v>
      </c>
      <c r="I88">
        <v>130.80000000000001</v>
      </c>
      <c r="J88">
        <v>135.6</v>
      </c>
      <c r="K88">
        <v>142.6</v>
      </c>
      <c r="L88">
        <v>90.8</v>
      </c>
      <c r="M88">
        <v>128.80000000000001</v>
      </c>
      <c r="N88">
        <v>117.7</v>
      </c>
      <c r="O88">
        <v>129.9</v>
      </c>
      <c r="P88">
        <v>126.1</v>
      </c>
      <c r="Q88">
        <v>131.30000000000001</v>
      </c>
      <c r="R88">
        <v>122.4</v>
      </c>
      <c r="S88">
        <v>117.4</v>
      </c>
      <c r="T88">
        <v>121.6</v>
      </c>
      <c r="U88">
        <v>119.6</v>
      </c>
      <c r="V88" s="5">
        <v>114.9</v>
      </c>
      <c r="W88">
        <v>118.7</v>
      </c>
      <c r="X88">
        <v>114.9</v>
      </c>
      <c r="Y88">
        <v>110.8</v>
      </c>
      <c r="Z88">
        <v>116</v>
      </c>
      <c r="AA88">
        <v>122</v>
      </c>
      <c r="AB88">
        <v>112.4</v>
      </c>
      <c r="AC88">
        <v>115.2</v>
      </c>
      <c r="AD88">
        <v>120.7</v>
      </c>
      <c r="AE88" s="72">
        <f t="shared" si="5"/>
        <v>1730.2</v>
      </c>
      <c r="AF88" s="4">
        <f t="shared" si="6"/>
        <v>473.79999999999995</v>
      </c>
      <c r="AG88" s="4">
        <f t="shared" si="7"/>
        <v>464</v>
      </c>
      <c r="AH88" s="4">
        <f t="shared" si="8"/>
        <v>468.09999999999997</v>
      </c>
      <c r="AI88" s="6">
        <f t="shared" si="9"/>
        <v>3136.1</v>
      </c>
    </row>
    <row r="89" spans="1:35" x14ac:dyDescent="0.3">
      <c r="A89" t="s">
        <v>33</v>
      </c>
      <c r="B89">
        <v>2015</v>
      </c>
      <c r="C89" t="s">
        <v>37</v>
      </c>
      <c r="D89">
        <v>123.6</v>
      </c>
      <c r="E89">
        <v>128</v>
      </c>
      <c r="F89">
        <v>115</v>
      </c>
      <c r="G89">
        <v>127.3</v>
      </c>
      <c r="H89">
        <v>109.8</v>
      </c>
      <c r="I89">
        <v>132.6</v>
      </c>
      <c r="J89">
        <v>130.9</v>
      </c>
      <c r="K89">
        <v>130.5</v>
      </c>
      <c r="L89">
        <v>95.3</v>
      </c>
      <c r="M89">
        <v>123.4</v>
      </c>
      <c r="N89">
        <v>119.2</v>
      </c>
      <c r="O89">
        <v>129.80000000000001</v>
      </c>
      <c r="P89">
        <v>125</v>
      </c>
      <c r="Q89">
        <v>127.9</v>
      </c>
      <c r="R89">
        <v>125.4</v>
      </c>
      <c r="S89">
        <v>121.3</v>
      </c>
      <c r="T89">
        <v>124.7</v>
      </c>
      <c r="U89">
        <v>119.6</v>
      </c>
      <c r="V89" s="5">
        <v>119.2</v>
      </c>
      <c r="W89">
        <v>120.2</v>
      </c>
      <c r="X89">
        <v>117.7</v>
      </c>
      <c r="Y89">
        <v>112</v>
      </c>
      <c r="Z89">
        <v>116.3</v>
      </c>
      <c r="AA89">
        <v>121.4</v>
      </c>
      <c r="AB89">
        <v>112.3</v>
      </c>
      <c r="AC89">
        <v>116.1</v>
      </c>
      <c r="AD89">
        <v>121.6</v>
      </c>
      <c r="AE89" s="72">
        <f t="shared" si="5"/>
        <v>1718.3000000000002</v>
      </c>
      <c r="AF89" s="4">
        <f t="shared" si="6"/>
        <v>483.7</v>
      </c>
      <c r="AG89" s="4">
        <f t="shared" si="7"/>
        <v>471</v>
      </c>
      <c r="AH89" s="4">
        <f t="shared" si="8"/>
        <v>471.5</v>
      </c>
      <c r="AI89" s="6">
        <f t="shared" si="9"/>
        <v>3144.5</v>
      </c>
    </row>
    <row r="90" spans="1:35" x14ac:dyDescent="0.3">
      <c r="A90" t="s">
        <v>30</v>
      </c>
      <c r="B90">
        <v>2015</v>
      </c>
      <c r="C90" t="s">
        <v>38</v>
      </c>
      <c r="D90">
        <v>124.1</v>
      </c>
      <c r="E90">
        <v>130.4</v>
      </c>
      <c r="F90">
        <v>122.1</v>
      </c>
      <c r="G90">
        <v>128.69999999999999</v>
      </c>
      <c r="H90">
        <v>114.1</v>
      </c>
      <c r="I90">
        <v>133.19999999999999</v>
      </c>
      <c r="J90">
        <v>135.19999999999999</v>
      </c>
      <c r="K90">
        <v>131.9</v>
      </c>
      <c r="L90">
        <v>96.3</v>
      </c>
      <c r="M90">
        <v>123</v>
      </c>
      <c r="N90">
        <v>121.1</v>
      </c>
      <c r="O90">
        <v>131.19999999999999</v>
      </c>
      <c r="P90">
        <v>126.6</v>
      </c>
      <c r="Q90">
        <v>128.19999999999999</v>
      </c>
      <c r="R90">
        <v>128.4</v>
      </c>
      <c r="S90">
        <v>125.1</v>
      </c>
      <c r="T90">
        <v>128</v>
      </c>
      <c r="U90">
        <v>0</v>
      </c>
      <c r="V90" s="5">
        <v>122.6</v>
      </c>
      <c r="W90">
        <v>122.8</v>
      </c>
      <c r="X90">
        <v>120.4</v>
      </c>
      <c r="Y90">
        <v>114.2</v>
      </c>
      <c r="Z90">
        <v>117.9</v>
      </c>
      <c r="AA90">
        <v>122</v>
      </c>
      <c r="AB90">
        <v>113</v>
      </c>
      <c r="AC90">
        <v>117.9</v>
      </c>
      <c r="AD90">
        <v>124.1</v>
      </c>
      <c r="AE90" s="72">
        <f t="shared" si="5"/>
        <v>1746.1</v>
      </c>
      <c r="AF90" s="4">
        <f t="shared" si="6"/>
        <v>494.5</v>
      </c>
      <c r="AG90" s="4">
        <f t="shared" si="7"/>
        <v>359.59999999999997</v>
      </c>
      <c r="AH90" s="4">
        <f t="shared" si="8"/>
        <v>478.20000000000005</v>
      </c>
      <c r="AI90" s="6">
        <f t="shared" si="9"/>
        <v>3078.3999999999996</v>
      </c>
    </row>
    <row r="91" spans="1:35" x14ac:dyDescent="0.3">
      <c r="A91" t="s">
        <v>32</v>
      </c>
      <c r="B91">
        <v>2015</v>
      </c>
      <c r="C91" t="s">
        <v>38</v>
      </c>
      <c r="D91">
        <v>123.6</v>
      </c>
      <c r="E91">
        <v>134.4</v>
      </c>
      <c r="F91">
        <v>120.9</v>
      </c>
      <c r="G91">
        <v>127.3</v>
      </c>
      <c r="H91">
        <v>106</v>
      </c>
      <c r="I91">
        <v>132.30000000000001</v>
      </c>
      <c r="J91">
        <v>146.69999999999999</v>
      </c>
      <c r="K91">
        <v>148.1</v>
      </c>
      <c r="L91">
        <v>89.8</v>
      </c>
      <c r="M91">
        <v>130.5</v>
      </c>
      <c r="N91">
        <v>118</v>
      </c>
      <c r="O91">
        <v>130.5</v>
      </c>
      <c r="P91">
        <v>128.5</v>
      </c>
      <c r="Q91">
        <v>132.1</v>
      </c>
      <c r="R91">
        <v>123.2</v>
      </c>
      <c r="S91">
        <v>117.6</v>
      </c>
      <c r="T91">
        <v>122.3</v>
      </c>
      <c r="U91">
        <v>119</v>
      </c>
      <c r="V91" s="5">
        <v>115.1</v>
      </c>
      <c r="W91">
        <v>119.2</v>
      </c>
      <c r="X91">
        <v>115.4</v>
      </c>
      <c r="Y91">
        <v>111.7</v>
      </c>
      <c r="Z91">
        <v>116.2</v>
      </c>
      <c r="AA91">
        <v>123.8</v>
      </c>
      <c r="AB91">
        <v>112.5</v>
      </c>
      <c r="AC91">
        <v>116</v>
      </c>
      <c r="AD91">
        <v>121.7</v>
      </c>
      <c r="AE91" s="72">
        <f t="shared" si="5"/>
        <v>1768.6999999999998</v>
      </c>
      <c r="AF91" s="4">
        <f t="shared" si="6"/>
        <v>475.6</v>
      </c>
      <c r="AG91" s="4">
        <f t="shared" si="7"/>
        <v>465</v>
      </c>
      <c r="AH91" s="4">
        <f t="shared" si="8"/>
        <v>471.40000000000003</v>
      </c>
      <c r="AI91" s="6">
        <f t="shared" si="9"/>
        <v>3180.7</v>
      </c>
    </row>
    <row r="92" spans="1:35" x14ac:dyDescent="0.3">
      <c r="A92" t="s">
        <v>33</v>
      </c>
      <c r="B92">
        <v>2015</v>
      </c>
      <c r="C92" t="s">
        <v>38</v>
      </c>
      <c r="D92">
        <v>123.9</v>
      </c>
      <c r="E92">
        <v>131.80000000000001</v>
      </c>
      <c r="F92">
        <v>121.6</v>
      </c>
      <c r="G92">
        <v>128.19999999999999</v>
      </c>
      <c r="H92">
        <v>111.1</v>
      </c>
      <c r="I92">
        <v>132.80000000000001</v>
      </c>
      <c r="J92">
        <v>139.1</v>
      </c>
      <c r="K92">
        <v>137.4</v>
      </c>
      <c r="L92">
        <v>94.1</v>
      </c>
      <c r="M92">
        <v>125.5</v>
      </c>
      <c r="N92">
        <v>119.8</v>
      </c>
      <c r="O92">
        <v>130.9</v>
      </c>
      <c r="P92">
        <v>127.3</v>
      </c>
      <c r="Q92">
        <v>129.19999999999999</v>
      </c>
      <c r="R92">
        <v>126.4</v>
      </c>
      <c r="S92">
        <v>122</v>
      </c>
      <c r="T92">
        <v>125.7</v>
      </c>
      <c r="U92">
        <v>119</v>
      </c>
      <c r="V92" s="5">
        <v>119.8</v>
      </c>
      <c r="W92">
        <v>121.1</v>
      </c>
      <c r="X92">
        <v>118.5</v>
      </c>
      <c r="Y92">
        <v>112.9</v>
      </c>
      <c r="Z92">
        <v>116.9</v>
      </c>
      <c r="AA92">
        <v>123.1</v>
      </c>
      <c r="AB92">
        <v>112.8</v>
      </c>
      <c r="AC92">
        <v>117</v>
      </c>
      <c r="AD92">
        <v>123</v>
      </c>
      <c r="AE92" s="72">
        <f t="shared" si="5"/>
        <v>1752.7</v>
      </c>
      <c r="AF92" s="4">
        <f t="shared" si="6"/>
        <v>486.90000000000003</v>
      </c>
      <c r="AG92" s="4">
        <f t="shared" si="7"/>
        <v>472.79999999999995</v>
      </c>
      <c r="AH92" s="4">
        <f t="shared" si="8"/>
        <v>475.5</v>
      </c>
      <c r="AI92" s="6">
        <f t="shared" si="9"/>
        <v>3187.8999999999996</v>
      </c>
    </row>
    <row r="93" spans="1:35" x14ac:dyDescent="0.3">
      <c r="A93" t="s">
        <v>30</v>
      </c>
      <c r="B93">
        <v>2015</v>
      </c>
      <c r="C93" t="s">
        <v>39</v>
      </c>
      <c r="D93">
        <v>124</v>
      </c>
      <c r="E93">
        <v>131.5</v>
      </c>
      <c r="F93">
        <v>122</v>
      </c>
      <c r="G93">
        <v>128.69999999999999</v>
      </c>
      <c r="H93">
        <v>113.5</v>
      </c>
      <c r="I93">
        <v>133.30000000000001</v>
      </c>
      <c r="J93">
        <v>140.80000000000001</v>
      </c>
      <c r="K93">
        <v>133.80000000000001</v>
      </c>
      <c r="L93">
        <v>94.1</v>
      </c>
      <c r="M93">
        <v>123.4</v>
      </c>
      <c r="N93">
        <v>121</v>
      </c>
      <c r="O93">
        <v>131.69999999999999</v>
      </c>
      <c r="P93">
        <v>127.5</v>
      </c>
      <c r="Q93">
        <v>129.4</v>
      </c>
      <c r="R93">
        <v>128.80000000000001</v>
      </c>
      <c r="S93">
        <v>125.5</v>
      </c>
      <c r="T93">
        <v>128.30000000000001</v>
      </c>
      <c r="U93">
        <v>0</v>
      </c>
      <c r="V93" s="5">
        <v>123</v>
      </c>
      <c r="W93">
        <v>123</v>
      </c>
      <c r="X93">
        <v>120.8</v>
      </c>
      <c r="Y93">
        <v>114.1</v>
      </c>
      <c r="Z93">
        <v>118</v>
      </c>
      <c r="AA93">
        <v>122.9</v>
      </c>
      <c r="AB93">
        <v>112.7</v>
      </c>
      <c r="AC93">
        <v>118.1</v>
      </c>
      <c r="AD93">
        <v>124.7</v>
      </c>
      <c r="AE93" s="72">
        <f t="shared" si="5"/>
        <v>1754.7</v>
      </c>
      <c r="AF93" s="4">
        <f t="shared" si="6"/>
        <v>495.3</v>
      </c>
      <c r="AG93" s="4">
        <f t="shared" si="7"/>
        <v>360.1</v>
      </c>
      <c r="AH93" s="4">
        <f t="shared" si="8"/>
        <v>479.80000000000007</v>
      </c>
      <c r="AI93" s="6">
        <f t="shared" si="9"/>
        <v>3089.9</v>
      </c>
    </row>
    <row r="94" spans="1:35" x14ac:dyDescent="0.3">
      <c r="A94" t="s">
        <v>32</v>
      </c>
      <c r="B94">
        <v>2015</v>
      </c>
      <c r="C94" t="s">
        <v>39</v>
      </c>
      <c r="D94">
        <v>123.2</v>
      </c>
      <c r="E94">
        <v>134.30000000000001</v>
      </c>
      <c r="F94">
        <v>119.5</v>
      </c>
      <c r="G94">
        <v>127.7</v>
      </c>
      <c r="H94">
        <v>106.3</v>
      </c>
      <c r="I94">
        <v>132.80000000000001</v>
      </c>
      <c r="J94">
        <v>153.5</v>
      </c>
      <c r="K94">
        <v>149.5</v>
      </c>
      <c r="L94">
        <v>85.7</v>
      </c>
      <c r="M94">
        <v>131.5</v>
      </c>
      <c r="N94">
        <v>118.3</v>
      </c>
      <c r="O94">
        <v>131.1</v>
      </c>
      <c r="P94">
        <v>129.5</v>
      </c>
      <c r="Q94">
        <v>133.1</v>
      </c>
      <c r="R94">
        <v>123.5</v>
      </c>
      <c r="S94">
        <v>117.9</v>
      </c>
      <c r="T94">
        <v>122.7</v>
      </c>
      <c r="U94">
        <v>119.9</v>
      </c>
      <c r="V94" s="5">
        <v>115.3</v>
      </c>
      <c r="W94">
        <v>119.5</v>
      </c>
      <c r="X94">
        <v>116</v>
      </c>
      <c r="Y94">
        <v>111.5</v>
      </c>
      <c r="Z94">
        <v>116.6</v>
      </c>
      <c r="AA94">
        <v>125.4</v>
      </c>
      <c r="AB94">
        <v>111.7</v>
      </c>
      <c r="AC94">
        <v>116.3</v>
      </c>
      <c r="AD94">
        <v>122.4</v>
      </c>
      <c r="AE94" s="72">
        <f t="shared" si="5"/>
        <v>1775.9999999999998</v>
      </c>
      <c r="AF94" s="4">
        <f t="shared" si="6"/>
        <v>475.8</v>
      </c>
      <c r="AG94" s="4">
        <f t="shared" si="7"/>
        <v>466.2</v>
      </c>
      <c r="AH94" s="4">
        <f t="shared" si="8"/>
        <v>474.3</v>
      </c>
      <c r="AI94" s="6">
        <f t="shared" si="9"/>
        <v>3192.2999999999997</v>
      </c>
    </row>
    <row r="95" spans="1:35" x14ac:dyDescent="0.3">
      <c r="A95" t="s">
        <v>33</v>
      </c>
      <c r="B95">
        <v>2015</v>
      </c>
      <c r="C95" t="s">
        <v>39</v>
      </c>
      <c r="D95">
        <v>123.7</v>
      </c>
      <c r="E95">
        <v>132.5</v>
      </c>
      <c r="F95">
        <v>121</v>
      </c>
      <c r="G95">
        <v>128.30000000000001</v>
      </c>
      <c r="H95">
        <v>110.9</v>
      </c>
      <c r="I95">
        <v>133.1</v>
      </c>
      <c r="J95">
        <v>145.1</v>
      </c>
      <c r="K95">
        <v>139.1</v>
      </c>
      <c r="L95">
        <v>91.3</v>
      </c>
      <c r="M95">
        <v>126.1</v>
      </c>
      <c r="N95">
        <v>119.9</v>
      </c>
      <c r="O95">
        <v>131.4</v>
      </c>
      <c r="P95">
        <v>128.19999999999999</v>
      </c>
      <c r="Q95">
        <v>130.4</v>
      </c>
      <c r="R95">
        <v>126.7</v>
      </c>
      <c r="S95">
        <v>122.3</v>
      </c>
      <c r="T95">
        <v>126.1</v>
      </c>
      <c r="U95">
        <v>119.9</v>
      </c>
      <c r="V95" s="5">
        <v>120.1</v>
      </c>
      <c r="W95">
        <v>121.3</v>
      </c>
      <c r="X95">
        <v>119</v>
      </c>
      <c r="Y95">
        <v>112.7</v>
      </c>
      <c r="Z95">
        <v>117.2</v>
      </c>
      <c r="AA95">
        <v>124.4</v>
      </c>
      <c r="AB95">
        <v>112.3</v>
      </c>
      <c r="AC95">
        <v>117.2</v>
      </c>
      <c r="AD95">
        <v>123.6</v>
      </c>
      <c r="AE95" s="72">
        <f t="shared" si="5"/>
        <v>1761.0000000000002</v>
      </c>
      <c r="AF95" s="4">
        <f t="shared" si="6"/>
        <v>487.40000000000003</v>
      </c>
      <c r="AG95" s="4">
        <f t="shared" si="7"/>
        <v>474</v>
      </c>
      <c r="AH95" s="4">
        <f t="shared" si="8"/>
        <v>477.8</v>
      </c>
      <c r="AI95" s="6">
        <f t="shared" si="9"/>
        <v>3200.2000000000003</v>
      </c>
    </row>
    <row r="96" spans="1:35" x14ac:dyDescent="0.3">
      <c r="A96" t="s">
        <v>30</v>
      </c>
      <c r="B96">
        <v>2015</v>
      </c>
      <c r="C96" t="s">
        <v>40</v>
      </c>
      <c r="D96">
        <v>124.7</v>
      </c>
      <c r="E96">
        <v>131.30000000000001</v>
      </c>
      <c r="F96">
        <v>121.3</v>
      </c>
      <c r="G96">
        <v>128.80000000000001</v>
      </c>
      <c r="H96">
        <v>114</v>
      </c>
      <c r="I96">
        <v>134.19999999999999</v>
      </c>
      <c r="J96">
        <v>153.6</v>
      </c>
      <c r="K96">
        <v>137.9</v>
      </c>
      <c r="L96">
        <v>93.1</v>
      </c>
      <c r="M96">
        <v>123.9</v>
      </c>
      <c r="N96">
        <v>121.5</v>
      </c>
      <c r="O96">
        <v>132.5</v>
      </c>
      <c r="P96">
        <v>129.80000000000001</v>
      </c>
      <c r="Q96">
        <v>130.1</v>
      </c>
      <c r="R96">
        <v>129.5</v>
      </c>
      <c r="S96">
        <v>126.3</v>
      </c>
      <c r="T96">
        <v>129</v>
      </c>
      <c r="U96">
        <v>0</v>
      </c>
      <c r="V96" s="5">
        <v>123.8</v>
      </c>
      <c r="W96">
        <v>123.7</v>
      </c>
      <c r="X96">
        <v>121.1</v>
      </c>
      <c r="Y96">
        <v>113.6</v>
      </c>
      <c r="Z96">
        <v>118.5</v>
      </c>
      <c r="AA96">
        <v>123.6</v>
      </c>
      <c r="AB96">
        <v>112.5</v>
      </c>
      <c r="AC96">
        <v>118.2</v>
      </c>
      <c r="AD96">
        <v>126.1</v>
      </c>
      <c r="AE96" s="72">
        <f t="shared" si="5"/>
        <v>1776.6999999999998</v>
      </c>
      <c r="AF96" s="4">
        <f t="shared" si="6"/>
        <v>497.3</v>
      </c>
      <c r="AG96" s="4">
        <f t="shared" si="7"/>
        <v>361.1</v>
      </c>
      <c r="AH96" s="4">
        <f t="shared" si="8"/>
        <v>481.4</v>
      </c>
      <c r="AI96" s="6">
        <f t="shared" si="9"/>
        <v>3116.5</v>
      </c>
    </row>
    <row r="97" spans="1:35" x14ac:dyDescent="0.3">
      <c r="A97" t="s">
        <v>32</v>
      </c>
      <c r="B97">
        <v>2015</v>
      </c>
      <c r="C97" t="s">
        <v>40</v>
      </c>
      <c r="D97">
        <v>123.1</v>
      </c>
      <c r="E97">
        <v>131.69999999999999</v>
      </c>
      <c r="F97">
        <v>118.1</v>
      </c>
      <c r="G97">
        <v>128</v>
      </c>
      <c r="H97">
        <v>106.8</v>
      </c>
      <c r="I97">
        <v>130.1</v>
      </c>
      <c r="J97">
        <v>165.5</v>
      </c>
      <c r="K97">
        <v>156</v>
      </c>
      <c r="L97">
        <v>85.3</v>
      </c>
      <c r="M97">
        <v>132.69999999999999</v>
      </c>
      <c r="N97">
        <v>118.8</v>
      </c>
      <c r="O97">
        <v>131.69999999999999</v>
      </c>
      <c r="P97">
        <v>131.1</v>
      </c>
      <c r="Q97">
        <v>134.19999999999999</v>
      </c>
      <c r="R97">
        <v>123.7</v>
      </c>
      <c r="S97">
        <v>118.2</v>
      </c>
      <c r="T97">
        <v>122.9</v>
      </c>
      <c r="U97">
        <v>120.9</v>
      </c>
      <c r="V97" s="5">
        <v>115.3</v>
      </c>
      <c r="W97">
        <v>120</v>
      </c>
      <c r="X97">
        <v>116.6</v>
      </c>
      <c r="Y97">
        <v>109.9</v>
      </c>
      <c r="Z97">
        <v>117.2</v>
      </c>
      <c r="AA97">
        <v>126.2</v>
      </c>
      <c r="AB97">
        <v>112</v>
      </c>
      <c r="AC97">
        <v>116.2</v>
      </c>
      <c r="AD97">
        <v>123.2</v>
      </c>
      <c r="AE97" s="72">
        <f t="shared" si="5"/>
        <v>1793.1</v>
      </c>
      <c r="AF97" s="4">
        <f t="shared" si="6"/>
        <v>476.8</v>
      </c>
      <c r="AG97" s="4">
        <f t="shared" si="7"/>
        <v>466.1</v>
      </c>
      <c r="AH97" s="4">
        <f t="shared" si="8"/>
        <v>476.2</v>
      </c>
      <c r="AI97" s="6">
        <f t="shared" si="9"/>
        <v>3212.2</v>
      </c>
    </row>
    <row r="98" spans="1:35" x14ac:dyDescent="0.3">
      <c r="A98" t="s">
        <v>33</v>
      </c>
      <c r="B98">
        <v>2015</v>
      </c>
      <c r="C98" t="s">
        <v>40</v>
      </c>
      <c r="D98">
        <v>124.2</v>
      </c>
      <c r="E98">
        <v>131.4</v>
      </c>
      <c r="F98">
        <v>120.1</v>
      </c>
      <c r="G98">
        <v>128.5</v>
      </c>
      <c r="H98">
        <v>111.4</v>
      </c>
      <c r="I98">
        <v>132.30000000000001</v>
      </c>
      <c r="J98">
        <v>157.6</v>
      </c>
      <c r="K98">
        <v>144</v>
      </c>
      <c r="L98">
        <v>90.5</v>
      </c>
      <c r="M98">
        <v>126.8</v>
      </c>
      <c r="N98">
        <v>120.4</v>
      </c>
      <c r="O98">
        <v>132.1</v>
      </c>
      <c r="P98">
        <v>130.30000000000001</v>
      </c>
      <c r="Q98">
        <v>131.19999999999999</v>
      </c>
      <c r="R98">
        <v>127.2</v>
      </c>
      <c r="S98">
        <v>122.9</v>
      </c>
      <c r="T98">
        <v>126.6</v>
      </c>
      <c r="U98">
        <v>120.9</v>
      </c>
      <c r="V98" s="5">
        <v>120.6</v>
      </c>
      <c r="W98">
        <v>122</v>
      </c>
      <c r="X98">
        <v>119.4</v>
      </c>
      <c r="Y98">
        <v>111.7</v>
      </c>
      <c r="Z98">
        <v>117.8</v>
      </c>
      <c r="AA98">
        <v>125.1</v>
      </c>
      <c r="AB98">
        <v>112.3</v>
      </c>
      <c r="AC98">
        <v>117.2</v>
      </c>
      <c r="AD98">
        <v>124.8</v>
      </c>
      <c r="AE98" s="72">
        <f t="shared" si="5"/>
        <v>1780.8</v>
      </c>
      <c r="AF98" s="4">
        <f t="shared" si="6"/>
        <v>489.00000000000006</v>
      </c>
      <c r="AG98" s="4">
        <f t="shared" si="7"/>
        <v>475.2</v>
      </c>
      <c r="AH98" s="4">
        <f t="shared" si="8"/>
        <v>479.49999999999994</v>
      </c>
      <c r="AI98" s="6">
        <f t="shared" si="9"/>
        <v>3224.5</v>
      </c>
    </row>
    <row r="99" spans="1:35" x14ac:dyDescent="0.3">
      <c r="A99" t="s">
        <v>30</v>
      </c>
      <c r="B99">
        <v>2015</v>
      </c>
      <c r="C99" t="s">
        <v>41</v>
      </c>
      <c r="D99">
        <v>125.1</v>
      </c>
      <c r="E99">
        <v>131.1</v>
      </c>
      <c r="F99">
        <v>120.7</v>
      </c>
      <c r="G99">
        <v>129.19999999999999</v>
      </c>
      <c r="H99">
        <v>114.7</v>
      </c>
      <c r="I99">
        <v>132.30000000000001</v>
      </c>
      <c r="J99">
        <v>158.9</v>
      </c>
      <c r="K99">
        <v>142.1</v>
      </c>
      <c r="L99">
        <v>92.5</v>
      </c>
      <c r="M99">
        <v>125.4</v>
      </c>
      <c r="N99">
        <v>121.9</v>
      </c>
      <c r="O99">
        <v>132.69999999999999</v>
      </c>
      <c r="P99">
        <v>131</v>
      </c>
      <c r="Q99">
        <v>131</v>
      </c>
      <c r="R99">
        <v>130.4</v>
      </c>
      <c r="S99">
        <v>126.8</v>
      </c>
      <c r="T99">
        <v>129.9</v>
      </c>
      <c r="U99">
        <v>0</v>
      </c>
      <c r="V99" s="5">
        <v>123.7</v>
      </c>
      <c r="W99">
        <v>124.5</v>
      </c>
      <c r="X99">
        <v>121.4</v>
      </c>
      <c r="Y99">
        <v>113.8</v>
      </c>
      <c r="Z99">
        <v>119.6</v>
      </c>
      <c r="AA99">
        <v>124.5</v>
      </c>
      <c r="AB99">
        <v>113.7</v>
      </c>
      <c r="AC99">
        <v>118.8</v>
      </c>
      <c r="AD99">
        <v>127</v>
      </c>
      <c r="AE99" s="72">
        <f t="shared" si="5"/>
        <v>1788.6000000000001</v>
      </c>
      <c r="AF99" s="4">
        <f t="shared" si="6"/>
        <v>500.8</v>
      </c>
      <c r="AG99" s="4">
        <f t="shared" si="7"/>
        <v>362</v>
      </c>
      <c r="AH99" s="4">
        <f t="shared" si="8"/>
        <v>484.3</v>
      </c>
      <c r="AI99" s="6">
        <f t="shared" si="9"/>
        <v>3135.7000000000003</v>
      </c>
    </row>
    <row r="100" spans="1:35" x14ac:dyDescent="0.3">
      <c r="A100" t="s">
        <v>32</v>
      </c>
      <c r="B100">
        <v>2015</v>
      </c>
      <c r="C100" t="s">
        <v>41</v>
      </c>
      <c r="D100">
        <v>123.4</v>
      </c>
      <c r="E100">
        <v>129</v>
      </c>
      <c r="F100">
        <v>115.6</v>
      </c>
      <c r="G100">
        <v>128.30000000000001</v>
      </c>
      <c r="H100">
        <v>107</v>
      </c>
      <c r="I100">
        <v>124</v>
      </c>
      <c r="J100">
        <v>168.5</v>
      </c>
      <c r="K100">
        <v>165.4</v>
      </c>
      <c r="L100">
        <v>86.3</v>
      </c>
      <c r="M100">
        <v>134.4</v>
      </c>
      <c r="N100">
        <v>119.1</v>
      </c>
      <c r="O100">
        <v>132.30000000000001</v>
      </c>
      <c r="P100">
        <v>131.5</v>
      </c>
      <c r="Q100">
        <v>134.69999999999999</v>
      </c>
      <c r="R100">
        <v>124</v>
      </c>
      <c r="S100">
        <v>118.6</v>
      </c>
      <c r="T100">
        <v>123.2</v>
      </c>
      <c r="U100">
        <v>121.6</v>
      </c>
      <c r="V100" s="5">
        <v>115.1</v>
      </c>
      <c r="W100">
        <v>120.4</v>
      </c>
      <c r="X100">
        <v>117.1</v>
      </c>
      <c r="Y100">
        <v>109.1</v>
      </c>
      <c r="Z100">
        <v>117.3</v>
      </c>
      <c r="AA100">
        <v>126.5</v>
      </c>
      <c r="AB100">
        <v>112.9</v>
      </c>
      <c r="AC100">
        <v>116.2</v>
      </c>
      <c r="AD100">
        <v>123.5</v>
      </c>
      <c r="AE100" s="72">
        <f t="shared" si="5"/>
        <v>1799.5</v>
      </c>
      <c r="AF100" s="4">
        <f t="shared" si="6"/>
        <v>478.70000000000005</v>
      </c>
      <c r="AG100" s="4">
        <f t="shared" si="7"/>
        <v>466.20000000000005</v>
      </c>
      <c r="AH100" s="4">
        <f t="shared" si="8"/>
        <v>477.09999999999997</v>
      </c>
      <c r="AI100" s="6">
        <f t="shared" si="9"/>
        <v>3221.4999999999995</v>
      </c>
    </row>
    <row r="101" spans="1:35" x14ac:dyDescent="0.3">
      <c r="A101" t="s">
        <v>33</v>
      </c>
      <c r="B101">
        <v>2015</v>
      </c>
      <c r="C101" t="s">
        <v>41</v>
      </c>
      <c r="D101">
        <v>124.6</v>
      </c>
      <c r="E101">
        <v>130.4</v>
      </c>
      <c r="F101">
        <v>118.7</v>
      </c>
      <c r="G101">
        <v>128.9</v>
      </c>
      <c r="H101">
        <v>111.9</v>
      </c>
      <c r="I101">
        <v>128.4</v>
      </c>
      <c r="J101">
        <v>162.19999999999999</v>
      </c>
      <c r="K101">
        <v>150</v>
      </c>
      <c r="L101">
        <v>90.4</v>
      </c>
      <c r="M101">
        <v>128.4</v>
      </c>
      <c r="N101">
        <v>120.7</v>
      </c>
      <c r="O101">
        <v>132.5</v>
      </c>
      <c r="P101">
        <v>131.19999999999999</v>
      </c>
      <c r="Q101">
        <v>132</v>
      </c>
      <c r="R101">
        <v>127.9</v>
      </c>
      <c r="S101">
        <v>123.4</v>
      </c>
      <c r="T101">
        <v>127.2</v>
      </c>
      <c r="U101">
        <v>121.6</v>
      </c>
      <c r="V101" s="5">
        <v>120.4</v>
      </c>
      <c r="W101">
        <v>122.6</v>
      </c>
      <c r="X101">
        <v>119.8</v>
      </c>
      <c r="Y101">
        <v>111.3</v>
      </c>
      <c r="Z101">
        <v>118.3</v>
      </c>
      <c r="AA101">
        <v>125.7</v>
      </c>
      <c r="AB101">
        <v>113.4</v>
      </c>
      <c r="AC101">
        <v>117.5</v>
      </c>
      <c r="AD101">
        <v>125.4</v>
      </c>
      <c r="AE101" s="72">
        <f t="shared" si="5"/>
        <v>1790.3000000000002</v>
      </c>
      <c r="AF101" s="4">
        <f t="shared" si="6"/>
        <v>491.9</v>
      </c>
      <c r="AG101" s="4">
        <f t="shared" si="7"/>
        <v>475.90000000000003</v>
      </c>
      <c r="AH101" s="4">
        <f t="shared" si="8"/>
        <v>481.3</v>
      </c>
      <c r="AI101" s="6">
        <f t="shared" si="9"/>
        <v>3239.4000000000005</v>
      </c>
    </row>
    <row r="102" spans="1:35" x14ac:dyDescent="0.3">
      <c r="A102" t="s">
        <v>30</v>
      </c>
      <c r="B102">
        <v>2015</v>
      </c>
      <c r="C102" t="s">
        <v>42</v>
      </c>
      <c r="D102">
        <v>125.6</v>
      </c>
      <c r="E102">
        <v>130.4</v>
      </c>
      <c r="F102">
        <v>120.8</v>
      </c>
      <c r="G102">
        <v>129.4</v>
      </c>
      <c r="H102">
        <v>115.8</v>
      </c>
      <c r="I102">
        <v>133.19999999999999</v>
      </c>
      <c r="J102">
        <v>157.69999999999999</v>
      </c>
      <c r="K102">
        <v>154.19999999999999</v>
      </c>
      <c r="L102">
        <v>93.7</v>
      </c>
      <c r="M102">
        <v>126.6</v>
      </c>
      <c r="N102">
        <v>122.3</v>
      </c>
      <c r="O102">
        <v>133.1</v>
      </c>
      <c r="P102">
        <v>131.80000000000001</v>
      </c>
      <c r="Q102">
        <v>131.5</v>
      </c>
      <c r="R102">
        <v>131.1</v>
      </c>
      <c r="S102">
        <v>127.3</v>
      </c>
      <c r="T102">
        <v>130.6</v>
      </c>
      <c r="U102">
        <v>0</v>
      </c>
      <c r="V102" s="5">
        <v>124.4</v>
      </c>
      <c r="W102">
        <v>125.1</v>
      </c>
      <c r="X102">
        <v>122</v>
      </c>
      <c r="Y102">
        <v>113.8</v>
      </c>
      <c r="Z102">
        <v>120.1</v>
      </c>
      <c r="AA102">
        <v>125.1</v>
      </c>
      <c r="AB102">
        <v>114.2</v>
      </c>
      <c r="AC102">
        <v>119.2</v>
      </c>
      <c r="AD102">
        <v>127.7</v>
      </c>
      <c r="AE102" s="72">
        <f t="shared" si="5"/>
        <v>1806.1</v>
      </c>
      <c r="AF102" s="4">
        <f t="shared" si="6"/>
        <v>503.2</v>
      </c>
      <c r="AG102" s="4">
        <f t="shared" si="7"/>
        <v>363.3</v>
      </c>
      <c r="AH102" s="4">
        <f t="shared" si="8"/>
        <v>486.4</v>
      </c>
      <c r="AI102" s="6">
        <f t="shared" si="9"/>
        <v>3159</v>
      </c>
    </row>
    <row r="103" spans="1:35" x14ac:dyDescent="0.3">
      <c r="A103" t="s">
        <v>32</v>
      </c>
      <c r="B103">
        <v>2015</v>
      </c>
      <c r="C103" t="s">
        <v>42</v>
      </c>
      <c r="D103">
        <v>123.6</v>
      </c>
      <c r="E103">
        <v>128.6</v>
      </c>
      <c r="F103">
        <v>115.9</v>
      </c>
      <c r="G103">
        <v>128.5</v>
      </c>
      <c r="H103">
        <v>109</v>
      </c>
      <c r="I103">
        <v>124.1</v>
      </c>
      <c r="J103">
        <v>165.8</v>
      </c>
      <c r="K103">
        <v>187.2</v>
      </c>
      <c r="L103">
        <v>89.4</v>
      </c>
      <c r="M103">
        <v>135.80000000000001</v>
      </c>
      <c r="N103">
        <v>119.4</v>
      </c>
      <c r="O103">
        <v>132.9</v>
      </c>
      <c r="P103">
        <v>132.6</v>
      </c>
      <c r="Q103">
        <v>135.30000000000001</v>
      </c>
      <c r="R103">
        <v>124.4</v>
      </c>
      <c r="S103">
        <v>118.8</v>
      </c>
      <c r="T103">
        <v>123.6</v>
      </c>
      <c r="U103">
        <v>122.4</v>
      </c>
      <c r="V103" s="5">
        <v>114.9</v>
      </c>
      <c r="W103">
        <v>120.7</v>
      </c>
      <c r="X103">
        <v>117.7</v>
      </c>
      <c r="Y103">
        <v>109.3</v>
      </c>
      <c r="Z103">
        <v>117.7</v>
      </c>
      <c r="AA103">
        <v>126.5</v>
      </c>
      <c r="AB103">
        <v>113.5</v>
      </c>
      <c r="AC103">
        <v>116.5</v>
      </c>
      <c r="AD103">
        <v>124.2</v>
      </c>
      <c r="AE103" s="72">
        <f t="shared" si="5"/>
        <v>1828.1000000000001</v>
      </c>
      <c r="AF103" s="4">
        <f t="shared" si="6"/>
        <v>480.29999999999995</v>
      </c>
      <c r="AG103" s="4">
        <f t="shared" si="7"/>
        <v>467.3</v>
      </c>
      <c r="AH103" s="4">
        <f t="shared" si="8"/>
        <v>478.4</v>
      </c>
      <c r="AI103" s="6">
        <f t="shared" si="9"/>
        <v>3254.1000000000004</v>
      </c>
    </row>
    <row r="104" spans="1:35" x14ac:dyDescent="0.3">
      <c r="A104" t="s">
        <v>33</v>
      </c>
      <c r="B104">
        <v>2015</v>
      </c>
      <c r="C104" t="s">
        <v>42</v>
      </c>
      <c r="D104">
        <v>125</v>
      </c>
      <c r="E104">
        <v>129.80000000000001</v>
      </c>
      <c r="F104">
        <v>118.9</v>
      </c>
      <c r="G104">
        <v>129.1</v>
      </c>
      <c r="H104">
        <v>113.3</v>
      </c>
      <c r="I104">
        <v>129</v>
      </c>
      <c r="J104">
        <v>160.4</v>
      </c>
      <c r="K104">
        <v>165.3</v>
      </c>
      <c r="L104">
        <v>92.3</v>
      </c>
      <c r="M104">
        <v>129.69999999999999</v>
      </c>
      <c r="N104">
        <v>121.1</v>
      </c>
      <c r="O104">
        <v>133</v>
      </c>
      <c r="P104">
        <v>132.1</v>
      </c>
      <c r="Q104">
        <v>132.5</v>
      </c>
      <c r="R104">
        <v>128.5</v>
      </c>
      <c r="S104">
        <v>123.8</v>
      </c>
      <c r="T104">
        <v>127.8</v>
      </c>
      <c r="U104">
        <v>122.4</v>
      </c>
      <c r="V104" s="5">
        <v>120.8</v>
      </c>
      <c r="W104">
        <v>123</v>
      </c>
      <c r="X104">
        <v>120.4</v>
      </c>
      <c r="Y104">
        <v>111.4</v>
      </c>
      <c r="Z104">
        <v>118.7</v>
      </c>
      <c r="AA104">
        <v>125.9</v>
      </c>
      <c r="AB104">
        <v>113.9</v>
      </c>
      <c r="AC104">
        <v>117.9</v>
      </c>
      <c r="AD104">
        <v>126.1</v>
      </c>
      <c r="AE104" s="72">
        <f t="shared" si="5"/>
        <v>1811.4999999999998</v>
      </c>
      <c r="AF104" s="4">
        <f t="shared" si="6"/>
        <v>494</v>
      </c>
      <c r="AG104" s="4">
        <f t="shared" si="7"/>
        <v>477.6</v>
      </c>
      <c r="AH104" s="4">
        <f t="shared" si="8"/>
        <v>482.9</v>
      </c>
      <c r="AI104" s="6">
        <f t="shared" si="9"/>
        <v>3266</v>
      </c>
    </row>
    <row r="105" spans="1:35" x14ac:dyDescent="0.3">
      <c r="A105" t="s">
        <v>30</v>
      </c>
      <c r="B105">
        <v>2015</v>
      </c>
      <c r="C105" t="s">
        <v>44</v>
      </c>
      <c r="D105">
        <v>126.1</v>
      </c>
      <c r="E105">
        <v>130.6</v>
      </c>
      <c r="F105">
        <v>121.7</v>
      </c>
      <c r="G105">
        <v>129.5</v>
      </c>
      <c r="H105">
        <v>117.8</v>
      </c>
      <c r="I105">
        <v>132.1</v>
      </c>
      <c r="J105">
        <v>155.19999999999999</v>
      </c>
      <c r="K105">
        <v>160.80000000000001</v>
      </c>
      <c r="L105">
        <v>94.5</v>
      </c>
      <c r="M105">
        <v>128.30000000000001</v>
      </c>
      <c r="N105">
        <v>123.1</v>
      </c>
      <c r="O105">
        <v>134.19999999999999</v>
      </c>
      <c r="P105">
        <v>132.4</v>
      </c>
      <c r="Q105">
        <v>132.19999999999999</v>
      </c>
      <c r="R105">
        <v>132.1</v>
      </c>
      <c r="S105">
        <v>128.19999999999999</v>
      </c>
      <c r="T105">
        <v>131.5</v>
      </c>
      <c r="U105">
        <v>0</v>
      </c>
      <c r="V105" s="5">
        <v>125.6</v>
      </c>
      <c r="W105">
        <v>125.6</v>
      </c>
      <c r="X105">
        <v>122.6</v>
      </c>
      <c r="Y105">
        <v>114</v>
      </c>
      <c r="Z105">
        <v>120.9</v>
      </c>
      <c r="AA105">
        <v>125.8</v>
      </c>
      <c r="AB105">
        <v>114.2</v>
      </c>
      <c r="AC105">
        <v>119.6</v>
      </c>
      <c r="AD105">
        <v>128.30000000000001</v>
      </c>
      <c r="AE105" s="72">
        <f t="shared" si="5"/>
        <v>1818.5</v>
      </c>
      <c r="AF105" s="4">
        <f t="shared" si="6"/>
        <v>505.99999999999994</v>
      </c>
      <c r="AG105" s="4">
        <f t="shared" si="7"/>
        <v>365.2</v>
      </c>
      <c r="AH105" s="4">
        <f t="shared" si="8"/>
        <v>488.9</v>
      </c>
      <c r="AI105" s="6">
        <f t="shared" si="9"/>
        <v>3178.6</v>
      </c>
    </row>
    <row r="106" spans="1:35" x14ac:dyDescent="0.3">
      <c r="A106" t="s">
        <v>32</v>
      </c>
      <c r="B106">
        <v>2015</v>
      </c>
      <c r="C106" t="s">
        <v>44</v>
      </c>
      <c r="D106">
        <v>124</v>
      </c>
      <c r="E106">
        <v>129.80000000000001</v>
      </c>
      <c r="F106">
        <v>121.5</v>
      </c>
      <c r="G106">
        <v>128.6</v>
      </c>
      <c r="H106">
        <v>110</v>
      </c>
      <c r="I106">
        <v>123.7</v>
      </c>
      <c r="J106">
        <v>164.6</v>
      </c>
      <c r="K106">
        <v>191.6</v>
      </c>
      <c r="L106">
        <v>90.8</v>
      </c>
      <c r="M106">
        <v>137.1</v>
      </c>
      <c r="N106">
        <v>119.8</v>
      </c>
      <c r="O106">
        <v>133.69999999999999</v>
      </c>
      <c r="P106">
        <v>133.30000000000001</v>
      </c>
      <c r="Q106">
        <v>137.6</v>
      </c>
      <c r="R106">
        <v>125</v>
      </c>
      <c r="S106">
        <v>119.3</v>
      </c>
      <c r="T106">
        <v>124.2</v>
      </c>
      <c r="U106">
        <v>122.9</v>
      </c>
      <c r="V106" s="5">
        <v>115.1</v>
      </c>
      <c r="W106">
        <v>121</v>
      </c>
      <c r="X106">
        <v>118.1</v>
      </c>
      <c r="Y106">
        <v>109.3</v>
      </c>
      <c r="Z106">
        <v>117.9</v>
      </c>
      <c r="AA106">
        <v>126.6</v>
      </c>
      <c r="AB106">
        <v>113.3</v>
      </c>
      <c r="AC106">
        <v>116.6</v>
      </c>
      <c r="AD106">
        <v>124.6</v>
      </c>
      <c r="AE106" s="72">
        <f t="shared" si="5"/>
        <v>1846.0999999999997</v>
      </c>
      <c r="AF106" s="4">
        <f t="shared" si="6"/>
        <v>481.8</v>
      </c>
      <c r="AG106" s="4">
        <f t="shared" si="7"/>
        <v>468.3</v>
      </c>
      <c r="AH106" s="4">
        <f t="shared" si="8"/>
        <v>479.20000000000005</v>
      </c>
      <c r="AI106" s="6">
        <f t="shared" si="9"/>
        <v>3275.3999999999996</v>
      </c>
    </row>
    <row r="107" spans="1:35" x14ac:dyDescent="0.3">
      <c r="A107" t="s">
        <v>33</v>
      </c>
      <c r="B107">
        <v>2015</v>
      </c>
      <c r="C107" t="s">
        <v>44</v>
      </c>
      <c r="D107">
        <v>125.4</v>
      </c>
      <c r="E107">
        <v>130.30000000000001</v>
      </c>
      <c r="F107">
        <v>121.6</v>
      </c>
      <c r="G107">
        <v>129.19999999999999</v>
      </c>
      <c r="H107">
        <v>114.9</v>
      </c>
      <c r="I107">
        <v>128.19999999999999</v>
      </c>
      <c r="J107">
        <v>158.4</v>
      </c>
      <c r="K107">
        <v>171.2</v>
      </c>
      <c r="L107">
        <v>93.3</v>
      </c>
      <c r="M107">
        <v>131.19999999999999</v>
      </c>
      <c r="N107">
        <v>121.7</v>
      </c>
      <c r="O107">
        <v>134</v>
      </c>
      <c r="P107">
        <v>132.69999999999999</v>
      </c>
      <c r="Q107">
        <v>133.6</v>
      </c>
      <c r="R107">
        <v>129.30000000000001</v>
      </c>
      <c r="S107">
        <v>124.5</v>
      </c>
      <c r="T107">
        <v>128.6</v>
      </c>
      <c r="U107">
        <v>122.9</v>
      </c>
      <c r="V107" s="5">
        <v>121.6</v>
      </c>
      <c r="W107">
        <v>123.4</v>
      </c>
      <c r="X107">
        <v>120.9</v>
      </c>
      <c r="Y107">
        <v>111.5</v>
      </c>
      <c r="Z107">
        <v>119.2</v>
      </c>
      <c r="AA107">
        <v>126.3</v>
      </c>
      <c r="AB107">
        <v>113.8</v>
      </c>
      <c r="AC107">
        <v>118.1</v>
      </c>
      <c r="AD107">
        <v>126.6</v>
      </c>
      <c r="AE107" s="72">
        <f t="shared" si="5"/>
        <v>1825.6999999999998</v>
      </c>
      <c r="AF107" s="4">
        <f t="shared" si="6"/>
        <v>496.2</v>
      </c>
      <c r="AG107" s="4">
        <f t="shared" si="7"/>
        <v>479.4</v>
      </c>
      <c r="AH107" s="4">
        <f t="shared" si="8"/>
        <v>484.5</v>
      </c>
      <c r="AI107" s="6">
        <f t="shared" si="9"/>
        <v>3285.7999999999997</v>
      </c>
    </row>
    <row r="108" spans="1:35" x14ac:dyDescent="0.3">
      <c r="A108" t="s">
        <v>30</v>
      </c>
      <c r="B108">
        <v>2015</v>
      </c>
      <c r="C108" t="s">
        <v>45</v>
      </c>
      <c r="D108">
        <v>126.3</v>
      </c>
      <c r="E108">
        <v>131.30000000000001</v>
      </c>
      <c r="F108">
        <v>123.3</v>
      </c>
      <c r="G108">
        <v>129.80000000000001</v>
      </c>
      <c r="H108">
        <v>118.3</v>
      </c>
      <c r="I108">
        <v>131.6</v>
      </c>
      <c r="J108">
        <v>145.5</v>
      </c>
      <c r="K108">
        <v>162.1</v>
      </c>
      <c r="L108">
        <v>95.4</v>
      </c>
      <c r="M108">
        <v>128.9</v>
      </c>
      <c r="N108">
        <v>123.3</v>
      </c>
      <c r="O108">
        <v>135.1</v>
      </c>
      <c r="P108">
        <v>131.4</v>
      </c>
      <c r="Q108">
        <v>133.1</v>
      </c>
      <c r="R108">
        <v>132.5</v>
      </c>
      <c r="S108">
        <v>128.5</v>
      </c>
      <c r="T108">
        <v>131.9</v>
      </c>
      <c r="U108">
        <v>0</v>
      </c>
      <c r="V108" s="5">
        <v>125.7</v>
      </c>
      <c r="W108">
        <v>126</v>
      </c>
      <c r="X108">
        <v>123.1</v>
      </c>
      <c r="Y108">
        <v>114</v>
      </c>
      <c r="Z108">
        <v>121.6</v>
      </c>
      <c r="AA108">
        <v>125.6</v>
      </c>
      <c r="AB108">
        <v>114.1</v>
      </c>
      <c r="AC108">
        <v>119.8</v>
      </c>
      <c r="AD108">
        <v>127.9</v>
      </c>
      <c r="AE108" s="72">
        <f t="shared" si="5"/>
        <v>1815.4</v>
      </c>
      <c r="AF108" s="4">
        <f t="shared" si="6"/>
        <v>507</v>
      </c>
      <c r="AG108" s="4">
        <f t="shared" si="7"/>
        <v>365.7</v>
      </c>
      <c r="AH108" s="4">
        <f t="shared" si="8"/>
        <v>490.09999999999997</v>
      </c>
      <c r="AI108" s="6">
        <f t="shared" si="9"/>
        <v>3178.2</v>
      </c>
    </row>
    <row r="109" spans="1:35" x14ac:dyDescent="0.3">
      <c r="A109" t="s">
        <v>32</v>
      </c>
      <c r="B109">
        <v>2015</v>
      </c>
      <c r="C109" t="s">
        <v>45</v>
      </c>
      <c r="D109">
        <v>124.3</v>
      </c>
      <c r="E109">
        <v>131.69999999999999</v>
      </c>
      <c r="F109">
        <v>127.1</v>
      </c>
      <c r="G109">
        <v>128.6</v>
      </c>
      <c r="H109">
        <v>110</v>
      </c>
      <c r="I109">
        <v>120.8</v>
      </c>
      <c r="J109">
        <v>149</v>
      </c>
      <c r="K109">
        <v>190.1</v>
      </c>
      <c r="L109">
        <v>92.7</v>
      </c>
      <c r="M109">
        <v>138.6</v>
      </c>
      <c r="N109">
        <v>120.2</v>
      </c>
      <c r="O109">
        <v>134.19999999999999</v>
      </c>
      <c r="P109">
        <v>131.5</v>
      </c>
      <c r="Q109">
        <v>138.19999999999999</v>
      </c>
      <c r="R109">
        <v>125.4</v>
      </c>
      <c r="S109">
        <v>119.5</v>
      </c>
      <c r="T109">
        <v>124.5</v>
      </c>
      <c r="U109">
        <v>122.4</v>
      </c>
      <c r="V109" s="5">
        <v>116</v>
      </c>
      <c r="W109">
        <v>121</v>
      </c>
      <c r="X109">
        <v>118.6</v>
      </c>
      <c r="Y109">
        <v>109.3</v>
      </c>
      <c r="Z109">
        <v>118.1</v>
      </c>
      <c r="AA109">
        <v>126.6</v>
      </c>
      <c r="AB109">
        <v>113.2</v>
      </c>
      <c r="AC109">
        <v>116.7</v>
      </c>
      <c r="AD109">
        <v>124</v>
      </c>
      <c r="AE109" s="72">
        <f t="shared" si="5"/>
        <v>1837</v>
      </c>
      <c r="AF109" s="4">
        <f t="shared" si="6"/>
        <v>482.59999999999997</v>
      </c>
      <c r="AG109" s="4">
        <f t="shared" si="7"/>
        <v>468.7</v>
      </c>
      <c r="AH109" s="4">
        <f t="shared" si="8"/>
        <v>479.99999999999994</v>
      </c>
      <c r="AI109" s="6">
        <f t="shared" si="9"/>
        <v>3268.2999999999997</v>
      </c>
    </row>
    <row r="110" spans="1:35" x14ac:dyDescent="0.3">
      <c r="A110" t="s">
        <v>33</v>
      </c>
      <c r="B110">
        <v>2015</v>
      </c>
      <c r="C110" t="s">
        <v>45</v>
      </c>
      <c r="D110">
        <v>125.7</v>
      </c>
      <c r="E110">
        <v>131.4</v>
      </c>
      <c r="F110">
        <v>124.8</v>
      </c>
      <c r="G110">
        <v>129.4</v>
      </c>
      <c r="H110">
        <v>115.3</v>
      </c>
      <c r="I110">
        <v>126.6</v>
      </c>
      <c r="J110">
        <v>146.69999999999999</v>
      </c>
      <c r="K110">
        <v>171.5</v>
      </c>
      <c r="L110">
        <v>94.5</v>
      </c>
      <c r="M110">
        <v>132.1</v>
      </c>
      <c r="N110">
        <v>122</v>
      </c>
      <c r="O110">
        <v>134.69999999999999</v>
      </c>
      <c r="P110">
        <v>131.4</v>
      </c>
      <c r="Q110">
        <v>134.5</v>
      </c>
      <c r="R110">
        <v>129.69999999999999</v>
      </c>
      <c r="S110">
        <v>124.8</v>
      </c>
      <c r="T110">
        <v>129</v>
      </c>
      <c r="U110">
        <v>122.4</v>
      </c>
      <c r="V110" s="5">
        <v>122</v>
      </c>
      <c r="W110">
        <v>123.6</v>
      </c>
      <c r="X110">
        <v>121.4</v>
      </c>
      <c r="Y110">
        <v>111.5</v>
      </c>
      <c r="Z110">
        <v>119.6</v>
      </c>
      <c r="AA110">
        <v>126.2</v>
      </c>
      <c r="AB110">
        <v>113.7</v>
      </c>
      <c r="AC110">
        <v>118.3</v>
      </c>
      <c r="AD110">
        <v>126.1</v>
      </c>
      <c r="AE110" s="72">
        <f t="shared" si="5"/>
        <v>1820.6000000000001</v>
      </c>
      <c r="AF110" s="4">
        <f t="shared" si="6"/>
        <v>497.2</v>
      </c>
      <c r="AG110" s="4">
        <f t="shared" si="7"/>
        <v>479.5</v>
      </c>
      <c r="AH110" s="4">
        <f t="shared" si="8"/>
        <v>485.5</v>
      </c>
      <c r="AI110" s="6">
        <f t="shared" si="9"/>
        <v>3282.8</v>
      </c>
    </row>
    <row r="111" spans="1:35" x14ac:dyDescent="0.3">
      <c r="A111" t="s">
        <v>30</v>
      </c>
      <c r="B111">
        <v>2016</v>
      </c>
      <c r="C111" t="s">
        <v>31</v>
      </c>
      <c r="D111">
        <v>126.8</v>
      </c>
      <c r="E111">
        <v>133.19999999999999</v>
      </c>
      <c r="F111">
        <v>126.5</v>
      </c>
      <c r="G111">
        <v>130.30000000000001</v>
      </c>
      <c r="H111">
        <v>118.9</v>
      </c>
      <c r="I111">
        <v>131.6</v>
      </c>
      <c r="J111">
        <v>140.1</v>
      </c>
      <c r="K111">
        <v>163.80000000000001</v>
      </c>
      <c r="L111">
        <v>97.7</v>
      </c>
      <c r="M111">
        <v>129.6</v>
      </c>
      <c r="N111">
        <v>124.3</v>
      </c>
      <c r="O111">
        <v>135.9</v>
      </c>
      <c r="P111">
        <v>131.4</v>
      </c>
      <c r="Q111">
        <v>133.6</v>
      </c>
      <c r="R111">
        <v>133.19999999999999</v>
      </c>
      <c r="S111">
        <v>128.9</v>
      </c>
      <c r="T111">
        <v>132.6</v>
      </c>
      <c r="U111">
        <v>0</v>
      </c>
      <c r="V111" s="5">
        <v>126.2</v>
      </c>
      <c r="W111">
        <v>126.6</v>
      </c>
      <c r="X111">
        <v>123.7</v>
      </c>
      <c r="Y111">
        <v>113.6</v>
      </c>
      <c r="Z111">
        <v>121.4</v>
      </c>
      <c r="AA111">
        <v>126.2</v>
      </c>
      <c r="AB111">
        <v>114.9</v>
      </c>
      <c r="AC111">
        <v>120.1</v>
      </c>
      <c r="AD111">
        <v>128.1</v>
      </c>
      <c r="AE111" s="72">
        <f t="shared" si="5"/>
        <v>1823.7</v>
      </c>
      <c r="AF111" s="4">
        <f t="shared" si="6"/>
        <v>509.6</v>
      </c>
      <c r="AG111" s="4">
        <f t="shared" si="7"/>
        <v>366.4</v>
      </c>
      <c r="AH111" s="4">
        <f t="shared" si="8"/>
        <v>491.4</v>
      </c>
      <c r="AI111" s="6">
        <f t="shared" si="9"/>
        <v>3191.1000000000004</v>
      </c>
    </row>
    <row r="112" spans="1:35" x14ac:dyDescent="0.3">
      <c r="A112" t="s">
        <v>32</v>
      </c>
      <c r="B112">
        <v>2016</v>
      </c>
      <c r="C112" t="s">
        <v>31</v>
      </c>
      <c r="D112">
        <v>124.7</v>
      </c>
      <c r="E112">
        <v>135.9</v>
      </c>
      <c r="F112">
        <v>132</v>
      </c>
      <c r="G112">
        <v>129.19999999999999</v>
      </c>
      <c r="H112">
        <v>109.7</v>
      </c>
      <c r="I112">
        <v>119</v>
      </c>
      <c r="J112">
        <v>144.1</v>
      </c>
      <c r="K112">
        <v>184.2</v>
      </c>
      <c r="L112">
        <v>96.7</v>
      </c>
      <c r="M112">
        <v>139.5</v>
      </c>
      <c r="N112">
        <v>120.5</v>
      </c>
      <c r="O112">
        <v>134.69999999999999</v>
      </c>
      <c r="P112">
        <v>131.19999999999999</v>
      </c>
      <c r="Q112">
        <v>139.5</v>
      </c>
      <c r="R112">
        <v>125.8</v>
      </c>
      <c r="S112">
        <v>119.8</v>
      </c>
      <c r="T112">
        <v>124.9</v>
      </c>
      <c r="U112">
        <v>123.4</v>
      </c>
      <c r="V112" s="5">
        <v>116.9</v>
      </c>
      <c r="W112">
        <v>121.6</v>
      </c>
      <c r="X112">
        <v>119.1</v>
      </c>
      <c r="Y112">
        <v>108.9</v>
      </c>
      <c r="Z112">
        <v>118.5</v>
      </c>
      <c r="AA112">
        <v>126.4</v>
      </c>
      <c r="AB112">
        <v>114</v>
      </c>
      <c r="AC112">
        <v>116.8</v>
      </c>
      <c r="AD112">
        <v>124.2</v>
      </c>
      <c r="AE112" s="72">
        <f t="shared" si="5"/>
        <v>1840.9</v>
      </c>
      <c r="AF112" s="4">
        <f t="shared" si="6"/>
        <v>484.5</v>
      </c>
      <c r="AG112" s="4">
        <f t="shared" si="7"/>
        <v>470.79999999999995</v>
      </c>
      <c r="AH112" s="4">
        <f t="shared" si="8"/>
        <v>480.8</v>
      </c>
      <c r="AI112" s="6">
        <f t="shared" si="9"/>
        <v>3277</v>
      </c>
    </row>
    <row r="113" spans="1:35" x14ac:dyDescent="0.3">
      <c r="A113" t="s">
        <v>33</v>
      </c>
      <c r="B113">
        <v>2016</v>
      </c>
      <c r="C113" t="s">
        <v>31</v>
      </c>
      <c r="D113">
        <v>126.1</v>
      </c>
      <c r="E113">
        <v>134.1</v>
      </c>
      <c r="F113">
        <v>128.6</v>
      </c>
      <c r="G113">
        <v>129.9</v>
      </c>
      <c r="H113">
        <v>115.5</v>
      </c>
      <c r="I113">
        <v>125.7</v>
      </c>
      <c r="J113">
        <v>141.5</v>
      </c>
      <c r="K113">
        <v>170.7</v>
      </c>
      <c r="L113">
        <v>97.4</v>
      </c>
      <c r="M113">
        <v>132.9</v>
      </c>
      <c r="N113">
        <v>122.7</v>
      </c>
      <c r="O113">
        <v>135.30000000000001</v>
      </c>
      <c r="P113">
        <v>131.30000000000001</v>
      </c>
      <c r="Q113">
        <v>135.19999999999999</v>
      </c>
      <c r="R113">
        <v>130.30000000000001</v>
      </c>
      <c r="S113">
        <v>125.1</v>
      </c>
      <c r="T113">
        <v>129.5</v>
      </c>
      <c r="U113">
        <v>123.4</v>
      </c>
      <c r="V113" s="5">
        <v>122.7</v>
      </c>
      <c r="W113">
        <v>124.2</v>
      </c>
      <c r="X113">
        <v>122</v>
      </c>
      <c r="Y113">
        <v>111.1</v>
      </c>
      <c r="Z113">
        <v>119.8</v>
      </c>
      <c r="AA113">
        <v>126.3</v>
      </c>
      <c r="AB113">
        <v>114.5</v>
      </c>
      <c r="AC113">
        <v>118.5</v>
      </c>
      <c r="AD113">
        <v>126.3</v>
      </c>
      <c r="AE113" s="72">
        <f t="shared" si="5"/>
        <v>1826.9</v>
      </c>
      <c r="AF113" s="4">
        <f t="shared" si="6"/>
        <v>499.4</v>
      </c>
      <c r="AG113" s="4">
        <f t="shared" si="7"/>
        <v>481.4</v>
      </c>
      <c r="AH113" s="4">
        <f t="shared" si="8"/>
        <v>486.6</v>
      </c>
      <c r="AI113" s="6">
        <f t="shared" si="9"/>
        <v>3294.3</v>
      </c>
    </row>
    <row r="114" spans="1:35" x14ac:dyDescent="0.3">
      <c r="A114" t="s">
        <v>30</v>
      </c>
      <c r="B114">
        <v>2016</v>
      </c>
      <c r="C114" t="s">
        <v>34</v>
      </c>
      <c r="D114">
        <v>127.1</v>
      </c>
      <c r="E114">
        <v>133.69999999999999</v>
      </c>
      <c r="F114">
        <v>127.7</v>
      </c>
      <c r="G114">
        <v>130.69999999999999</v>
      </c>
      <c r="H114">
        <v>118.5</v>
      </c>
      <c r="I114">
        <v>130.4</v>
      </c>
      <c r="J114">
        <v>130.9</v>
      </c>
      <c r="K114">
        <v>162.80000000000001</v>
      </c>
      <c r="L114">
        <v>98.7</v>
      </c>
      <c r="M114">
        <v>130.6</v>
      </c>
      <c r="N114">
        <v>124.8</v>
      </c>
      <c r="O114">
        <v>136.4</v>
      </c>
      <c r="P114">
        <v>130.30000000000001</v>
      </c>
      <c r="Q114">
        <v>134.4</v>
      </c>
      <c r="R114">
        <v>133.9</v>
      </c>
      <c r="S114">
        <v>129.80000000000001</v>
      </c>
      <c r="T114">
        <v>133.4</v>
      </c>
      <c r="U114">
        <v>0</v>
      </c>
      <c r="V114" s="5">
        <v>127.5</v>
      </c>
      <c r="W114">
        <v>127.1</v>
      </c>
      <c r="X114">
        <v>124.3</v>
      </c>
      <c r="Y114">
        <v>113.9</v>
      </c>
      <c r="Z114">
        <v>122.3</v>
      </c>
      <c r="AA114">
        <v>127.1</v>
      </c>
      <c r="AB114">
        <v>116.8</v>
      </c>
      <c r="AC114">
        <v>120.9</v>
      </c>
      <c r="AD114">
        <v>127.9</v>
      </c>
      <c r="AE114" s="72">
        <f t="shared" si="5"/>
        <v>1817</v>
      </c>
      <c r="AF114" s="4">
        <f t="shared" si="6"/>
        <v>513.9</v>
      </c>
      <c r="AG114" s="4">
        <f t="shared" si="7"/>
        <v>368.5</v>
      </c>
      <c r="AH114" s="4">
        <f t="shared" si="8"/>
        <v>494.6</v>
      </c>
      <c r="AI114" s="6">
        <f t="shared" si="9"/>
        <v>3194</v>
      </c>
    </row>
    <row r="115" spans="1:35" x14ac:dyDescent="0.3">
      <c r="A115" t="s">
        <v>32</v>
      </c>
      <c r="B115">
        <v>2016</v>
      </c>
      <c r="C115" t="s">
        <v>34</v>
      </c>
      <c r="D115">
        <v>124.8</v>
      </c>
      <c r="E115">
        <v>135.1</v>
      </c>
      <c r="F115">
        <v>130.30000000000001</v>
      </c>
      <c r="G115">
        <v>129.6</v>
      </c>
      <c r="H115">
        <v>108.4</v>
      </c>
      <c r="I115">
        <v>118.6</v>
      </c>
      <c r="J115">
        <v>129.19999999999999</v>
      </c>
      <c r="K115">
        <v>176.4</v>
      </c>
      <c r="L115">
        <v>99.1</v>
      </c>
      <c r="M115">
        <v>139.69999999999999</v>
      </c>
      <c r="N115">
        <v>120.6</v>
      </c>
      <c r="O115">
        <v>135.19999999999999</v>
      </c>
      <c r="P115">
        <v>129.1</v>
      </c>
      <c r="Q115">
        <v>140</v>
      </c>
      <c r="R115">
        <v>126.2</v>
      </c>
      <c r="S115">
        <v>120.1</v>
      </c>
      <c r="T115">
        <v>125.3</v>
      </c>
      <c r="U115">
        <v>124.4</v>
      </c>
      <c r="V115" s="5">
        <v>116</v>
      </c>
      <c r="W115">
        <v>121.8</v>
      </c>
      <c r="X115">
        <v>119.5</v>
      </c>
      <c r="Y115">
        <v>109.1</v>
      </c>
      <c r="Z115">
        <v>118.8</v>
      </c>
      <c r="AA115">
        <v>126.3</v>
      </c>
      <c r="AB115">
        <v>116.2</v>
      </c>
      <c r="AC115">
        <v>117.2</v>
      </c>
      <c r="AD115">
        <v>123.8</v>
      </c>
      <c r="AE115" s="72">
        <f t="shared" si="5"/>
        <v>1816.1</v>
      </c>
      <c r="AF115" s="4">
        <f t="shared" si="6"/>
        <v>487.8</v>
      </c>
      <c r="AG115" s="4">
        <f t="shared" si="7"/>
        <v>471.29999999999995</v>
      </c>
      <c r="AH115" s="4">
        <f t="shared" si="8"/>
        <v>481.8</v>
      </c>
      <c r="AI115" s="6">
        <f t="shared" si="9"/>
        <v>3257</v>
      </c>
    </row>
    <row r="116" spans="1:35" x14ac:dyDescent="0.3">
      <c r="A116" t="s">
        <v>33</v>
      </c>
      <c r="B116">
        <v>2016</v>
      </c>
      <c r="C116" t="s">
        <v>34</v>
      </c>
      <c r="D116">
        <v>126.4</v>
      </c>
      <c r="E116">
        <v>134.19999999999999</v>
      </c>
      <c r="F116">
        <v>128.69999999999999</v>
      </c>
      <c r="G116">
        <v>130.30000000000001</v>
      </c>
      <c r="H116">
        <v>114.8</v>
      </c>
      <c r="I116">
        <v>124.9</v>
      </c>
      <c r="J116">
        <v>130.30000000000001</v>
      </c>
      <c r="K116">
        <v>167.4</v>
      </c>
      <c r="L116">
        <v>98.8</v>
      </c>
      <c r="M116">
        <v>133.6</v>
      </c>
      <c r="N116">
        <v>123</v>
      </c>
      <c r="O116">
        <v>135.80000000000001</v>
      </c>
      <c r="P116">
        <v>129.9</v>
      </c>
      <c r="Q116">
        <v>135.9</v>
      </c>
      <c r="R116">
        <v>130.9</v>
      </c>
      <c r="S116">
        <v>125.8</v>
      </c>
      <c r="T116">
        <v>130.19999999999999</v>
      </c>
      <c r="U116">
        <v>124.4</v>
      </c>
      <c r="V116" s="5">
        <v>123.1</v>
      </c>
      <c r="W116">
        <v>124.6</v>
      </c>
      <c r="X116">
        <v>122.5</v>
      </c>
      <c r="Y116">
        <v>111.4</v>
      </c>
      <c r="Z116">
        <v>120.3</v>
      </c>
      <c r="AA116">
        <v>126.6</v>
      </c>
      <c r="AB116">
        <v>116.6</v>
      </c>
      <c r="AC116">
        <v>119.1</v>
      </c>
      <c r="AD116">
        <v>126</v>
      </c>
      <c r="AE116" s="72">
        <f t="shared" si="5"/>
        <v>1814</v>
      </c>
      <c r="AF116" s="4">
        <f t="shared" si="6"/>
        <v>503.5</v>
      </c>
      <c r="AG116" s="4">
        <f t="shared" si="7"/>
        <v>483.5</v>
      </c>
      <c r="AH116" s="4">
        <f t="shared" si="8"/>
        <v>488.5</v>
      </c>
      <c r="AI116" s="6">
        <f t="shared" si="9"/>
        <v>3289.5</v>
      </c>
    </row>
    <row r="117" spans="1:35" x14ac:dyDescent="0.3">
      <c r="A117" t="s">
        <v>30</v>
      </c>
      <c r="B117">
        <v>2016</v>
      </c>
      <c r="C117" t="s">
        <v>35</v>
      </c>
      <c r="D117">
        <v>127.3</v>
      </c>
      <c r="E117">
        <v>134.4</v>
      </c>
      <c r="F117">
        <v>125.1</v>
      </c>
      <c r="G117">
        <v>130.5</v>
      </c>
      <c r="H117">
        <v>118.3</v>
      </c>
      <c r="I117">
        <v>131.69999999999999</v>
      </c>
      <c r="J117">
        <v>130.69999999999999</v>
      </c>
      <c r="K117">
        <v>161.19999999999999</v>
      </c>
      <c r="L117">
        <v>100.4</v>
      </c>
      <c r="M117">
        <v>130.80000000000001</v>
      </c>
      <c r="N117">
        <v>124.9</v>
      </c>
      <c r="O117">
        <v>137</v>
      </c>
      <c r="P117">
        <v>130.4</v>
      </c>
      <c r="Q117">
        <v>135</v>
      </c>
      <c r="R117">
        <v>134.4</v>
      </c>
      <c r="S117">
        <v>130.19999999999999</v>
      </c>
      <c r="T117">
        <v>133.80000000000001</v>
      </c>
      <c r="U117">
        <v>0</v>
      </c>
      <c r="V117" s="5">
        <v>127</v>
      </c>
      <c r="W117">
        <v>127.7</v>
      </c>
      <c r="X117">
        <v>124.8</v>
      </c>
      <c r="Y117">
        <v>113.6</v>
      </c>
      <c r="Z117">
        <v>122.5</v>
      </c>
      <c r="AA117">
        <v>127.5</v>
      </c>
      <c r="AB117">
        <v>117.4</v>
      </c>
      <c r="AC117">
        <v>121.1</v>
      </c>
      <c r="AD117">
        <v>128</v>
      </c>
      <c r="AE117" s="72">
        <f t="shared" si="5"/>
        <v>1817.7000000000003</v>
      </c>
      <c r="AF117" s="4">
        <f t="shared" si="6"/>
        <v>515.80000000000007</v>
      </c>
      <c r="AG117" s="4">
        <f t="shared" si="7"/>
        <v>368.29999999999995</v>
      </c>
      <c r="AH117" s="4">
        <f t="shared" si="8"/>
        <v>495.9</v>
      </c>
      <c r="AI117" s="6">
        <f t="shared" si="9"/>
        <v>3197.7000000000003</v>
      </c>
    </row>
    <row r="118" spans="1:35" x14ac:dyDescent="0.3">
      <c r="A118" t="s">
        <v>32</v>
      </c>
      <c r="B118">
        <v>2016</v>
      </c>
      <c r="C118" t="s">
        <v>35</v>
      </c>
      <c r="D118">
        <v>124.8</v>
      </c>
      <c r="E118">
        <v>136.30000000000001</v>
      </c>
      <c r="F118">
        <v>123.7</v>
      </c>
      <c r="G118">
        <v>129.69999999999999</v>
      </c>
      <c r="H118">
        <v>107.9</v>
      </c>
      <c r="I118">
        <v>119.9</v>
      </c>
      <c r="J118">
        <v>128.1</v>
      </c>
      <c r="K118">
        <v>170.3</v>
      </c>
      <c r="L118">
        <v>101.8</v>
      </c>
      <c r="M118">
        <v>140.1</v>
      </c>
      <c r="N118">
        <v>120.7</v>
      </c>
      <c r="O118">
        <v>135.4</v>
      </c>
      <c r="P118">
        <v>128.9</v>
      </c>
      <c r="Q118">
        <v>140.6</v>
      </c>
      <c r="R118">
        <v>126.4</v>
      </c>
      <c r="S118">
        <v>120.3</v>
      </c>
      <c r="T118">
        <v>125.5</v>
      </c>
      <c r="U118">
        <v>124.9</v>
      </c>
      <c r="V118" s="5">
        <v>114.8</v>
      </c>
      <c r="W118">
        <v>122.3</v>
      </c>
      <c r="X118">
        <v>119.7</v>
      </c>
      <c r="Y118">
        <v>108.5</v>
      </c>
      <c r="Z118">
        <v>119.1</v>
      </c>
      <c r="AA118">
        <v>126.4</v>
      </c>
      <c r="AB118">
        <v>117.1</v>
      </c>
      <c r="AC118">
        <v>117.3</v>
      </c>
      <c r="AD118">
        <v>123.8</v>
      </c>
      <c r="AE118" s="72">
        <f t="shared" si="5"/>
        <v>1808.2</v>
      </c>
      <c r="AF118" s="4">
        <f t="shared" si="6"/>
        <v>489.29999999999995</v>
      </c>
      <c r="AG118" s="4">
        <f t="shared" si="7"/>
        <v>470.5</v>
      </c>
      <c r="AH118" s="4">
        <f t="shared" si="8"/>
        <v>482.50000000000006</v>
      </c>
      <c r="AI118" s="6">
        <f t="shared" si="9"/>
        <v>3250.5</v>
      </c>
    </row>
    <row r="119" spans="1:35" x14ac:dyDescent="0.3">
      <c r="A119" t="s">
        <v>33</v>
      </c>
      <c r="B119">
        <v>2016</v>
      </c>
      <c r="C119" t="s">
        <v>35</v>
      </c>
      <c r="D119">
        <v>126.5</v>
      </c>
      <c r="E119">
        <v>135.1</v>
      </c>
      <c r="F119">
        <v>124.6</v>
      </c>
      <c r="G119">
        <v>130.19999999999999</v>
      </c>
      <c r="H119">
        <v>114.5</v>
      </c>
      <c r="I119">
        <v>126.2</v>
      </c>
      <c r="J119">
        <v>129.80000000000001</v>
      </c>
      <c r="K119">
        <v>164.3</v>
      </c>
      <c r="L119">
        <v>100.9</v>
      </c>
      <c r="M119">
        <v>133.9</v>
      </c>
      <c r="N119">
        <v>123.1</v>
      </c>
      <c r="O119">
        <v>136.30000000000001</v>
      </c>
      <c r="P119">
        <v>129.80000000000001</v>
      </c>
      <c r="Q119">
        <v>136.5</v>
      </c>
      <c r="R119">
        <v>131.30000000000001</v>
      </c>
      <c r="S119">
        <v>126.1</v>
      </c>
      <c r="T119">
        <v>130.5</v>
      </c>
      <c r="U119">
        <v>124.9</v>
      </c>
      <c r="V119" s="5">
        <v>122.4</v>
      </c>
      <c r="W119">
        <v>125.1</v>
      </c>
      <c r="X119">
        <v>122.9</v>
      </c>
      <c r="Y119">
        <v>110.9</v>
      </c>
      <c r="Z119">
        <v>120.6</v>
      </c>
      <c r="AA119">
        <v>126.9</v>
      </c>
      <c r="AB119">
        <v>117.3</v>
      </c>
      <c r="AC119">
        <v>119.3</v>
      </c>
      <c r="AD119">
        <v>126</v>
      </c>
      <c r="AE119" s="72">
        <f t="shared" si="5"/>
        <v>1811.7</v>
      </c>
      <c r="AF119" s="4">
        <f t="shared" si="6"/>
        <v>505.2</v>
      </c>
      <c r="AG119" s="4">
        <f t="shared" si="7"/>
        <v>483.29999999999995</v>
      </c>
      <c r="AH119" s="4">
        <f t="shared" si="8"/>
        <v>489.7</v>
      </c>
      <c r="AI119" s="6">
        <f t="shared" si="9"/>
        <v>3289.8999999999996</v>
      </c>
    </row>
    <row r="120" spans="1:35" x14ac:dyDescent="0.3">
      <c r="A120" t="s">
        <v>30</v>
      </c>
      <c r="B120">
        <v>2016</v>
      </c>
      <c r="C120" t="s">
        <v>36</v>
      </c>
      <c r="D120">
        <v>127.4</v>
      </c>
      <c r="E120">
        <v>135.4</v>
      </c>
      <c r="F120">
        <v>123.4</v>
      </c>
      <c r="G120">
        <v>131.30000000000001</v>
      </c>
      <c r="H120">
        <v>118.2</v>
      </c>
      <c r="I120">
        <v>138.1</v>
      </c>
      <c r="J120">
        <v>134.1</v>
      </c>
      <c r="K120">
        <v>162.69999999999999</v>
      </c>
      <c r="L120">
        <v>105</v>
      </c>
      <c r="M120">
        <v>131.4</v>
      </c>
      <c r="N120">
        <v>125.4</v>
      </c>
      <c r="O120">
        <v>137.4</v>
      </c>
      <c r="P120">
        <v>131.80000000000001</v>
      </c>
      <c r="Q120">
        <v>135.5</v>
      </c>
      <c r="R120">
        <v>135</v>
      </c>
      <c r="S120">
        <v>130.6</v>
      </c>
      <c r="T120">
        <v>134.4</v>
      </c>
      <c r="U120">
        <v>0</v>
      </c>
      <c r="V120" s="5">
        <v>127</v>
      </c>
      <c r="W120">
        <v>128</v>
      </c>
      <c r="X120">
        <v>125.2</v>
      </c>
      <c r="Y120">
        <v>114.4</v>
      </c>
      <c r="Z120">
        <v>123.2</v>
      </c>
      <c r="AA120">
        <v>127.9</v>
      </c>
      <c r="AB120">
        <v>118.4</v>
      </c>
      <c r="AC120">
        <v>121.7</v>
      </c>
      <c r="AD120">
        <v>129</v>
      </c>
      <c r="AE120" s="72">
        <f t="shared" si="5"/>
        <v>1837.1000000000004</v>
      </c>
      <c r="AF120" s="4">
        <f t="shared" si="6"/>
        <v>518.4</v>
      </c>
      <c r="AG120" s="4">
        <f t="shared" si="7"/>
        <v>369.4</v>
      </c>
      <c r="AH120" s="4">
        <f t="shared" si="8"/>
        <v>498</v>
      </c>
      <c r="AI120" s="6">
        <f t="shared" si="9"/>
        <v>3222.9000000000005</v>
      </c>
    </row>
    <row r="121" spans="1:35" x14ac:dyDescent="0.3">
      <c r="A121" t="s">
        <v>32</v>
      </c>
      <c r="B121">
        <v>2016</v>
      </c>
      <c r="C121" t="s">
        <v>36</v>
      </c>
      <c r="D121">
        <v>124.9</v>
      </c>
      <c r="E121">
        <v>139.30000000000001</v>
      </c>
      <c r="F121">
        <v>119.9</v>
      </c>
      <c r="G121">
        <v>130.19999999999999</v>
      </c>
      <c r="H121">
        <v>108.9</v>
      </c>
      <c r="I121">
        <v>131.1</v>
      </c>
      <c r="J121">
        <v>136.80000000000001</v>
      </c>
      <c r="K121">
        <v>176.9</v>
      </c>
      <c r="L121">
        <v>109.1</v>
      </c>
      <c r="M121">
        <v>140.4</v>
      </c>
      <c r="N121">
        <v>121.1</v>
      </c>
      <c r="O121">
        <v>135.9</v>
      </c>
      <c r="P121">
        <v>131.80000000000001</v>
      </c>
      <c r="Q121">
        <v>141.5</v>
      </c>
      <c r="R121">
        <v>126.8</v>
      </c>
      <c r="S121">
        <v>120.5</v>
      </c>
      <c r="T121">
        <v>125.8</v>
      </c>
      <c r="U121">
        <v>125.6</v>
      </c>
      <c r="V121" s="5">
        <v>114.6</v>
      </c>
      <c r="W121">
        <v>122.8</v>
      </c>
      <c r="X121">
        <v>120</v>
      </c>
      <c r="Y121">
        <v>110</v>
      </c>
      <c r="Z121">
        <v>119.5</v>
      </c>
      <c r="AA121">
        <v>127.6</v>
      </c>
      <c r="AB121">
        <v>117.6</v>
      </c>
      <c r="AC121">
        <v>118.2</v>
      </c>
      <c r="AD121">
        <v>125.3</v>
      </c>
      <c r="AE121" s="72">
        <f t="shared" si="5"/>
        <v>1847.8</v>
      </c>
      <c r="AF121" s="4">
        <f t="shared" si="6"/>
        <v>490.70000000000005</v>
      </c>
      <c r="AG121" s="4">
        <f t="shared" si="7"/>
        <v>473</v>
      </c>
      <c r="AH121" s="4">
        <f t="shared" si="8"/>
        <v>485.3</v>
      </c>
      <c r="AI121" s="6">
        <f t="shared" si="9"/>
        <v>3296.8</v>
      </c>
    </row>
    <row r="122" spans="1:35" x14ac:dyDescent="0.3">
      <c r="A122" t="s">
        <v>33</v>
      </c>
      <c r="B122">
        <v>2016</v>
      </c>
      <c r="C122" t="s">
        <v>36</v>
      </c>
      <c r="D122">
        <v>126.6</v>
      </c>
      <c r="E122">
        <v>136.80000000000001</v>
      </c>
      <c r="F122">
        <v>122</v>
      </c>
      <c r="G122">
        <v>130.9</v>
      </c>
      <c r="H122">
        <v>114.8</v>
      </c>
      <c r="I122">
        <v>134.80000000000001</v>
      </c>
      <c r="J122">
        <v>135</v>
      </c>
      <c r="K122">
        <v>167.5</v>
      </c>
      <c r="L122">
        <v>106.4</v>
      </c>
      <c r="M122">
        <v>134.4</v>
      </c>
      <c r="N122">
        <v>123.6</v>
      </c>
      <c r="O122">
        <v>136.69999999999999</v>
      </c>
      <c r="P122">
        <v>131.80000000000001</v>
      </c>
      <c r="Q122">
        <v>137.1</v>
      </c>
      <c r="R122">
        <v>131.80000000000001</v>
      </c>
      <c r="S122">
        <v>126.4</v>
      </c>
      <c r="T122">
        <v>131</v>
      </c>
      <c r="U122">
        <v>125.6</v>
      </c>
      <c r="V122" s="5">
        <v>122.3</v>
      </c>
      <c r="W122">
        <v>125.5</v>
      </c>
      <c r="X122">
        <v>123.2</v>
      </c>
      <c r="Y122">
        <v>112.1</v>
      </c>
      <c r="Z122">
        <v>121.1</v>
      </c>
      <c r="AA122">
        <v>127.7</v>
      </c>
      <c r="AB122">
        <v>118.1</v>
      </c>
      <c r="AC122">
        <v>120</v>
      </c>
      <c r="AD122">
        <v>127.3</v>
      </c>
      <c r="AE122" s="72">
        <f t="shared" si="5"/>
        <v>1838.3999999999999</v>
      </c>
      <c r="AF122" s="4">
        <f t="shared" si="6"/>
        <v>507.30000000000007</v>
      </c>
      <c r="AG122" s="4">
        <f t="shared" si="7"/>
        <v>485.5</v>
      </c>
      <c r="AH122" s="4">
        <f t="shared" si="8"/>
        <v>492</v>
      </c>
      <c r="AI122" s="6">
        <f t="shared" si="9"/>
        <v>3323.2</v>
      </c>
    </row>
    <row r="123" spans="1:35" x14ac:dyDescent="0.3">
      <c r="A123" t="s">
        <v>30</v>
      </c>
      <c r="B123">
        <v>2016</v>
      </c>
      <c r="C123" t="s">
        <v>37</v>
      </c>
      <c r="D123">
        <v>127.6</v>
      </c>
      <c r="E123">
        <v>137.5</v>
      </c>
      <c r="F123">
        <v>124.4</v>
      </c>
      <c r="G123">
        <v>132.4</v>
      </c>
      <c r="H123">
        <v>118.2</v>
      </c>
      <c r="I123">
        <v>138.1</v>
      </c>
      <c r="J123">
        <v>141.80000000000001</v>
      </c>
      <c r="K123">
        <v>166</v>
      </c>
      <c r="L123">
        <v>107.5</v>
      </c>
      <c r="M123">
        <v>132.19999999999999</v>
      </c>
      <c r="N123">
        <v>126.1</v>
      </c>
      <c r="O123">
        <v>138.30000000000001</v>
      </c>
      <c r="P123">
        <v>133.6</v>
      </c>
      <c r="Q123">
        <v>136</v>
      </c>
      <c r="R123">
        <v>135.4</v>
      </c>
      <c r="S123">
        <v>131.1</v>
      </c>
      <c r="T123">
        <v>134.80000000000001</v>
      </c>
      <c r="U123">
        <v>0</v>
      </c>
      <c r="V123" s="5">
        <v>127.4</v>
      </c>
      <c r="W123">
        <v>128.5</v>
      </c>
      <c r="X123">
        <v>125.8</v>
      </c>
      <c r="Y123">
        <v>115.1</v>
      </c>
      <c r="Z123">
        <v>123.6</v>
      </c>
      <c r="AA123">
        <v>129.1</v>
      </c>
      <c r="AB123">
        <v>119.7</v>
      </c>
      <c r="AC123">
        <v>122.5</v>
      </c>
      <c r="AD123">
        <v>130.30000000000001</v>
      </c>
      <c r="AE123" s="72">
        <f t="shared" si="5"/>
        <v>1859.6999999999998</v>
      </c>
      <c r="AF123" s="4">
        <f t="shared" si="6"/>
        <v>521</v>
      </c>
      <c r="AG123" s="4">
        <f t="shared" si="7"/>
        <v>371</v>
      </c>
      <c r="AH123" s="4">
        <f t="shared" si="8"/>
        <v>501</v>
      </c>
      <c r="AI123" s="6">
        <f t="shared" si="9"/>
        <v>3252.7</v>
      </c>
    </row>
    <row r="124" spans="1:35" x14ac:dyDescent="0.3">
      <c r="A124" t="s">
        <v>32</v>
      </c>
      <c r="B124">
        <v>2016</v>
      </c>
      <c r="C124" t="s">
        <v>37</v>
      </c>
      <c r="D124">
        <v>125</v>
      </c>
      <c r="E124">
        <v>142.1</v>
      </c>
      <c r="F124">
        <v>127</v>
      </c>
      <c r="G124">
        <v>130.4</v>
      </c>
      <c r="H124">
        <v>109.6</v>
      </c>
      <c r="I124">
        <v>133.5</v>
      </c>
      <c r="J124">
        <v>151.4</v>
      </c>
      <c r="K124">
        <v>182.8</v>
      </c>
      <c r="L124">
        <v>111.1</v>
      </c>
      <c r="M124">
        <v>141.5</v>
      </c>
      <c r="N124">
        <v>121.5</v>
      </c>
      <c r="O124">
        <v>136.30000000000001</v>
      </c>
      <c r="P124">
        <v>134.6</v>
      </c>
      <c r="Q124">
        <v>142.19999999999999</v>
      </c>
      <c r="R124">
        <v>127.2</v>
      </c>
      <c r="S124">
        <v>120.7</v>
      </c>
      <c r="T124">
        <v>126.2</v>
      </c>
      <c r="U124">
        <v>126</v>
      </c>
      <c r="V124" s="5">
        <v>115</v>
      </c>
      <c r="W124">
        <v>123.2</v>
      </c>
      <c r="X124">
        <v>120.3</v>
      </c>
      <c r="Y124">
        <v>110.7</v>
      </c>
      <c r="Z124">
        <v>119.8</v>
      </c>
      <c r="AA124">
        <v>128</v>
      </c>
      <c r="AB124">
        <v>118.5</v>
      </c>
      <c r="AC124">
        <v>118.7</v>
      </c>
      <c r="AD124">
        <v>126.6</v>
      </c>
      <c r="AE124" s="72">
        <f t="shared" si="5"/>
        <v>1888.9999999999998</v>
      </c>
      <c r="AF124" s="4">
        <f t="shared" si="6"/>
        <v>492.6</v>
      </c>
      <c r="AG124" s="4">
        <f t="shared" si="7"/>
        <v>474.9</v>
      </c>
      <c r="AH124" s="4">
        <f t="shared" si="8"/>
        <v>486.8</v>
      </c>
      <c r="AI124" s="6">
        <f t="shared" si="9"/>
        <v>3343.3</v>
      </c>
    </row>
    <row r="125" spans="1:35" x14ac:dyDescent="0.3">
      <c r="A125" t="s">
        <v>33</v>
      </c>
      <c r="B125">
        <v>2016</v>
      </c>
      <c r="C125" t="s">
        <v>37</v>
      </c>
      <c r="D125">
        <v>126.8</v>
      </c>
      <c r="E125">
        <v>139.1</v>
      </c>
      <c r="F125">
        <v>125.4</v>
      </c>
      <c r="G125">
        <v>131.69999999999999</v>
      </c>
      <c r="H125">
        <v>115</v>
      </c>
      <c r="I125">
        <v>136</v>
      </c>
      <c r="J125">
        <v>145.1</v>
      </c>
      <c r="K125">
        <v>171.7</v>
      </c>
      <c r="L125">
        <v>108.7</v>
      </c>
      <c r="M125">
        <v>135.30000000000001</v>
      </c>
      <c r="N125">
        <v>124.2</v>
      </c>
      <c r="O125">
        <v>137.4</v>
      </c>
      <c r="P125">
        <v>134</v>
      </c>
      <c r="Q125">
        <v>137.69999999999999</v>
      </c>
      <c r="R125">
        <v>132.19999999999999</v>
      </c>
      <c r="S125">
        <v>126.8</v>
      </c>
      <c r="T125">
        <v>131.4</v>
      </c>
      <c r="U125">
        <v>126</v>
      </c>
      <c r="V125" s="5">
        <v>122.7</v>
      </c>
      <c r="W125">
        <v>126</v>
      </c>
      <c r="X125">
        <v>123.7</v>
      </c>
      <c r="Y125">
        <v>112.8</v>
      </c>
      <c r="Z125">
        <v>121.5</v>
      </c>
      <c r="AA125">
        <v>128.5</v>
      </c>
      <c r="AB125">
        <v>119.2</v>
      </c>
      <c r="AC125">
        <v>120.7</v>
      </c>
      <c r="AD125">
        <v>128.6</v>
      </c>
      <c r="AE125" s="72">
        <f t="shared" si="5"/>
        <v>1868.1000000000001</v>
      </c>
      <c r="AF125" s="4">
        <f t="shared" si="6"/>
        <v>509.59999999999997</v>
      </c>
      <c r="AG125" s="4">
        <f t="shared" si="7"/>
        <v>487.5</v>
      </c>
      <c r="AH125" s="4">
        <f t="shared" si="8"/>
        <v>494.4</v>
      </c>
      <c r="AI125" s="6">
        <f t="shared" si="9"/>
        <v>3359.6000000000004</v>
      </c>
    </row>
    <row r="126" spans="1:35" x14ac:dyDescent="0.3">
      <c r="A126" t="s">
        <v>30</v>
      </c>
      <c r="B126">
        <v>2016</v>
      </c>
      <c r="C126" t="s">
        <v>38</v>
      </c>
      <c r="D126">
        <v>128.6</v>
      </c>
      <c r="E126">
        <v>138.6</v>
      </c>
      <c r="F126">
        <v>126.6</v>
      </c>
      <c r="G126">
        <v>133.6</v>
      </c>
      <c r="H126">
        <v>118.6</v>
      </c>
      <c r="I126">
        <v>137.4</v>
      </c>
      <c r="J126">
        <v>152.5</v>
      </c>
      <c r="K126">
        <v>169.2</v>
      </c>
      <c r="L126">
        <v>108.8</v>
      </c>
      <c r="M126">
        <v>133.1</v>
      </c>
      <c r="N126">
        <v>126.4</v>
      </c>
      <c r="O126">
        <v>139.19999999999999</v>
      </c>
      <c r="P126">
        <v>136</v>
      </c>
      <c r="Q126">
        <v>137.19999999999999</v>
      </c>
      <c r="R126">
        <v>136.30000000000001</v>
      </c>
      <c r="S126">
        <v>131.6</v>
      </c>
      <c r="T126">
        <v>135.6</v>
      </c>
      <c r="U126">
        <v>0</v>
      </c>
      <c r="V126" s="5">
        <v>128</v>
      </c>
      <c r="W126">
        <v>129.30000000000001</v>
      </c>
      <c r="X126">
        <v>126.2</v>
      </c>
      <c r="Y126">
        <v>116.3</v>
      </c>
      <c r="Z126">
        <v>124.1</v>
      </c>
      <c r="AA126">
        <v>130.19999999999999</v>
      </c>
      <c r="AB126">
        <v>119.9</v>
      </c>
      <c r="AC126">
        <v>123.3</v>
      </c>
      <c r="AD126">
        <v>131.9</v>
      </c>
      <c r="AE126" s="72">
        <f t="shared" si="5"/>
        <v>1885.8</v>
      </c>
      <c r="AF126" s="4">
        <f t="shared" si="6"/>
        <v>523.4</v>
      </c>
      <c r="AG126" s="4">
        <f t="shared" si="7"/>
        <v>373.6</v>
      </c>
      <c r="AH126" s="4">
        <f t="shared" si="8"/>
        <v>503.8</v>
      </c>
      <c r="AI126" s="6">
        <f t="shared" si="9"/>
        <v>3286.6</v>
      </c>
    </row>
    <row r="127" spans="1:35" x14ac:dyDescent="0.3">
      <c r="A127" t="s">
        <v>32</v>
      </c>
      <c r="B127">
        <v>2016</v>
      </c>
      <c r="C127" t="s">
        <v>38</v>
      </c>
      <c r="D127">
        <v>125.9</v>
      </c>
      <c r="E127">
        <v>143.9</v>
      </c>
      <c r="F127">
        <v>130.9</v>
      </c>
      <c r="G127">
        <v>131</v>
      </c>
      <c r="H127">
        <v>110.2</v>
      </c>
      <c r="I127">
        <v>135.5</v>
      </c>
      <c r="J127">
        <v>173.7</v>
      </c>
      <c r="K127">
        <v>184.4</v>
      </c>
      <c r="L127">
        <v>112</v>
      </c>
      <c r="M127">
        <v>142.80000000000001</v>
      </c>
      <c r="N127">
        <v>121.6</v>
      </c>
      <c r="O127">
        <v>136.9</v>
      </c>
      <c r="P127">
        <v>138.19999999999999</v>
      </c>
      <c r="Q127">
        <v>142.69999999999999</v>
      </c>
      <c r="R127">
        <v>127.6</v>
      </c>
      <c r="S127">
        <v>121.1</v>
      </c>
      <c r="T127">
        <v>126.6</v>
      </c>
      <c r="U127">
        <v>125.5</v>
      </c>
      <c r="V127" s="5">
        <v>115.5</v>
      </c>
      <c r="W127">
        <v>123.2</v>
      </c>
      <c r="X127">
        <v>120.6</v>
      </c>
      <c r="Y127">
        <v>112.3</v>
      </c>
      <c r="Z127">
        <v>119.9</v>
      </c>
      <c r="AA127">
        <v>129.30000000000001</v>
      </c>
      <c r="AB127">
        <v>118.8</v>
      </c>
      <c r="AC127">
        <v>119.6</v>
      </c>
      <c r="AD127">
        <v>128.1</v>
      </c>
      <c r="AE127" s="72">
        <f t="shared" si="5"/>
        <v>1929.7000000000003</v>
      </c>
      <c r="AF127" s="4">
        <f t="shared" si="6"/>
        <v>494.09999999999997</v>
      </c>
      <c r="AG127" s="4">
        <f t="shared" si="7"/>
        <v>476.5</v>
      </c>
      <c r="AH127" s="4">
        <f t="shared" si="8"/>
        <v>489.4</v>
      </c>
      <c r="AI127" s="6">
        <f t="shared" si="9"/>
        <v>3389.7000000000003</v>
      </c>
    </row>
    <row r="128" spans="1:35" x14ac:dyDescent="0.3">
      <c r="A128" t="s">
        <v>33</v>
      </c>
      <c r="B128">
        <v>2016</v>
      </c>
      <c r="C128" t="s">
        <v>38</v>
      </c>
      <c r="D128">
        <v>127.7</v>
      </c>
      <c r="E128">
        <v>140.5</v>
      </c>
      <c r="F128">
        <v>128.30000000000001</v>
      </c>
      <c r="G128">
        <v>132.6</v>
      </c>
      <c r="H128">
        <v>115.5</v>
      </c>
      <c r="I128">
        <v>136.5</v>
      </c>
      <c r="J128">
        <v>159.69999999999999</v>
      </c>
      <c r="K128">
        <v>174.3</v>
      </c>
      <c r="L128">
        <v>109.9</v>
      </c>
      <c r="M128">
        <v>136.30000000000001</v>
      </c>
      <c r="N128">
        <v>124.4</v>
      </c>
      <c r="O128">
        <v>138.1</v>
      </c>
      <c r="P128">
        <v>136.80000000000001</v>
      </c>
      <c r="Q128">
        <v>138.69999999999999</v>
      </c>
      <c r="R128">
        <v>132.9</v>
      </c>
      <c r="S128">
        <v>127.2</v>
      </c>
      <c r="T128">
        <v>132</v>
      </c>
      <c r="U128">
        <v>125.5</v>
      </c>
      <c r="V128" s="5">
        <v>123.3</v>
      </c>
      <c r="W128">
        <v>126.4</v>
      </c>
      <c r="X128">
        <v>124.1</v>
      </c>
      <c r="Y128">
        <v>114.2</v>
      </c>
      <c r="Z128">
        <v>121.7</v>
      </c>
      <c r="AA128">
        <v>129.69999999999999</v>
      </c>
      <c r="AB128">
        <v>119.4</v>
      </c>
      <c r="AC128">
        <v>121.5</v>
      </c>
      <c r="AD128">
        <v>130.1</v>
      </c>
      <c r="AE128" s="72">
        <f t="shared" si="5"/>
        <v>1899.3</v>
      </c>
      <c r="AF128" s="4">
        <f t="shared" si="6"/>
        <v>511.5</v>
      </c>
      <c r="AG128" s="4">
        <f t="shared" si="7"/>
        <v>489.40000000000003</v>
      </c>
      <c r="AH128" s="4">
        <f t="shared" si="8"/>
        <v>497</v>
      </c>
      <c r="AI128" s="6">
        <f t="shared" si="9"/>
        <v>3397.2000000000003</v>
      </c>
    </row>
    <row r="129" spans="1:35" x14ac:dyDescent="0.3">
      <c r="A129" t="s">
        <v>30</v>
      </c>
      <c r="B129">
        <v>2016</v>
      </c>
      <c r="C129" t="s">
        <v>39</v>
      </c>
      <c r="D129">
        <v>129.30000000000001</v>
      </c>
      <c r="E129">
        <v>139.5</v>
      </c>
      <c r="F129">
        <v>129.6</v>
      </c>
      <c r="G129">
        <v>134.5</v>
      </c>
      <c r="H129">
        <v>119.5</v>
      </c>
      <c r="I129">
        <v>138.5</v>
      </c>
      <c r="J129">
        <v>158.19999999999999</v>
      </c>
      <c r="K129">
        <v>171.8</v>
      </c>
      <c r="L129">
        <v>110.3</v>
      </c>
      <c r="M129">
        <v>134.30000000000001</v>
      </c>
      <c r="N129">
        <v>127.3</v>
      </c>
      <c r="O129">
        <v>139.9</v>
      </c>
      <c r="P129">
        <v>137.6</v>
      </c>
      <c r="Q129">
        <v>138</v>
      </c>
      <c r="R129">
        <v>137.19999999999999</v>
      </c>
      <c r="S129">
        <v>132.19999999999999</v>
      </c>
      <c r="T129">
        <v>136.5</v>
      </c>
      <c r="U129">
        <v>0</v>
      </c>
      <c r="V129" s="5">
        <v>128.19999999999999</v>
      </c>
      <c r="W129">
        <v>130</v>
      </c>
      <c r="X129">
        <v>126.7</v>
      </c>
      <c r="Y129">
        <v>116.4</v>
      </c>
      <c r="Z129">
        <v>125.2</v>
      </c>
      <c r="AA129">
        <v>130.80000000000001</v>
      </c>
      <c r="AB129">
        <v>120.9</v>
      </c>
      <c r="AC129">
        <v>123.8</v>
      </c>
      <c r="AD129">
        <v>133</v>
      </c>
      <c r="AE129" s="72">
        <f t="shared" si="5"/>
        <v>1908.2999999999997</v>
      </c>
      <c r="AF129" s="4">
        <f t="shared" si="6"/>
        <v>526.79999999999995</v>
      </c>
      <c r="AG129" s="4">
        <f t="shared" si="7"/>
        <v>374.6</v>
      </c>
      <c r="AH129" s="4">
        <f t="shared" si="8"/>
        <v>506.50000000000006</v>
      </c>
      <c r="AI129" s="6">
        <f t="shared" si="9"/>
        <v>3316.1999999999994</v>
      </c>
    </row>
    <row r="130" spans="1:35" x14ac:dyDescent="0.3">
      <c r="A130" t="s">
        <v>32</v>
      </c>
      <c r="B130">
        <v>2016</v>
      </c>
      <c r="C130" t="s">
        <v>39</v>
      </c>
      <c r="D130">
        <v>126.8</v>
      </c>
      <c r="E130">
        <v>144.19999999999999</v>
      </c>
      <c r="F130">
        <v>136.6</v>
      </c>
      <c r="G130">
        <v>131.80000000000001</v>
      </c>
      <c r="H130">
        <v>111</v>
      </c>
      <c r="I130">
        <v>137</v>
      </c>
      <c r="J130">
        <v>179.5</v>
      </c>
      <c r="K130">
        <v>188.4</v>
      </c>
      <c r="L130">
        <v>113.3</v>
      </c>
      <c r="M130">
        <v>143.9</v>
      </c>
      <c r="N130">
        <v>121.7</v>
      </c>
      <c r="O130">
        <v>137.5</v>
      </c>
      <c r="P130">
        <v>139.80000000000001</v>
      </c>
      <c r="Q130">
        <v>142.9</v>
      </c>
      <c r="R130">
        <v>127.9</v>
      </c>
      <c r="S130">
        <v>121.1</v>
      </c>
      <c r="T130">
        <v>126.9</v>
      </c>
      <c r="U130">
        <v>126.4</v>
      </c>
      <c r="V130" s="5">
        <v>115.5</v>
      </c>
      <c r="W130">
        <v>123.5</v>
      </c>
      <c r="X130">
        <v>120.9</v>
      </c>
      <c r="Y130">
        <v>111.7</v>
      </c>
      <c r="Z130">
        <v>120.3</v>
      </c>
      <c r="AA130">
        <v>130.80000000000001</v>
      </c>
      <c r="AB130">
        <v>120</v>
      </c>
      <c r="AC130">
        <v>119.9</v>
      </c>
      <c r="AD130">
        <v>129</v>
      </c>
      <c r="AE130" s="72">
        <f t="shared" si="5"/>
        <v>1954.4000000000003</v>
      </c>
      <c r="AF130" s="4">
        <f t="shared" si="6"/>
        <v>495.9</v>
      </c>
      <c r="AG130" s="4">
        <f t="shared" si="7"/>
        <v>477.09999999999997</v>
      </c>
      <c r="AH130" s="4">
        <f t="shared" si="8"/>
        <v>491.9</v>
      </c>
      <c r="AI130" s="6">
        <f t="shared" si="9"/>
        <v>3419.3</v>
      </c>
    </row>
    <row r="131" spans="1:35" x14ac:dyDescent="0.3">
      <c r="A131" t="s">
        <v>33</v>
      </c>
      <c r="B131">
        <v>2016</v>
      </c>
      <c r="C131" t="s">
        <v>39</v>
      </c>
      <c r="D131">
        <v>128.5</v>
      </c>
      <c r="E131">
        <v>141.19999999999999</v>
      </c>
      <c r="F131">
        <v>132.30000000000001</v>
      </c>
      <c r="G131">
        <v>133.5</v>
      </c>
      <c r="H131">
        <v>116.4</v>
      </c>
      <c r="I131">
        <v>137.80000000000001</v>
      </c>
      <c r="J131">
        <v>165.4</v>
      </c>
      <c r="K131">
        <v>177.4</v>
      </c>
      <c r="L131">
        <v>111.3</v>
      </c>
      <c r="M131">
        <v>137.5</v>
      </c>
      <c r="N131">
        <v>125</v>
      </c>
      <c r="O131">
        <v>138.80000000000001</v>
      </c>
      <c r="P131">
        <v>138.4</v>
      </c>
      <c r="Q131">
        <v>139.30000000000001</v>
      </c>
      <c r="R131">
        <v>133.5</v>
      </c>
      <c r="S131">
        <v>127.6</v>
      </c>
      <c r="T131">
        <v>132.69999999999999</v>
      </c>
      <c r="U131">
        <v>126.4</v>
      </c>
      <c r="V131" s="5">
        <v>123.4</v>
      </c>
      <c r="W131">
        <v>126.9</v>
      </c>
      <c r="X131">
        <v>124.5</v>
      </c>
      <c r="Y131">
        <v>113.9</v>
      </c>
      <c r="Z131">
        <v>122.4</v>
      </c>
      <c r="AA131">
        <v>130.80000000000001</v>
      </c>
      <c r="AB131">
        <v>120.5</v>
      </c>
      <c r="AC131">
        <v>121.9</v>
      </c>
      <c r="AD131">
        <v>131.1</v>
      </c>
      <c r="AE131" s="72">
        <f t="shared" ref="AE131:AE194" si="10">SUM(D131:Q131)</f>
        <v>1922.8</v>
      </c>
      <c r="AF131" s="4">
        <f t="shared" ref="AF131:AF194" si="11">SUM(R131:T131,AB131)</f>
        <v>514.29999999999995</v>
      </c>
      <c r="AG131" s="4">
        <f t="shared" ref="AG131:AG194" si="12">SUM(U131:W131,Y131)</f>
        <v>490.6</v>
      </c>
      <c r="AH131" s="4">
        <f t="shared" ref="AH131:AH194" si="13">X131+Z131+AA131+AC131</f>
        <v>499.6</v>
      </c>
      <c r="AI131" s="6">
        <f t="shared" ref="AI131:AI194" si="14">SUM(AE131:AH131)</f>
        <v>3427.2999999999997</v>
      </c>
    </row>
    <row r="132" spans="1:35" x14ac:dyDescent="0.3">
      <c r="A132" t="s">
        <v>30</v>
      </c>
      <c r="B132">
        <v>2016</v>
      </c>
      <c r="C132" t="s">
        <v>40</v>
      </c>
      <c r="D132">
        <v>130.1</v>
      </c>
      <c r="E132">
        <v>138.80000000000001</v>
      </c>
      <c r="F132">
        <v>130.30000000000001</v>
      </c>
      <c r="G132">
        <v>135.30000000000001</v>
      </c>
      <c r="H132">
        <v>119.9</v>
      </c>
      <c r="I132">
        <v>140.19999999999999</v>
      </c>
      <c r="J132">
        <v>156.9</v>
      </c>
      <c r="K132">
        <v>172.2</v>
      </c>
      <c r="L132">
        <v>112.1</v>
      </c>
      <c r="M132">
        <v>134.9</v>
      </c>
      <c r="N132">
        <v>128.1</v>
      </c>
      <c r="O132">
        <v>140.69999999999999</v>
      </c>
      <c r="P132">
        <v>138</v>
      </c>
      <c r="Q132">
        <v>138.9</v>
      </c>
      <c r="R132">
        <v>137.80000000000001</v>
      </c>
      <c r="S132">
        <v>133</v>
      </c>
      <c r="T132">
        <v>137.1</v>
      </c>
      <c r="U132">
        <v>0</v>
      </c>
      <c r="V132" s="5">
        <v>129.1</v>
      </c>
      <c r="W132">
        <v>130.6</v>
      </c>
      <c r="X132">
        <v>127</v>
      </c>
      <c r="Y132">
        <v>116</v>
      </c>
      <c r="Z132">
        <v>125.5</v>
      </c>
      <c r="AA132">
        <v>131.9</v>
      </c>
      <c r="AB132">
        <v>122</v>
      </c>
      <c r="AC132">
        <v>124.2</v>
      </c>
      <c r="AD132">
        <v>133.5</v>
      </c>
      <c r="AE132" s="72">
        <f t="shared" si="10"/>
        <v>1916.3999999999999</v>
      </c>
      <c r="AF132" s="4">
        <f t="shared" si="11"/>
        <v>529.9</v>
      </c>
      <c r="AG132" s="4">
        <f t="shared" si="12"/>
        <v>375.7</v>
      </c>
      <c r="AH132" s="4">
        <f t="shared" si="13"/>
        <v>508.59999999999997</v>
      </c>
      <c r="AI132" s="6">
        <f t="shared" si="14"/>
        <v>3330.5999999999995</v>
      </c>
    </row>
    <row r="133" spans="1:35" x14ac:dyDescent="0.3">
      <c r="A133" t="s">
        <v>32</v>
      </c>
      <c r="B133">
        <v>2016</v>
      </c>
      <c r="C133" t="s">
        <v>40</v>
      </c>
      <c r="D133">
        <v>127.6</v>
      </c>
      <c r="E133">
        <v>140.30000000000001</v>
      </c>
      <c r="F133">
        <v>133.69999999999999</v>
      </c>
      <c r="G133">
        <v>132.19999999999999</v>
      </c>
      <c r="H133">
        <v>111.8</v>
      </c>
      <c r="I133">
        <v>135.80000000000001</v>
      </c>
      <c r="J133">
        <v>163.5</v>
      </c>
      <c r="K133">
        <v>182.3</v>
      </c>
      <c r="L133">
        <v>114.6</v>
      </c>
      <c r="M133">
        <v>144.6</v>
      </c>
      <c r="N133">
        <v>121.9</v>
      </c>
      <c r="O133">
        <v>138.1</v>
      </c>
      <c r="P133">
        <v>137.6</v>
      </c>
      <c r="Q133">
        <v>143.6</v>
      </c>
      <c r="R133">
        <v>128.30000000000001</v>
      </c>
      <c r="S133">
        <v>121.4</v>
      </c>
      <c r="T133">
        <v>127.3</v>
      </c>
      <c r="U133">
        <v>127.3</v>
      </c>
      <c r="V133" s="5">
        <v>114.7</v>
      </c>
      <c r="W133">
        <v>123.9</v>
      </c>
      <c r="X133">
        <v>121.2</v>
      </c>
      <c r="Y133">
        <v>110.4</v>
      </c>
      <c r="Z133">
        <v>120.6</v>
      </c>
      <c r="AA133">
        <v>131.5</v>
      </c>
      <c r="AB133">
        <v>120.9</v>
      </c>
      <c r="AC133">
        <v>119.9</v>
      </c>
      <c r="AD133">
        <v>128.4</v>
      </c>
      <c r="AE133" s="72">
        <f t="shared" si="10"/>
        <v>1927.5999999999995</v>
      </c>
      <c r="AF133" s="4">
        <f t="shared" si="11"/>
        <v>497.9</v>
      </c>
      <c r="AG133" s="4">
        <f t="shared" si="12"/>
        <v>476.29999999999995</v>
      </c>
      <c r="AH133" s="4">
        <f t="shared" si="13"/>
        <v>493.20000000000005</v>
      </c>
      <c r="AI133" s="6">
        <f t="shared" si="14"/>
        <v>3394.9999999999991</v>
      </c>
    </row>
    <row r="134" spans="1:35" x14ac:dyDescent="0.3">
      <c r="A134" t="s">
        <v>33</v>
      </c>
      <c r="B134">
        <v>2016</v>
      </c>
      <c r="C134" t="s">
        <v>40</v>
      </c>
      <c r="D134">
        <v>129.30000000000001</v>
      </c>
      <c r="E134">
        <v>139.30000000000001</v>
      </c>
      <c r="F134">
        <v>131.6</v>
      </c>
      <c r="G134">
        <v>134.1</v>
      </c>
      <c r="H134">
        <v>116.9</v>
      </c>
      <c r="I134">
        <v>138.1</v>
      </c>
      <c r="J134">
        <v>159.1</v>
      </c>
      <c r="K134">
        <v>175.6</v>
      </c>
      <c r="L134">
        <v>112.9</v>
      </c>
      <c r="M134">
        <v>138.1</v>
      </c>
      <c r="N134">
        <v>125.5</v>
      </c>
      <c r="O134">
        <v>139.5</v>
      </c>
      <c r="P134">
        <v>137.9</v>
      </c>
      <c r="Q134">
        <v>140.19999999999999</v>
      </c>
      <c r="R134">
        <v>134.1</v>
      </c>
      <c r="S134">
        <v>128.19999999999999</v>
      </c>
      <c r="T134">
        <v>133.19999999999999</v>
      </c>
      <c r="U134">
        <v>127.3</v>
      </c>
      <c r="V134" s="5">
        <v>123.6</v>
      </c>
      <c r="W134">
        <v>127.4</v>
      </c>
      <c r="X134">
        <v>124.8</v>
      </c>
      <c r="Y134">
        <v>113.1</v>
      </c>
      <c r="Z134">
        <v>122.7</v>
      </c>
      <c r="AA134">
        <v>131.69999999999999</v>
      </c>
      <c r="AB134">
        <v>121.5</v>
      </c>
      <c r="AC134">
        <v>122.1</v>
      </c>
      <c r="AD134">
        <v>131.1</v>
      </c>
      <c r="AE134" s="72">
        <f t="shared" si="10"/>
        <v>1918.1000000000001</v>
      </c>
      <c r="AF134" s="4">
        <f t="shared" si="11"/>
        <v>517</v>
      </c>
      <c r="AG134" s="4">
        <f t="shared" si="12"/>
        <v>491.4</v>
      </c>
      <c r="AH134" s="4">
        <f t="shared" si="13"/>
        <v>501.29999999999995</v>
      </c>
      <c r="AI134" s="6">
        <f t="shared" si="14"/>
        <v>3427.8</v>
      </c>
    </row>
    <row r="135" spans="1:35" x14ac:dyDescent="0.3">
      <c r="A135" t="s">
        <v>30</v>
      </c>
      <c r="B135">
        <v>2016</v>
      </c>
      <c r="C135" t="s">
        <v>41</v>
      </c>
      <c r="D135">
        <v>130.80000000000001</v>
      </c>
      <c r="E135">
        <v>138.19999999999999</v>
      </c>
      <c r="F135">
        <v>130.5</v>
      </c>
      <c r="G135">
        <v>135.5</v>
      </c>
      <c r="H135">
        <v>120.2</v>
      </c>
      <c r="I135">
        <v>139.19999999999999</v>
      </c>
      <c r="J135">
        <v>149.5</v>
      </c>
      <c r="K135">
        <v>170.4</v>
      </c>
      <c r="L135">
        <v>113.1</v>
      </c>
      <c r="M135">
        <v>135.80000000000001</v>
      </c>
      <c r="N135">
        <v>128.80000000000001</v>
      </c>
      <c r="O135">
        <v>141.5</v>
      </c>
      <c r="P135">
        <v>137.19999999999999</v>
      </c>
      <c r="Q135">
        <v>139.9</v>
      </c>
      <c r="R135">
        <v>138.5</v>
      </c>
      <c r="S135">
        <v>133.5</v>
      </c>
      <c r="T135">
        <v>137.80000000000001</v>
      </c>
      <c r="U135">
        <v>0</v>
      </c>
      <c r="V135" s="5">
        <v>129.69999999999999</v>
      </c>
      <c r="W135">
        <v>131.1</v>
      </c>
      <c r="X135">
        <v>127.8</v>
      </c>
      <c r="Y135">
        <v>117</v>
      </c>
      <c r="Z135">
        <v>125.7</v>
      </c>
      <c r="AA135">
        <v>132.19999999999999</v>
      </c>
      <c r="AB135">
        <v>122.8</v>
      </c>
      <c r="AC135">
        <v>124.9</v>
      </c>
      <c r="AD135">
        <v>133.4</v>
      </c>
      <c r="AE135" s="72">
        <f t="shared" si="10"/>
        <v>1910.6000000000001</v>
      </c>
      <c r="AF135" s="4">
        <f t="shared" si="11"/>
        <v>532.6</v>
      </c>
      <c r="AG135" s="4">
        <f t="shared" si="12"/>
        <v>377.79999999999995</v>
      </c>
      <c r="AH135" s="4">
        <f t="shared" si="13"/>
        <v>510.6</v>
      </c>
      <c r="AI135" s="6">
        <f t="shared" si="14"/>
        <v>3331.6</v>
      </c>
    </row>
    <row r="136" spans="1:35" x14ac:dyDescent="0.3">
      <c r="A136" t="s">
        <v>32</v>
      </c>
      <c r="B136">
        <v>2016</v>
      </c>
      <c r="C136" t="s">
        <v>41</v>
      </c>
      <c r="D136">
        <v>128.1</v>
      </c>
      <c r="E136">
        <v>137.69999999999999</v>
      </c>
      <c r="F136">
        <v>130.6</v>
      </c>
      <c r="G136">
        <v>132.6</v>
      </c>
      <c r="H136">
        <v>111.9</v>
      </c>
      <c r="I136">
        <v>132.5</v>
      </c>
      <c r="J136">
        <v>152.9</v>
      </c>
      <c r="K136">
        <v>173.6</v>
      </c>
      <c r="L136">
        <v>115.1</v>
      </c>
      <c r="M136">
        <v>144.80000000000001</v>
      </c>
      <c r="N136">
        <v>122.1</v>
      </c>
      <c r="O136">
        <v>138.80000000000001</v>
      </c>
      <c r="P136">
        <v>135.69999999999999</v>
      </c>
      <c r="Q136">
        <v>143.9</v>
      </c>
      <c r="R136">
        <v>128.69999999999999</v>
      </c>
      <c r="S136">
        <v>121.6</v>
      </c>
      <c r="T136">
        <v>127.7</v>
      </c>
      <c r="U136">
        <v>127.9</v>
      </c>
      <c r="V136" s="5">
        <v>114.8</v>
      </c>
      <c r="W136">
        <v>124.3</v>
      </c>
      <c r="X136">
        <v>121.4</v>
      </c>
      <c r="Y136">
        <v>111.8</v>
      </c>
      <c r="Z136">
        <v>120.8</v>
      </c>
      <c r="AA136">
        <v>131.6</v>
      </c>
      <c r="AB136">
        <v>121.2</v>
      </c>
      <c r="AC136">
        <v>120.5</v>
      </c>
      <c r="AD136">
        <v>128</v>
      </c>
      <c r="AE136" s="72">
        <f t="shared" si="10"/>
        <v>1900.2999999999997</v>
      </c>
      <c r="AF136" s="4">
        <f t="shared" si="11"/>
        <v>499.2</v>
      </c>
      <c r="AG136" s="4">
        <f t="shared" si="12"/>
        <v>478.8</v>
      </c>
      <c r="AH136" s="4">
        <f t="shared" si="13"/>
        <v>494.29999999999995</v>
      </c>
      <c r="AI136" s="6">
        <f t="shared" si="14"/>
        <v>3372.5999999999995</v>
      </c>
    </row>
    <row r="137" spans="1:35" x14ac:dyDescent="0.3">
      <c r="A137" t="s">
        <v>33</v>
      </c>
      <c r="B137">
        <v>2016</v>
      </c>
      <c r="C137" t="s">
        <v>41</v>
      </c>
      <c r="D137">
        <v>129.9</v>
      </c>
      <c r="E137">
        <v>138</v>
      </c>
      <c r="F137">
        <v>130.5</v>
      </c>
      <c r="G137">
        <v>134.4</v>
      </c>
      <c r="H137">
        <v>117.2</v>
      </c>
      <c r="I137">
        <v>136.1</v>
      </c>
      <c r="J137">
        <v>150.69999999999999</v>
      </c>
      <c r="K137">
        <v>171.5</v>
      </c>
      <c r="L137">
        <v>113.8</v>
      </c>
      <c r="M137">
        <v>138.80000000000001</v>
      </c>
      <c r="N137">
        <v>126</v>
      </c>
      <c r="O137">
        <v>140.19999999999999</v>
      </c>
      <c r="P137">
        <v>136.6</v>
      </c>
      <c r="Q137">
        <v>141</v>
      </c>
      <c r="R137">
        <v>134.6</v>
      </c>
      <c r="S137">
        <v>128.6</v>
      </c>
      <c r="T137">
        <v>133.80000000000001</v>
      </c>
      <c r="U137">
        <v>127.9</v>
      </c>
      <c r="V137" s="5">
        <v>124.1</v>
      </c>
      <c r="W137">
        <v>127.9</v>
      </c>
      <c r="X137">
        <v>125.4</v>
      </c>
      <c r="Y137">
        <v>114.3</v>
      </c>
      <c r="Z137">
        <v>122.9</v>
      </c>
      <c r="AA137">
        <v>131.80000000000001</v>
      </c>
      <c r="AB137">
        <v>122.1</v>
      </c>
      <c r="AC137">
        <v>122.8</v>
      </c>
      <c r="AD137">
        <v>130.9</v>
      </c>
      <c r="AE137" s="72">
        <f t="shared" si="10"/>
        <v>1904.6999999999998</v>
      </c>
      <c r="AF137" s="4">
        <f t="shared" si="11"/>
        <v>519.1</v>
      </c>
      <c r="AG137" s="4">
        <f t="shared" si="12"/>
        <v>494.2</v>
      </c>
      <c r="AH137" s="4">
        <f t="shared" si="13"/>
        <v>502.90000000000003</v>
      </c>
      <c r="AI137" s="6">
        <f t="shared" si="14"/>
        <v>3420.8999999999996</v>
      </c>
    </row>
    <row r="138" spans="1:35" x14ac:dyDescent="0.3">
      <c r="A138" t="s">
        <v>30</v>
      </c>
      <c r="B138">
        <v>2016</v>
      </c>
      <c r="C138" t="s">
        <v>42</v>
      </c>
      <c r="D138">
        <v>131.30000000000001</v>
      </c>
      <c r="E138">
        <v>137.6</v>
      </c>
      <c r="F138">
        <v>130.1</v>
      </c>
      <c r="G138">
        <v>136</v>
      </c>
      <c r="H138">
        <v>120.8</v>
      </c>
      <c r="I138">
        <v>138.4</v>
      </c>
      <c r="J138">
        <v>149.19999999999999</v>
      </c>
      <c r="K138">
        <v>170.2</v>
      </c>
      <c r="L138">
        <v>113.4</v>
      </c>
      <c r="M138">
        <v>136.30000000000001</v>
      </c>
      <c r="N138">
        <v>128.69999999999999</v>
      </c>
      <c r="O138">
        <v>142.4</v>
      </c>
      <c r="P138">
        <v>137.4</v>
      </c>
      <c r="Q138">
        <v>140.9</v>
      </c>
      <c r="R138">
        <v>139.6</v>
      </c>
      <c r="S138">
        <v>134.30000000000001</v>
      </c>
      <c r="T138">
        <v>138.80000000000001</v>
      </c>
      <c r="U138">
        <v>0</v>
      </c>
      <c r="V138" s="5">
        <v>129.80000000000001</v>
      </c>
      <c r="W138">
        <v>131.80000000000001</v>
      </c>
      <c r="X138">
        <v>128.69999999999999</v>
      </c>
      <c r="Y138">
        <v>117.8</v>
      </c>
      <c r="Z138">
        <v>126.5</v>
      </c>
      <c r="AA138">
        <v>133</v>
      </c>
      <c r="AB138">
        <v>123</v>
      </c>
      <c r="AC138">
        <v>125.7</v>
      </c>
      <c r="AD138">
        <v>133.80000000000001</v>
      </c>
      <c r="AE138" s="72">
        <f t="shared" si="10"/>
        <v>1912.7000000000003</v>
      </c>
      <c r="AF138" s="4">
        <f t="shared" si="11"/>
        <v>535.70000000000005</v>
      </c>
      <c r="AG138" s="4">
        <f t="shared" si="12"/>
        <v>379.40000000000003</v>
      </c>
      <c r="AH138" s="4">
        <f t="shared" si="13"/>
        <v>513.9</v>
      </c>
      <c r="AI138" s="6">
        <f t="shared" si="14"/>
        <v>3341.7000000000007</v>
      </c>
    </row>
    <row r="139" spans="1:35" x14ac:dyDescent="0.3">
      <c r="A139" t="s">
        <v>32</v>
      </c>
      <c r="B139">
        <v>2016</v>
      </c>
      <c r="C139" t="s">
        <v>42</v>
      </c>
      <c r="D139">
        <v>128.69999999999999</v>
      </c>
      <c r="E139">
        <v>138.4</v>
      </c>
      <c r="F139">
        <v>130.30000000000001</v>
      </c>
      <c r="G139">
        <v>132.69999999999999</v>
      </c>
      <c r="H139">
        <v>112.5</v>
      </c>
      <c r="I139">
        <v>130.4</v>
      </c>
      <c r="J139">
        <v>155.1</v>
      </c>
      <c r="K139">
        <v>175.7</v>
      </c>
      <c r="L139">
        <v>115.4</v>
      </c>
      <c r="M139">
        <v>145.30000000000001</v>
      </c>
      <c r="N139">
        <v>122.5</v>
      </c>
      <c r="O139">
        <v>139.6</v>
      </c>
      <c r="P139">
        <v>136.30000000000001</v>
      </c>
      <c r="Q139">
        <v>144.30000000000001</v>
      </c>
      <c r="R139">
        <v>129.1</v>
      </c>
      <c r="S139">
        <v>121.9</v>
      </c>
      <c r="T139">
        <v>128</v>
      </c>
      <c r="U139">
        <v>128.69999999999999</v>
      </c>
      <c r="V139" s="5">
        <v>115.2</v>
      </c>
      <c r="W139">
        <v>124.5</v>
      </c>
      <c r="X139">
        <v>121.8</v>
      </c>
      <c r="Y139">
        <v>112.8</v>
      </c>
      <c r="Z139">
        <v>121.2</v>
      </c>
      <c r="AA139">
        <v>131.9</v>
      </c>
      <c r="AB139">
        <v>120.8</v>
      </c>
      <c r="AC139">
        <v>120.9</v>
      </c>
      <c r="AD139">
        <v>128.6</v>
      </c>
      <c r="AE139" s="72">
        <f t="shared" si="10"/>
        <v>1907.1999999999998</v>
      </c>
      <c r="AF139" s="4">
        <f t="shared" si="11"/>
        <v>499.8</v>
      </c>
      <c r="AG139" s="4">
        <f t="shared" si="12"/>
        <v>481.2</v>
      </c>
      <c r="AH139" s="4">
        <f t="shared" si="13"/>
        <v>495.79999999999995</v>
      </c>
      <c r="AI139" s="6">
        <f t="shared" si="14"/>
        <v>3384</v>
      </c>
    </row>
    <row r="140" spans="1:35" x14ac:dyDescent="0.3">
      <c r="A140" t="s">
        <v>33</v>
      </c>
      <c r="B140">
        <v>2016</v>
      </c>
      <c r="C140" t="s">
        <v>42</v>
      </c>
      <c r="D140">
        <v>130.5</v>
      </c>
      <c r="E140">
        <v>137.9</v>
      </c>
      <c r="F140">
        <v>130.19999999999999</v>
      </c>
      <c r="G140">
        <v>134.80000000000001</v>
      </c>
      <c r="H140">
        <v>117.8</v>
      </c>
      <c r="I140">
        <v>134.69999999999999</v>
      </c>
      <c r="J140">
        <v>151.19999999999999</v>
      </c>
      <c r="K140">
        <v>172.1</v>
      </c>
      <c r="L140">
        <v>114.1</v>
      </c>
      <c r="M140">
        <v>139.30000000000001</v>
      </c>
      <c r="N140">
        <v>126.1</v>
      </c>
      <c r="O140">
        <v>141.1</v>
      </c>
      <c r="P140">
        <v>137</v>
      </c>
      <c r="Q140">
        <v>141.80000000000001</v>
      </c>
      <c r="R140">
        <v>135.5</v>
      </c>
      <c r="S140">
        <v>129.1</v>
      </c>
      <c r="T140">
        <v>134.5</v>
      </c>
      <c r="U140">
        <v>128.69999999999999</v>
      </c>
      <c r="V140" s="5">
        <v>124.3</v>
      </c>
      <c r="W140">
        <v>128.4</v>
      </c>
      <c r="X140">
        <v>126.1</v>
      </c>
      <c r="Y140">
        <v>115.2</v>
      </c>
      <c r="Z140">
        <v>123.5</v>
      </c>
      <c r="AA140">
        <v>132.4</v>
      </c>
      <c r="AB140">
        <v>122.1</v>
      </c>
      <c r="AC140">
        <v>123.4</v>
      </c>
      <c r="AD140">
        <v>131.4</v>
      </c>
      <c r="AE140" s="72">
        <f t="shared" si="10"/>
        <v>1908.5999999999995</v>
      </c>
      <c r="AF140" s="4">
        <f t="shared" si="11"/>
        <v>521.20000000000005</v>
      </c>
      <c r="AG140" s="4">
        <f t="shared" si="12"/>
        <v>496.59999999999997</v>
      </c>
      <c r="AH140" s="4">
        <f t="shared" si="13"/>
        <v>505.4</v>
      </c>
      <c r="AI140" s="6">
        <f t="shared" si="14"/>
        <v>3431.7999999999993</v>
      </c>
    </row>
    <row r="141" spans="1:35" x14ac:dyDescent="0.3">
      <c r="A141" t="s">
        <v>30</v>
      </c>
      <c r="B141">
        <v>2016</v>
      </c>
      <c r="C141" t="s">
        <v>44</v>
      </c>
      <c r="D141">
        <v>132</v>
      </c>
      <c r="E141">
        <v>137.4</v>
      </c>
      <c r="F141">
        <v>130.6</v>
      </c>
      <c r="G141">
        <v>136.19999999999999</v>
      </c>
      <c r="H141">
        <v>121.1</v>
      </c>
      <c r="I141">
        <v>136.9</v>
      </c>
      <c r="J141">
        <v>141.80000000000001</v>
      </c>
      <c r="K141">
        <v>170</v>
      </c>
      <c r="L141">
        <v>113.4</v>
      </c>
      <c r="M141">
        <v>136.80000000000001</v>
      </c>
      <c r="N141">
        <v>128.69999999999999</v>
      </c>
      <c r="O141">
        <v>143.1</v>
      </c>
      <c r="P141">
        <v>136.6</v>
      </c>
      <c r="Q141">
        <v>141.19999999999999</v>
      </c>
      <c r="R141">
        <v>139.9</v>
      </c>
      <c r="S141">
        <v>134.5</v>
      </c>
      <c r="T141">
        <v>139.19999999999999</v>
      </c>
      <c r="U141">
        <v>0</v>
      </c>
      <c r="V141" s="5">
        <v>130.30000000000001</v>
      </c>
      <c r="W141">
        <v>132.1</v>
      </c>
      <c r="X141">
        <v>129.1</v>
      </c>
      <c r="Y141">
        <v>118.2</v>
      </c>
      <c r="Z141">
        <v>126.9</v>
      </c>
      <c r="AA141">
        <v>133.69999999999999</v>
      </c>
      <c r="AB141">
        <v>123.5</v>
      </c>
      <c r="AC141">
        <v>126.1</v>
      </c>
      <c r="AD141">
        <v>133.6</v>
      </c>
      <c r="AE141" s="72">
        <f t="shared" si="10"/>
        <v>1905.8</v>
      </c>
      <c r="AF141" s="4">
        <f t="shared" si="11"/>
        <v>537.09999999999991</v>
      </c>
      <c r="AG141" s="4">
        <f t="shared" si="12"/>
        <v>380.59999999999997</v>
      </c>
      <c r="AH141" s="4">
        <f t="shared" si="13"/>
        <v>515.79999999999995</v>
      </c>
      <c r="AI141" s="6">
        <f t="shared" si="14"/>
        <v>3339.2999999999993</v>
      </c>
    </row>
    <row r="142" spans="1:35" x14ac:dyDescent="0.3">
      <c r="A142" t="s">
        <v>32</v>
      </c>
      <c r="B142">
        <v>2016</v>
      </c>
      <c r="C142" t="s">
        <v>44</v>
      </c>
      <c r="D142">
        <v>130.19999999999999</v>
      </c>
      <c r="E142">
        <v>138.5</v>
      </c>
      <c r="F142">
        <v>134.1</v>
      </c>
      <c r="G142">
        <v>132.9</v>
      </c>
      <c r="H142">
        <v>112.6</v>
      </c>
      <c r="I142">
        <v>130.80000000000001</v>
      </c>
      <c r="J142">
        <v>142</v>
      </c>
      <c r="K142">
        <v>174.9</v>
      </c>
      <c r="L142">
        <v>115.6</v>
      </c>
      <c r="M142">
        <v>145.4</v>
      </c>
      <c r="N142">
        <v>122.7</v>
      </c>
      <c r="O142">
        <v>140.30000000000001</v>
      </c>
      <c r="P142">
        <v>135.19999999999999</v>
      </c>
      <c r="Q142">
        <v>144.30000000000001</v>
      </c>
      <c r="R142">
        <v>129.6</v>
      </c>
      <c r="S142">
        <v>122.1</v>
      </c>
      <c r="T142">
        <v>128.5</v>
      </c>
      <c r="U142">
        <v>129.1</v>
      </c>
      <c r="V142" s="5">
        <v>116.2</v>
      </c>
      <c r="W142">
        <v>124.7</v>
      </c>
      <c r="X142">
        <v>122.1</v>
      </c>
      <c r="Y142">
        <v>113.4</v>
      </c>
      <c r="Z142">
        <v>121.7</v>
      </c>
      <c r="AA142">
        <v>132.1</v>
      </c>
      <c r="AB142">
        <v>121.3</v>
      </c>
      <c r="AC142">
        <v>121.3</v>
      </c>
      <c r="AD142">
        <v>128.5</v>
      </c>
      <c r="AE142" s="72">
        <f t="shared" si="10"/>
        <v>1899.5</v>
      </c>
      <c r="AF142" s="4">
        <f t="shared" si="11"/>
        <v>501.5</v>
      </c>
      <c r="AG142" s="4">
        <f t="shared" si="12"/>
        <v>483.4</v>
      </c>
      <c r="AH142" s="4">
        <f t="shared" si="13"/>
        <v>497.2</v>
      </c>
      <c r="AI142" s="6">
        <f t="shared" si="14"/>
        <v>3381.6</v>
      </c>
    </row>
    <row r="143" spans="1:35" x14ac:dyDescent="0.3">
      <c r="A143" t="s">
        <v>33</v>
      </c>
      <c r="B143">
        <v>2016</v>
      </c>
      <c r="C143" t="s">
        <v>44</v>
      </c>
      <c r="D143">
        <v>131.4</v>
      </c>
      <c r="E143">
        <v>137.80000000000001</v>
      </c>
      <c r="F143">
        <v>132</v>
      </c>
      <c r="G143">
        <v>135</v>
      </c>
      <c r="H143">
        <v>118</v>
      </c>
      <c r="I143">
        <v>134.1</v>
      </c>
      <c r="J143">
        <v>141.9</v>
      </c>
      <c r="K143">
        <v>171.7</v>
      </c>
      <c r="L143">
        <v>114.1</v>
      </c>
      <c r="M143">
        <v>139.69999999999999</v>
      </c>
      <c r="N143">
        <v>126.2</v>
      </c>
      <c r="O143">
        <v>141.80000000000001</v>
      </c>
      <c r="P143">
        <v>136.1</v>
      </c>
      <c r="Q143">
        <v>142</v>
      </c>
      <c r="R143">
        <v>135.80000000000001</v>
      </c>
      <c r="S143">
        <v>129.30000000000001</v>
      </c>
      <c r="T143">
        <v>135</v>
      </c>
      <c r="U143">
        <v>129.1</v>
      </c>
      <c r="V143" s="5">
        <v>125</v>
      </c>
      <c r="W143">
        <v>128.6</v>
      </c>
      <c r="X143">
        <v>126.4</v>
      </c>
      <c r="Y143">
        <v>115.7</v>
      </c>
      <c r="Z143">
        <v>124</v>
      </c>
      <c r="AA143">
        <v>132.80000000000001</v>
      </c>
      <c r="AB143">
        <v>122.6</v>
      </c>
      <c r="AC143">
        <v>123.8</v>
      </c>
      <c r="AD143">
        <v>131.19999999999999</v>
      </c>
      <c r="AE143" s="72">
        <f t="shared" si="10"/>
        <v>1901.8</v>
      </c>
      <c r="AF143" s="4">
        <f t="shared" si="11"/>
        <v>522.70000000000005</v>
      </c>
      <c r="AG143" s="4">
        <f t="shared" si="12"/>
        <v>498.4</v>
      </c>
      <c r="AH143" s="4">
        <f t="shared" si="13"/>
        <v>507.00000000000006</v>
      </c>
      <c r="AI143" s="6">
        <f t="shared" si="14"/>
        <v>3429.9</v>
      </c>
    </row>
    <row r="144" spans="1:35" x14ac:dyDescent="0.3">
      <c r="A144" t="s">
        <v>30</v>
      </c>
      <c r="B144">
        <v>2016</v>
      </c>
      <c r="C144" t="s">
        <v>45</v>
      </c>
      <c r="D144">
        <v>132.6</v>
      </c>
      <c r="E144">
        <v>137.30000000000001</v>
      </c>
      <c r="F144">
        <v>131.6</v>
      </c>
      <c r="G144">
        <v>136.30000000000001</v>
      </c>
      <c r="H144">
        <v>121.6</v>
      </c>
      <c r="I144">
        <v>135.6</v>
      </c>
      <c r="J144">
        <v>127.5</v>
      </c>
      <c r="K144">
        <v>167.9</v>
      </c>
      <c r="L144">
        <v>113.8</v>
      </c>
      <c r="M144">
        <v>137.5</v>
      </c>
      <c r="N144">
        <v>129.1</v>
      </c>
      <c r="O144">
        <v>143.6</v>
      </c>
      <c r="P144">
        <v>134.69999999999999</v>
      </c>
      <c r="Q144">
        <v>142.4</v>
      </c>
      <c r="R144">
        <v>140.4</v>
      </c>
      <c r="S144">
        <v>135.19999999999999</v>
      </c>
      <c r="T144">
        <v>139.69999999999999</v>
      </c>
      <c r="U144">
        <v>0</v>
      </c>
      <c r="V144" s="5">
        <v>132</v>
      </c>
      <c r="W144">
        <v>132.9</v>
      </c>
      <c r="X144">
        <v>129.69999999999999</v>
      </c>
      <c r="Y144">
        <v>118.6</v>
      </c>
      <c r="Z144">
        <v>127.3</v>
      </c>
      <c r="AA144">
        <v>134.19999999999999</v>
      </c>
      <c r="AB144">
        <v>121.9</v>
      </c>
      <c r="AC144">
        <v>126.3</v>
      </c>
      <c r="AD144">
        <v>132.80000000000001</v>
      </c>
      <c r="AE144" s="72">
        <f t="shared" si="10"/>
        <v>1891.5</v>
      </c>
      <c r="AF144" s="4">
        <f t="shared" si="11"/>
        <v>537.20000000000005</v>
      </c>
      <c r="AG144" s="4">
        <f t="shared" si="12"/>
        <v>383.5</v>
      </c>
      <c r="AH144" s="4">
        <f t="shared" si="13"/>
        <v>517.5</v>
      </c>
      <c r="AI144" s="6">
        <f t="shared" si="14"/>
        <v>3329.7</v>
      </c>
    </row>
    <row r="145" spans="1:35" x14ac:dyDescent="0.3">
      <c r="A145" t="s">
        <v>32</v>
      </c>
      <c r="B145">
        <v>2016</v>
      </c>
      <c r="C145" t="s">
        <v>45</v>
      </c>
      <c r="D145">
        <v>131.6</v>
      </c>
      <c r="E145">
        <v>138.19999999999999</v>
      </c>
      <c r="F145">
        <v>134.9</v>
      </c>
      <c r="G145">
        <v>133.1</v>
      </c>
      <c r="H145">
        <v>113.5</v>
      </c>
      <c r="I145">
        <v>129.30000000000001</v>
      </c>
      <c r="J145">
        <v>121.1</v>
      </c>
      <c r="K145">
        <v>170.3</v>
      </c>
      <c r="L145">
        <v>115.5</v>
      </c>
      <c r="M145">
        <v>145.5</v>
      </c>
      <c r="N145">
        <v>123.1</v>
      </c>
      <c r="O145">
        <v>140.9</v>
      </c>
      <c r="P145">
        <v>132.80000000000001</v>
      </c>
      <c r="Q145">
        <v>145</v>
      </c>
      <c r="R145">
        <v>130</v>
      </c>
      <c r="S145">
        <v>122.2</v>
      </c>
      <c r="T145">
        <v>128.80000000000001</v>
      </c>
      <c r="U145">
        <v>128.5</v>
      </c>
      <c r="V145" s="5">
        <v>117.8</v>
      </c>
      <c r="W145">
        <v>125</v>
      </c>
      <c r="X145">
        <v>122.3</v>
      </c>
      <c r="Y145">
        <v>113.7</v>
      </c>
      <c r="Z145">
        <v>121.8</v>
      </c>
      <c r="AA145">
        <v>132.30000000000001</v>
      </c>
      <c r="AB145">
        <v>119.9</v>
      </c>
      <c r="AC145">
        <v>121.4</v>
      </c>
      <c r="AD145">
        <v>127.6</v>
      </c>
      <c r="AE145" s="72">
        <f t="shared" si="10"/>
        <v>1874.8</v>
      </c>
      <c r="AF145" s="4">
        <f t="shared" si="11"/>
        <v>500.9</v>
      </c>
      <c r="AG145" s="4">
        <f t="shared" si="12"/>
        <v>485</v>
      </c>
      <c r="AH145" s="4">
        <f t="shared" si="13"/>
        <v>497.79999999999995</v>
      </c>
      <c r="AI145" s="6">
        <f t="shared" si="14"/>
        <v>3358.5</v>
      </c>
    </row>
    <row r="146" spans="1:35" x14ac:dyDescent="0.3">
      <c r="A146" t="s">
        <v>33</v>
      </c>
      <c r="B146">
        <v>2016</v>
      </c>
      <c r="C146" t="s">
        <v>45</v>
      </c>
      <c r="D146">
        <v>132.30000000000001</v>
      </c>
      <c r="E146">
        <v>137.6</v>
      </c>
      <c r="F146">
        <v>132.9</v>
      </c>
      <c r="G146">
        <v>135.1</v>
      </c>
      <c r="H146">
        <v>118.6</v>
      </c>
      <c r="I146">
        <v>132.69999999999999</v>
      </c>
      <c r="J146">
        <v>125.3</v>
      </c>
      <c r="K146">
        <v>168.7</v>
      </c>
      <c r="L146">
        <v>114.4</v>
      </c>
      <c r="M146">
        <v>140.19999999999999</v>
      </c>
      <c r="N146">
        <v>126.6</v>
      </c>
      <c r="O146">
        <v>142.30000000000001</v>
      </c>
      <c r="P146">
        <v>134</v>
      </c>
      <c r="Q146">
        <v>143.1</v>
      </c>
      <c r="R146">
        <v>136.30000000000001</v>
      </c>
      <c r="S146">
        <v>129.80000000000001</v>
      </c>
      <c r="T146">
        <v>135.4</v>
      </c>
      <c r="U146">
        <v>128.5</v>
      </c>
      <c r="V146" s="5">
        <v>126.6</v>
      </c>
      <c r="W146">
        <v>129.19999999999999</v>
      </c>
      <c r="X146">
        <v>126.9</v>
      </c>
      <c r="Y146">
        <v>116</v>
      </c>
      <c r="Z146">
        <v>124.2</v>
      </c>
      <c r="AA146">
        <v>133.1</v>
      </c>
      <c r="AB146">
        <v>121.1</v>
      </c>
      <c r="AC146">
        <v>123.9</v>
      </c>
      <c r="AD146">
        <v>130.4</v>
      </c>
      <c r="AE146" s="72">
        <f t="shared" si="10"/>
        <v>1883.8</v>
      </c>
      <c r="AF146" s="4">
        <f t="shared" si="11"/>
        <v>522.6</v>
      </c>
      <c r="AG146" s="4">
        <f t="shared" si="12"/>
        <v>500.29999999999995</v>
      </c>
      <c r="AH146" s="4">
        <f t="shared" si="13"/>
        <v>508.1</v>
      </c>
      <c r="AI146" s="6">
        <f t="shared" si="14"/>
        <v>3414.7999999999997</v>
      </c>
    </row>
    <row r="147" spans="1:35" x14ac:dyDescent="0.3">
      <c r="A147" t="s">
        <v>30</v>
      </c>
      <c r="B147">
        <v>2017</v>
      </c>
      <c r="C147" t="s">
        <v>31</v>
      </c>
      <c r="D147">
        <v>133.1</v>
      </c>
      <c r="E147">
        <v>137.80000000000001</v>
      </c>
      <c r="F147">
        <v>131.9</v>
      </c>
      <c r="G147">
        <v>136.69999999999999</v>
      </c>
      <c r="H147">
        <v>122</v>
      </c>
      <c r="I147">
        <v>136</v>
      </c>
      <c r="J147">
        <v>119.8</v>
      </c>
      <c r="K147">
        <v>161.69999999999999</v>
      </c>
      <c r="L147">
        <v>114.8</v>
      </c>
      <c r="M147">
        <v>136.9</v>
      </c>
      <c r="N147">
        <v>129</v>
      </c>
      <c r="O147">
        <v>143.9</v>
      </c>
      <c r="P147">
        <v>133.69999999999999</v>
      </c>
      <c r="Q147">
        <v>143.1</v>
      </c>
      <c r="R147">
        <v>140.69999999999999</v>
      </c>
      <c r="S147">
        <v>135.80000000000001</v>
      </c>
      <c r="T147">
        <v>140</v>
      </c>
      <c r="U147">
        <v>0</v>
      </c>
      <c r="V147" s="5">
        <v>132.1</v>
      </c>
      <c r="W147">
        <v>133.19999999999999</v>
      </c>
      <c r="X147">
        <v>129.9</v>
      </c>
      <c r="Y147">
        <v>119.1</v>
      </c>
      <c r="Z147">
        <v>127</v>
      </c>
      <c r="AA147">
        <v>134.6</v>
      </c>
      <c r="AB147">
        <v>122.3</v>
      </c>
      <c r="AC147">
        <v>126.6</v>
      </c>
      <c r="AD147">
        <v>132.4</v>
      </c>
      <c r="AE147" s="72">
        <f t="shared" si="10"/>
        <v>1880.4</v>
      </c>
      <c r="AF147" s="4">
        <f t="shared" si="11"/>
        <v>538.79999999999995</v>
      </c>
      <c r="AG147" s="4">
        <f t="shared" si="12"/>
        <v>384.4</v>
      </c>
      <c r="AH147" s="4">
        <f t="shared" si="13"/>
        <v>518.1</v>
      </c>
      <c r="AI147" s="6">
        <f t="shared" si="14"/>
        <v>3321.7</v>
      </c>
    </row>
    <row r="148" spans="1:35" x14ac:dyDescent="0.3">
      <c r="A148" t="s">
        <v>32</v>
      </c>
      <c r="B148">
        <v>2017</v>
      </c>
      <c r="C148" t="s">
        <v>31</v>
      </c>
      <c r="D148">
        <v>132.19999999999999</v>
      </c>
      <c r="E148">
        <v>138.9</v>
      </c>
      <c r="F148">
        <v>132.6</v>
      </c>
      <c r="G148">
        <v>133.1</v>
      </c>
      <c r="H148">
        <v>114</v>
      </c>
      <c r="I148">
        <v>129.6</v>
      </c>
      <c r="J148">
        <v>118.7</v>
      </c>
      <c r="K148">
        <v>155.1</v>
      </c>
      <c r="L148">
        <v>117.3</v>
      </c>
      <c r="M148">
        <v>144.9</v>
      </c>
      <c r="N148">
        <v>123.2</v>
      </c>
      <c r="O148">
        <v>141.6</v>
      </c>
      <c r="P148">
        <v>132</v>
      </c>
      <c r="Q148">
        <v>145.6</v>
      </c>
      <c r="R148">
        <v>130.19999999999999</v>
      </c>
      <c r="S148">
        <v>122.3</v>
      </c>
      <c r="T148">
        <v>129</v>
      </c>
      <c r="U148">
        <v>129.6</v>
      </c>
      <c r="V148" s="5">
        <v>118</v>
      </c>
      <c r="W148">
        <v>125.1</v>
      </c>
      <c r="X148">
        <v>122.6</v>
      </c>
      <c r="Y148">
        <v>115.2</v>
      </c>
      <c r="Z148">
        <v>122</v>
      </c>
      <c r="AA148">
        <v>132.4</v>
      </c>
      <c r="AB148">
        <v>120.9</v>
      </c>
      <c r="AC148">
        <v>122.1</v>
      </c>
      <c r="AD148">
        <v>127.8</v>
      </c>
      <c r="AE148" s="72">
        <f t="shared" si="10"/>
        <v>1858.8</v>
      </c>
      <c r="AF148" s="4">
        <f t="shared" si="11"/>
        <v>502.4</v>
      </c>
      <c r="AG148" s="4">
        <f t="shared" si="12"/>
        <v>487.9</v>
      </c>
      <c r="AH148" s="4">
        <f t="shared" si="13"/>
        <v>499.1</v>
      </c>
      <c r="AI148" s="6">
        <f t="shared" si="14"/>
        <v>3348.2</v>
      </c>
    </row>
    <row r="149" spans="1:35" x14ac:dyDescent="0.3">
      <c r="A149" t="s">
        <v>33</v>
      </c>
      <c r="B149">
        <v>2017</v>
      </c>
      <c r="C149" t="s">
        <v>31</v>
      </c>
      <c r="D149">
        <v>132.80000000000001</v>
      </c>
      <c r="E149">
        <v>138.19999999999999</v>
      </c>
      <c r="F149">
        <v>132.19999999999999</v>
      </c>
      <c r="G149">
        <v>135.4</v>
      </c>
      <c r="H149">
        <v>119.1</v>
      </c>
      <c r="I149">
        <v>133</v>
      </c>
      <c r="J149">
        <v>119.4</v>
      </c>
      <c r="K149">
        <v>159.5</v>
      </c>
      <c r="L149">
        <v>115.6</v>
      </c>
      <c r="M149">
        <v>139.6</v>
      </c>
      <c r="N149">
        <v>126.6</v>
      </c>
      <c r="O149">
        <v>142.80000000000001</v>
      </c>
      <c r="P149">
        <v>133.1</v>
      </c>
      <c r="Q149">
        <v>143.80000000000001</v>
      </c>
      <c r="R149">
        <v>136.6</v>
      </c>
      <c r="S149">
        <v>130.19999999999999</v>
      </c>
      <c r="T149">
        <v>135.6</v>
      </c>
      <c r="U149">
        <v>129.6</v>
      </c>
      <c r="V149" s="5">
        <v>126.8</v>
      </c>
      <c r="W149">
        <v>129.4</v>
      </c>
      <c r="X149">
        <v>127.1</v>
      </c>
      <c r="Y149">
        <v>117</v>
      </c>
      <c r="Z149">
        <v>124.2</v>
      </c>
      <c r="AA149">
        <v>133.30000000000001</v>
      </c>
      <c r="AB149">
        <v>121.7</v>
      </c>
      <c r="AC149">
        <v>124.4</v>
      </c>
      <c r="AD149">
        <v>130.30000000000001</v>
      </c>
      <c r="AE149" s="72">
        <f t="shared" si="10"/>
        <v>1871.0999999999995</v>
      </c>
      <c r="AF149" s="4">
        <f t="shared" si="11"/>
        <v>524.1</v>
      </c>
      <c r="AG149" s="4">
        <f t="shared" si="12"/>
        <v>502.79999999999995</v>
      </c>
      <c r="AH149" s="4">
        <f t="shared" si="13"/>
        <v>509</v>
      </c>
      <c r="AI149" s="6">
        <f t="shared" si="14"/>
        <v>3406.9999999999991</v>
      </c>
    </row>
    <row r="150" spans="1:35" x14ac:dyDescent="0.3">
      <c r="A150" t="s">
        <v>30</v>
      </c>
      <c r="B150">
        <v>2017</v>
      </c>
      <c r="C150" t="s">
        <v>34</v>
      </c>
      <c r="D150">
        <v>133.30000000000001</v>
      </c>
      <c r="E150">
        <v>138.30000000000001</v>
      </c>
      <c r="F150">
        <v>129.30000000000001</v>
      </c>
      <c r="G150">
        <v>137.19999999999999</v>
      </c>
      <c r="H150">
        <v>122.1</v>
      </c>
      <c r="I150">
        <v>138.69999999999999</v>
      </c>
      <c r="J150">
        <v>119.1</v>
      </c>
      <c r="K150">
        <v>156.9</v>
      </c>
      <c r="L150">
        <v>116.2</v>
      </c>
      <c r="M150">
        <v>136</v>
      </c>
      <c r="N150">
        <v>129.4</v>
      </c>
      <c r="O150">
        <v>144.4</v>
      </c>
      <c r="P150">
        <v>133.6</v>
      </c>
      <c r="Q150">
        <v>143.69999999999999</v>
      </c>
      <c r="R150">
        <v>140.9</v>
      </c>
      <c r="S150">
        <v>135.80000000000001</v>
      </c>
      <c r="T150">
        <v>140.19999999999999</v>
      </c>
      <c r="U150">
        <v>0</v>
      </c>
      <c r="V150" s="5">
        <v>133.19999999999999</v>
      </c>
      <c r="W150">
        <v>133.6</v>
      </c>
      <c r="X150">
        <v>130.1</v>
      </c>
      <c r="Y150">
        <v>119.5</v>
      </c>
      <c r="Z150">
        <v>127.7</v>
      </c>
      <c r="AA150">
        <v>134.9</v>
      </c>
      <c r="AB150">
        <v>123.2</v>
      </c>
      <c r="AC150">
        <v>127</v>
      </c>
      <c r="AD150">
        <v>132.6</v>
      </c>
      <c r="AE150" s="72">
        <f t="shared" si="10"/>
        <v>1878.2000000000003</v>
      </c>
      <c r="AF150" s="4">
        <f t="shared" si="11"/>
        <v>540.1</v>
      </c>
      <c r="AG150" s="4">
        <f t="shared" si="12"/>
        <v>386.29999999999995</v>
      </c>
      <c r="AH150" s="4">
        <f t="shared" si="13"/>
        <v>519.70000000000005</v>
      </c>
      <c r="AI150" s="6">
        <f t="shared" si="14"/>
        <v>3324.3</v>
      </c>
    </row>
    <row r="151" spans="1:35" x14ac:dyDescent="0.3">
      <c r="A151" t="s">
        <v>32</v>
      </c>
      <c r="B151">
        <v>2017</v>
      </c>
      <c r="C151" t="s">
        <v>34</v>
      </c>
      <c r="D151">
        <v>132.80000000000001</v>
      </c>
      <c r="E151">
        <v>139.80000000000001</v>
      </c>
      <c r="F151">
        <v>129.30000000000001</v>
      </c>
      <c r="G151">
        <v>133.5</v>
      </c>
      <c r="H151">
        <v>114.3</v>
      </c>
      <c r="I151">
        <v>131.4</v>
      </c>
      <c r="J151">
        <v>120.2</v>
      </c>
      <c r="K151">
        <v>143.1</v>
      </c>
      <c r="L151">
        <v>119.5</v>
      </c>
      <c r="M151">
        <v>144</v>
      </c>
      <c r="N151">
        <v>123.4</v>
      </c>
      <c r="O151">
        <v>141.9</v>
      </c>
      <c r="P151">
        <v>132.1</v>
      </c>
      <c r="Q151">
        <v>146.30000000000001</v>
      </c>
      <c r="R151">
        <v>130.5</v>
      </c>
      <c r="S151">
        <v>122.5</v>
      </c>
      <c r="T151">
        <v>129.30000000000001</v>
      </c>
      <c r="U151">
        <v>130.5</v>
      </c>
      <c r="V151" s="5">
        <v>119.2</v>
      </c>
      <c r="W151">
        <v>125.3</v>
      </c>
      <c r="X151">
        <v>122.9</v>
      </c>
      <c r="Y151">
        <v>115.5</v>
      </c>
      <c r="Z151">
        <v>122.2</v>
      </c>
      <c r="AA151">
        <v>132.4</v>
      </c>
      <c r="AB151">
        <v>121.7</v>
      </c>
      <c r="AC151">
        <v>122.4</v>
      </c>
      <c r="AD151">
        <v>128.19999999999999</v>
      </c>
      <c r="AE151" s="72">
        <f t="shared" si="10"/>
        <v>1851.6000000000001</v>
      </c>
      <c r="AF151" s="4">
        <f t="shared" si="11"/>
        <v>504</v>
      </c>
      <c r="AG151" s="4">
        <f t="shared" si="12"/>
        <v>490.5</v>
      </c>
      <c r="AH151" s="4">
        <f t="shared" si="13"/>
        <v>499.9</v>
      </c>
      <c r="AI151" s="6">
        <f t="shared" si="14"/>
        <v>3346.0000000000005</v>
      </c>
    </row>
    <row r="152" spans="1:35" x14ac:dyDescent="0.3">
      <c r="A152" t="s">
        <v>33</v>
      </c>
      <c r="B152">
        <v>2017</v>
      </c>
      <c r="C152" t="s">
        <v>34</v>
      </c>
      <c r="D152">
        <v>133.1</v>
      </c>
      <c r="E152">
        <v>138.80000000000001</v>
      </c>
      <c r="F152">
        <v>129.30000000000001</v>
      </c>
      <c r="G152">
        <v>135.80000000000001</v>
      </c>
      <c r="H152">
        <v>119.2</v>
      </c>
      <c r="I152">
        <v>135.30000000000001</v>
      </c>
      <c r="J152">
        <v>119.5</v>
      </c>
      <c r="K152">
        <v>152.19999999999999</v>
      </c>
      <c r="L152">
        <v>117.3</v>
      </c>
      <c r="M152">
        <v>138.69999999999999</v>
      </c>
      <c r="N152">
        <v>126.9</v>
      </c>
      <c r="O152">
        <v>143.19999999999999</v>
      </c>
      <c r="P152">
        <v>133</v>
      </c>
      <c r="Q152">
        <v>144.4</v>
      </c>
      <c r="R152">
        <v>136.80000000000001</v>
      </c>
      <c r="S152">
        <v>130.30000000000001</v>
      </c>
      <c r="T152">
        <v>135.9</v>
      </c>
      <c r="U152">
        <v>130.5</v>
      </c>
      <c r="V152" s="5">
        <v>127.9</v>
      </c>
      <c r="W152">
        <v>129.69999999999999</v>
      </c>
      <c r="X152">
        <v>127.4</v>
      </c>
      <c r="Y152">
        <v>117.4</v>
      </c>
      <c r="Z152">
        <v>124.6</v>
      </c>
      <c r="AA152">
        <v>133.4</v>
      </c>
      <c r="AB152">
        <v>122.6</v>
      </c>
      <c r="AC152">
        <v>124.8</v>
      </c>
      <c r="AD152">
        <v>130.6</v>
      </c>
      <c r="AE152" s="72">
        <f t="shared" si="10"/>
        <v>1866.7000000000003</v>
      </c>
      <c r="AF152" s="4">
        <f t="shared" si="11"/>
        <v>525.6</v>
      </c>
      <c r="AG152" s="4">
        <f t="shared" si="12"/>
        <v>505.5</v>
      </c>
      <c r="AH152" s="4">
        <f t="shared" si="13"/>
        <v>510.2</v>
      </c>
      <c r="AI152" s="6">
        <f t="shared" si="14"/>
        <v>3408</v>
      </c>
    </row>
    <row r="153" spans="1:35" x14ac:dyDescent="0.3">
      <c r="A153" t="s">
        <v>30</v>
      </c>
      <c r="B153">
        <v>2017</v>
      </c>
      <c r="C153" t="s">
        <v>35</v>
      </c>
      <c r="D153">
        <v>133.6</v>
      </c>
      <c r="E153">
        <v>138.80000000000001</v>
      </c>
      <c r="F153">
        <v>128.80000000000001</v>
      </c>
      <c r="G153">
        <v>137.19999999999999</v>
      </c>
      <c r="H153">
        <v>121.6</v>
      </c>
      <c r="I153">
        <v>139.69999999999999</v>
      </c>
      <c r="J153">
        <v>119.7</v>
      </c>
      <c r="K153">
        <v>148</v>
      </c>
      <c r="L153">
        <v>116.9</v>
      </c>
      <c r="M153">
        <v>135.6</v>
      </c>
      <c r="N153">
        <v>129.80000000000001</v>
      </c>
      <c r="O153">
        <v>145.4</v>
      </c>
      <c r="P153">
        <v>133.4</v>
      </c>
      <c r="Q153">
        <v>144.19999999999999</v>
      </c>
      <c r="R153">
        <v>141.6</v>
      </c>
      <c r="S153">
        <v>136.19999999999999</v>
      </c>
      <c r="T153">
        <v>140.80000000000001</v>
      </c>
      <c r="U153">
        <v>0</v>
      </c>
      <c r="V153" s="5">
        <v>134.19999999999999</v>
      </c>
      <c r="W153">
        <v>134.1</v>
      </c>
      <c r="X153">
        <v>130.6</v>
      </c>
      <c r="Y153">
        <v>119.8</v>
      </c>
      <c r="Z153">
        <v>128.30000000000001</v>
      </c>
      <c r="AA153">
        <v>135.19999999999999</v>
      </c>
      <c r="AB153">
        <v>123.3</v>
      </c>
      <c r="AC153">
        <v>127.4</v>
      </c>
      <c r="AD153">
        <v>132.80000000000001</v>
      </c>
      <c r="AE153" s="72">
        <f t="shared" si="10"/>
        <v>1872.7000000000003</v>
      </c>
      <c r="AF153" s="4">
        <f t="shared" si="11"/>
        <v>541.9</v>
      </c>
      <c r="AG153" s="4">
        <f t="shared" si="12"/>
        <v>388.09999999999997</v>
      </c>
      <c r="AH153" s="4">
        <f t="shared" si="13"/>
        <v>521.5</v>
      </c>
      <c r="AI153" s="6">
        <f t="shared" si="14"/>
        <v>3324.2000000000003</v>
      </c>
    </row>
    <row r="154" spans="1:35" x14ac:dyDescent="0.3">
      <c r="A154" t="s">
        <v>32</v>
      </c>
      <c r="B154">
        <v>2017</v>
      </c>
      <c r="C154" t="s">
        <v>35</v>
      </c>
      <c r="D154">
        <v>132.69999999999999</v>
      </c>
      <c r="E154">
        <v>139.4</v>
      </c>
      <c r="F154">
        <v>128.4</v>
      </c>
      <c r="G154">
        <v>134.9</v>
      </c>
      <c r="H154">
        <v>114</v>
      </c>
      <c r="I154">
        <v>136.80000000000001</v>
      </c>
      <c r="J154">
        <v>122.2</v>
      </c>
      <c r="K154">
        <v>135.80000000000001</v>
      </c>
      <c r="L154">
        <v>120.3</v>
      </c>
      <c r="M154">
        <v>142.6</v>
      </c>
      <c r="N154">
        <v>123.6</v>
      </c>
      <c r="O154">
        <v>142.4</v>
      </c>
      <c r="P154">
        <v>132.6</v>
      </c>
      <c r="Q154">
        <v>147.5</v>
      </c>
      <c r="R154">
        <v>130.80000000000001</v>
      </c>
      <c r="S154">
        <v>122.8</v>
      </c>
      <c r="T154">
        <v>129.6</v>
      </c>
      <c r="U154">
        <v>131.1</v>
      </c>
      <c r="V154" s="5">
        <v>120.8</v>
      </c>
      <c r="W154">
        <v>125.6</v>
      </c>
      <c r="X154">
        <v>123.1</v>
      </c>
      <c r="Y154">
        <v>115.6</v>
      </c>
      <c r="Z154">
        <v>122.4</v>
      </c>
      <c r="AA154">
        <v>132.80000000000001</v>
      </c>
      <c r="AB154">
        <v>121.7</v>
      </c>
      <c r="AC154">
        <v>122.6</v>
      </c>
      <c r="AD154">
        <v>128.69999999999999</v>
      </c>
      <c r="AE154" s="72">
        <f t="shared" si="10"/>
        <v>1853.1999999999998</v>
      </c>
      <c r="AF154" s="4">
        <f t="shared" si="11"/>
        <v>504.90000000000003</v>
      </c>
      <c r="AG154" s="4">
        <f t="shared" si="12"/>
        <v>493.1</v>
      </c>
      <c r="AH154" s="4">
        <f t="shared" si="13"/>
        <v>500.9</v>
      </c>
      <c r="AI154" s="6">
        <f t="shared" si="14"/>
        <v>3352.1</v>
      </c>
    </row>
    <row r="155" spans="1:35" x14ac:dyDescent="0.3">
      <c r="A155" t="s">
        <v>33</v>
      </c>
      <c r="B155">
        <v>2017</v>
      </c>
      <c r="C155" t="s">
        <v>35</v>
      </c>
      <c r="D155">
        <v>133.30000000000001</v>
      </c>
      <c r="E155">
        <v>139</v>
      </c>
      <c r="F155">
        <v>128.6</v>
      </c>
      <c r="G155">
        <v>136.30000000000001</v>
      </c>
      <c r="H155">
        <v>118.8</v>
      </c>
      <c r="I155">
        <v>138.30000000000001</v>
      </c>
      <c r="J155">
        <v>120.5</v>
      </c>
      <c r="K155">
        <v>143.9</v>
      </c>
      <c r="L155">
        <v>118</v>
      </c>
      <c r="M155">
        <v>137.9</v>
      </c>
      <c r="N155">
        <v>127.2</v>
      </c>
      <c r="O155">
        <v>144</v>
      </c>
      <c r="P155">
        <v>133.1</v>
      </c>
      <c r="Q155">
        <v>145.1</v>
      </c>
      <c r="R155">
        <v>137.30000000000001</v>
      </c>
      <c r="S155">
        <v>130.6</v>
      </c>
      <c r="T155">
        <v>136.4</v>
      </c>
      <c r="U155">
        <v>131.1</v>
      </c>
      <c r="V155" s="5">
        <v>129.1</v>
      </c>
      <c r="W155">
        <v>130.1</v>
      </c>
      <c r="X155">
        <v>127.8</v>
      </c>
      <c r="Y155">
        <v>117.6</v>
      </c>
      <c r="Z155">
        <v>125</v>
      </c>
      <c r="AA155">
        <v>133.80000000000001</v>
      </c>
      <c r="AB155">
        <v>122.6</v>
      </c>
      <c r="AC155">
        <v>125.1</v>
      </c>
      <c r="AD155">
        <v>130.9</v>
      </c>
      <c r="AE155" s="72">
        <f t="shared" si="10"/>
        <v>1864</v>
      </c>
      <c r="AF155" s="4">
        <f t="shared" si="11"/>
        <v>526.9</v>
      </c>
      <c r="AG155" s="4">
        <f t="shared" si="12"/>
        <v>507.9</v>
      </c>
      <c r="AH155" s="4">
        <f t="shared" si="13"/>
        <v>511.70000000000005</v>
      </c>
      <c r="AI155" s="6">
        <f t="shared" si="14"/>
        <v>3410.5</v>
      </c>
    </row>
    <row r="156" spans="1:35" x14ac:dyDescent="0.3">
      <c r="A156" t="s">
        <v>30</v>
      </c>
      <c r="B156">
        <v>2017</v>
      </c>
      <c r="C156" t="s">
        <v>36</v>
      </c>
      <c r="D156">
        <v>133.19999999999999</v>
      </c>
      <c r="E156">
        <v>138.69999999999999</v>
      </c>
      <c r="F156">
        <v>127.1</v>
      </c>
      <c r="G156">
        <v>137.69999999999999</v>
      </c>
      <c r="H156">
        <v>121.3</v>
      </c>
      <c r="I156">
        <v>141.80000000000001</v>
      </c>
      <c r="J156">
        <v>121.5</v>
      </c>
      <c r="K156">
        <v>144.5</v>
      </c>
      <c r="L156">
        <v>117.4</v>
      </c>
      <c r="M156">
        <v>134.1</v>
      </c>
      <c r="N156">
        <v>130</v>
      </c>
      <c r="O156">
        <v>145.5</v>
      </c>
      <c r="P156">
        <v>133.5</v>
      </c>
      <c r="Q156">
        <v>144.4</v>
      </c>
      <c r="R156">
        <v>142.4</v>
      </c>
      <c r="S156">
        <v>136.80000000000001</v>
      </c>
      <c r="T156">
        <v>141.6</v>
      </c>
      <c r="U156">
        <v>0</v>
      </c>
      <c r="V156" s="5">
        <v>135</v>
      </c>
      <c r="W156">
        <v>134.30000000000001</v>
      </c>
      <c r="X156">
        <v>131</v>
      </c>
      <c r="Y156">
        <v>119.2</v>
      </c>
      <c r="Z156">
        <v>128.30000000000001</v>
      </c>
      <c r="AA156">
        <v>135.69999999999999</v>
      </c>
      <c r="AB156">
        <v>123.7</v>
      </c>
      <c r="AC156">
        <v>127.5</v>
      </c>
      <c r="AD156">
        <v>132.9</v>
      </c>
      <c r="AE156" s="72">
        <f t="shared" si="10"/>
        <v>1870.7</v>
      </c>
      <c r="AF156" s="4">
        <f t="shared" si="11"/>
        <v>544.50000000000011</v>
      </c>
      <c r="AG156" s="4">
        <f t="shared" si="12"/>
        <v>388.5</v>
      </c>
      <c r="AH156" s="4">
        <f t="shared" si="13"/>
        <v>522.5</v>
      </c>
      <c r="AI156" s="6">
        <f t="shared" si="14"/>
        <v>3326.2000000000003</v>
      </c>
    </row>
    <row r="157" spans="1:35" x14ac:dyDescent="0.3">
      <c r="A157" t="s">
        <v>32</v>
      </c>
      <c r="B157">
        <v>2017</v>
      </c>
      <c r="C157" t="s">
        <v>36</v>
      </c>
      <c r="D157">
        <v>132.69999999999999</v>
      </c>
      <c r="E157">
        <v>140.6</v>
      </c>
      <c r="F157">
        <v>124.5</v>
      </c>
      <c r="G157">
        <v>136.30000000000001</v>
      </c>
      <c r="H157">
        <v>113.5</v>
      </c>
      <c r="I157">
        <v>137.69999999999999</v>
      </c>
      <c r="J157">
        <v>127.1</v>
      </c>
      <c r="K157">
        <v>133.80000000000001</v>
      </c>
      <c r="L157">
        <v>120.8</v>
      </c>
      <c r="M157">
        <v>141.30000000000001</v>
      </c>
      <c r="N157">
        <v>123.8</v>
      </c>
      <c r="O157">
        <v>142.6</v>
      </c>
      <c r="P157">
        <v>133.4</v>
      </c>
      <c r="Q157">
        <v>148</v>
      </c>
      <c r="R157">
        <v>131.19999999999999</v>
      </c>
      <c r="S157">
        <v>123</v>
      </c>
      <c r="T157">
        <v>130</v>
      </c>
      <c r="U157">
        <v>131.69999999999999</v>
      </c>
      <c r="V157" s="5">
        <v>121.4</v>
      </c>
      <c r="W157">
        <v>126</v>
      </c>
      <c r="X157">
        <v>123.4</v>
      </c>
      <c r="Y157">
        <v>114.3</v>
      </c>
      <c r="Z157">
        <v>122.6</v>
      </c>
      <c r="AA157">
        <v>133.6</v>
      </c>
      <c r="AB157">
        <v>122.2</v>
      </c>
      <c r="AC157">
        <v>122.5</v>
      </c>
      <c r="AD157">
        <v>129.1</v>
      </c>
      <c r="AE157" s="72">
        <f t="shared" si="10"/>
        <v>1856.1</v>
      </c>
      <c r="AF157" s="4">
        <f t="shared" si="11"/>
        <v>506.4</v>
      </c>
      <c r="AG157" s="4">
        <f t="shared" si="12"/>
        <v>493.40000000000003</v>
      </c>
      <c r="AH157" s="4">
        <f t="shared" si="13"/>
        <v>502.1</v>
      </c>
      <c r="AI157" s="6">
        <f t="shared" si="14"/>
        <v>3358</v>
      </c>
    </row>
    <row r="158" spans="1:35" x14ac:dyDescent="0.3">
      <c r="A158" t="s">
        <v>33</v>
      </c>
      <c r="B158">
        <v>2017</v>
      </c>
      <c r="C158" t="s">
        <v>36</v>
      </c>
      <c r="D158">
        <v>133</v>
      </c>
      <c r="E158">
        <v>139.4</v>
      </c>
      <c r="F158">
        <v>126.1</v>
      </c>
      <c r="G158">
        <v>137.19999999999999</v>
      </c>
      <c r="H158">
        <v>118.4</v>
      </c>
      <c r="I158">
        <v>139.9</v>
      </c>
      <c r="J158">
        <v>123.4</v>
      </c>
      <c r="K158">
        <v>140.9</v>
      </c>
      <c r="L158">
        <v>118.5</v>
      </c>
      <c r="M158">
        <v>136.5</v>
      </c>
      <c r="N158">
        <v>127.4</v>
      </c>
      <c r="O158">
        <v>144.19999999999999</v>
      </c>
      <c r="P158">
        <v>133.5</v>
      </c>
      <c r="Q158">
        <v>145.4</v>
      </c>
      <c r="R158">
        <v>138</v>
      </c>
      <c r="S158">
        <v>131.1</v>
      </c>
      <c r="T158">
        <v>137</v>
      </c>
      <c r="U158">
        <v>131.69999999999999</v>
      </c>
      <c r="V158" s="5">
        <v>129.80000000000001</v>
      </c>
      <c r="W158">
        <v>130.4</v>
      </c>
      <c r="X158">
        <v>128.1</v>
      </c>
      <c r="Y158">
        <v>116.6</v>
      </c>
      <c r="Z158">
        <v>125.1</v>
      </c>
      <c r="AA158">
        <v>134.5</v>
      </c>
      <c r="AB158">
        <v>123.1</v>
      </c>
      <c r="AC158">
        <v>125.1</v>
      </c>
      <c r="AD158">
        <v>131.1</v>
      </c>
      <c r="AE158" s="72">
        <f t="shared" si="10"/>
        <v>1863.8000000000002</v>
      </c>
      <c r="AF158" s="4">
        <f t="shared" si="11"/>
        <v>529.20000000000005</v>
      </c>
      <c r="AG158" s="4">
        <f t="shared" si="12"/>
        <v>508.5</v>
      </c>
      <c r="AH158" s="4">
        <f t="shared" si="13"/>
        <v>512.79999999999995</v>
      </c>
      <c r="AI158" s="6">
        <f t="shared" si="14"/>
        <v>3414.3</v>
      </c>
    </row>
    <row r="159" spans="1:35" x14ac:dyDescent="0.3">
      <c r="A159" t="s">
        <v>30</v>
      </c>
      <c r="B159">
        <v>2017</v>
      </c>
      <c r="C159" t="s">
        <v>37</v>
      </c>
      <c r="D159">
        <v>133.1</v>
      </c>
      <c r="E159">
        <v>140.30000000000001</v>
      </c>
      <c r="F159">
        <v>126.8</v>
      </c>
      <c r="G159">
        <v>138.19999999999999</v>
      </c>
      <c r="H159">
        <v>120.8</v>
      </c>
      <c r="I159">
        <v>140.19999999999999</v>
      </c>
      <c r="J159">
        <v>123.8</v>
      </c>
      <c r="K159">
        <v>141.80000000000001</v>
      </c>
      <c r="L159">
        <v>118.6</v>
      </c>
      <c r="M159">
        <v>134</v>
      </c>
      <c r="N159">
        <v>130.30000000000001</v>
      </c>
      <c r="O159">
        <v>145.80000000000001</v>
      </c>
      <c r="P159">
        <v>133.80000000000001</v>
      </c>
      <c r="Q159">
        <v>145.5</v>
      </c>
      <c r="R159">
        <v>142.5</v>
      </c>
      <c r="S159">
        <v>137.30000000000001</v>
      </c>
      <c r="T159">
        <v>141.80000000000001</v>
      </c>
      <c r="U159">
        <v>0</v>
      </c>
      <c r="V159" s="5">
        <v>135</v>
      </c>
      <c r="W159">
        <v>134.9</v>
      </c>
      <c r="X159">
        <v>131.4</v>
      </c>
      <c r="Y159">
        <v>119.4</v>
      </c>
      <c r="Z159">
        <v>129.4</v>
      </c>
      <c r="AA159">
        <v>136.30000000000001</v>
      </c>
      <c r="AB159">
        <v>123.7</v>
      </c>
      <c r="AC159">
        <v>127.9</v>
      </c>
      <c r="AD159">
        <v>133.30000000000001</v>
      </c>
      <c r="AE159" s="72">
        <f t="shared" si="10"/>
        <v>1872.9999999999995</v>
      </c>
      <c r="AF159" s="4">
        <f t="shared" si="11"/>
        <v>545.30000000000007</v>
      </c>
      <c r="AG159" s="4">
        <f t="shared" si="12"/>
        <v>389.29999999999995</v>
      </c>
      <c r="AH159" s="4">
        <f t="shared" si="13"/>
        <v>525</v>
      </c>
      <c r="AI159" s="6">
        <f t="shared" si="14"/>
        <v>3332.5999999999995</v>
      </c>
    </row>
    <row r="160" spans="1:35" x14ac:dyDescent="0.3">
      <c r="A160" t="s">
        <v>32</v>
      </c>
      <c r="B160">
        <v>2017</v>
      </c>
      <c r="C160" t="s">
        <v>37</v>
      </c>
      <c r="D160">
        <v>132.6</v>
      </c>
      <c r="E160">
        <v>144.1</v>
      </c>
      <c r="F160">
        <v>125.6</v>
      </c>
      <c r="G160">
        <v>136.80000000000001</v>
      </c>
      <c r="H160">
        <v>113.4</v>
      </c>
      <c r="I160">
        <v>135.19999999999999</v>
      </c>
      <c r="J160">
        <v>129.19999999999999</v>
      </c>
      <c r="K160">
        <v>131.5</v>
      </c>
      <c r="L160">
        <v>121</v>
      </c>
      <c r="M160">
        <v>139.9</v>
      </c>
      <c r="N160">
        <v>123.8</v>
      </c>
      <c r="O160">
        <v>142.9</v>
      </c>
      <c r="P160">
        <v>133.6</v>
      </c>
      <c r="Q160">
        <v>148.30000000000001</v>
      </c>
      <c r="R160">
        <v>131.5</v>
      </c>
      <c r="S160">
        <v>123.2</v>
      </c>
      <c r="T160">
        <v>130.19999999999999</v>
      </c>
      <c r="U160">
        <v>132.1</v>
      </c>
      <c r="V160" s="5">
        <v>120.1</v>
      </c>
      <c r="W160">
        <v>126.5</v>
      </c>
      <c r="X160">
        <v>123.6</v>
      </c>
      <c r="Y160">
        <v>114.3</v>
      </c>
      <c r="Z160">
        <v>122.8</v>
      </c>
      <c r="AA160">
        <v>133.80000000000001</v>
      </c>
      <c r="AB160">
        <v>122</v>
      </c>
      <c r="AC160">
        <v>122.6</v>
      </c>
      <c r="AD160">
        <v>129.30000000000001</v>
      </c>
      <c r="AE160" s="72">
        <f t="shared" si="10"/>
        <v>1857.8999999999999</v>
      </c>
      <c r="AF160" s="4">
        <f t="shared" si="11"/>
        <v>506.9</v>
      </c>
      <c r="AG160" s="4">
        <f t="shared" si="12"/>
        <v>493</v>
      </c>
      <c r="AH160" s="4">
        <f t="shared" si="13"/>
        <v>502.79999999999995</v>
      </c>
      <c r="AI160" s="6">
        <f t="shared" si="14"/>
        <v>3360.5999999999995</v>
      </c>
    </row>
    <row r="161" spans="1:35" x14ac:dyDescent="0.3">
      <c r="A161" t="s">
        <v>33</v>
      </c>
      <c r="B161">
        <v>2017</v>
      </c>
      <c r="C161" t="s">
        <v>37</v>
      </c>
      <c r="D161">
        <v>132.9</v>
      </c>
      <c r="E161">
        <v>141.6</v>
      </c>
      <c r="F161">
        <v>126.3</v>
      </c>
      <c r="G161">
        <v>137.69999999999999</v>
      </c>
      <c r="H161">
        <v>118.1</v>
      </c>
      <c r="I161">
        <v>137.9</v>
      </c>
      <c r="J161">
        <v>125.6</v>
      </c>
      <c r="K161">
        <v>138.30000000000001</v>
      </c>
      <c r="L161">
        <v>119.4</v>
      </c>
      <c r="M161">
        <v>136</v>
      </c>
      <c r="N161">
        <v>127.6</v>
      </c>
      <c r="O161">
        <v>144.5</v>
      </c>
      <c r="P161">
        <v>133.69999999999999</v>
      </c>
      <c r="Q161">
        <v>146.19999999999999</v>
      </c>
      <c r="R161">
        <v>138.19999999999999</v>
      </c>
      <c r="S161">
        <v>131.4</v>
      </c>
      <c r="T161">
        <v>137.19999999999999</v>
      </c>
      <c r="U161">
        <v>132.1</v>
      </c>
      <c r="V161" s="5">
        <v>129.4</v>
      </c>
      <c r="W161">
        <v>130.9</v>
      </c>
      <c r="X161">
        <v>128.4</v>
      </c>
      <c r="Y161">
        <v>116.7</v>
      </c>
      <c r="Z161">
        <v>125.7</v>
      </c>
      <c r="AA161">
        <v>134.80000000000001</v>
      </c>
      <c r="AB161">
        <v>123</v>
      </c>
      <c r="AC161">
        <v>125.3</v>
      </c>
      <c r="AD161">
        <v>131.4</v>
      </c>
      <c r="AE161" s="72">
        <f t="shared" si="10"/>
        <v>1865.8000000000002</v>
      </c>
      <c r="AF161" s="4">
        <f t="shared" si="11"/>
        <v>529.79999999999995</v>
      </c>
      <c r="AG161" s="4">
        <f t="shared" si="12"/>
        <v>509.09999999999997</v>
      </c>
      <c r="AH161" s="4">
        <f t="shared" si="13"/>
        <v>514.20000000000005</v>
      </c>
      <c r="AI161" s="6">
        <f t="shared" si="14"/>
        <v>3418.9000000000005</v>
      </c>
    </row>
    <row r="162" spans="1:35" x14ac:dyDescent="0.3">
      <c r="A162" t="s">
        <v>30</v>
      </c>
      <c r="B162">
        <v>2017</v>
      </c>
      <c r="C162" t="s">
        <v>38</v>
      </c>
      <c r="D162">
        <v>133.5</v>
      </c>
      <c r="E162">
        <v>143.69999999999999</v>
      </c>
      <c r="F162">
        <v>128</v>
      </c>
      <c r="G162">
        <v>138.6</v>
      </c>
      <c r="H162">
        <v>120.9</v>
      </c>
      <c r="I162">
        <v>140.9</v>
      </c>
      <c r="J162">
        <v>128.80000000000001</v>
      </c>
      <c r="K162">
        <v>140.19999999999999</v>
      </c>
      <c r="L162">
        <v>118.9</v>
      </c>
      <c r="M162">
        <v>133.5</v>
      </c>
      <c r="N162">
        <v>130.4</v>
      </c>
      <c r="O162">
        <v>146.5</v>
      </c>
      <c r="P162">
        <v>134.9</v>
      </c>
      <c r="Q162">
        <v>145.80000000000001</v>
      </c>
      <c r="R162">
        <v>143.1</v>
      </c>
      <c r="S162">
        <v>137.69999999999999</v>
      </c>
      <c r="T162">
        <v>142.30000000000001</v>
      </c>
      <c r="U162">
        <v>0</v>
      </c>
      <c r="V162" s="5">
        <v>134.80000000000001</v>
      </c>
      <c r="W162">
        <v>135.19999999999999</v>
      </c>
      <c r="X162">
        <v>131.30000000000001</v>
      </c>
      <c r="Y162">
        <v>119.4</v>
      </c>
      <c r="Z162">
        <v>129.80000000000001</v>
      </c>
      <c r="AA162">
        <v>136.9</v>
      </c>
      <c r="AB162">
        <v>124.1</v>
      </c>
      <c r="AC162">
        <v>128.1</v>
      </c>
      <c r="AD162">
        <v>133.9</v>
      </c>
      <c r="AE162" s="72">
        <f t="shared" si="10"/>
        <v>1884.6000000000001</v>
      </c>
      <c r="AF162" s="4">
        <f t="shared" si="11"/>
        <v>547.19999999999993</v>
      </c>
      <c r="AG162" s="4">
        <f t="shared" si="12"/>
        <v>389.4</v>
      </c>
      <c r="AH162" s="4">
        <f t="shared" si="13"/>
        <v>526.1</v>
      </c>
      <c r="AI162" s="6">
        <f t="shared" si="14"/>
        <v>3347.3</v>
      </c>
    </row>
    <row r="163" spans="1:35" x14ac:dyDescent="0.3">
      <c r="A163" t="s">
        <v>32</v>
      </c>
      <c r="B163">
        <v>2017</v>
      </c>
      <c r="C163" t="s">
        <v>38</v>
      </c>
      <c r="D163">
        <v>132.9</v>
      </c>
      <c r="E163">
        <v>148.69999999999999</v>
      </c>
      <c r="F163">
        <v>128.30000000000001</v>
      </c>
      <c r="G163">
        <v>137.30000000000001</v>
      </c>
      <c r="H163">
        <v>113.5</v>
      </c>
      <c r="I163">
        <v>137.19999999999999</v>
      </c>
      <c r="J163">
        <v>142.19999999999999</v>
      </c>
      <c r="K163">
        <v>128.19999999999999</v>
      </c>
      <c r="L163">
        <v>120.9</v>
      </c>
      <c r="M163">
        <v>138.80000000000001</v>
      </c>
      <c r="N163">
        <v>124.2</v>
      </c>
      <c r="O163">
        <v>143.1</v>
      </c>
      <c r="P163">
        <v>135.69999999999999</v>
      </c>
      <c r="Q163">
        <v>148.6</v>
      </c>
      <c r="R163">
        <v>131.5</v>
      </c>
      <c r="S163">
        <v>123.2</v>
      </c>
      <c r="T163">
        <v>130.19999999999999</v>
      </c>
      <c r="U163">
        <v>131.4</v>
      </c>
      <c r="V163" s="5">
        <v>119</v>
      </c>
      <c r="W163">
        <v>126.8</v>
      </c>
      <c r="X163">
        <v>123.8</v>
      </c>
      <c r="Y163">
        <v>113.9</v>
      </c>
      <c r="Z163">
        <v>122.9</v>
      </c>
      <c r="AA163">
        <v>134.30000000000001</v>
      </c>
      <c r="AB163">
        <v>122.5</v>
      </c>
      <c r="AC163">
        <v>122.7</v>
      </c>
      <c r="AD163">
        <v>129.9</v>
      </c>
      <c r="AE163" s="72">
        <f t="shared" si="10"/>
        <v>1879.6000000000001</v>
      </c>
      <c r="AF163" s="4">
        <f t="shared" si="11"/>
        <v>507.4</v>
      </c>
      <c r="AG163" s="4">
        <f t="shared" si="12"/>
        <v>491.1</v>
      </c>
      <c r="AH163" s="4">
        <f t="shared" si="13"/>
        <v>503.7</v>
      </c>
      <c r="AI163" s="6">
        <f t="shared" si="14"/>
        <v>3381.7999999999997</v>
      </c>
    </row>
    <row r="164" spans="1:35" x14ac:dyDescent="0.3">
      <c r="A164" t="s">
        <v>33</v>
      </c>
      <c r="B164">
        <v>2017</v>
      </c>
      <c r="C164" t="s">
        <v>38</v>
      </c>
      <c r="D164">
        <v>133.30000000000001</v>
      </c>
      <c r="E164">
        <v>145.5</v>
      </c>
      <c r="F164">
        <v>128.1</v>
      </c>
      <c r="G164">
        <v>138.1</v>
      </c>
      <c r="H164">
        <v>118.2</v>
      </c>
      <c r="I164">
        <v>139.19999999999999</v>
      </c>
      <c r="J164">
        <v>133.30000000000001</v>
      </c>
      <c r="K164">
        <v>136.19999999999999</v>
      </c>
      <c r="L164">
        <v>119.6</v>
      </c>
      <c r="M164">
        <v>135.30000000000001</v>
      </c>
      <c r="N164">
        <v>127.8</v>
      </c>
      <c r="O164">
        <v>144.9</v>
      </c>
      <c r="P164">
        <v>135.19999999999999</v>
      </c>
      <c r="Q164">
        <v>146.5</v>
      </c>
      <c r="R164">
        <v>138.5</v>
      </c>
      <c r="S164">
        <v>131.69999999999999</v>
      </c>
      <c r="T164">
        <v>137.5</v>
      </c>
      <c r="U164">
        <v>131.4</v>
      </c>
      <c r="V164" s="5">
        <v>128.80000000000001</v>
      </c>
      <c r="W164">
        <v>131.19999999999999</v>
      </c>
      <c r="X164">
        <v>128.5</v>
      </c>
      <c r="Y164">
        <v>116.5</v>
      </c>
      <c r="Z164">
        <v>125.9</v>
      </c>
      <c r="AA164">
        <v>135.4</v>
      </c>
      <c r="AB164">
        <v>123.4</v>
      </c>
      <c r="AC164">
        <v>125.5</v>
      </c>
      <c r="AD164">
        <v>132</v>
      </c>
      <c r="AE164" s="72">
        <f t="shared" si="10"/>
        <v>1881.2</v>
      </c>
      <c r="AF164" s="4">
        <f t="shared" si="11"/>
        <v>531.1</v>
      </c>
      <c r="AG164" s="4">
        <f t="shared" si="12"/>
        <v>507.90000000000003</v>
      </c>
      <c r="AH164" s="4">
        <f t="shared" si="13"/>
        <v>515.29999999999995</v>
      </c>
      <c r="AI164" s="6">
        <f t="shared" si="14"/>
        <v>3435.5</v>
      </c>
    </row>
    <row r="165" spans="1:35" x14ac:dyDescent="0.3">
      <c r="A165" t="s">
        <v>30</v>
      </c>
      <c r="B165">
        <v>2017</v>
      </c>
      <c r="C165" t="s">
        <v>39</v>
      </c>
      <c r="D165">
        <v>134</v>
      </c>
      <c r="E165">
        <v>144.19999999999999</v>
      </c>
      <c r="F165">
        <v>129.80000000000001</v>
      </c>
      <c r="G165">
        <v>139</v>
      </c>
      <c r="H165">
        <v>120.9</v>
      </c>
      <c r="I165">
        <v>143.9</v>
      </c>
      <c r="J165">
        <v>151.5</v>
      </c>
      <c r="K165">
        <v>138.1</v>
      </c>
      <c r="L165">
        <v>120</v>
      </c>
      <c r="M165">
        <v>133.9</v>
      </c>
      <c r="N165">
        <v>131.4</v>
      </c>
      <c r="O165">
        <v>147.69999999999999</v>
      </c>
      <c r="P165">
        <v>138.5</v>
      </c>
      <c r="Q165">
        <v>147.4</v>
      </c>
      <c r="R165">
        <v>144.30000000000001</v>
      </c>
      <c r="S165">
        <v>138.1</v>
      </c>
      <c r="T165">
        <v>143.5</v>
      </c>
      <c r="U165">
        <v>0</v>
      </c>
      <c r="V165" s="5">
        <v>135.30000000000001</v>
      </c>
      <c r="W165">
        <v>136.1</v>
      </c>
      <c r="X165">
        <v>132.1</v>
      </c>
      <c r="Y165">
        <v>119.1</v>
      </c>
      <c r="Z165">
        <v>130.6</v>
      </c>
      <c r="AA165">
        <v>138.6</v>
      </c>
      <c r="AB165">
        <v>124.4</v>
      </c>
      <c r="AC165">
        <v>128.6</v>
      </c>
      <c r="AD165">
        <v>136.19999999999999</v>
      </c>
      <c r="AE165" s="72">
        <f t="shared" si="10"/>
        <v>1920.3000000000002</v>
      </c>
      <c r="AF165" s="4">
        <f t="shared" si="11"/>
        <v>550.29999999999995</v>
      </c>
      <c r="AG165" s="4">
        <f t="shared" si="12"/>
        <v>390.5</v>
      </c>
      <c r="AH165" s="4">
        <f t="shared" si="13"/>
        <v>529.9</v>
      </c>
      <c r="AI165" s="6">
        <f t="shared" si="14"/>
        <v>3391.0000000000005</v>
      </c>
    </row>
    <row r="166" spans="1:35" x14ac:dyDescent="0.3">
      <c r="A166" t="s">
        <v>32</v>
      </c>
      <c r="B166">
        <v>2017</v>
      </c>
      <c r="C166" t="s">
        <v>39</v>
      </c>
      <c r="D166">
        <v>132.80000000000001</v>
      </c>
      <c r="E166">
        <v>148.4</v>
      </c>
      <c r="F166">
        <v>129.4</v>
      </c>
      <c r="G166">
        <v>137.69999999999999</v>
      </c>
      <c r="H166">
        <v>113.4</v>
      </c>
      <c r="I166">
        <v>139.4</v>
      </c>
      <c r="J166">
        <v>175.1</v>
      </c>
      <c r="K166">
        <v>124.7</v>
      </c>
      <c r="L166">
        <v>121.5</v>
      </c>
      <c r="M166">
        <v>137.80000000000001</v>
      </c>
      <c r="N166">
        <v>124.4</v>
      </c>
      <c r="O166">
        <v>143.69999999999999</v>
      </c>
      <c r="P166">
        <v>139.80000000000001</v>
      </c>
      <c r="Q166">
        <v>150.5</v>
      </c>
      <c r="R166">
        <v>131.6</v>
      </c>
      <c r="S166">
        <v>123.7</v>
      </c>
      <c r="T166">
        <v>130.4</v>
      </c>
      <c r="U166">
        <v>132.6</v>
      </c>
      <c r="V166" s="5">
        <v>119.7</v>
      </c>
      <c r="W166">
        <v>127.2</v>
      </c>
      <c r="X166">
        <v>125</v>
      </c>
      <c r="Y166">
        <v>113.2</v>
      </c>
      <c r="Z166">
        <v>123.5</v>
      </c>
      <c r="AA166">
        <v>135.5</v>
      </c>
      <c r="AB166">
        <v>122.4</v>
      </c>
      <c r="AC166">
        <v>123</v>
      </c>
      <c r="AD166">
        <v>131.80000000000001</v>
      </c>
      <c r="AE166" s="72">
        <f t="shared" si="10"/>
        <v>1918.6</v>
      </c>
      <c r="AF166" s="4">
        <f t="shared" si="11"/>
        <v>508.1</v>
      </c>
      <c r="AG166" s="4">
        <f t="shared" si="12"/>
        <v>492.7</v>
      </c>
      <c r="AH166" s="4">
        <f t="shared" si="13"/>
        <v>507</v>
      </c>
      <c r="AI166" s="6">
        <f t="shared" si="14"/>
        <v>3426.3999999999996</v>
      </c>
    </row>
    <row r="167" spans="1:35" x14ac:dyDescent="0.3">
      <c r="A167" t="s">
        <v>33</v>
      </c>
      <c r="B167">
        <v>2017</v>
      </c>
      <c r="C167" t="s">
        <v>39</v>
      </c>
      <c r="D167">
        <v>133.6</v>
      </c>
      <c r="E167">
        <v>145.69999999999999</v>
      </c>
      <c r="F167">
        <v>129.6</v>
      </c>
      <c r="G167">
        <v>138.5</v>
      </c>
      <c r="H167">
        <v>118.1</v>
      </c>
      <c r="I167">
        <v>141.80000000000001</v>
      </c>
      <c r="J167">
        <v>159.5</v>
      </c>
      <c r="K167">
        <v>133.6</v>
      </c>
      <c r="L167">
        <v>120.5</v>
      </c>
      <c r="M167">
        <v>135.19999999999999</v>
      </c>
      <c r="N167">
        <v>128.5</v>
      </c>
      <c r="O167">
        <v>145.80000000000001</v>
      </c>
      <c r="P167">
        <v>139</v>
      </c>
      <c r="Q167">
        <v>148.19999999999999</v>
      </c>
      <c r="R167">
        <v>139.30000000000001</v>
      </c>
      <c r="S167">
        <v>132.1</v>
      </c>
      <c r="T167">
        <v>138.30000000000001</v>
      </c>
      <c r="U167">
        <v>132.6</v>
      </c>
      <c r="V167" s="5">
        <v>129.4</v>
      </c>
      <c r="W167">
        <v>131.9</v>
      </c>
      <c r="X167">
        <v>129.4</v>
      </c>
      <c r="Y167">
        <v>116</v>
      </c>
      <c r="Z167">
        <v>126.6</v>
      </c>
      <c r="AA167">
        <v>136.80000000000001</v>
      </c>
      <c r="AB167">
        <v>123.6</v>
      </c>
      <c r="AC167">
        <v>125.9</v>
      </c>
      <c r="AD167">
        <v>134.19999999999999</v>
      </c>
      <c r="AE167" s="72">
        <f t="shared" si="10"/>
        <v>1917.6</v>
      </c>
      <c r="AF167" s="4">
        <f t="shared" si="11"/>
        <v>533.29999999999995</v>
      </c>
      <c r="AG167" s="4">
        <f t="shared" si="12"/>
        <v>509.9</v>
      </c>
      <c r="AH167" s="4">
        <f t="shared" si="13"/>
        <v>518.70000000000005</v>
      </c>
      <c r="AI167" s="6">
        <f t="shared" si="14"/>
        <v>3479.5</v>
      </c>
    </row>
    <row r="168" spans="1:35" x14ac:dyDescent="0.3">
      <c r="A168" t="s">
        <v>30</v>
      </c>
      <c r="B168">
        <v>2017</v>
      </c>
      <c r="C168" t="s">
        <v>40</v>
      </c>
      <c r="D168">
        <v>134.80000000000001</v>
      </c>
      <c r="E168">
        <v>143.1</v>
      </c>
      <c r="F168">
        <v>130</v>
      </c>
      <c r="G168">
        <v>139.4</v>
      </c>
      <c r="H168">
        <v>120.5</v>
      </c>
      <c r="I168">
        <v>148</v>
      </c>
      <c r="J168">
        <v>162.9</v>
      </c>
      <c r="K168">
        <v>137.4</v>
      </c>
      <c r="L168">
        <v>120.8</v>
      </c>
      <c r="M168">
        <v>134.69999999999999</v>
      </c>
      <c r="N168">
        <v>131.6</v>
      </c>
      <c r="O168">
        <v>148.69999999999999</v>
      </c>
      <c r="P168">
        <v>140.6</v>
      </c>
      <c r="Q168">
        <v>149</v>
      </c>
      <c r="R168">
        <v>145.30000000000001</v>
      </c>
      <c r="S168">
        <v>139.19999999999999</v>
      </c>
      <c r="T168">
        <v>144.5</v>
      </c>
      <c r="U168">
        <v>0</v>
      </c>
      <c r="V168" s="5">
        <v>136.4</v>
      </c>
      <c r="W168">
        <v>137.30000000000001</v>
      </c>
      <c r="X168">
        <v>133</v>
      </c>
      <c r="Y168">
        <v>120.3</v>
      </c>
      <c r="Z168">
        <v>131.5</v>
      </c>
      <c r="AA168">
        <v>140.19999999999999</v>
      </c>
      <c r="AB168">
        <v>125.4</v>
      </c>
      <c r="AC168">
        <v>129.69999999999999</v>
      </c>
      <c r="AD168">
        <v>137.80000000000001</v>
      </c>
      <c r="AE168" s="72">
        <f t="shared" si="10"/>
        <v>1941.4999999999998</v>
      </c>
      <c r="AF168" s="4">
        <f t="shared" si="11"/>
        <v>554.4</v>
      </c>
      <c r="AG168" s="4">
        <f t="shared" si="12"/>
        <v>394.00000000000006</v>
      </c>
      <c r="AH168" s="4">
        <f t="shared" si="13"/>
        <v>534.4</v>
      </c>
      <c r="AI168" s="6">
        <f t="shared" si="14"/>
        <v>3424.2999999999997</v>
      </c>
    </row>
    <row r="169" spans="1:35" x14ac:dyDescent="0.3">
      <c r="A169" t="s">
        <v>32</v>
      </c>
      <c r="B169">
        <v>2017</v>
      </c>
      <c r="C169" t="s">
        <v>40</v>
      </c>
      <c r="D169">
        <v>133.19999999999999</v>
      </c>
      <c r="E169">
        <v>143.9</v>
      </c>
      <c r="F169">
        <v>128.30000000000001</v>
      </c>
      <c r="G169">
        <v>138.30000000000001</v>
      </c>
      <c r="H169">
        <v>114.1</v>
      </c>
      <c r="I169">
        <v>142.69999999999999</v>
      </c>
      <c r="J169">
        <v>179.8</v>
      </c>
      <c r="K169">
        <v>123.5</v>
      </c>
      <c r="L169">
        <v>122.1</v>
      </c>
      <c r="M169">
        <v>137.5</v>
      </c>
      <c r="N169">
        <v>124.6</v>
      </c>
      <c r="O169">
        <v>144.5</v>
      </c>
      <c r="P169">
        <v>140.5</v>
      </c>
      <c r="Q169">
        <v>152.1</v>
      </c>
      <c r="R169">
        <v>132.69999999999999</v>
      </c>
      <c r="S169">
        <v>124.3</v>
      </c>
      <c r="T169">
        <v>131.4</v>
      </c>
      <c r="U169">
        <v>134.4</v>
      </c>
      <c r="V169" s="5">
        <v>118.9</v>
      </c>
      <c r="W169">
        <v>127.7</v>
      </c>
      <c r="X169">
        <v>125.7</v>
      </c>
      <c r="Y169">
        <v>114.6</v>
      </c>
      <c r="Z169">
        <v>124.1</v>
      </c>
      <c r="AA169">
        <v>135.69999999999999</v>
      </c>
      <c r="AB169">
        <v>123.3</v>
      </c>
      <c r="AC169">
        <v>123.8</v>
      </c>
      <c r="AD169">
        <v>132.69999999999999</v>
      </c>
      <c r="AE169" s="72">
        <f t="shared" si="10"/>
        <v>1925.0999999999997</v>
      </c>
      <c r="AF169" s="4">
        <f t="shared" si="11"/>
        <v>511.7</v>
      </c>
      <c r="AG169" s="4">
        <f t="shared" si="12"/>
        <v>495.6</v>
      </c>
      <c r="AH169" s="4">
        <f t="shared" si="13"/>
        <v>509.3</v>
      </c>
      <c r="AI169" s="6">
        <f t="shared" si="14"/>
        <v>3441.7</v>
      </c>
    </row>
    <row r="170" spans="1:35" x14ac:dyDescent="0.3">
      <c r="A170" t="s">
        <v>33</v>
      </c>
      <c r="B170">
        <v>2017</v>
      </c>
      <c r="C170" t="s">
        <v>40</v>
      </c>
      <c r="D170">
        <v>134.30000000000001</v>
      </c>
      <c r="E170">
        <v>143.4</v>
      </c>
      <c r="F170">
        <v>129.30000000000001</v>
      </c>
      <c r="G170">
        <v>139</v>
      </c>
      <c r="H170">
        <v>118.1</v>
      </c>
      <c r="I170">
        <v>145.5</v>
      </c>
      <c r="J170">
        <v>168.6</v>
      </c>
      <c r="K170">
        <v>132.69999999999999</v>
      </c>
      <c r="L170">
        <v>121.2</v>
      </c>
      <c r="M170">
        <v>135.6</v>
      </c>
      <c r="N170">
        <v>128.69999999999999</v>
      </c>
      <c r="O170">
        <v>146.80000000000001</v>
      </c>
      <c r="P170">
        <v>140.6</v>
      </c>
      <c r="Q170">
        <v>149.80000000000001</v>
      </c>
      <c r="R170">
        <v>140.30000000000001</v>
      </c>
      <c r="S170">
        <v>133</v>
      </c>
      <c r="T170">
        <v>139.30000000000001</v>
      </c>
      <c r="U170">
        <v>134.4</v>
      </c>
      <c r="V170" s="5">
        <v>129.80000000000001</v>
      </c>
      <c r="W170">
        <v>132.80000000000001</v>
      </c>
      <c r="X170">
        <v>130.19999999999999</v>
      </c>
      <c r="Y170">
        <v>117.3</v>
      </c>
      <c r="Z170">
        <v>127.3</v>
      </c>
      <c r="AA170">
        <v>137.6</v>
      </c>
      <c r="AB170">
        <v>124.5</v>
      </c>
      <c r="AC170">
        <v>126.8</v>
      </c>
      <c r="AD170">
        <v>135.4</v>
      </c>
      <c r="AE170" s="72">
        <f t="shared" si="10"/>
        <v>1933.6</v>
      </c>
      <c r="AF170" s="4">
        <f t="shared" si="11"/>
        <v>537.1</v>
      </c>
      <c r="AG170" s="4">
        <f t="shared" si="12"/>
        <v>514.30000000000007</v>
      </c>
      <c r="AH170" s="4">
        <f t="shared" si="13"/>
        <v>521.9</v>
      </c>
      <c r="AI170" s="6">
        <f t="shared" si="14"/>
        <v>3506.9</v>
      </c>
    </row>
    <row r="171" spans="1:35" x14ac:dyDescent="0.3">
      <c r="A171" t="s">
        <v>30</v>
      </c>
      <c r="B171">
        <v>2017</v>
      </c>
      <c r="C171" t="s">
        <v>41</v>
      </c>
      <c r="D171">
        <v>135.19999999999999</v>
      </c>
      <c r="E171">
        <v>142</v>
      </c>
      <c r="F171">
        <v>130.5</v>
      </c>
      <c r="G171">
        <v>140.19999999999999</v>
      </c>
      <c r="H171">
        <v>120.7</v>
      </c>
      <c r="I171">
        <v>147.80000000000001</v>
      </c>
      <c r="J171">
        <v>154.5</v>
      </c>
      <c r="K171">
        <v>137.1</v>
      </c>
      <c r="L171">
        <v>121</v>
      </c>
      <c r="M171">
        <v>134.69999999999999</v>
      </c>
      <c r="N171">
        <v>131.69999999999999</v>
      </c>
      <c r="O171">
        <v>149.30000000000001</v>
      </c>
      <c r="P171">
        <v>139.6</v>
      </c>
      <c r="Q171">
        <v>149.80000000000001</v>
      </c>
      <c r="R171">
        <v>146.1</v>
      </c>
      <c r="S171">
        <v>139.69999999999999</v>
      </c>
      <c r="T171">
        <v>145.19999999999999</v>
      </c>
      <c r="U171">
        <v>0</v>
      </c>
      <c r="V171" s="5">
        <v>137.4</v>
      </c>
      <c r="W171">
        <v>137.9</v>
      </c>
      <c r="X171">
        <v>133.4</v>
      </c>
      <c r="Y171">
        <v>121.2</v>
      </c>
      <c r="Z171">
        <v>132.30000000000001</v>
      </c>
      <c r="AA171">
        <v>139.6</v>
      </c>
      <c r="AB171">
        <v>126.7</v>
      </c>
      <c r="AC171">
        <v>130.30000000000001</v>
      </c>
      <c r="AD171">
        <v>137.6</v>
      </c>
      <c r="AE171" s="72">
        <f t="shared" si="10"/>
        <v>1934.1</v>
      </c>
      <c r="AF171" s="4">
        <f t="shared" si="11"/>
        <v>557.69999999999993</v>
      </c>
      <c r="AG171" s="4">
        <f t="shared" si="12"/>
        <v>396.5</v>
      </c>
      <c r="AH171" s="4">
        <f t="shared" si="13"/>
        <v>535.60000000000014</v>
      </c>
      <c r="AI171" s="6">
        <f t="shared" si="14"/>
        <v>3423.8999999999996</v>
      </c>
    </row>
    <row r="172" spans="1:35" x14ac:dyDescent="0.3">
      <c r="A172" t="s">
        <v>32</v>
      </c>
      <c r="B172">
        <v>2017</v>
      </c>
      <c r="C172" t="s">
        <v>41</v>
      </c>
      <c r="D172">
        <v>133.6</v>
      </c>
      <c r="E172">
        <v>143</v>
      </c>
      <c r="F172">
        <v>129.69999999999999</v>
      </c>
      <c r="G172">
        <v>138.69999999999999</v>
      </c>
      <c r="H172">
        <v>114.5</v>
      </c>
      <c r="I172">
        <v>137.5</v>
      </c>
      <c r="J172">
        <v>160.69999999999999</v>
      </c>
      <c r="K172">
        <v>124.5</v>
      </c>
      <c r="L172">
        <v>122.4</v>
      </c>
      <c r="M172">
        <v>137.30000000000001</v>
      </c>
      <c r="N172">
        <v>124.8</v>
      </c>
      <c r="O172">
        <v>145</v>
      </c>
      <c r="P172">
        <v>138</v>
      </c>
      <c r="Q172">
        <v>153.6</v>
      </c>
      <c r="R172">
        <v>133.30000000000001</v>
      </c>
      <c r="S172">
        <v>124.6</v>
      </c>
      <c r="T172">
        <v>132</v>
      </c>
      <c r="U172">
        <v>135.69999999999999</v>
      </c>
      <c r="V172" s="5">
        <v>120.6</v>
      </c>
      <c r="W172">
        <v>128.1</v>
      </c>
      <c r="X172">
        <v>126.1</v>
      </c>
      <c r="Y172">
        <v>115.7</v>
      </c>
      <c r="Z172">
        <v>124.5</v>
      </c>
      <c r="AA172">
        <v>135.9</v>
      </c>
      <c r="AB172">
        <v>124.4</v>
      </c>
      <c r="AC172">
        <v>124.5</v>
      </c>
      <c r="AD172">
        <v>132.4</v>
      </c>
      <c r="AE172" s="72">
        <f t="shared" si="10"/>
        <v>1903.3</v>
      </c>
      <c r="AF172" s="4">
        <f t="shared" si="11"/>
        <v>514.29999999999995</v>
      </c>
      <c r="AG172" s="4">
        <f t="shared" si="12"/>
        <v>500.09999999999997</v>
      </c>
      <c r="AH172" s="4">
        <f t="shared" si="13"/>
        <v>511</v>
      </c>
      <c r="AI172" s="6">
        <f t="shared" si="14"/>
        <v>3428.7</v>
      </c>
    </row>
    <row r="173" spans="1:35" x14ac:dyDescent="0.3">
      <c r="A173" t="s">
        <v>33</v>
      </c>
      <c r="B173">
        <v>2017</v>
      </c>
      <c r="C173" t="s">
        <v>41</v>
      </c>
      <c r="D173">
        <v>134.69999999999999</v>
      </c>
      <c r="E173">
        <v>142.4</v>
      </c>
      <c r="F173">
        <v>130.19999999999999</v>
      </c>
      <c r="G173">
        <v>139.6</v>
      </c>
      <c r="H173">
        <v>118.4</v>
      </c>
      <c r="I173">
        <v>143</v>
      </c>
      <c r="J173">
        <v>156.6</v>
      </c>
      <c r="K173">
        <v>132.9</v>
      </c>
      <c r="L173">
        <v>121.5</v>
      </c>
      <c r="M173">
        <v>135.6</v>
      </c>
      <c r="N173">
        <v>128.80000000000001</v>
      </c>
      <c r="O173">
        <v>147.30000000000001</v>
      </c>
      <c r="P173">
        <v>139</v>
      </c>
      <c r="Q173">
        <v>150.80000000000001</v>
      </c>
      <c r="R173">
        <v>141.1</v>
      </c>
      <c r="S173">
        <v>133.4</v>
      </c>
      <c r="T173">
        <v>140</v>
      </c>
      <c r="U173">
        <v>135.69999999999999</v>
      </c>
      <c r="V173" s="5">
        <v>131</v>
      </c>
      <c r="W173">
        <v>133.30000000000001</v>
      </c>
      <c r="X173">
        <v>130.6</v>
      </c>
      <c r="Y173">
        <v>118.3</v>
      </c>
      <c r="Z173">
        <v>127.9</v>
      </c>
      <c r="AA173">
        <v>137.4</v>
      </c>
      <c r="AB173">
        <v>125.7</v>
      </c>
      <c r="AC173">
        <v>127.5</v>
      </c>
      <c r="AD173">
        <v>135.19999999999999</v>
      </c>
      <c r="AE173" s="72">
        <f t="shared" si="10"/>
        <v>1920.7999999999997</v>
      </c>
      <c r="AF173" s="4">
        <f t="shared" si="11"/>
        <v>540.20000000000005</v>
      </c>
      <c r="AG173" s="4">
        <f t="shared" si="12"/>
        <v>518.29999999999995</v>
      </c>
      <c r="AH173" s="4">
        <f t="shared" si="13"/>
        <v>523.4</v>
      </c>
      <c r="AI173" s="6">
        <f t="shared" si="14"/>
        <v>3502.7000000000003</v>
      </c>
    </row>
    <row r="174" spans="1:35" x14ac:dyDescent="0.3">
      <c r="A174" t="s">
        <v>30</v>
      </c>
      <c r="B174">
        <v>2017</v>
      </c>
      <c r="C174" t="s">
        <v>42</v>
      </c>
      <c r="D174">
        <v>135.9</v>
      </c>
      <c r="E174">
        <v>141.9</v>
      </c>
      <c r="F174">
        <v>131</v>
      </c>
      <c r="G174">
        <v>141.5</v>
      </c>
      <c r="H174">
        <v>121.4</v>
      </c>
      <c r="I174">
        <v>146.69999999999999</v>
      </c>
      <c r="J174">
        <v>157.1</v>
      </c>
      <c r="K174">
        <v>136.4</v>
      </c>
      <c r="L174">
        <v>121.4</v>
      </c>
      <c r="M174">
        <v>135.6</v>
      </c>
      <c r="N174">
        <v>131.30000000000001</v>
      </c>
      <c r="O174">
        <v>150.30000000000001</v>
      </c>
      <c r="P174">
        <v>140.4</v>
      </c>
      <c r="Q174">
        <v>150.5</v>
      </c>
      <c r="R174">
        <v>147.19999999999999</v>
      </c>
      <c r="S174">
        <v>140.6</v>
      </c>
      <c r="T174">
        <v>146.19999999999999</v>
      </c>
      <c r="U174">
        <v>0</v>
      </c>
      <c r="V174" s="5">
        <v>138.1</v>
      </c>
      <c r="W174">
        <v>138.4</v>
      </c>
      <c r="X174">
        <v>134.19999999999999</v>
      </c>
      <c r="Y174">
        <v>121</v>
      </c>
      <c r="Z174">
        <v>133</v>
      </c>
      <c r="AA174">
        <v>140.1</v>
      </c>
      <c r="AB174">
        <v>127.4</v>
      </c>
      <c r="AC174">
        <v>130.69999999999999</v>
      </c>
      <c r="AD174">
        <v>138.30000000000001</v>
      </c>
      <c r="AE174" s="72">
        <f t="shared" si="10"/>
        <v>1941.3999999999999</v>
      </c>
      <c r="AF174" s="4">
        <f t="shared" si="11"/>
        <v>561.4</v>
      </c>
      <c r="AG174" s="4">
        <f t="shared" si="12"/>
        <v>397.5</v>
      </c>
      <c r="AH174" s="4">
        <f t="shared" si="13"/>
        <v>538</v>
      </c>
      <c r="AI174" s="6">
        <f t="shared" si="14"/>
        <v>3438.2999999999997</v>
      </c>
    </row>
    <row r="175" spans="1:35" x14ac:dyDescent="0.3">
      <c r="A175" t="s">
        <v>32</v>
      </c>
      <c r="B175">
        <v>2017</v>
      </c>
      <c r="C175" t="s">
        <v>42</v>
      </c>
      <c r="D175">
        <v>133.9</v>
      </c>
      <c r="E175">
        <v>142.80000000000001</v>
      </c>
      <c r="F175">
        <v>131.4</v>
      </c>
      <c r="G175">
        <v>139.1</v>
      </c>
      <c r="H175">
        <v>114.9</v>
      </c>
      <c r="I175">
        <v>135.6</v>
      </c>
      <c r="J175">
        <v>173.2</v>
      </c>
      <c r="K175">
        <v>124.1</v>
      </c>
      <c r="L175">
        <v>122.6</v>
      </c>
      <c r="M175">
        <v>137.80000000000001</v>
      </c>
      <c r="N175">
        <v>125.1</v>
      </c>
      <c r="O175">
        <v>145.5</v>
      </c>
      <c r="P175">
        <v>139.69999999999999</v>
      </c>
      <c r="Q175">
        <v>154.6</v>
      </c>
      <c r="R175">
        <v>134</v>
      </c>
      <c r="S175">
        <v>124.9</v>
      </c>
      <c r="T175">
        <v>132.6</v>
      </c>
      <c r="U175">
        <v>137.30000000000001</v>
      </c>
      <c r="V175" s="5">
        <v>122.6</v>
      </c>
      <c r="W175">
        <v>128.30000000000001</v>
      </c>
      <c r="X175">
        <v>126.6</v>
      </c>
      <c r="Y175">
        <v>115</v>
      </c>
      <c r="Z175">
        <v>124.8</v>
      </c>
      <c r="AA175">
        <v>136.30000000000001</v>
      </c>
      <c r="AB175">
        <v>124.6</v>
      </c>
      <c r="AC175">
        <v>124.5</v>
      </c>
      <c r="AD175">
        <v>133.5</v>
      </c>
      <c r="AE175" s="72">
        <f t="shared" si="10"/>
        <v>1920.2999999999997</v>
      </c>
      <c r="AF175" s="4">
        <f t="shared" si="11"/>
        <v>516.1</v>
      </c>
      <c r="AG175" s="4">
        <f t="shared" si="12"/>
        <v>503.2</v>
      </c>
      <c r="AH175" s="4">
        <f t="shared" si="13"/>
        <v>512.20000000000005</v>
      </c>
      <c r="AI175" s="6">
        <f t="shared" si="14"/>
        <v>3451.7999999999993</v>
      </c>
    </row>
    <row r="176" spans="1:35" x14ac:dyDescent="0.3">
      <c r="A176" t="s">
        <v>33</v>
      </c>
      <c r="B176">
        <v>2017</v>
      </c>
      <c r="C176" t="s">
        <v>42</v>
      </c>
      <c r="D176">
        <v>135.30000000000001</v>
      </c>
      <c r="E176">
        <v>142.19999999999999</v>
      </c>
      <c r="F176">
        <v>131.19999999999999</v>
      </c>
      <c r="G176">
        <v>140.6</v>
      </c>
      <c r="H176">
        <v>119</v>
      </c>
      <c r="I176">
        <v>141.5</v>
      </c>
      <c r="J176">
        <v>162.6</v>
      </c>
      <c r="K176">
        <v>132.30000000000001</v>
      </c>
      <c r="L176">
        <v>121.8</v>
      </c>
      <c r="M176">
        <v>136.30000000000001</v>
      </c>
      <c r="N176">
        <v>128.69999999999999</v>
      </c>
      <c r="O176">
        <v>148.1</v>
      </c>
      <c r="P176">
        <v>140.1</v>
      </c>
      <c r="Q176">
        <v>151.6</v>
      </c>
      <c r="R176">
        <v>142</v>
      </c>
      <c r="S176">
        <v>134.1</v>
      </c>
      <c r="T176">
        <v>140.80000000000001</v>
      </c>
      <c r="U176">
        <v>137.30000000000001</v>
      </c>
      <c r="V176" s="5">
        <v>132.19999999999999</v>
      </c>
      <c r="W176">
        <v>133.6</v>
      </c>
      <c r="X176">
        <v>131.30000000000001</v>
      </c>
      <c r="Y176">
        <v>117.8</v>
      </c>
      <c r="Z176">
        <v>128.4</v>
      </c>
      <c r="AA176">
        <v>137.9</v>
      </c>
      <c r="AB176">
        <v>126.2</v>
      </c>
      <c r="AC176">
        <v>127.7</v>
      </c>
      <c r="AD176">
        <v>136.1</v>
      </c>
      <c r="AE176" s="72">
        <f t="shared" si="10"/>
        <v>1931.2999999999997</v>
      </c>
      <c r="AF176" s="4">
        <f t="shared" si="11"/>
        <v>543.1</v>
      </c>
      <c r="AG176" s="4">
        <f t="shared" si="12"/>
        <v>520.9</v>
      </c>
      <c r="AH176" s="4">
        <f t="shared" si="13"/>
        <v>525.30000000000007</v>
      </c>
      <c r="AI176" s="6">
        <f t="shared" si="14"/>
        <v>3520.6</v>
      </c>
    </row>
    <row r="177" spans="1:35" x14ac:dyDescent="0.3">
      <c r="A177" t="s">
        <v>30</v>
      </c>
      <c r="B177">
        <v>2017</v>
      </c>
      <c r="C177" t="s">
        <v>44</v>
      </c>
      <c r="D177">
        <v>136.30000000000001</v>
      </c>
      <c r="E177">
        <v>142.5</v>
      </c>
      <c r="F177">
        <v>140.5</v>
      </c>
      <c r="G177">
        <v>141.5</v>
      </c>
      <c r="H177">
        <v>121.6</v>
      </c>
      <c r="I177">
        <v>147.30000000000001</v>
      </c>
      <c r="J177">
        <v>168</v>
      </c>
      <c r="K177">
        <v>135.80000000000001</v>
      </c>
      <c r="L177">
        <v>122.5</v>
      </c>
      <c r="M177">
        <v>136</v>
      </c>
      <c r="N177">
        <v>131.9</v>
      </c>
      <c r="O177">
        <v>151.4</v>
      </c>
      <c r="P177">
        <v>142.4</v>
      </c>
      <c r="Q177">
        <v>152.1</v>
      </c>
      <c r="R177">
        <v>148.19999999999999</v>
      </c>
      <c r="S177">
        <v>141.5</v>
      </c>
      <c r="T177">
        <v>147.30000000000001</v>
      </c>
      <c r="U177">
        <v>0</v>
      </c>
      <c r="V177" s="5">
        <v>141.1</v>
      </c>
      <c r="W177">
        <v>139.4</v>
      </c>
      <c r="X177">
        <v>135.80000000000001</v>
      </c>
      <c r="Y177">
        <v>121.6</v>
      </c>
      <c r="Z177">
        <v>133.69999999999999</v>
      </c>
      <c r="AA177">
        <v>141.5</v>
      </c>
      <c r="AB177">
        <v>128.1</v>
      </c>
      <c r="AC177">
        <v>131.69999999999999</v>
      </c>
      <c r="AD177">
        <v>140</v>
      </c>
      <c r="AE177" s="72">
        <f t="shared" si="10"/>
        <v>1969.8000000000002</v>
      </c>
      <c r="AF177" s="4">
        <f t="shared" si="11"/>
        <v>565.1</v>
      </c>
      <c r="AG177" s="4">
        <f t="shared" si="12"/>
        <v>402.1</v>
      </c>
      <c r="AH177" s="4">
        <f t="shared" si="13"/>
        <v>542.70000000000005</v>
      </c>
      <c r="AI177" s="6">
        <f t="shared" si="14"/>
        <v>3479.7</v>
      </c>
    </row>
    <row r="178" spans="1:35" x14ac:dyDescent="0.3">
      <c r="A178" t="s">
        <v>32</v>
      </c>
      <c r="B178">
        <v>2017</v>
      </c>
      <c r="C178" t="s">
        <v>44</v>
      </c>
      <c r="D178">
        <v>134.30000000000001</v>
      </c>
      <c r="E178">
        <v>142.1</v>
      </c>
      <c r="F178">
        <v>146.69999999999999</v>
      </c>
      <c r="G178">
        <v>139.5</v>
      </c>
      <c r="H178">
        <v>115.2</v>
      </c>
      <c r="I178">
        <v>136.4</v>
      </c>
      <c r="J178">
        <v>185.2</v>
      </c>
      <c r="K178">
        <v>122.2</v>
      </c>
      <c r="L178">
        <v>123.9</v>
      </c>
      <c r="M178">
        <v>138.30000000000001</v>
      </c>
      <c r="N178">
        <v>125.4</v>
      </c>
      <c r="O178">
        <v>146</v>
      </c>
      <c r="P178">
        <v>141.5</v>
      </c>
      <c r="Q178">
        <v>156.19999999999999</v>
      </c>
      <c r="R178">
        <v>135</v>
      </c>
      <c r="S178">
        <v>125.4</v>
      </c>
      <c r="T178">
        <v>133.5</v>
      </c>
      <c r="U178">
        <v>138.6</v>
      </c>
      <c r="V178" s="5">
        <v>125.7</v>
      </c>
      <c r="W178">
        <v>128.80000000000001</v>
      </c>
      <c r="X178">
        <v>127.4</v>
      </c>
      <c r="Y178">
        <v>115.3</v>
      </c>
      <c r="Z178">
        <v>125.1</v>
      </c>
      <c r="AA178">
        <v>136.6</v>
      </c>
      <c r="AB178">
        <v>124.9</v>
      </c>
      <c r="AC178">
        <v>124.9</v>
      </c>
      <c r="AD178">
        <v>134.80000000000001</v>
      </c>
      <c r="AE178" s="72">
        <f t="shared" si="10"/>
        <v>1952.9</v>
      </c>
      <c r="AF178" s="4">
        <f t="shared" si="11"/>
        <v>518.79999999999995</v>
      </c>
      <c r="AG178" s="4">
        <f t="shared" si="12"/>
        <v>508.40000000000003</v>
      </c>
      <c r="AH178" s="4">
        <f t="shared" si="13"/>
        <v>514</v>
      </c>
      <c r="AI178" s="6">
        <f t="shared" si="14"/>
        <v>3494.1</v>
      </c>
    </row>
    <row r="179" spans="1:35" x14ac:dyDescent="0.3">
      <c r="A179" t="s">
        <v>33</v>
      </c>
      <c r="B179">
        <v>2017</v>
      </c>
      <c r="C179" t="s">
        <v>44</v>
      </c>
      <c r="D179">
        <v>135.69999999999999</v>
      </c>
      <c r="E179">
        <v>142.4</v>
      </c>
      <c r="F179">
        <v>142.9</v>
      </c>
      <c r="G179">
        <v>140.80000000000001</v>
      </c>
      <c r="H179">
        <v>119.2</v>
      </c>
      <c r="I179">
        <v>142.19999999999999</v>
      </c>
      <c r="J179">
        <v>173.8</v>
      </c>
      <c r="K179">
        <v>131.19999999999999</v>
      </c>
      <c r="L179">
        <v>123</v>
      </c>
      <c r="M179">
        <v>136.80000000000001</v>
      </c>
      <c r="N179">
        <v>129.19999999999999</v>
      </c>
      <c r="O179">
        <v>148.9</v>
      </c>
      <c r="P179">
        <v>142.1</v>
      </c>
      <c r="Q179">
        <v>153.19999999999999</v>
      </c>
      <c r="R179">
        <v>143</v>
      </c>
      <c r="S179">
        <v>134.80000000000001</v>
      </c>
      <c r="T179">
        <v>141.80000000000001</v>
      </c>
      <c r="U179">
        <v>138.6</v>
      </c>
      <c r="V179" s="5">
        <v>135.30000000000001</v>
      </c>
      <c r="W179">
        <v>134.4</v>
      </c>
      <c r="X179">
        <v>132.6</v>
      </c>
      <c r="Y179">
        <v>118.3</v>
      </c>
      <c r="Z179">
        <v>128.9</v>
      </c>
      <c r="AA179">
        <v>138.6</v>
      </c>
      <c r="AB179">
        <v>126.8</v>
      </c>
      <c r="AC179">
        <v>128.4</v>
      </c>
      <c r="AD179">
        <v>137.6</v>
      </c>
      <c r="AE179" s="72">
        <f t="shared" si="10"/>
        <v>1961.4</v>
      </c>
      <c r="AF179" s="4">
        <f t="shared" si="11"/>
        <v>546.4</v>
      </c>
      <c r="AG179" s="4">
        <f t="shared" si="12"/>
        <v>526.59999999999991</v>
      </c>
      <c r="AH179" s="4">
        <f t="shared" si="13"/>
        <v>528.5</v>
      </c>
      <c r="AI179" s="6">
        <f t="shared" si="14"/>
        <v>3562.9</v>
      </c>
    </row>
    <row r="180" spans="1:35" x14ac:dyDescent="0.3">
      <c r="A180" t="s">
        <v>30</v>
      </c>
      <c r="B180">
        <v>2017</v>
      </c>
      <c r="C180" t="s">
        <v>45</v>
      </c>
      <c r="D180">
        <v>136.4</v>
      </c>
      <c r="E180">
        <v>143.69999999999999</v>
      </c>
      <c r="F180">
        <v>144.80000000000001</v>
      </c>
      <c r="G180">
        <v>141.9</v>
      </c>
      <c r="H180">
        <v>123.1</v>
      </c>
      <c r="I180">
        <v>147.19999999999999</v>
      </c>
      <c r="J180">
        <v>161</v>
      </c>
      <c r="K180">
        <v>133.80000000000001</v>
      </c>
      <c r="L180">
        <v>121.9</v>
      </c>
      <c r="M180">
        <v>135.80000000000001</v>
      </c>
      <c r="N180">
        <v>131.1</v>
      </c>
      <c r="O180">
        <v>151.4</v>
      </c>
      <c r="P180">
        <v>141.5</v>
      </c>
      <c r="Q180">
        <v>153.19999999999999</v>
      </c>
      <c r="R180">
        <v>148</v>
      </c>
      <c r="S180">
        <v>141.9</v>
      </c>
      <c r="T180">
        <v>147.19999999999999</v>
      </c>
      <c r="U180">
        <v>0</v>
      </c>
      <c r="V180" s="5">
        <v>142.6</v>
      </c>
      <c r="W180">
        <v>139.5</v>
      </c>
      <c r="X180">
        <v>136.1</v>
      </c>
      <c r="Y180">
        <v>122</v>
      </c>
      <c r="Z180">
        <v>133.4</v>
      </c>
      <c r="AA180">
        <v>141.1</v>
      </c>
      <c r="AB180">
        <v>127.8</v>
      </c>
      <c r="AC180">
        <v>131.9</v>
      </c>
      <c r="AD180">
        <v>139.80000000000001</v>
      </c>
      <c r="AE180" s="72">
        <f t="shared" si="10"/>
        <v>1966.8000000000002</v>
      </c>
      <c r="AF180" s="4">
        <f t="shared" si="11"/>
        <v>564.9</v>
      </c>
      <c r="AG180" s="4">
        <f t="shared" si="12"/>
        <v>404.1</v>
      </c>
      <c r="AH180" s="4">
        <f t="shared" si="13"/>
        <v>542.5</v>
      </c>
      <c r="AI180" s="6">
        <f t="shared" si="14"/>
        <v>3478.3</v>
      </c>
    </row>
    <row r="181" spans="1:35" x14ac:dyDescent="0.3">
      <c r="A181" t="s">
        <v>32</v>
      </c>
      <c r="B181">
        <v>2017</v>
      </c>
      <c r="C181" t="s">
        <v>45</v>
      </c>
      <c r="D181">
        <v>134.4</v>
      </c>
      <c r="E181">
        <v>142.6</v>
      </c>
      <c r="F181">
        <v>145.9</v>
      </c>
      <c r="G181">
        <v>139.5</v>
      </c>
      <c r="H181">
        <v>115.9</v>
      </c>
      <c r="I181">
        <v>135</v>
      </c>
      <c r="J181">
        <v>163.19999999999999</v>
      </c>
      <c r="K181">
        <v>119.8</v>
      </c>
      <c r="L181">
        <v>120.7</v>
      </c>
      <c r="M181">
        <v>139.69999999999999</v>
      </c>
      <c r="N181">
        <v>125.7</v>
      </c>
      <c r="O181">
        <v>146.30000000000001</v>
      </c>
      <c r="P181">
        <v>138.80000000000001</v>
      </c>
      <c r="Q181">
        <v>157</v>
      </c>
      <c r="R181">
        <v>135.6</v>
      </c>
      <c r="S181">
        <v>125.6</v>
      </c>
      <c r="T181">
        <v>134</v>
      </c>
      <c r="U181">
        <v>139.1</v>
      </c>
      <c r="V181" s="5">
        <v>126.8</v>
      </c>
      <c r="W181">
        <v>129.30000000000001</v>
      </c>
      <c r="X181">
        <v>128.19999999999999</v>
      </c>
      <c r="Y181">
        <v>115.3</v>
      </c>
      <c r="Z181">
        <v>125.6</v>
      </c>
      <c r="AA181">
        <v>136.69999999999999</v>
      </c>
      <c r="AB181">
        <v>124.6</v>
      </c>
      <c r="AC181">
        <v>125.1</v>
      </c>
      <c r="AD181">
        <v>134.1</v>
      </c>
      <c r="AE181" s="72">
        <f t="shared" si="10"/>
        <v>1924.5</v>
      </c>
      <c r="AF181" s="4">
        <f t="shared" si="11"/>
        <v>519.79999999999995</v>
      </c>
      <c r="AG181" s="4">
        <f t="shared" si="12"/>
        <v>510.5</v>
      </c>
      <c r="AH181" s="4">
        <f t="shared" si="13"/>
        <v>515.6</v>
      </c>
      <c r="AI181" s="6">
        <f t="shared" si="14"/>
        <v>3470.4</v>
      </c>
    </row>
    <row r="182" spans="1:35" x14ac:dyDescent="0.3">
      <c r="A182" t="s">
        <v>33</v>
      </c>
      <c r="B182">
        <v>2017</v>
      </c>
      <c r="C182" t="s">
        <v>45</v>
      </c>
      <c r="D182">
        <v>135.80000000000001</v>
      </c>
      <c r="E182">
        <v>143.30000000000001</v>
      </c>
      <c r="F182">
        <v>145.19999999999999</v>
      </c>
      <c r="G182">
        <v>141</v>
      </c>
      <c r="H182">
        <v>120.5</v>
      </c>
      <c r="I182">
        <v>141.5</v>
      </c>
      <c r="J182">
        <v>161.69999999999999</v>
      </c>
      <c r="K182">
        <v>129.1</v>
      </c>
      <c r="L182">
        <v>121.5</v>
      </c>
      <c r="M182">
        <v>137.1</v>
      </c>
      <c r="N182">
        <v>128.80000000000001</v>
      </c>
      <c r="O182">
        <v>149</v>
      </c>
      <c r="P182">
        <v>140.5</v>
      </c>
      <c r="Q182">
        <v>154.19999999999999</v>
      </c>
      <c r="R182">
        <v>143.1</v>
      </c>
      <c r="S182">
        <v>135.1</v>
      </c>
      <c r="T182">
        <v>142</v>
      </c>
      <c r="U182">
        <v>139.1</v>
      </c>
      <c r="V182" s="5">
        <v>136.6</v>
      </c>
      <c r="W182">
        <v>134.69999999999999</v>
      </c>
      <c r="X182">
        <v>133.1</v>
      </c>
      <c r="Y182">
        <v>118.5</v>
      </c>
      <c r="Z182">
        <v>129</v>
      </c>
      <c r="AA182">
        <v>138.5</v>
      </c>
      <c r="AB182">
        <v>126.5</v>
      </c>
      <c r="AC182">
        <v>128.6</v>
      </c>
      <c r="AD182">
        <v>137.19999999999999</v>
      </c>
      <c r="AE182" s="72">
        <f t="shared" si="10"/>
        <v>1949.1999999999998</v>
      </c>
      <c r="AF182" s="4">
        <f t="shared" si="11"/>
        <v>546.70000000000005</v>
      </c>
      <c r="AG182" s="4">
        <f t="shared" si="12"/>
        <v>528.9</v>
      </c>
      <c r="AH182" s="4">
        <f t="shared" si="13"/>
        <v>529.20000000000005</v>
      </c>
      <c r="AI182" s="6">
        <f t="shared" si="14"/>
        <v>3554</v>
      </c>
    </row>
    <row r="183" spans="1:35" x14ac:dyDescent="0.3">
      <c r="A183" t="s">
        <v>30</v>
      </c>
      <c r="B183">
        <v>2018</v>
      </c>
      <c r="C183" t="s">
        <v>31</v>
      </c>
      <c r="D183">
        <v>136.6</v>
      </c>
      <c r="E183">
        <v>144.4</v>
      </c>
      <c r="F183">
        <v>143.80000000000001</v>
      </c>
      <c r="G183">
        <v>142</v>
      </c>
      <c r="H183">
        <v>123.2</v>
      </c>
      <c r="I183">
        <v>147.9</v>
      </c>
      <c r="J183">
        <v>152.1</v>
      </c>
      <c r="K183">
        <v>131.80000000000001</v>
      </c>
      <c r="L183">
        <v>119.5</v>
      </c>
      <c r="M183">
        <v>136</v>
      </c>
      <c r="N183">
        <v>131.19999999999999</v>
      </c>
      <c r="O183">
        <v>151.80000000000001</v>
      </c>
      <c r="P183">
        <v>140.4</v>
      </c>
      <c r="Q183">
        <v>153.6</v>
      </c>
      <c r="R183">
        <v>148.30000000000001</v>
      </c>
      <c r="S183">
        <v>142.30000000000001</v>
      </c>
      <c r="T183">
        <v>147.5</v>
      </c>
      <c r="U183">
        <v>0</v>
      </c>
      <c r="V183" s="5">
        <v>142.30000000000001</v>
      </c>
      <c r="W183">
        <v>139.80000000000001</v>
      </c>
      <c r="X183">
        <v>136</v>
      </c>
      <c r="Y183">
        <v>122.7</v>
      </c>
      <c r="Z183">
        <v>134.30000000000001</v>
      </c>
      <c r="AA183">
        <v>141.6</v>
      </c>
      <c r="AB183">
        <v>128.6</v>
      </c>
      <c r="AC183">
        <v>132.30000000000001</v>
      </c>
      <c r="AD183">
        <v>139.30000000000001</v>
      </c>
      <c r="AE183" s="72">
        <f t="shared" si="10"/>
        <v>1954.3</v>
      </c>
      <c r="AF183" s="4">
        <f t="shared" si="11"/>
        <v>566.70000000000005</v>
      </c>
      <c r="AG183" s="4">
        <f t="shared" si="12"/>
        <v>404.8</v>
      </c>
      <c r="AH183" s="4">
        <f t="shared" si="13"/>
        <v>544.20000000000005</v>
      </c>
      <c r="AI183" s="6">
        <f t="shared" si="14"/>
        <v>3470</v>
      </c>
    </row>
    <row r="184" spans="1:35" x14ac:dyDescent="0.3">
      <c r="A184" t="s">
        <v>32</v>
      </c>
      <c r="B184">
        <v>2018</v>
      </c>
      <c r="C184" t="s">
        <v>31</v>
      </c>
      <c r="D184">
        <v>134.6</v>
      </c>
      <c r="E184">
        <v>143.69999999999999</v>
      </c>
      <c r="F184">
        <v>143.6</v>
      </c>
      <c r="G184">
        <v>139.6</v>
      </c>
      <c r="H184">
        <v>116.4</v>
      </c>
      <c r="I184">
        <v>133.80000000000001</v>
      </c>
      <c r="J184">
        <v>150.5</v>
      </c>
      <c r="K184">
        <v>118.4</v>
      </c>
      <c r="L184">
        <v>117.3</v>
      </c>
      <c r="M184">
        <v>140.5</v>
      </c>
      <c r="N184">
        <v>125.9</v>
      </c>
      <c r="O184">
        <v>146.80000000000001</v>
      </c>
      <c r="P184">
        <v>137.19999999999999</v>
      </c>
      <c r="Q184">
        <v>157.69999999999999</v>
      </c>
      <c r="R184">
        <v>136</v>
      </c>
      <c r="S184">
        <v>125.9</v>
      </c>
      <c r="T184">
        <v>134.4</v>
      </c>
      <c r="U184">
        <v>140.4</v>
      </c>
      <c r="V184" s="5">
        <v>127.3</v>
      </c>
      <c r="W184">
        <v>129.5</v>
      </c>
      <c r="X184">
        <v>129</v>
      </c>
      <c r="Y184">
        <v>116.3</v>
      </c>
      <c r="Z184">
        <v>126.2</v>
      </c>
      <c r="AA184">
        <v>137.1</v>
      </c>
      <c r="AB184">
        <v>125.5</v>
      </c>
      <c r="AC184">
        <v>125.8</v>
      </c>
      <c r="AD184">
        <v>134.1</v>
      </c>
      <c r="AE184" s="72">
        <f t="shared" si="10"/>
        <v>1906.0000000000002</v>
      </c>
      <c r="AF184" s="4">
        <f t="shared" si="11"/>
        <v>521.79999999999995</v>
      </c>
      <c r="AG184" s="4">
        <f t="shared" si="12"/>
        <v>513.5</v>
      </c>
      <c r="AH184" s="4">
        <f t="shared" si="13"/>
        <v>518.09999999999991</v>
      </c>
      <c r="AI184" s="6">
        <f t="shared" si="14"/>
        <v>3459.4</v>
      </c>
    </row>
    <row r="185" spans="1:35" x14ac:dyDescent="0.3">
      <c r="A185" t="s">
        <v>33</v>
      </c>
      <c r="B185">
        <v>2018</v>
      </c>
      <c r="C185" t="s">
        <v>31</v>
      </c>
      <c r="D185">
        <v>136</v>
      </c>
      <c r="E185">
        <v>144.19999999999999</v>
      </c>
      <c r="F185">
        <v>143.69999999999999</v>
      </c>
      <c r="G185">
        <v>141.1</v>
      </c>
      <c r="H185">
        <v>120.7</v>
      </c>
      <c r="I185">
        <v>141.30000000000001</v>
      </c>
      <c r="J185">
        <v>151.6</v>
      </c>
      <c r="K185">
        <v>127.3</v>
      </c>
      <c r="L185">
        <v>118.8</v>
      </c>
      <c r="M185">
        <v>137.5</v>
      </c>
      <c r="N185">
        <v>129</v>
      </c>
      <c r="O185">
        <v>149.5</v>
      </c>
      <c r="P185">
        <v>139.19999999999999</v>
      </c>
      <c r="Q185">
        <v>154.69999999999999</v>
      </c>
      <c r="R185">
        <v>143.5</v>
      </c>
      <c r="S185">
        <v>135.5</v>
      </c>
      <c r="T185">
        <v>142.30000000000001</v>
      </c>
      <c r="U185">
        <v>140.4</v>
      </c>
      <c r="V185" s="5">
        <v>136.6</v>
      </c>
      <c r="W185">
        <v>134.9</v>
      </c>
      <c r="X185">
        <v>133.30000000000001</v>
      </c>
      <c r="Y185">
        <v>119.3</v>
      </c>
      <c r="Z185">
        <v>129.69999999999999</v>
      </c>
      <c r="AA185">
        <v>139</v>
      </c>
      <c r="AB185">
        <v>127.3</v>
      </c>
      <c r="AC185">
        <v>129.1</v>
      </c>
      <c r="AD185">
        <v>136.9</v>
      </c>
      <c r="AE185" s="72">
        <f t="shared" si="10"/>
        <v>1934.6000000000001</v>
      </c>
      <c r="AF185" s="4">
        <f t="shared" si="11"/>
        <v>548.6</v>
      </c>
      <c r="AG185" s="4">
        <f t="shared" si="12"/>
        <v>531.19999999999993</v>
      </c>
      <c r="AH185" s="4">
        <f t="shared" si="13"/>
        <v>531.1</v>
      </c>
      <c r="AI185" s="6">
        <f t="shared" si="14"/>
        <v>3545.5</v>
      </c>
    </row>
    <row r="186" spans="1:35" x14ac:dyDescent="0.3">
      <c r="A186" t="s">
        <v>30</v>
      </c>
      <c r="B186">
        <v>2018</v>
      </c>
      <c r="C186" t="s">
        <v>34</v>
      </c>
      <c r="D186">
        <v>136.4</v>
      </c>
      <c r="E186">
        <v>143.69999999999999</v>
      </c>
      <c r="F186">
        <v>140.6</v>
      </c>
      <c r="G186">
        <v>141.5</v>
      </c>
      <c r="H186">
        <v>122.9</v>
      </c>
      <c r="I186">
        <v>149.4</v>
      </c>
      <c r="J186">
        <v>142.4</v>
      </c>
      <c r="K186">
        <v>130.19999999999999</v>
      </c>
      <c r="L186">
        <v>117.9</v>
      </c>
      <c r="M186">
        <v>135.6</v>
      </c>
      <c r="N186">
        <v>130.5</v>
      </c>
      <c r="O186">
        <v>151.69999999999999</v>
      </c>
      <c r="P186">
        <v>138.69999999999999</v>
      </c>
      <c r="Q186">
        <v>153.30000000000001</v>
      </c>
      <c r="R186">
        <v>148.69999999999999</v>
      </c>
      <c r="S186">
        <v>142.4</v>
      </c>
      <c r="T186">
        <v>147.80000000000001</v>
      </c>
      <c r="U186">
        <v>0</v>
      </c>
      <c r="V186" s="5">
        <v>142.4</v>
      </c>
      <c r="W186">
        <v>139.9</v>
      </c>
      <c r="X186">
        <v>136.19999999999999</v>
      </c>
      <c r="Y186">
        <v>123.3</v>
      </c>
      <c r="Z186">
        <v>134.30000000000001</v>
      </c>
      <c r="AA186">
        <v>141.5</v>
      </c>
      <c r="AB186">
        <v>128.80000000000001</v>
      </c>
      <c r="AC186">
        <v>132.5</v>
      </c>
      <c r="AD186">
        <v>138.5</v>
      </c>
      <c r="AE186" s="72">
        <f t="shared" si="10"/>
        <v>1934.8</v>
      </c>
      <c r="AF186" s="4">
        <f t="shared" si="11"/>
        <v>567.70000000000005</v>
      </c>
      <c r="AG186" s="4">
        <f t="shared" si="12"/>
        <v>405.6</v>
      </c>
      <c r="AH186" s="4">
        <f t="shared" si="13"/>
        <v>544.5</v>
      </c>
      <c r="AI186" s="6">
        <f t="shared" si="14"/>
        <v>3452.6</v>
      </c>
    </row>
    <row r="187" spans="1:35" x14ac:dyDescent="0.3">
      <c r="A187" t="s">
        <v>32</v>
      </c>
      <c r="B187">
        <v>2018</v>
      </c>
      <c r="C187" t="s">
        <v>34</v>
      </c>
      <c r="D187">
        <v>134.80000000000001</v>
      </c>
      <c r="E187">
        <v>143</v>
      </c>
      <c r="F187">
        <v>139.9</v>
      </c>
      <c r="G187">
        <v>139.9</v>
      </c>
      <c r="H187">
        <v>116.2</v>
      </c>
      <c r="I187">
        <v>135.5</v>
      </c>
      <c r="J187">
        <v>136.9</v>
      </c>
      <c r="K187">
        <v>117</v>
      </c>
      <c r="L187">
        <v>115.4</v>
      </c>
      <c r="M187">
        <v>140.69999999999999</v>
      </c>
      <c r="N187">
        <v>125.9</v>
      </c>
      <c r="O187">
        <v>147.1</v>
      </c>
      <c r="P187">
        <v>135.6</v>
      </c>
      <c r="Q187">
        <v>159.30000000000001</v>
      </c>
      <c r="R187">
        <v>136.30000000000001</v>
      </c>
      <c r="S187">
        <v>126.1</v>
      </c>
      <c r="T187">
        <v>134.69999999999999</v>
      </c>
      <c r="U187">
        <v>141.30000000000001</v>
      </c>
      <c r="V187" s="5">
        <v>127.3</v>
      </c>
      <c r="W187">
        <v>129.9</v>
      </c>
      <c r="X187">
        <v>129.80000000000001</v>
      </c>
      <c r="Y187">
        <v>117.4</v>
      </c>
      <c r="Z187">
        <v>126.5</v>
      </c>
      <c r="AA187">
        <v>137.19999999999999</v>
      </c>
      <c r="AB187">
        <v>126.2</v>
      </c>
      <c r="AC187">
        <v>126.5</v>
      </c>
      <c r="AD187">
        <v>134</v>
      </c>
      <c r="AE187" s="72">
        <f t="shared" si="10"/>
        <v>1887.2</v>
      </c>
      <c r="AF187" s="4">
        <f t="shared" si="11"/>
        <v>523.29999999999995</v>
      </c>
      <c r="AG187" s="4">
        <f t="shared" si="12"/>
        <v>515.9</v>
      </c>
      <c r="AH187" s="4">
        <f t="shared" si="13"/>
        <v>520</v>
      </c>
      <c r="AI187" s="6">
        <f t="shared" si="14"/>
        <v>3446.4</v>
      </c>
    </row>
    <row r="188" spans="1:35" x14ac:dyDescent="0.3">
      <c r="A188" t="s">
        <v>33</v>
      </c>
      <c r="B188">
        <v>2018</v>
      </c>
      <c r="C188" t="s">
        <v>34</v>
      </c>
      <c r="D188">
        <v>135.9</v>
      </c>
      <c r="E188">
        <v>143.5</v>
      </c>
      <c r="F188">
        <v>140.30000000000001</v>
      </c>
      <c r="G188">
        <v>140.9</v>
      </c>
      <c r="H188">
        <v>120.4</v>
      </c>
      <c r="I188">
        <v>142.9</v>
      </c>
      <c r="J188">
        <v>140.5</v>
      </c>
      <c r="K188">
        <v>125.8</v>
      </c>
      <c r="L188">
        <v>117.1</v>
      </c>
      <c r="M188">
        <v>137.30000000000001</v>
      </c>
      <c r="N188">
        <v>128.6</v>
      </c>
      <c r="O188">
        <v>149.6</v>
      </c>
      <c r="P188">
        <v>137.6</v>
      </c>
      <c r="Q188">
        <v>154.9</v>
      </c>
      <c r="R188">
        <v>143.80000000000001</v>
      </c>
      <c r="S188">
        <v>135.6</v>
      </c>
      <c r="T188">
        <v>142.6</v>
      </c>
      <c r="U188">
        <v>141.30000000000001</v>
      </c>
      <c r="V188" s="5">
        <v>136.69999999999999</v>
      </c>
      <c r="W188">
        <v>135.19999999999999</v>
      </c>
      <c r="X188">
        <v>133.80000000000001</v>
      </c>
      <c r="Y188">
        <v>120.2</v>
      </c>
      <c r="Z188">
        <v>129.9</v>
      </c>
      <c r="AA188">
        <v>139</v>
      </c>
      <c r="AB188">
        <v>127.7</v>
      </c>
      <c r="AC188">
        <v>129.6</v>
      </c>
      <c r="AD188">
        <v>136.4</v>
      </c>
      <c r="AE188" s="72">
        <f t="shared" si="10"/>
        <v>1915.2999999999997</v>
      </c>
      <c r="AF188" s="4">
        <f t="shared" si="11"/>
        <v>549.70000000000005</v>
      </c>
      <c r="AG188" s="4">
        <f t="shared" si="12"/>
        <v>533.4</v>
      </c>
      <c r="AH188" s="4">
        <f t="shared" si="13"/>
        <v>532.30000000000007</v>
      </c>
      <c r="AI188" s="6">
        <f t="shared" si="14"/>
        <v>3530.7000000000003</v>
      </c>
    </row>
    <row r="189" spans="1:35" x14ac:dyDescent="0.3">
      <c r="A189" t="s">
        <v>30</v>
      </c>
      <c r="B189">
        <v>2018</v>
      </c>
      <c r="C189" t="s">
        <v>35</v>
      </c>
      <c r="D189">
        <v>136.80000000000001</v>
      </c>
      <c r="E189">
        <v>143.80000000000001</v>
      </c>
      <c r="F189">
        <v>140</v>
      </c>
      <c r="G189">
        <v>142</v>
      </c>
      <c r="H189">
        <v>123.2</v>
      </c>
      <c r="I189">
        <v>152.9</v>
      </c>
      <c r="J189">
        <v>138</v>
      </c>
      <c r="K189">
        <v>129.30000000000001</v>
      </c>
      <c r="L189">
        <v>117.1</v>
      </c>
      <c r="M189">
        <v>136.30000000000001</v>
      </c>
      <c r="N189">
        <v>131.19999999999999</v>
      </c>
      <c r="O189">
        <v>152.80000000000001</v>
      </c>
      <c r="P189">
        <v>138.6</v>
      </c>
      <c r="Q189">
        <v>155.1</v>
      </c>
      <c r="R189">
        <v>149.19999999999999</v>
      </c>
      <c r="S189">
        <v>143</v>
      </c>
      <c r="T189">
        <v>148.30000000000001</v>
      </c>
      <c r="U189">
        <v>0</v>
      </c>
      <c r="V189" s="5">
        <v>142.6</v>
      </c>
      <c r="W189">
        <v>139.9</v>
      </c>
      <c r="X189">
        <v>136.69999999999999</v>
      </c>
      <c r="Y189">
        <v>124.6</v>
      </c>
      <c r="Z189">
        <v>135.1</v>
      </c>
      <c r="AA189">
        <v>142.69999999999999</v>
      </c>
      <c r="AB189">
        <v>129.30000000000001</v>
      </c>
      <c r="AC189">
        <v>133.30000000000001</v>
      </c>
      <c r="AD189">
        <v>138.69999999999999</v>
      </c>
      <c r="AE189" s="72">
        <f t="shared" si="10"/>
        <v>1937.0999999999997</v>
      </c>
      <c r="AF189" s="4">
        <f t="shared" si="11"/>
        <v>569.79999999999995</v>
      </c>
      <c r="AG189" s="4">
        <f t="shared" si="12"/>
        <v>407.1</v>
      </c>
      <c r="AH189" s="4">
        <f t="shared" si="13"/>
        <v>547.79999999999995</v>
      </c>
      <c r="AI189" s="6">
        <f t="shared" si="14"/>
        <v>3461.7999999999993</v>
      </c>
    </row>
    <row r="190" spans="1:35" x14ac:dyDescent="0.3">
      <c r="A190" t="s">
        <v>32</v>
      </c>
      <c r="B190">
        <v>2018</v>
      </c>
      <c r="C190" t="s">
        <v>35</v>
      </c>
      <c r="D190">
        <v>135</v>
      </c>
      <c r="E190">
        <v>143.1</v>
      </c>
      <c r="F190">
        <v>135.5</v>
      </c>
      <c r="G190">
        <v>139.9</v>
      </c>
      <c r="H190">
        <v>116.5</v>
      </c>
      <c r="I190">
        <v>138.5</v>
      </c>
      <c r="J190">
        <v>128</v>
      </c>
      <c r="K190">
        <v>115.5</v>
      </c>
      <c r="L190">
        <v>114.2</v>
      </c>
      <c r="M190">
        <v>140.69999999999999</v>
      </c>
      <c r="N190">
        <v>126.2</v>
      </c>
      <c r="O190">
        <v>147.6</v>
      </c>
      <c r="P190">
        <v>134.80000000000001</v>
      </c>
      <c r="Q190">
        <v>159.69999999999999</v>
      </c>
      <c r="R190">
        <v>136.69999999999999</v>
      </c>
      <c r="S190">
        <v>126.7</v>
      </c>
      <c r="T190">
        <v>135.19999999999999</v>
      </c>
      <c r="U190">
        <v>142</v>
      </c>
      <c r="V190" s="5">
        <v>126.4</v>
      </c>
      <c r="W190">
        <v>130.80000000000001</v>
      </c>
      <c r="X190">
        <v>130.5</v>
      </c>
      <c r="Y190">
        <v>117.8</v>
      </c>
      <c r="Z190">
        <v>126.8</v>
      </c>
      <c r="AA190">
        <v>137.80000000000001</v>
      </c>
      <c r="AB190">
        <v>126.7</v>
      </c>
      <c r="AC190">
        <v>127.1</v>
      </c>
      <c r="AD190">
        <v>134</v>
      </c>
      <c r="AE190" s="72">
        <f t="shared" si="10"/>
        <v>1875.2</v>
      </c>
      <c r="AF190" s="4">
        <f t="shared" si="11"/>
        <v>525.29999999999995</v>
      </c>
      <c r="AG190" s="4">
        <f t="shared" si="12"/>
        <v>517</v>
      </c>
      <c r="AH190" s="4">
        <f t="shared" si="13"/>
        <v>522.20000000000005</v>
      </c>
      <c r="AI190" s="6">
        <f t="shared" si="14"/>
        <v>3439.7</v>
      </c>
    </row>
    <row r="191" spans="1:35" x14ac:dyDescent="0.3">
      <c r="A191" t="s">
        <v>33</v>
      </c>
      <c r="B191">
        <v>2018</v>
      </c>
      <c r="C191" t="s">
        <v>35</v>
      </c>
      <c r="D191">
        <v>136.19999999999999</v>
      </c>
      <c r="E191">
        <v>143.6</v>
      </c>
      <c r="F191">
        <v>138.30000000000001</v>
      </c>
      <c r="G191">
        <v>141.19999999999999</v>
      </c>
      <c r="H191">
        <v>120.7</v>
      </c>
      <c r="I191">
        <v>146.19999999999999</v>
      </c>
      <c r="J191">
        <v>134.6</v>
      </c>
      <c r="K191">
        <v>124.6</v>
      </c>
      <c r="L191">
        <v>116.1</v>
      </c>
      <c r="M191">
        <v>137.80000000000001</v>
      </c>
      <c r="N191">
        <v>129.1</v>
      </c>
      <c r="O191">
        <v>150.4</v>
      </c>
      <c r="P191">
        <v>137.19999999999999</v>
      </c>
      <c r="Q191">
        <v>156.30000000000001</v>
      </c>
      <c r="R191">
        <v>144.30000000000001</v>
      </c>
      <c r="S191">
        <v>136.19999999999999</v>
      </c>
      <c r="T191">
        <v>143.1</v>
      </c>
      <c r="U191">
        <v>142</v>
      </c>
      <c r="V191" s="5">
        <v>136.5</v>
      </c>
      <c r="W191">
        <v>135.6</v>
      </c>
      <c r="X191">
        <v>134.30000000000001</v>
      </c>
      <c r="Y191">
        <v>121</v>
      </c>
      <c r="Z191">
        <v>130.4</v>
      </c>
      <c r="AA191">
        <v>139.80000000000001</v>
      </c>
      <c r="AB191">
        <v>128.19999999999999</v>
      </c>
      <c r="AC191">
        <v>130.30000000000001</v>
      </c>
      <c r="AD191">
        <v>136.5</v>
      </c>
      <c r="AE191" s="72">
        <f t="shared" si="10"/>
        <v>1912.3</v>
      </c>
      <c r="AF191" s="4">
        <f t="shared" si="11"/>
        <v>551.79999999999995</v>
      </c>
      <c r="AG191" s="4">
        <f t="shared" si="12"/>
        <v>535.1</v>
      </c>
      <c r="AH191" s="4">
        <f t="shared" si="13"/>
        <v>534.80000000000007</v>
      </c>
      <c r="AI191" s="6">
        <f t="shared" si="14"/>
        <v>3534</v>
      </c>
    </row>
    <row r="192" spans="1:35" x14ac:dyDescent="0.3">
      <c r="A192" t="s">
        <v>30</v>
      </c>
      <c r="B192">
        <v>2018</v>
      </c>
      <c r="C192" t="s">
        <v>36</v>
      </c>
      <c r="D192">
        <v>137.1</v>
      </c>
      <c r="E192">
        <v>144.5</v>
      </c>
      <c r="F192">
        <v>135.9</v>
      </c>
      <c r="G192">
        <v>142.4</v>
      </c>
      <c r="H192">
        <v>123.5</v>
      </c>
      <c r="I192">
        <v>156.4</v>
      </c>
      <c r="J192">
        <v>135.1</v>
      </c>
      <c r="K192">
        <v>128.4</v>
      </c>
      <c r="L192">
        <v>115.2</v>
      </c>
      <c r="M192">
        <v>137.19999999999999</v>
      </c>
      <c r="N192">
        <v>131.9</v>
      </c>
      <c r="O192">
        <v>153.80000000000001</v>
      </c>
      <c r="P192">
        <v>138.6</v>
      </c>
      <c r="Q192">
        <v>156.1</v>
      </c>
      <c r="R192">
        <v>150.1</v>
      </c>
      <c r="S192">
        <v>143.30000000000001</v>
      </c>
      <c r="T192">
        <v>149.1</v>
      </c>
      <c r="U192">
        <v>0</v>
      </c>
      <c r="V192" s="5">
        <v>143.80000000000001</v>
      </c>
      <c r="W192">
        <v>140.9</v>
      </c>
      <c r="X192">
        <v>137.6</v>
      </c>
      <c r="Y192">
        <v>125.3</v>
      </c>
      <c r="Z192">
        <v>136</v>
      </c>
      <c r="AA192">
        <v>143.69999999999999</v>
      </c>
      <c r="AB192">
        <v>130.4</v>
      </c>
      <c r="AC192">
        <v>134.19999999999999</v>
      </c>
      <c r="AD192">
        <v>139.1</v>
      </c>
      <c r="AE192" s="72">
        <f t="shared" si="10"/>
        <v>1936.1</v>
      </c>
      <c r="AF192" s="4">
        <f t="shared" si="11"/>
        <v>572.9</v>
      </c>
      <c r="AG192" s="4">
        <f t="shared" si="12"/>
        <v>410.00000000000006</v>
      </c>
      <c r="AH192" s="4">
        <f t="shared" si="13"/>
        <v>551.5</v>
      </c>
      <c r="AI192" s="6">
        <f t="shared" si="14"/>
        <v>3470.5</v>
      </c>
    </row>
    <row r="193" spans="1:35" x14ac:dyDescent="0.3">
      <c r="A193" t="s">
        <v>32</v>
      </c>
      <c r="B193">
        <v>2018</v>
      </c>
      <c r="C193" t="s">
        <v>36</v>
      </c>
      <c r="D193">
        <v>135</v>
      </c>
      <c r="E193">
        <v>144.30000000000001</v>
      </c>
      <c r="F193">
        <v>130.80000000000001</v>
      </c>
      <c r="G193">
        <v>140.30000000000001</v>
      </c>
      <c r="H193">
        <v>116.6</v>
      </c>
      <c r="I193">
        <v>150.1</v>
      </c>
      <c r="J193">
        <v>127.6</v>
      </c>
      <c r="K193">
        <v>114</v>
      </c>
      <c r="L193">
        <v>110.6</v>
      </c>
      <c r="M193">
        <v>140.19999999999999</v>
      </c>
      <c r="N193">
        <v>126.5</v>
      </c>
      <c r="O193">
        <v>148.30000000000001</v>
      </c>
      <c r="P193">
        <v>135.69999999999999</v>
      </c>
      <c r="Q193">
        <v>159.19999999999999</v>
      </c>
      <c r="R193">
        <v>137.80000000000001</v>
      </c>
      <c r="S193">
        <v>127.4</v>
      </c>
      <c r="T193">
        <v>136.19999999999999</v>
      </c>
      <c r="U193">
        <v>142.9</v>
      </c>
      <c r="V193" s="5">
        <v>124.6</v>
      </c>
      <c r="W193">
        <v>131.80000000000001</v>
      </c>
      <c r="X193">
        <v>131.30000000000001</v>
      </c>
      <c r="Y193">
        <v>118.9</v>
      </c>
      <c r="Z193">
        <v>127.6</v>
      </c>
      <c r="AA193">
        <v>139.69999999999999</v>
      </c>
      <c r="AB193">
        <v>127.6</v>
      </c>
      <c r="AC193">
        <v>128.19999999999999</v>
      </c>
      <c r="AD193">
        <v>134.80000000000001</v>
      </c>
      <c r="AE193" s="72">
        <f t="shared" si="10"/>
        <v>1879.2000000000003</v>
      </c>
      <c r="AF193" s="4">
        <f t="shared" si="11"/>
        <v>529</v>
      </c>
      <c r="AG193" s="4">
        <f t="shared" si="12"/>
        <v>518.20000000000005</v>
      </c>
      <c r="AH193" s="4">
        <f t="shared" si="13"/>
        <v>526.79999999999995</v>
      </c>
      <c r="AI193" s="6">
        <f t="shared" si="14"/>
        <v>3453.2000000000007</v>
      </c>
    </row>
    <row r="194" spans="1:35" x14ac:dyDescent="0.3">
      <c r="A194" t="s">
        <v>33</v>
      </c>
      <c r="B194">
        <v>2018</v>
      </c>
      <c r="C194" t="s">
        <v>36</v>
      </c>
      <c r="D194">
        <v>136.4</v>
      </c>
      <c r="E194">
        <v>144.4</v>
      </c>
      <c r="F194">
        <v>133.9</v>
      </c>
      <c r="G194">
        <v>141.6</v>
      </c>
      <c r="H194">
        <v>121</v>
      </c>
      <c r="I194">
        <v>153.5</v>
      </c>
      <c r="J194">
        <v>132.6</v>
      </c>
      <c r="K194">
        <v>123.5</v>
      </c>
      <c r="L194">
        <v>113.7</v>
      </c>
      <c r="M194">
        <v>138.19999999999999</v>
      </c>
      <c r="N194">
        <v>129.6</v>
      </c>
      <c r="O194">
        <v>151.19999999999999</v>
      </c>
      <c r="P194">
        <v>137.5</v>
      </c>
      <c r="Q194">
        <v>156.9</v>
      </c>
      <c r="R194">
        <v>145.30000000000001</v>
      </c>
      <c r="S194">
        <v>136.69999999999999</v>
      </c>
      <c r="T194">
        <v>144</v>
      </c>
      <c r="U194">
        <v>142.9</v>
      </c>
      <c r="V194" s="5">
        <v>136.5</v>
      </c>
      <c r="W194">
        <v>136.6</v>
      </c>
      <c r="X194">
        <v>135.19999999999999</v>
      </c>
      <c r="Y194">
        <v>121.9</v>
      </c>
      <c r="Z194">
        <v>131.30000000000001</v>
      </c>
      <c r="AA194">
        <v>141.4</v>
      </c>
      <c r="AB194">
        <v>129.19999999999999</v>
      </c>
      <c r="AC194">
        <v>131.30000000000001</v>
      </c>
      <c r="AD194">
        <v>137.1</v>
      </c>
      <c r="AE194" s="72">
        <f t="shared" si="10"/>
        <v>1914.0000000000002</v>
      </c>
      <c r="AF194" s="4">
        <f t="shared" si="11"/>
        <v>555.20000000000005</v>
      </c>
      <c r="AG194" s="4">
        <f t="shared" si="12"/>
        <v>537.9</v>
      </c>
      <c r="AH194" s="4">
        <f t="shared" si="13"/>
        <v>539.20000000000005</v>
      </c>
      <c r="AI194" s="6">
        <f t="shared" si="14"/>
        <v>3546.3</v>
      </c>
    </row>
    <row r="195" spans="1:35" x14ac:dyDescent="0.3">
      <c r="A195" t="s">
        <v>30</v>
      </c>
      <c r="B195">
        <v>2018</v>
      </c>
      <c r="C195" t="s">
        <v>37</v>
      </c>
      <c r="D195">
        <v>137.4</v>
      </c>
      <c r="E195">
        <v>145.69999999999999</v>
      </c>
      <c r="F195">
        <v>135.5</v>
      </c>
      <c r="G195">
        <v>142.9</v>
      </c>
      <c r="H195">
        <v>123.6</v>
      </c>
      <c r="I195">
        <v>157.5</v>
      </c>
      <c r="J195">
        <v>137.80000000000001</v>
      </c>
      <c r="K195">
        <v>127.2</v>
      </c>
      <c r="L195">
        <v>111.8</v>
      </c>
      <c r="M195">
        <v>137.4</v>
      </c>
      <c r="N195">
        <v>132.19999999999999</v>
      </c>
      <c r="O195">
        <v>154.30000000000001</v>
      </c>
      <c r="P195">
        <v>139.1</v>
      </c>
      <c r="Q195">
        <v>157</v>
      </c>
      <c r="R195">
        <v>150.80000000000001</v>
      </c>
      <c r="S195">
        <v>144.1</v>
      </c>
      <c r="T195">
        <v>149.80000000000001</v>
      </c>
      <c r="U195">
        <v>0</v>
      </c>
      <c r="V195" s="5">
        <v>144.30000000000001</v>
      </c>
      <c r="W195">
        <v>141.80000000000001</v>
      </c>
      <c r="X195">
        <v>138.4</v>
      </c>
      <c r="Y195">
        <v>126.4</v>
      </c>
      <c r="Z195">
        <v>136.80000000000001</v>
      </c>
      <c r="AA195">
        <v>144.4</v>
      </c>
      <c r="AB195">
        <v>131.19999999999999</v>
      </c>
      <c r="AC195">
        <v>135.1</v>
      </c>
      <c r="AD195">
        <v>139.80000000000001</v>
      </c>
      <c r="AE195" s="72">
        <f t="shared" ref="AE195:AE258" si="15">SUM(D195:Q195)</f>
        <v>1939.4</v>
      </c>
      <c r="AF195" s="4">
        <f t="shared" ref="AF195:AF258" si="16">SUM(R195:T195,AB195)</f>
        <v>575.9</v>
      </c>
      <c r="AG195" s="4">
        <f t="shared" ref="AG195:AG258" si="17">SUM(U195:W195,Y195)</f>
        <v>412.5</v>
      </c>
      <c r="AH195" s="4">
        <f t="shared" ref="AH195:AH258" si="18">X195+Z195+AA195+AC195</f>
        <v>554.70000000000005</v>
      </c>
      <c r="AI195" s="6">
        <f t="shared" ref="AI195:AI258" si="19">SUM(AE195:AH195)</f>
        <v>3482.5</v>
      </c>
    </row>
    <row r="196" spans="1:35" x14ac:dyDescent="0.3">
      <c r="A196" t="s">
        <v>32</v>
      </c>
      <c r="B196">
        <v>2018</v>
      </c>
      <c r="C196" t="s">
        <v>37</v>
      </c>
      <c r="D196">
        <v>135</v>
      </c>
      <c r="E196">
        <v>148.19999999999999</v>
      </c>
      <c r="F196">
        <v>130.5</v>
      </c>
      <c r="G196">
        <v>140.69999999999999</v>
      </c>
      <c r="H196">
        <v>116.4</v>
      </c>
      <c r="I196">
        <v>151.30000000000001</v>
      </c>
      <c r="J196">
        <v>131.4</v>
      </c>
      <c r="K196">
        <v>112.8</v>
      </c>
      <c r="L196">
        <v>105.3</v>
      </c>
      <c r="M196">
        <v>139.6</v>
      </c>
      <c r="N196">
        <v>126.6</v>
      </c>
      <c r="O196">
        <v>148.69999999999999</v>
      </c>
      <c r="P196">
        <v>136.4</v>
      </c>
      <c r="Q196">
        <v>160.30000000000001</v>
      </c>
      <c r="R196">
        <v>138.6</v>
      </c>
      <c r="S196">
        <v>127.9</v>
      </c>
      <c r="T196">
        <v>137</v>
      </c>
      <c r="U196">
        <v>143.19999999999999</v>
      </c>
      <c r="V196" s="5">
        <v>124.7</v>
      </c>
      <c r="W196">
        <v>132.5</v>
      </c>
      <c r="X196">
        <v>132</v>
      </c>
      <c r="Y196">
        <v>119.8</v>
      </c>
      <c r="Z196">
        <v>128</v>
      </c>
      <c r="AA196">
        <v>140.4</v>
      </c>
      <c r="AB196">
        <v>128.1</v>
      </c>
      <c r="AC196">
        <v>128.9</v>
      </c>
      <c r="AD196">
        <v>135.4</v>
      </c>
      <c r="AE196" s="72">
        <f t="shared" si="15"/>
        <v>1883.1999999999998</v>
      </c>
      <c r="AF196" s="4">
        <f t="shared" si="16"/>
        <v>531.6</v>
      </c>
      <c r="AG196" s="4">
        <f t="shared" si="17"/>
        <v>520.19999999999993</v>
      </c>
      <c r="AH196" s="4">
        <f t="shared" si="18"/>
        <v>529.29999999999995</v>
      </c>
      <c r="AI196" s="6">
        <f t="shared" si="19"/>
        <v>3464.2999999999993</v>
      </c>
    </row>
    <row r="197" spans="1:35" x14ac:dyDescent="0.3">
      <c r="A197" t="s">
        <v>33</v>
      </c>
      <c r="B197">
        <v>2018</v>
      </c>
      <c r="C197" t="s">
        <v>37</v>
      </c>
      <c r="D197">
        <v>136.6</v>
      </c>
      <c r="E197">
        <v>146.6</v>
      </c>
      <c r="F197">
        <v>133.6</v>
      </c>
      <c r="G197">
        <v>142.1</v>
      </c>
      <c r="H197">
        <v>121</v>
      </c>
      <c r="I197">
        <v>154.6</v>
      </c>
      <c r="J197">
        <v>135.6</v>
      </c>
      <c r="K197">
        <v>122.3</v>
      </c>
      <c r="L197">
        <v>109.6</v>
      </c>
      <c r="M197">
        <v>138.1</v>
      </c>
      <c r="N197">
        <v>129.9</v>
      </c>
      <c r="O197">
        <v>151.69999999999999</v>
      </c>
      <c r="P197">
        <v>138.1</v>
      </c>
      <c r="Q197">
        <v>157.9</v>
      </c>
      <c r="R197">
        <v>146</v>
      </c>
      <c r="S197">
        <v>137.4</v>
      </c>
      <c r="T197">
        <v>144.69999999999999</v>
      </c>
      <c r="U197">
        <v>143.19999999999999</v>
      </c>
      <c r="V197" s="5">
        <v>136.9</v>
      </c>
      <c r="W197">
        <v>137.4</v>
      </c>
      <c r="X197">
        <v>136</v>
      </c>
      <c r="Y197">
        <v>122.9</v>
      </c>
      <c r="Z197">
        <v>131.80000000000001</v>
      </c>
      <c r="AA197">
        <v>142.1</v>
      </c>
      <c r="AB197">
        <v>129.9</v>
      </c>
      <c r="AC197">
        <v>132.1</v>
      </c>
      <c r="AD197">
        <v>137.80000000000001</v>
      </c>
      <c r="AE197" s="72">
        <f t="shared" si="15"/>
        <v>1917.7</v>
      </c>
      <c r="AF197" s="4">
        <f t="shared" si="16"/>
        <v>558</v>
      </c>
      <c r="AG197" s="4">
        <f t="shared" si="17"/>
        <v>540.4</v>
      </c>
      <c r="AH197" s="4">
        <f t="shared" si="18"/>
        <v>542</v>
      </c>
      <c r="AI197" s="6">
        <f t="shared" si="19"/>
        <v>3558.1</v>
      </c>
    </row>
    <row r="198" spans="1:35" x14ac:dyDescent="0.3">
      <c r="A198" t="s">
        <v>30</v>
      </c>
      <c r="B198">
        <v>2018</v>
      </c>
      <c r="C198" t="s">
        <v>38</v>
      </c>
      <c r="D198">
        <v>137.6</v>
      </c>
      <c r="E198">
        <v>148.1</v>
      </c>
      <c r="F198">
        <v>136.69999999999999</v>
      </c>
      <c r="G198">
        <v>143.19999999999999</v>
      </c>
      <c r="H198">
        <v>124</v>
      </c>
      <c r="I198">
        <v>154.1</v>
      </c>
      <c r="J198">
        <v>143.5</v>
      </c>
      <c r="K198">
        <v>126</v>
      </c>
      <c r="L198">
        <v>112.4</v>
      </c>
      <c r="M198">
        <v>137.6</v>
      </c>
      <c r="N198">
        <v>132.80000000000001</v>
      </c>
      <c r="O198">
        <v>154.30000000000001</v>
      </c>
      <c r="P198">
        <v>140</v>
      </c>
      <c r="Q198">
        <v>157.30000000000001</v>
      </c>
      <c r="R198">
        <v>151.30000000000001</v>
      </c>
      <c r="S198">
        <v>144.69999999999999</v>
      </c>
      <c r="T198">
        <v>150.30000000000001</v>
      </c>
      <c r="U198">
        <v>0</v>
      </c>
      <c r="V198" s="5">
        <v>145.1</v>
      </c>
      <c r="W198">
        <v>142.19999999999999</v>
      </c>
      <c r="X198">
        <v>138.4</v>
      </c>
      <c r="Y198">
        <v>127.4</v>
      </c>
      <c r="Z198">
        <v>137.80000000000001</v>
      </c>
      <c r="AA198">
        <v>145.1</v>
      </c>
      <c r="AB198">
        <v>131.4</v>
      </c>
      <c r="AC198">
        <v>135.6</v>
      </c>
      <c r="AD198">
        <v>140.5</v>
      </c>
      <c r="AE198" s="72">
        <f t="shared" si="15"/>
        <v>1947.5999999999997</v>
      </c>
      <c r="AF198" s="4">
        <f t="shared" si="16"/>
        <v>577.70000000000005</v>
      </c>
      <c r="AG198" s="4">
        <f t="shared" si="17"/>
        <v>414.69999999999993</v>
      </c>
      <c r="AH198" s="4">
        <f t="shared" si="18"/>
        <v>556.90000000000009</v>
      </c>
      <c r="AI198" s="6">
        <f t="shared" si="19"/>
        <v>3496.8999999999996</v>
      </c>
    </row>
    <row r="199" spans="1:35" x14ac:dyDescent="0.3">
      <c r="A199" t="s">
        <v>32</v>
      </c>
      <c r="B199">
        <v>2018</v>
      </c>
      <c r="C199" t="s">
        <v>38</v>
      </c>
      <c r="D199">
        <v>135.30000000000001</v>
      </c>
      <c r="E199">
        <v>149.69999999999999</v>
      </c>
      <c r="F199">
        <v>133.9</v>
      </c>
      <c r="G199">
        <v>140.80000000000001</v>
      </c>
      <c r="H199">
        <v>116.6</v>
      </c>
      <c r="I199">
        <v>152.19999999999999</v>
      </c>
      <c r="J199">
        <v>144</v>
      </c>
      <c r="K199">
        <v>112.3</v>
      </c>
      <c r="L199">
        <v>108.4</v>
      </c>
      <c r="M199">
        <v>140</v>
      </c>
      <c r="N199">
        <v>126.7</v>
      </c>
      <c r="O199">
        <v>149</v>
      </c>
      <c r="P199">
        <v>138.4</v>
      </c>
      <c r="Q199">
        <v>161</v>
      </c>
      <c r="R199">
        <v>138.9</v>
      </c>
      <c r="S199">
        <v>128.69999999999999</v>
      </c>
      <c r="T199">
        <v>137.4</v>
      </c>
      <c r="U199">
        <v>142.5</v>
      </c>
      <c r="V199" s="5">
        <v>126.5</v>
      </c>
      <c r="W199">
        <v>133.1</v>
      </c>
      <c r="X199">
        <v>132.6</v>
      </c>
      <c r="Y199">
        <v>120.4</v>
      </c>
      <c r="Z199">
        <v>128.5</v>
      </c>
      <c r="AA199">
        <v>141.19999999999999</v>
      </c>
      <c r="AB199">
        <v>128.19999999999999</v>
      </c>
      <c r="AC199">
        <v>129.5</v>
      </c>
      <c r="AD199">
        <v>136.19999999999999</v>
      </c>
      <c r="AE199" s="72">
        <f t="shared" si="15"/>
        <v>1908.3000000000002</v>
      </c>
      <c r="AF199" s="4">
        <f t="shared" si="16"/>
        <v>533.20000000000005</v>
      </c>
      <c r="AG199" s="4">
        <f t="shared" si="17"/>
        <v>522.5</v>
      </c>
      <c r="AH199" s="4">
        <f t="shared" si="18"/>
        <v>531.79999999999995</v>
      </c>
      <c r="AI199" s="6">
        <f t="shared" si="19"/>
        <v>3495.8</v>
      </c>
    </row>
    <row r="200" spans="1:35" x14ac:dyDescent="0.3">
      <c r="A200" t="s">
        <v>33</v>
      </c>
      <c r="B200">
        <v>2018</v>
      </c>
      <c r="C200" t="s">
        <v>38</v>
      </c>
      <c r="D200">
        <v>136.9</v>
      </c>
      <c r="E200">
        <v>148.69999999999999</v>
      </c>
      <c r="F200">
        <v>135.6</v>
      </c>
      <c r="G200">
        <v>142.30000000000001</v>
      </c>
      <c r="H200">
        <v>121.3</v>
      </c>
      <c r="I200">
        <v>153.19999999999999</v>
      </c>
      <c r="J200">
        <v>143.69999999999999</v>
      </c>
      <c r="K200">
        <v>121.4</v>
      </c>
      <c r="L200">
        <v>111.1</v>
      </c>
      <c r="M200">
        <v>138.4</v>
      </c>
      <c r="N200">
        <v>130.30000000000001</v>
      </c>
      <c r="O200">
        <v>151.80000000000001</v>
      </c>
      <c r="P200">
        <v>139.4</v>
      </c>
      <c r="Q200">
        <v>158.30000000000001</v>
      </c>
      <c r="R200">
        <v>146.4</v>
      </c>
      <c r="S200">
        <v>138.1</v>
      </c>
      <c r="T200">
        <v>145.19999999999999</v>
      </c>
      <c r="U200">
        <v>142.5</v>
      </c>
      <c r="V200" s="5">
        <v>138.1</v>
      </c>
      <c r="W200">
        <v>137.9</v>
      </c>
      <c r="X200">
        <v>136.19999999999999</v>
      </c>
      <c r="Y200">
        <v>123.7</v>
      </c>
      <c r="Z200">
        <v>132.6</v>
      </c>
      <c r="AA200">
        <v>142.80000000000001</v>
      </c>
      <c r="AB200">
        <v>130.1</v>
      </c>
      <c r="AC200">
        <v>132.6</v>
      </c>
      <c r="AD200">
        <v>138.5</v>
      </c>
      <c r="AE200" s="72">
        <f t="shared" si="15"/>
        <v>1932.4</v>
      </c>
      <c r="AF200" s="4">
        <f t="shared" si="16"/>
        <v>559.79999999999995</v>
      </c>
      <c r="AG200" s="4">
        <f t="shared" si="17"/>
        <v>542.20000000000005</v>
      </c>
      <c r="AH200" s="4">
        <f t="shared" si="18"/>
        <v>544.19999999999993</v>
      </c>
      <c r="AI200" s="6">
        <f t="shared" si="19"/>
        <v>3578.5999999999995</v>
      </c>
    </row>
    <row r="201" spans="1:35" x14ac:dyDescent="0.3">
      <c r="A201" t="s">
        <v>30</v>
      </c>
      <c r="B201">
        <v>2018</v>
      </c>
      <c r="C201" t="s">
        <v>39</v>
      </c>
      <c r="D201">
        <v>138.4</v>
      </c>
      <c r="E201">
        <v>149.30000000000001</v>
      </c>
      <c r="F201">
        <v>139.30000000000001</v>
      </c>
      <c r="G201">
        <v>143.4</v>
      </c>
      <c r="H201">
        <v>124.1</v>
      </c>
      <c r="I201">
        <v>153.30000000000001</v>
      </c>
      <c r="J201">
        <v>154.19999999999999</v>
      </c>
      <c r="K201">
        <v>126.4</v>
      </c>
      <c r="L201">
        <v>114.3</v>
      </c>
      <c r="M201">
        <v>138.19999999999999</v>
      </c>
      <c r="N201">
        <v>132.80000000000001</v>
      </c>
      <c r="O201">
        <v>154.80000000000001</v>
      </c>
      <c r="P201">
        <v>142</v>
      </c>
      <c r="Q201">
        <v>156.1</v>
      </c>
      <c r="R201">
        <v>151.5</v>
      </c>
      <c r="S201">
        <v>145.1</v>
      </c>
      <c r="T201">
        <v>150.6</v>
      </c>
      <c r="U201">
        <v>0</v>
      </c>
      <c r="V201" s="5">
        <v>146.80000000000001</v>
      </c>
      <c r="W201">
        <v>143.1</v>
      </c>
      <c r="X201">
        <v>139</v>
      </c>
      <c r="Y201">
        <v>127.5</v>
      </c>
      <c r="Z201">
        <v>138.4</v>
      </c>
      <c r="AA201">
        <v>145.80000000000001</v>
      </c>
      <c r="AB201">
        <v>131.4</v>
      </c>
      <c r="AC201">
        <v>136</v>
      </c>
      <c r="AD201">
        <v>141.80000000000001</v>
      </c>
      <c r="AE201" s="72">
        <f t="shared" si="15"/>
        <v>1966.6000000000001</v>
      </c>
      <c r="AF201" s="4">
        <f t="shared" si="16"/>
        <v>578.6</v>
      </c>
      <c r="AG201" s="4">
        <f t="shared" si="17"/>
        <v>417.4</v>
      </c>
      <c r="AH201" s="4">
        <f t="shared" si="18"/>
        <v>559.20000000000005</v>
      </c>
      <c r="AI201" s="6">
        <f t="shared" si="19"/>
        <v>3521.8</v>
      </c>
    </row>
    <row r="202" spans="1:35" x14ac:dyDescent="0.3">
      <c r="A202" t="s">
        <v>32</v>
      </c>
      <c r="B202">
        <v>2018</v>
      </c>
      <c r="C202" t="s">
        <v>39</v>
      </c>
      <c r="D202">
        <v>135.6</v>
      </c>
      <c r="E202">
        <v>148.6</v>
      </c>
      <c r="F202">
        <v>139.1</v>
      </c>
      <c r="G202">
        <v>141</v>
      </c>
      <c r="H202">
        <v>116.7</v>
      </c>
      <c r="I202">
        <v>149.69999999999999</v>
      </c>
      <c r="J202">
        <v>159.19999999999999</v>
      </c>
      <c r="K202">
        <v>112.6</v>
      </c>
      <c r="L202">
        <v>111.8</v>
      </c>
      <c r="M202">
        <v>140.30000000000001</v>
      </c>
      <c r="N202">
        <v>126.8</v>
      </c>
      <c r="O202">
        <v>149.4</v>
      </c>
      <c r="P202">
        <v>140.30000000000001</v>
      </c>
      <c r="Q202">
        <v>161.4</v>
      </c>
      <c r="R202">
        <v>139.6</v>
      </c>
      <c r="S202">
        <v>128.9</v>
      </c>
      <c r="T202">
        <v>137.9</v>
      </c>
      <c r="U202">
        <v>143.6</v>
      </c>
      <c r="V202" s="5">
        <v>128.1</v>
      </c>
      <c r="W202">
        <v>133.6</v>
      </c>
      <c r="X202">
        <v>133.6</v>
      </c>
      <c r="Y202">
        <v>120.1</v>
      </c>
      <c r="Z202">
        <v>129</v>
      </c>
      <c r="AA202">
        <v>144</v>
      </c>
      <c r="AB202">
        <v>128.19999999999999</v>
      </c>
      <c r="AC202">
        <v>130.19999999999999</v>
      </c>
      <c r="AD202">
        <v>137.5</v>
      </c>
      <c r="AE202" s="72">
        <f t="shared" si="15"/>
        <v>1932.5</v>
      </c>
      <c r="AF202" s="4">
        <f t="shared" si="16"/>
        <v>534.59999999999991</v>
      </c>
      <c r="AG202" s="4">
        <f t="shared" si="17"/>
        <v>525.4</v>
      </c>
      <c r="AH202" s="4">
        <f t="shared" si="18"/>
        <v>536.79999999999995</v>
      </c>
      <c r="AI202" s="6">
        <f t="shared" si="19"/>
        <v>3529.3</v>
      </c>
    </row>
    <row r="203" spans="1:35" x14ac:dyDescent="0.3">
      <c r="A203" t="s">
        <v>33</v>
      </c>
      <c r="B203">
        <v>2018</v>
      </c>
      <c r="C203" t="s">
        <v>39</v>
      </c>
      <c r="D203">
        <v>137.5</v>
      </c>
      <c r="E203">
        <v>149.1</v>
      </c>
      <c r="F203">
        <v>139.19999999999999</v>
      </c>
      <c r="G203">
        <v>142.5</v>
      </c>
      <c r="H203">
        <v>121.4</v>
      </c>
      <c r="I203">
        <v>151.6</v>
      </c>
      <c r="J203">
        <v>155.9</v>
      </c>
      <c r="K203">
        <v>121.7</v>
      </c>
      <c r="L203">
        <v>113.5</v>
      </c>
      <c r="M203">
        <v>138.9</v>
      </c>
      <c r="N203">
        <v>130.30000000000001</v>
      </c>
      <c r="O203">
        <v>152.30000000000001</v>
      </c>
      <c r="P203">
        <v>141.4</v>
      </c>
      <c r="Q203">
        <v>157.5</v>
      </c>
      <c r="R203">
        <v>146.80000000000001</v>
      </c>
      <c r="S203">
        <v>138.4</v>
      </c>
      <c r="T203">
        <v>145.6</v>
      </c>
      <c r="U203">
        <v>143.6</v>
      </c>
      <c r="V203" s="5">
        <v>139.69999999999999</v>
      </c>
      <c r="W203">
        <v>138.6</v>
      </c>
      <c r="X203">
        <v>137</v>
      </c>
      <c r="Y203">
        <v>123.6</v>
      </c>
      <c r="Z203">
        <v>133.1</v>
      </c>
      <c r="AA203">
        <v>144.69999999999999</v>
      </c>
      <c r="AB203">
        <v>130.1</v>
      </c>
      <c r="AC203">
        <v>133.19999999999999</v>
      </c>
      <c r="AD203">
        <v>139.80000000000001</v>
      </c>
      <c r="AE203" s="72">
        <f t="shared" si="15"/>
        <v>1952.8</v>
      </c>
      <c r="AF203" s="4">
        <f t="shared" si="16"/>
        <v>560.90000000000009</v>
      </c>
      <c r="AG203" s="4">
        <f t="shared" si="17"/>
        <v>545.5</v>
      </c>
      <c r="AH203" s="4">
        <f t="shared" si="18"/>
        <v>548</v>
      </c>
      <c r="AI203" s="6">
        <f t="shared" si="19"/>
        <v>3607.2</v>
      </c>
    </row>
    <row r="204" spans="1:35" x14ac:dyDescent="0.3">
      <c r="A204" t="s">
        <v>30</v>
      </c>
      <c r="B204">
        <v>2018</v>
      </c>
      <c r="C204" t="s">
        <v>40</v>
      </c>
      <c r="D204">
        <v>139.19999999999999</v>
      </c>
      <c r="E204">
        <v>148.80000000000001</v>
      </c>
      <c r="F204">
        <v>139.1</v>
      </c>
      <c r="G204">
        <v>143.5</v>
      </c>
      <c r="H204">
        <v>125</v>
      </c>
      <c r="I204">
        <v>154.4</v>
      </c>
      <c r="J204">
        <v>156.30000000000001</v>
      </c>
      <c r="K204">
        <v>126.8</v>
      </c>
      <c r="L204">
        <v>115.4</v>
      </c>
      <c r="M204">
        <v>138.6</v>
      </c>
      <c r="N204">
        <v>133.80000000000001</v>
      </c>
      <c r="O204">
        <v>155.19999999999999</v>
      </c>
      <c r="P204">
        <v>142.69999999999999</v>
      </c>
      <c r="Q204">
        <v>156.4</v>
      </c>
      <c r="R204">
        <v>152.1</v>
      </c>
      <c r="S204">
        <v>145.80000000000001</v>
      </c>
      <c r="T204">
        <v>151.30000000000001</v>
      </c>
      <c r="U204">
        <v>0</v>
      </c>
      <c r="V204" s="5">
        <v>147.69999999999999</v>
      </c>
      <c r="W204">
        <v>143.80000000000001</v>
      </c>
      <c r="X204">
        <v>139.4</v>
      </c>
      <c r="Y204">
        <v>128.30000000000001</v>
      </c>
      <c r="Z204">
        <v>138.6</v>
      </c>
      <c r="AA204">
        <v>146.9</v>
      </c>
      <c r="AB204">
        <v>131.30000000000001</v>
      </c>
      <c r="AC204">
        <v>136.6</v>
      </c>
      <c r="AD204">
        <v>142.5</v>
      </c>
      <c r="AE204" s="72">
        <f t="shared" si="15"/>
        <v>1975.2</v>
      </c>
      <c r="AF204" s="4">
        <f t="shared" si="16"/>
        <v>580.5</v>
      </c>
      <c r="AG204" s="4">
        <f t="shared" si="17"/>
        <v>419.8</v>
      </c>
      <c r="AH204" s="4">
        <f t="shared" si="18"/>
        <v>561.5</v>
      </c>
      <c r="AI204" s="6">
        <f t="shared" si="19"/>
        <v>3537</v>
      </c>
    </row>
    <row r="205" spans="1:35" x14ac:dyDescent="0.3">
      <c r="A205" t="s">
        <v>32</v>
      </c>
      <c r="B205">
        <v>2018</v>
      </c>
      <c r="C205" t="s">
        <v>40</v>
      </c>
      <c r="D205">
        <v>136.5</v>
      </c>
      <c r="E205">
        <v>146.4</v>
      </c>
      <c r="F205">
        <v>136.6</v>
      </c>
      <c r="G205">
        <v>141.19999999999999</v>
      </c>
      <c r="H205">
        <v>117.4</v>
      </c>
      <c r="I205">
        <v>146.30000000000001</v>
      </c>
      <c r="J205">
        <v>157.30000000000001</v>
      </c>
      <c r="K205">
        <v>113.6</v>
      </c>
      <c r="L205">
        <v>113.3</v>
      </c>
      <c r="M205">
        <v>141.1</v>
      </c>
      <c r="N205">
        <v>127.4</v>
      </c>
      <c r="O205">
        <v>150.4</v>
      </c>
      <c r="P205">
        <v>140.1</v>
      </c>
      <c r="Q205">
        <v>162.1</v>
      </c>
      <c r="R205">
        <v>140</v>
      </c>
      <c r="S205">
        <v>129</v>
      </c>
      <c r="T205">
        <v>138.30000000000001</v>
      </c>
      <c r="U205">
        <v>144.6</v>
      </c>
      <c r="V205" s="5">
        <v>129.80000000000001</v>
      </c>
      <c r="W205">
        <v>134.4</v>
      </c>
      <c r="X205">
        <v>134.9</v>
      </c>
      <c r="Y205">
        <v>120.7</v>
      </c>
      <c r="Z205">
        <v>129.80000000000001</v>
      </c>
      <c r="AA205">
        <v>145.30000000000001</v>
      </c>
      <c r="AB205">
        <v>128.30000000000001</v>
      </c>
      <c r="AC205">
        <v>131</v>
      </c>
      <c r="AD205">
        <v>138</v>
      </c>
      <c r="AE205" s="72">
        <f t="shared" si="15"/>
        <v>1929.6999999999998</v>
      </c>
      <c r="AF205" s="4">
        <f t="shared" si="16"/>
        <v>535.6</v>
      </c>
      <c r="AG205" s="4">
        <f t="shared" si="17"/>
        <v>529.5</v>
      </c>
      <c r="AH205" s="4">
        <f t="shared" si="18"/>
        <v>541</v>
      </c>
      <c r="AI205" s="6">
        <f t="shared" si="19"/>
        <v>3535.7999999999997</v>
      </c>
    </row>
    <row r="206" spans="1:35" x14ac:dyDescent="0.3">
      <c r="A206" t="s">
        <v>33</v>
      </c>
      <c r="B206">
        <v>2018</v>
      </c>
      <c r="C206" t="s">
        <v>40</v>
      </c>
      <c r="D206">
        <v>138.30000000000001</v>
      </c>
      <c r="E206">
        <v>148</v>
      </c>
      <c r="F206">
        <v>138.1</v>
      </c>
      <c r="G206">
        <v>142.6</v>
      </c>
      <c r="H206">
        <v>122.2</v>
      </c>
      <c r="I206">
        <v>150.6</v>
      </c>
      <c r="J206">
        <v>156.6</v>
      </c>
      <c r="K206">
        <v>122.4</v>
      </c>
      <c r="L206">
        <v>114.7</v>
      </c>
      <c r="M206">
        <v>139.4</v>
      </c>
      <c r="N206">
        <v>131.1</v>
      </c>
      <c r="O206">
        <v>153</v>
      </c>
      <c r="P206">
        <v>141.69999999999999</v>
      </c>
      <c r="Q206">
        <v>157.9</v>
      </c>
      <c r="R206">
        <v>147.30000000000001</v>
      </c>
      <c r="S206">
        <v>138.80000000000001</v>
      </c>
      <c r="T206">
        <v>146.1</v>
      </c>
      <c r="U206">
        <v>144.6</v>
      </c>
      <c r="V206" s="5">
        <v>140.9</v>
      </c>
      <c r="W206">
        <v>139.4</v>
      </c>
      <c r="X206">
        <v>137.69999999999999</v>
      </c>
      <c r="Y206">
        <v>124.3</v>
      </c>
      <c r="Z206">
        <v>133.6</v>
      </c>
      <c r="AA206">
        <v>146</v>
      </c>
      <c r="AB206">
        <v>130.1</v>
      </c>
      <c r="AC206">
        <v>133.9</v>
      </c>
      <c r="AD206">
        <v>140.4</v>
      </c>
      <c r="AE206" s="72">
        <f t="shared" si="15"/>
        <v>1956.6000000000004</v>
      </c>
      <c r="AF206" s="4">
        <f t="shared" si="16"/>
        <v>562.30000000000007</v>
      </c>
      <c r="AG206" s="4">
        <f t="shared" si="17"/>
        <v>549.19999999999993</v>
      </c>
      <c r="AH206" s="4">
        <f t="shared" si="18"/>
        <v>551.19999999999993</v>
      </c>
      <c r="AI206" s="6">
        <f t="shared" si="19"/>
        <v>3619.3</v>
      </c>
    </row>
    <row r="207" spans="1:35" x14ac:dyDescent="0.3">
      <c r="A207" t="s">
        <v>30</v>
      </c>
      <c r="B207">
        <v>2018</v>
      </c>
      <c r="C207" t="s">
        <v>41</v>
      </c>
      <c r="D207">
        <v>139.4</v>
      </c>
      <c r="E207">
        <v>147.19999999999999</v>
      </c>
      <c r="F207">
        <v>136.6</v>
      </c>
      <c r="G207">
        <v>143.69999999999999</v>
      </c>
      <c r="H207">
        <v>124.6</v>
      </c>
      <c r="I207">
        <v>150.1</v>
      </c>
      <c r="J207">
        <v>149.4</v>
      </c>
      <c r="K207">
        <v>125.4</v>
      </c>
      <c r="L207">
        <v>114.4</v>
      </c>
      <c r="M207">
        <v>138.69999999999999</v>
      </c>
      <c r="N207">
        <v>133.1</v>
      </c>
      <c r="O207">
        <v>155.9</v>
      </c>
      <c r="P207">
        <v>141.30000000000001</v>
      </c>
      <c r="Q207">
        <v>157.69999999999999</v>
      </c>
      <c r="R207">
        <v>152.1</v>
      </c>
      <c r="S207">
        <v>146.1</v>
      </c>
      <c r="T207">
        <v>151.30000000000001</v>
      </c>
      <c r="U207">
        <v>0</v>
      </c>
      <c r="V207" s="5">
        <v>149</v>
      </c>
      <c r="W207">
        <v>144</v>
      </c>
      <c r="X207">
        <v>140</v>
      </c>
      <c r="Y207">
        <v>129.9</v>
      </c>
      <c r="Z207">
        <v>140</v>
      </c>
      <c r="AA207">
        <v>147.6</v>
      </c>
      <c r="AB207">
        <v>132</v>
      </c>
      <c r="AC207">
        <v>137.4</v>
      </c>
      <c r="AD207">
        <v>142.1</v>
      </c>
      <c r="AE207" s="72">
        <f t="shared" si="15"/>
        <v>1957.5000000000002</v>
      </c>
      <c r="AF207" s="4">
        <f t="shared" si="16"/>
        <v>581.5</v>
      </c>
      <c r="AG207" s="4">
        <f t="shared" si="17"/>
        <v>422.9</v>
      </c>
      <c r="AH207" s="4">
        <f t="shared" si="18"/>
        <v>565</v>
      </c>
      <c r="AI207" s="6">
        <f t="shared" si="19"/>
        <v>3526.9</v>
      </c>
    </row>
    <row r="208" spans="1:35" x14ac:dyDescent="0.3">
      <c r="A208" t="s">
        <v>32</v>
      </c>
      <c r="B208">
        <v>2018</v>
      </c>
      <c r="C208" t="s">
        <v>41</v>
      </c>
      <c r="D208">
        <v>137</v>
      </c>
      <c r="E208">
        <v>143.1</v>
      </c>
      <c r="F208">
        <v>132.80000000000001</v>
      </c>
      <c r="G208">
        <v>141.5</v>
      </c>
      <c r="H208">
        <v>117.8</v>
      </c>
      <c r="I208">
        <v>140</v>
      </c>
      <c r="J208">
        <v>151.30000000000001</v>
      </c>
      <c r="K208">
        <v>113.5</v>
      </c>
      <c r="L208">
        <v>112.3</v>
      </c>
      <c r="M208">
        <v>141.19999999999999</v>
      </c>
      <c r="N208">
        <v>127.7</v>
      </c>
      <c r="O208">
        <v>151.30000000000001</v>
      </c>
      <c r="P208">
        <v>138.9</v>
      </c>
      <c r="Q208">
        <v>163.30000000000001</v>
      </c>
      <c r="R208">
        <v>140.80000000000001</v>
      </c>
      <c r="S208">
        <v>129.30000000000001</v>
      </c>
      <c r="T208">
        <v>139.1</v>
      </c>
      <c r="U208">
        <v>145.30000000000001</v>
      </c>
      <c r="V208" s="5">
        <v>131.19999999999999</v>
      </c>
      <c r="W208">
        <v>134.9</v>
      </c>
      <c r="X208">
        <v>135.69999999999999</v>
      </c>
      <c r="Y208">
        <v>122.5</v>
      </c>
      <c r="Z208">
        <v>130.19999999999999</v>
      </c>
      <c r="AA208">
        <v>145.19999999999999</v>
      </c>
      <c r="AB208">
        <v>129.30000000000001</v>
      </c>
      <c r="AC208">
        <v>131.9</v>
      </c>
      <c r="AD208">
        <v>138.1</v>
      </c>
      <c r="AE208" s="72">
        <f t="shared" si="15"/>
        <v>1911.7</v>
      </c>
      <c r="AF208" s="4">
        <f t="shared" si="16"/>
        <v>538.5</v>
      </c>
      <c r="AG208" s="4">
        <f t="shared" si="17"/>
        <v>533.9</v>
      </c>
      <c r="AH208" s="4">
        <f t="shared" si="18"/>
        <v>543</v>
      </c>
      <c r="AI208" s="6">
        <f t="shared" si="19"/>
        <v>3527.1</v>
      </c>
    </row>
    <row r="209" spans="1:35" x14ac:dyDescent="0.3">
      <c r="A209" t="s">
        <v>33</v>
      </c>
      <c r="B209">
        <v>2018</v>
      </c>
      <c r="C209" t="s">
        <v>41</v>
      </c>
      <c r="D209">
        <v>138.6</v>
      </c>
      <c r="E209">
        <v>145.80000000000001</v>
      </c>
      <c r="F209">
        <v>135.1</v>
      </c>
      <c r="G209">
        <v>142.9</v>
      </c>
      <c r="H209">
        <v>122.1</v>
      </c>
      <c r="I209">
        <v>145.4</v>
      </c>
      <c r="J209">
        <v>150</v>
      </c>
      <c r="K209">
        <v>121.4</v>
      </c>
      <c r="L209">
        <v>113.7</v>
      </c>
      <c r="M209">
        <v>139.5</v>
      </c>
      <c r="N209">
        <v>130.80000000000001</v>
      </c>
      <c r="O209">
        <v>153.80000000000001</v>
      </c>
      <c r="P209">
        <v>140.4</v>
      </c>
      <c r="Q209">
        <v>159.19999999999999</v>
      </c>
      <c r="R209">
        <v>147.69999999999999</v>
      </c>
      <c r="S209">
        <v>139.1</v>
      </c>
      <c r="T209">
        <v>146.5</v>
      </c>
      <c r="U209">
        <v>145.30000000000001</v>
      </c>
      <c r="V209" s="5">
        <v>142.30000000000001</v>
      </c>
      <c r="W209">
        <v>139.69999999999999</v>
      </c>
      <c r="X209">
        <v>138.4</v>
      </c>
      <c r="Y209">
        <v>126</v>
      </c>
      <c r="Z209">
        <v>134.5</v>
      </c>
      <c r="AA209">
        <v>146.19999999999999</v>
      </c>
      <c r="AB209">
        <v>130.9</v>
      </c>
      <c r="AC209">
        <v>134.69999999999999</v>
      </c>
      <c r="AD209">
        <v>140.19999999999999</v>
      </c>
      <c r="AE209" s="72">
        <f t="shared" si="15"/>
        <v>1938.7</v>
      </c>
      <c r="AF209" s="4">
        <f t="shared" si="16"/>
        <v>564.19999999999993</v>
      </c>
      <c r="AG209" s="4">
        <f t="shared" si="17"/>
        <v>553.29999999999995</v>
      </c>
      <c r="AH209" s="4">
        <f t="shared" si="18"/>
        <v>553.79999999999995</v>
      </c>
      <c r="AI209" s="6">
        <f t="shared" si="19"/>
        <v>3610</v>
      </c>
    </row>
    <row r="210" spans="1:35" x14ac:dyDescent="0.3">
      <c r="A210" t="s">
        <v>30</v>
      </c>
      <c r="B210">
        <v>2018</v>
      </c>
      <c r="C210" t="s">
        <v>42</v>
      </c>
      <c r="D210">
        <v>139.30000000000001</v>
      </c>
      <c r="E210">
        <v>147.6</v>
      </c>
      <c r="F210">
        <v>134.6</v>
      </c>
      <c r="G210">
        <v>141.9</v>
      </c>
      <c r="H210">
        <v>123.5</v>
      </c>
      <c r="I210">
        <v>144.5</v>
      </c>
      <c r="J210">
        <v>147.6</v>
      </c>
      <c r="K210">
        <v>121.4</v>
      </c>
      <c r="L210">
        <v>112.3</v>
      </c>
      <c r="M210">
        <v>139.5</v>
      </c>
      <c r="N210">
        <v>134.6</v>
      </c>
      <c r="O210">
        <v>155.19999999999999</v>
      </c>
      <c r="P210">
        <v>140.19999999999999</v>
      </c>
      <c r="Q210">
        <v>159.6</v>
      </c>
      <c r="R210">
        <v>150.69999999999999</v>
      </c>
      <c r="S210">
        <v>144.5</v>
      </c>
      <c r="T210">
        <v>149.80000000000001</v>
      </c>
      <c r="U210">
        <v>0</v>
      </c>
      <c r="V210" s="5">
        <v>149.69999999999999</v>
      </c>
      <c r="W210">
        <v>147.5</v>
      </c>
      <c r="X210">
        <v>144.80000000000001</v>
      </c>
      <c r="Y210">
        <v>130.80000000000001</v>
      </c>
      <c r="Z210">
        <v>140.1</v>
      </c>
      <c r="AA210">
        <v>148</v>
      </c>
      <c r="AB210">
        <v>134.4</v>
      </c>
      <c r="AC210">
        <v>139.80000000000001</v>
      </c>
      <c r="AD210">
        <v>142.19999999999999</v>
      </c>
      <c r="AE210" s="72">
        <f t="shared" si="15"/>
        <v>1941.8</v>
      </c>
      <c r="AF210" s="4">
        <f t="shared" si="16"/>
        <v>579.4</v>
      </c>
      <c r="AG210" s="4">
        <f t="shared" si="17"/>
        <v>428</v>
      </c>
      <c r="AH210" s="4">
        <f t="shared" si="18"/>
        <v>572.70000000000005</v>
      </c>
      <c r="AI210" s="6">
        <f t="shared" si="19"/>
        <v>3521.8999999999996</v>
      </c>
    </row>
    <row r="211" spans="1:35" x14ac:dyDescent="0.3">
      <c r="A211" t="s">
        <v>32</v>
      </c>
      <c r="B211">
        <v>2018</v>
      </c>
      <c r="C211" t="s">
        <v>42</v>
      </c>
      <c r="D211">
        <v>137.6</v>
      </c>
      <c r="E211">
        <v>144.9</v>
      </c>
      <c r="F211">
        <v>133.5</v>
      </c>
      <c r="G211">
        <v>141.5</v>
      </c>
      <c r="H211">
        <v>118</v>
      </c>
      <c r="I211">
        <v>139.5</v>
      </c>
      <c r="J211">
        <v>153</v>
      </c>
      <c r="K211">
        <v>113.2</v>
      </c>
      <c r="L211">
        <v>112.8</v>
      </c>
      <c r="M211">
        <v>141.1</v>
      </c>
      <c r="N211">
        <v>127.6</v>
      </c>
      <c r="O211">
        <v>152</v>
      </c>
      <c r="P211">
        <v>139.4</v>
      </c>
      <c r="Q211">
        <v>164</v>
      </c>
      <c r="R211">
        <v>141.5</v>
      </c>
      <c r="S211">
        <v>129.80000000000001</v>
      </c>
      <c r="T211">
        <v>139.69999999999999</v>
      </c>
      <c r="U211">
        <v>146.30000000000001</v>
      </c>
      <c r="V211" s="5">
        <v>133.4</v>
      </c>
      <c r="W211">
        <v>135.1</v>
      </c>
      <c r="X211">
        <v>136.19999999999999</v>
      </c>
      <c r="Y211">
        <v>123.3</v>
      </c>
      <c r="Z211">
        <v>130.69999999999999</v>
      </c>
      <c r="AA211">
        <v>145.5</v>
      </c>
      <c r="AB211">
        <v>130.4</v>
      </c>
      <c r="AC211">
        <v>132.5</v>
      </c>
      <c r="AD211">
        <v>138.9</v>
      </c>
      <c r="AE211" s="72">
        <f t="shared" si="15"/>
        <v>1918.1</v>
      </c>
      <c r="AF211" s="4">
        <f t="shared" si="16"/>
        <v>541.4</v>
      </c>
      <c r="AG211" s="4">
        <f t="shared" si="17"/>
        <v>538.1</v>
      </c>
      <c r="AH211" s="4">
        <f t="shared" si="18"/>
        <v>544.9</v>
      </c>
      <c r="AI211" s="6">
        <f t="shared" si="19"/>
        <v>3542.5</v>
      </c>
    </row>
    <row r="212" spans="1:35" x14ac:dyDescent="0.3">
      <c r="A212" t="s">
        <v>33</v>
      </c>
      <c r="B212">
        <v>2018</v>
      </c>
      <c r="C212" t="s">
        <v>42</v>
      </c>
      <c r="D212">
        <v>137.4</v>
      </c>
      <c r="E212">
        <v>149.5</v>
      </c>
      <c r="F212">
        <v>137.30000000000001</v>
      </c>
      <c r="G212">
        <v>141.9</v>
      </c>
      <c r="H212">
        <v>121.1</v>
      </c>
      <c r="I212">
        <v>142.5</v>
      </c>
      <c r="J212">
        <v>146.69999999999999</v>
      </c>
      <c r="K212">
        <v>119.1</v>
      </c>
      <c r="L212">
        <v>111.9</v>
      </c>
      <c r="M212">
        <v>141</v>
      </c>
      <c r="N212">
        <v>133.6</v>
      </c>
      <c r="O212">
        <v>154.5</v>
      </c>
      <c r="P212">
        <v>139.69999999999999</v>
      </c>
      <c r="Q212">
        <v>162.6</v>
      </c>
      <c r="R212">
        <v>148</v>
      </c>
      <c r="S212">
        <v>139.19999999999999</v>
      </c>
      <c r="T212">
        <v>146.80000000000001</v>
      </c>
      <c r="U212">
        <v>146.9</v>
      </c>
      <c r="V212" s="5">
        <v>145.30000000000001</v>
      </c>
      <c r="W212">
        <v>142.19999999999999</v>
      </c>
      <c r="X212">
        <v>142.1</v>
      </c>
      <c r="Y212">
        <v>125.5</v>
      </c>
      <c r="Z212">
        <v>136.5</v>
      </c>
      <c r="AA212">
        <v>147.80000000000001</v>
      </c>
      <c r="AB212">
        <v>132</v>
      </c>
      <c r="AC212">
        <v>136.30000000000001</v>
      </c>
      <c r="AD212">
        <v>140.80000000000001</v>
      </c>
      <c r="AE212" s="72">
        <f t="shared" si="15"/>
        <v>1938.8</v>
      </c>
      <c r="AF212" s="4">
        <f t="shared" si="16"/>
        <v>566</v>
      </c>
      <c r="AG212" s="4">
        <f t="shared" si="17"/>
        <v>559.90000000000009</v>
      </c>
      <c r="AH212" s="4">
        <f t="shared" si="18"/>
        <v>562.70000000000005</v>
      </c>
      <c r="AI212" s="6">
        <f t="shared" si="19"/>
        <v>3627.4000000000005</v>
      </c>
    </row>
    <row r="213" spans="1:35" x14ac:dyDescent="0.3">
      <c r="A213" t="s">
        <v>30</v>
      </c>
      <c r="B213">
        <v>2018</v>
      </c>
      <c r="C213" t="s">
        <v>44</v>
      </c>
      <c r="D213">
        <v>137.1</v>
      </c>
      <c r="E213">
        <v>150.80000000000001</v>
      </c>
      <c r="F213">
        <v>136.69999999999999</v>
      </c>
      <c r="G213">
        <v>141.9</v>
      </c>
      <c r="H213">
        <v>122.8</v>
      </c>
      <c r="I213">
        <v>143.9</v>
      </c>
      <c r="J213">
        <v>147.5</v>
      </c>
      <c r="K213">
        <v>121</v>
      </c>
      <c r="L213">
        <v>111.6</v>
      </c>
      <c r="M213">
        <v>140.6</v>
      </c>
      <c r="N213">
        <v>137.5</v>
      </c>
      <c r="O213">
        <v>156.1</v>
      </c>
      <c r="P213">
        <v>140</v>
      </c>
      <c r="Q213">
        <v>161.9</v>
      </c>
      <c r="R213">
        <v>151.69999999999999</v>
      </c>
      <c r="S213">
        <v>145.5</v>
      </c>
      <c r="T213">
        <v>150.80000000000001</v>
      </c>
      <c r="U213">
        <v>0</v>
      </c>
      <c r="V213" s="5">
        <v>150.30000000000001</v>
      </c>
      <c r="W213">
        <v>148</v>
      </c>
      <c r="X213">
        <v>145.4</v>
      </c>
      <c r="Y213">
        <v>130.30000000000001</v>
      </c>
      <c r="Z213">
        <v>143.1</v>
      </c>
      <c r="AA213">
        <v>150.19999999999999</v>
      </c>
      <c r="AB213">
        <v>133.1</v>
      </c>
      <c r="AC213">
        <v>140.1</v>
      </c>
      <c r="AD213">
        <v>142.4</v>
      </c>
      <c r="AE213" s="72">
        <f t="shared" si="15"/>
        <v>1949.3999999999996</v>
      </c>
      <c r="AF213" s="4">
        <f t="shared" si="16"/>
        <v>581.1</v>
      </c>
      <c r="AG213" s="4">
        <f t="shared" si="17"/>
        <v>428.6</v>
      </c>
      <c r="AH213" s="4">
        <f t="shared" si="18"/>
        <v>578.79999999999995</v>
      </c>
      <c r="AI213" s="6">
        <f t="shared" si="19"/>
        <v>3537.8999999999996</v>
      </c>
    </row>
    <row r="214" spans="1:35" x14ac:dyDescent="0.3">
      <c r="A214" t="s">
        <v>32</v>
      </c>
      <c r="B214">
        <v>2018</v>
      </c>
      <c r="C214" t="s">
        <v>44</v>
      </c>
      <c r="D214">
        <v>138.1</v>
      </c>
      <c r="E214">
        <v>146.30000000000001</v>
      </c>
      <c r="F214">
        <v>137.80000000000001</v>
      </c>
      <c r="G214">
        <v>141.6</v>
      </c>
      <c r="H214">
        <v>118.1</v>
      </c>
      <c r="I214">
        <v>141.5</v>
      </c>
      <c r="J214">
        <v>145.19999999999999</v>
      </c>
      <c r="K214">
        <v>115.3</v>
      </c>
      <c r="L214">
        <v>112.5</v>
      </c>
      <c r="M214">
        <v>141.4</v>
      </c>
      <c r="N214">
        <v>128</v>
      </c>
      <c r="O214">
        <v>152.6</v>
      </c>
      <c r="P214">
        <v>139.1</v>
      </c>
      <c r="Q214">
        <v>164.4</v>
      </c>
      <c r="R214">
        <v>142.4</v>
      </c>
      <c r="S214">
        <v>130.19999999999999</v>
      </c>
      <c r="T214">
        <v>140.5</v>
      </c>
      <c r="U214">
        <v>146.9</v>
      </c>
      <c r="V214" s="5">
        <v>136.69999999999999</v>
      </c>
      <c r="W214">
        <v>135.80000000000001</v>
      </c>
      <c r="X214">
        <v>136.80000000000001</v>
      </c>
      <c r="Y214">
        <v>121.2</v>
      </c>
      <c r="Z214">
        <v>131.30000000000001</v>
      </c>
      <c r="AA214">
        <v>146.1</v>
      </c>
      <c r="AB214">
        <v>130.5</v>
      </c>
      <c r="AC214">
        <v>132.19999999999999</v>
      </c>
      <c r="AD214">
        <v>139</v>
      </c>
      <c r="AE214" s="72">
        <f t="shared" si="15"/>
        <v>1921.8999999999999</v>
      </c>
      <c r="AF214" s="4">
        <f t="shared" si="16"/>
        <v>543.6</v>
      </c>
      <c r="AG214" s="4">
        <f t="shared" si="17"/>
        <v>540.6</v>
      </c>
      <c r="AH214" s="4">
        <f t="shared" si="18"/>
        <v>546.40000000000009</v>
      </c>
      <c r="AI214" s="6">
        <f t="shared" si="19"/>
        <v>3552.5</v>
      </c>
    </row>
    <row r="215" spans="1:35" x14ac:dyDescent="0.3">
      <c r="A215" t="s">
        <v>33</v>
      </c>
      <c r="B215">
        <v>2018</v>
      </c>
      <c r="C215" t="s">
        <v>44</v>
      </c>
      <c r="D215">
        <v>137.4</v>
      </c>
      <c r="E215">
        <v>149.19999999999999</v>
      </c>
      <c r="F215">
        <v>137.1</v>
      </c>
      <c r="G215">
        <v>141.80000000000001</v>
      </c>
      <c r="H215">
        <v>121.1</v>
      </c>
      <c r="I215">
        <v>142.80000000000001</v>
      </c>
      <c r="J215">
        <v>146.69999999999999</v>
      </c>
      <c r="K215">
        <v>119.1</v>
      </c>
      <c r="L215">
        <v>111.9</v>
      </c>
      <c r="M215">
        <v>140.9</v>
      </c>
      <c r="N215">
        <v>133.5</v>
      </c>
      <c r="O215">
        <v>154.5</v>
      </c>
      <c r="P215">
        <v>139.69999999999999</v>
      </c>
      <c r="Q215">
        <v>162.6</v>
      </c>
      <c r="R215">
        <v>148</v>
      </c>
      <c r="S215">
        <v>139.1</v>
      </c>
      <c r="T215">
        <v>146.69999999999999</v>
      </c>
      <c r="U215">
        <v>146.9</v>
      </c>
      <c r="V215" s="5">
        <v>145.1</v>
      </c>
      <c r="W215">
        <v>142.19999999999999</v>
      </c>
      <c r="X215">
        <v>142.1</v>
      </c>
      <c r="Y215">
        <v>125.5</v>
      </c>
      <c r="Z215">
        <v>136.5</v>
      </c>
      <c r="AA215">
        <v>147.80000000000001</v>
      </c>
      <c r="AB215">
        <v>132</v>
      </c>
      <c r="AC215">
        <v>136.30000000000001</v>
      </c>
      <c r="AD215">
        <v>140.80000000000001</v>
      </c>
      <c r="AE215" s="72">
        <f t="shared" si="15"/>
        <v>1938.3000000000002</v>
      </c>
      <c r="AF215" s="4">
        <f t="shared" si="16"/>
        <v>565.79999999999995</v>
      </c>
      <c r="AG215" s="4">
        <f t="shared" si="17"/>
        <v>559.70000000000005</v>
      </c>
      <c r="AH215" s="4">
        <f t="shared" si="18"/>
        <v>562.70000000000005</v>
      </c>
      <c r="AI215" s="6">
        <f t="shared" si="19"/>
        <v>3626.5</v>
      </c>
    </row>
    <row r="216" spans="1:35" x14ac:dyDescent="0.3">
      <c r="A216" t="s">
        <v>30</v>
      </c>
      <c r="B216">
        <v>2018</v>
      </c>
      <c r="C216" t="s">
        <v>45</v>
      </c>
      <c r="D216">
        <v>137.1</v>
      </c>
      <c r="E216">
        <v>151.9</v>
      </c>
      <c r="F216">
        <v>137.4</v>
      </c>
      <c r="G216">
        <v>142.4</v>
      </c>
      <c r="H216">
        <v>124.2</v>
      </c>
      <c r="I216">
        <v>140.19999999999999</v>
      </c>
      <c r="J216">
        <v>136.6</v>
      </c>
      <c r="K216">
        <v>120.9</v>
      </c>
      <c r="L216">
        <v>109.9</v>
      </c>
      <c r="M216">
        <v>140.19999999999999</v>
      </c>
      <c r="N216">
        <v>137.80000000000001</v>
      </c>
      <c r="O216">
        <v>156</v>
      </c>
      <c r="P216">
        <v>138.5</v>
      </c>
      <c r="Q216">
        <v>162.4</v>
      </c>
      <c r="R216">
        <v>151.6</v>
      </c>
      <c r="S216">
        <v>145.9</v>
      </c>
      <c r="T216">
        <v>150.80000000000001</v>
      </c>
      <c r="U216">
        <v>0</v>
      </c>
      <c r="V216" s="5">
        <v>149</v>
      </c>
      <c r="W216">
        <v>149.5</v>
      </c>
      <c r="X216">
        <v>149.6</v>
      </c>
      <c r="Y216">
        <v>128.9</v>
      </c>
      <c r="Z216">
        <v>143.30000000000001</v>
      </c>
      <c r="AA216">
        <v>155.1</v>
      </c>
      <c r="AB216">
        <v>133.19999999999999</v>
      </c>
      <c r="AC216">
        <v>141.6</v>
      </c>
      <c r="AD216">
        <v>141.9</v>
      </c>
      <c r="AE216" s="72">
        <f t="shared" si="15"/>
        <v>1935.5000000000002</v>
      </c>
      <c r="AF216" s="4">
        <f t="shared" si="16"/>
        <v>581.5</v>
      </c>
      <c r="AG216" s="4">
        <f t="shared" si="17"/>
        <v>427.4</v>
      </c>
      <c r="AH216" s="4">
        <f t="shared" si="18"/>
        <v>589.6</v>
      </c>
      <c r="AI216" s="6">
        <f t="shared" si="19"/>
        <v>3534</v>
      </c>
    </row>
    <row r="217" spans="1:35" x14ac:dyDescent="0.3">
      <c r="A217" t="s">
        <v>32</v>
      </c>
      <c r="B217">
        <v>2018</v>
      </c>
      <c r="C217" t="s">
        <v>45</v>
      </c>
      <c r="D217">
        <v>138.5</v>
      </c>
      <c r="E217">
        <v>147.80000000000001</v>
      </c>
      <c r="F217">
        <v>141.1</v>
      </c>
      <c r="G217">
        <v>141.6</v>
      </c>
      <c r="H217">
        <v>118.1</v>
      </c>
      <c r="I217">
        <v>138.5</v>
      </c>
      <c r="J217">
        <v>132.4</v>
      </c>
      <c r="K217">
        <v>117.5</v>
      </c>
      <c r="L217">
        <v>111</v>
      </c>
      <c r="M217">
        <v>141.5</v>
      </c>
      <c r="N217">
        <v>128.1</v>
      </c>
      <c r="O217">
        <v>152.9</v>
      </c>
      <c r="P217">
        <v>137.6</v>
      </c>
      <c r="Q217">
        <v>164.6</v>
      </c>
      <c r="R217">
        <v>142.69999999999999</v>
      </c>
      <c r="S217">
        <v>130.30000000000001</v>
      </c>
      <c r="T217">
        <v>140.80000000000001</v>
      </c>
      <c r="U217">
        <v>146.5</v>
      </c>
      <c r="V217" s="5">
        <v>132.4</v>
      </c>
      <c r="W217">
        <v>136.19999999999999</v>
      </c>
      <c r="X217">
        <v>137.30000000000001</v>
      </c>
      <c r="Y217">
        <v>118.8</v>
      </c>
      <c r="Z217">
        <v>131.69999999999999</v>
      </c>
      <c r="AA217">
        <v>146.5</v>
      </c>
      <c r="AB217">
        <v>130.80000000000001</v>
      </c>
      <c r="AC217">
        <v>131.69999999999999</v>
      </c>
      <c r="AD217">
        <v>138</v>
      </c>
      <c r="AE217" s="72">
        <f t="shared" si="15"/>
        <v>1911.1999999999998</v>
      </c>
      <c r="AF217" s="4">
        <f t="shared" si="16"/>
        <v>544.6</v>
      </c>
      <c r="AG217" s="4">
        <f t="shared" si="17"/>
        <v>533.9</v>
      </c>
      <c r="AH217" s="4">
        <f t="shared" si="18"/>
        <v>547.20000000000005</v>
      </c>
      <c r="AI217" s="6">
        <f t="shared" si="19"/>
        <v>3536.8999999999996</v>
      </c>
    </row>
    <row r="218" spans="1:35" x14ac:dyDescent="0.3">
      <c r="A218" t="s">
        <v>33</v>
      </c>
      <c r="B218">
        <v>2018</v>
      </c>
      <c r="C218" t="s">
        <v>45</v>
      </c>
      <c r="D218">
        <v>137.5</v>
      </c>
      <c r="E218">
        <v>150.5</v>
      </c>
      <c r="F218">
        <v>138.80000000000001</v>
      </c>
      <c r="G218">
        <v>142.1</v>
      </c>
      <c r="H218">
        <v>122</v>
      </c>
      <c r="I218">
        <v>139.4</v>
      </c>
      <c r="J218">
        <v>135.19999999999999</v>
      </c>
      <c r="K218">
        <v>119.8</v>
      </c>
      <c r="L218">
        <v>110.3</v>
      </c>
      <c r="M218">
        <v>140.6</v>
      </c>
      <c r="N218">
        <v>133.80000000000001</v>
      </c>
      <c r="O218">
        <v>154.6</v>
      </c>
      <c r="P218">
        <v>138.19999999999999</v>
      </c>
      <c r="Q218">
        <v>163</v>
      </c>
      <c r="R218">
        <v>148.1</v>
      </c>
      <c r="S218">
        <v>139.4</v>
      </c>
      <c r="T218">
        <v>146.80000000000001</v>
      </c>
      <c r="U218">
        <v>146.5</v>
      </c>
      <c r="V218" s="5">
        <v>142.69999999999999</v>
      </c>
      <c r="W218">
        <v>143.19999999999999</v>
      </c>
      <c r="X218">
        <v>144.9</v>
      </c>
      <c r="Y218">
        <v>123.6</v>
      </c>
      <c r="Z218">
        <v>136.80000000000001</v>
      </c>
      <c r="AA218">
        <v>150.1</v>
      </c>
      <c r="AB218">
        <v>132.19999999999999</v>
      </c>
      <c r="AC218">
        <v>136.80000000000001</v>
      </c>
      <c r="AD218">
        <v>140.1</v>
      </c>
      <c r="AE218" s="72">
        <f t="shared" si="15"/>
        <v>1925.7999999999997</v>
      </c>
      <c r="AF218" s="4">
        <f t="shared" si="16"/>
        <v>566.5</v>
      </c>
      <c r="AG218" s="4">
        <f t="shared" si="17"/>
        <v>556</v>
      </c>
      <c r="AH218" s="4">
        <f t="shared" si="18"/>
        <v>568.60000000000014</v>
      </c>
      <c r="AI218" s="6">
        <f t="shared" si="19"/>
        <v>3616.8999999999996</v>
      </c>
    </row>
    <row r="219" spans="1:35" x14ac:dyDescent="0.3">
      <c r="A219" t="s">
        <v>30</v>
      </c>
      <c r="B219">
        <v>2019</v>
      </c>
      <c r="C219" t="s">
        <v>31</v>
      </c>
      <c r="D219">
        <v>136.6</v>
      </c>
      <c r="E219">
        <v>152.5</v>
      </c>
      <c r="F219">
        <v>138.19999999999999</v>
      </c>
      <c r="G219">
        <v>142.4</v>
      </c>
      <c r="H219">
        <v>123.9</v>
      </c>
      <c r="I219">
        <v>135.5</v>
      </c>
      <c r="J219">
        <v>131.69999999999999</v>
      </c>
      <c r="K219">
        <v>121.3</v>
      </c>
      <c r="L219">
        <v>108.4</v>
      </c>
      <c r="M219">
        <v>138.9</v>
      </c>
      <c r="N219">
        <v>137</v>
      </c>
      <c r="O219">
        <v>155.80000000000001</v>
      </c>
      <c r="P219">
        <v>137.4</v>
      </c>
      <c r="Q219">
        <v>162.69999999999999</v>
      </c>
      <c r="R219">
        <v>150.6</v>
      </c>
      <c r="S219">
        <v>145.1</v>
      </c>
      <c r="T219">
        <v>149.9</v>
      </c>
      <c r="U219">
        <v>0</v>
      </c>
      <c r="V219" s="5">
        <v>146.19999999999999</v>
      </c>
      <c r="W219">
        <v>150.1</v>
      </c>
      <c r="X219">
        <v>149.6</v>
      </c>
      <c r="Y219">
        <v>128.6</v>
      </c>
      <c r="Z219">
        <v>142.9</v>
      </c>
      <c r="AA219">
        <v>155.19999999999999</v>
      </c>
      <c r="AB219">
        <v>133.5</v>
      </c>
      <c r="AC219">
        <v>141.69999999999999</v>
      </c>
      <c r="AD219">
        <v>141</v>
      </c>
      <c r="AE219" s="72">
        <f t="shared" si="15"/>
        <v>1922.3000000000002</v>
      </c>
      <c r="AF219" s="4">
        <f t="shared" si="16"/>
        <v>579.1</v>
      </c>
      <c r="AG219" s="4">
        <f t="shared" si="17"/>
        <v>424.9</v>
      </c>
      <c r="AH219" s="4">
        <f t="shared" si="18"/>
        <v>589.4</v>
      </c>
      <c r="AI219" s="6">
        <f t="shared" si="19"/>
        <v>3515.7000000000003</v>
      </c>
    </row>
    <row r="220" spans="1:35" x14ac:dyDescent="0.3">
      <c r="A220" t="s">
        <v>32</v>
      </c>
      <c r="B220">
        <v>2019</v>
      </c>
      <c r="C220" t="s">
        <v>31</v>
      </c>
      <c r="D220">
        <v>138.30000000000001</v>
      </c>
      <c r="E220">
        <v>149.4</v>
      </c>
      <c r="F220">
        <v>143.5</v>
      </c>
      <c r="G220">
        <v>141.69999999999999</v>
      </c>
      <c r="H220">
        <v>118.1</v>
      </c>
      <c r="I220">
        <v>135.19999999999999</v>
      </c>
      <c r="J220">
        <v>130.5</v>
      </c>
      <c r="K220">
        <v>118.2</v>
      </c>
      <c r="L220">
        <v>110.4</v>
      </c>
      <c r="M220">
        <v>140.4</v>
      </c>
      <c r="N220">
        <v>128.1</v>
      </c>
      <c r="O220">
        <v>153.19999999999999</v>
      </c>
      <c r="P220">
        <v>137.30000000000001</v>
      </c>
      <c r="Q220">
        <v>164.7</v>
      </c>
      <c r="R220">
        <v>143</v>
      </c>
      <c r="S220">
        <v>130.4</v>
      </c>
      <c r="T220">
        <v>141.1</v>
      </c>
      <c r="U220">
        <v>147.69999999999999</v>
      </c>
      <c r="V220" s="5">
        <v>128.6</v>
      </c>
      <c r="W220">
        <v>136.30000000000001</v>
      </c>
      <c r="X220">
        <v>137.80000000000001</v>
      </c>
      <c r="Y220">
        <v>118.6</v>
      </c>
      <c r="Z220">
        <v>131.9</v>
      </c>
      <c r="AA220">
        <v>146.6</v>
      </c>
      <c r="AB220">
        <v>131.69999999999999</v>
      </c>
      <c r="AC220">
        <v>131.80000000000001</v>
      </c>
      <c r="AD220">
        <v>138</v>
      </c>
      <c r="AE220" s="72">
        <f t="shared" si="15"/>
        <v>1909.0000000000002</v>
      </c>
      <c r="AF220" s="4">
        <f t="shared" si="16"/>
        <v>546.20000000000005</v>
      </c>
      <c r="AG220" s="4">
        <f t="shared" si="17"/>
        <v>531.19999999999993</v>
      </c>
      <c r="AH220" s="4">
        <f t="shared" si="18"/>
        <v>548.10000000000014</v>
      </c>
      <c r="AI220" s="6">
        <f t="shared" si="19"/>
        <v>3534.5</v>
      </c>
    </row>
    <row r="221" spans="1:35" x14ac:dyDescent="0.3">
      <c r="A221" t="s">
        <v>33</v>
      </c>
      <c r="B221">
        <v>2019</v>
      </c>
      <c r="C221" t="s">
        <v>31</v>
      </c>
      <c r="D221">
        <v>137.1</v>
      </c>
      <c r="E221">
        <v>151.4</v>
      </c>
      <c r="F221">
        <v>140.19999999999999</v>
      </c>
      <c r="G221">
        <v>142.1</v>
      </c>
      <c r="H221">
        <v>121.8</v>
      </c>
      <c r="I221">
        <v>135.4</v>
      </c>
      <c r="J221">
        <v>131.30000000000001</v>
      </c>
      <c r="K221">
        <v>120.3</v>
      </c>
      <c r="L221">
        <v>109.1</v>
      </c>
      <c r="M221">
        <v>139.4</v>
      </c>
      <c r="N221">
        <v>133.30000000000001</v>
      </c>
      <c r="O221">
        <v>154.6</v>
      </c>
      <c r="P221">
        <v>137.4</v>
      </c>
      <c r="Q221">
        <v>163.19999999999999</v>
      </c>
      <c r="R221">
        <v>147.6</v>
      </c>
      <c r="S221">
        <v>139</v>
      </c>
      <c r="T221">
        <v>146.4</v>
      </c>
      <c r="U221">
        <v>147.69999999999999</v>
      </c>
      <c r="V221" s="5">
        <v>139.5</v>
      </c>
      <c r="W221">
        <v>143.6</v>
      </c>
      <c r="X221">
        <v>145.1</v>
      </c>
      <c r="Y221">
        <v>123.3</v>
      </c>
      <c r="Z221">
        <v>136.69999999999999</v>
      </c>
      <c r="AA221">
        <v>150.19999999999999</v>
      </c>
      <c r="AB221">
        <v>132.80000000000001</v>
      </c>
      <c r="AC221">
        <v>136.9</v>
      </c>
      <c r="AD221">
        <v>139.6</v>
      </c>
      <c r="AE221" s="72">
        <f t="shared" si="15"/>
        <v>1916.6</v>
      </c>
      <c r="AF221" s="4">
        <f t="shared" si="16"/>
        <v>565.79999999999995</v>
      </c>
      <c r="AG221" s="4">
        <f t="shared" si="17"/>
        <v>554.09999999999991</v>
      </c>
      <c r="AH221" s="4">
        <f t="shared" si="18"/>
        <v>568.9</v>
      </c>
      <c r="AI221" s="6">
        <f t="shared" si="19"/>
        <v>3605.3999999999996</v>
      </c>
    </row>
    <row r="222" spans="1:35" x14ac:dyDescent="0.3">
      <c r="A222" t="s">
        <v>30</v>
      </c>
      <c r="B222">
        <v>2019</v>
      </c>
      <c r="C222" t="s">
        <v>34</v>
      </c>
      <c r="D222">
        <v>136.80000000000001</v>
      </c>
      <c r="E222">
        <v>153</v>
      </c>
      <c r="F222">
        <v>139.1</v>
      </c>
      <c r="G222">
        <v>142.5</v>
      </c>
      <c r="H222">
        <v>124.1</v>
      </c>
      <c r="I222">
        <v>135.80000000000001</v>
      </c>
      <c r="J222">
        <v>128.69999999999999</v>
      </c>
      <c r="K222">
        <v>121.5</v>
      </c>
      <c r="L222">
        <v>108.3</v>
      </c>
      <c r="M222">
        <v>139.19999999999999</v>
      </c>
      <c r="N222">
        <v>137.4</v>
      </c>
      <c r="O222">
        <v>156.19999999999999</v>
      </c>
      <c r="P222">
        <v>137.19999999999999</v>
      </c>
      <c r="Q222">
        <v>162.80000000000001</v>
      </c>
      <c r="R222">
        <v>150.5</v>
      </c>
      <c r="S222">
        <v>146.1</v>
      </c>
      <c r="T222">
        <v>149.9</v>
      </c>
      <c r="U222">
        <v>0</v>
      </c>
      <c r="V222" s="5">
        <v>145.30000000000001</v>
      </c>
      <c r="W222">
        <v>150.1</v>
      </c>
      <c r="X222">
        <v>149.9</v>
      </c>
      <c r="Y222">
        <v>129.19999999999999</v>
      </c>
      <c r="Z222">
        <v>143.4</v>
      </c>
      <c r="AA222">
        <v>155.5</v>
      </c>
      <c r="AB222">
        <v>134.9</v>
      </c>
      <c r="AC222">
        <v>142.19999999999999</v>
      </c>
      <c r="AD222">
        <v>141</v>
      </c>
      <c r="AE222" s="72">
        <f t="shared" si="15"/>
        <v>1922.6000000000001</v>
      </c>
      <c r="AF222" s="4">
        <f t="shared" si="16"/>
        <v>581.4</v>
      </c>
      <c r="AG222" s="4">
        <f t="shared" si="17"/>
        <v>424.59999999999997</v>
      </c>
      <c r="AH222" s="4">
        <f t="shared" si="18"/>
        <v>591</v>
      </c>
      <c r="AI222" s="6">
        <f t="shared" si="19"/>
        <v>3519.6</v>
      </c>
    </row>
    <row r="223" spans="1:35" x14ac:dyDescent="0.3">
      <c r="A223" t="s">
        <v>32</v>
      </c>
      <c r="B223">
        <v>2019</v>
      </c>
      <c r="C223" t="s">
        <v>34</v>
      </c>
      <c r="D223">
        <v>139.4</v>
      </c>
      <c r="E223">
        <v>150.1</v>
      </c>
      <c r="F223">
        <v>145.30000000000001</v>
      </c>
      <c r="G223">
        <v>141.69999999999999</v>
      </c>
      <c r="H223">
        <v>118.4</v>
      </c>
      <c r="I223">
        <v>137</v>
      </c>
      <c r="J223">
        <v>131.6</v>
      </c>
      <c r="K223">
        <v>119.9</v>
      </c>
      <c r="L223">
        <v>110.4</v>
      </c>
      <c r="M223">
        <v>140.80000000000001</v>
      </c>
      <c r="N223">
        <v>128.30000000000001</v>
      </c>
      <c r="O223">
        <v>153.5</v>
      </c>
      <c r="P223">
        <v>138</v>
      </c>
      <c r="Q223">
        <v>164.9</v>
      </c>
      <c r="R223">
        <v>143.30000000000001</v>
      </c>
      <c r="S223">
        <v>130.80000000000001</v>
      </c>
      <c r="T223">
        <v>141.4</v>
      </c>
      <c r="U223">
        <v>148.5</v>
      </c>
      <c r="V223" s="5">
        <v>127.1</v>
      </c>
      <c r="W223">
        <v>136.6</v>
      </c>
      <c r="X223">
        <v>138.5</v>
      </c>
      <c r="Y223">
        <v>119.2</v>
      </c>
      <c r="Z223">
        <v>132.19999999999999</v>
      </c>
      <c r="AA223">
        <v>146.6</v>
      </c>
      <c r="AB223">
        <v>133</v>
      </c>
      <c r="AC223">
        <v>132.4</v>
      </c>
      <c r="AD223">
        <v>138.6</v>
      </c>
      <c r="AE223" s="72">
        <f t="shared" si="15"/>
        <v>1919.3000000000002</v>
      </c>
      <c r="AF223" s="4">
        <f t="shared" si="16"/>
        <v>548.5</v>
      </c>
      <c r="AG223" s="4">
        <f t="shared" si="17"/>
        <v>531.40000000000009</v>
      </c>
      <c r="AH223" s="4">
        <f t="shared" si="18"/>
        <v>549.69999999999993</v>
      </c>
      <c r="AI223" s="6">
        <f t="shared" si="19"/>
        <v>3548.9</v>
      </c>
    </row>
    <row r="224" spans="1:35" x14ac:dyDescent="0.3">
      <c r="A224" t="s">
        <v>33</v>
      </c>
      <c r="B224">
        <v>2019</v>
      </c>
      <c r="C224" t="s">
        <v>34</v>
      </c>
      <c r="D224">
        <v>137.6</v>
      </c>
      <c r="E224">
        <v>152</v>
      </c>
      <c r="F224">
        <v>141.5</v>
      </c>
      <c r="G224">
        <v>142.19999999999999</v>
      </c>
      <c r="H224">
        <v>122</v>
      </c>
      <c r="I224">
        <v>136.4</v>
      </c>
      <c r="J224">
        <v>129.69999999999999</v>
      </c>
      <c r="K224">
        <v>121</v>
      </c>
      <c r="L224">
        <v>109</v>
      </c>
      <c r="M224">
        <v>139.69999999999999</v>
      </c>
      <c r="N224">
        <v>133.6</v>
      </c>
      <c r="O224">
        <v>154.9</v>
      </c>
      <c r="P224">
        <v>137.5</v>
      </c>
      <c r="Q224">
        <v>163.4</v>
      </c>
      <c r="R224">
        <v>147.69999999999999</v>
      </c>
      <c r="S224">
        <v>139.69999999999999</v>
      </c>
      <c r="T224">
        <v>146.5</v>
      </c>
      <c r="U224">
        <v>148.5</v>
      </c>
      <c r="V224" s="5">
        <v>138.4</v>
      </c>
      <c r="W224">
        <v>143.69999999999999</v>
      </c>
      <c r="X224">
        <v>145.6</v>
      </c>
      <c r="Y224">
        <v>123.9</v>
      </c>
      <c r="Z224">
        <v>137.1</v>
      </c>
      <c r="AA224">
        <v>150.30000000000001</v>
      </c>
      <c r="AB224">
        <v>134.1</v>
      </c>
      <c r="AC224">
        <v>137.4</v>
      </c>
      <c r="AD224">
        <v>139.9</v>
      </c>
      <c r="AE224" s="72">
        <f t="shared" si="15"/>
        <v>1920.5</v>
      </c>
      <c r="AF224" s="4">
        <f t="shared" si="16"/>
        <v>568</v>
      </c>
      <c r="AG224" s="4">
        <f t="shared" si="17"/>
        <v>554.5</v>
      </c>
      <c r="AH224" s="4">
        <f t="shared" si="18"/>
        <v>570.4</v>
      </c>
      <c r="AI224" s="6">
        <f t="shared" si="19"/>
        <v>3613.4</v>
      </c>
    </row>
    <row r="225" spans="1:35" x14ac:dyDescent="0.3">
      <c r="A225" t="s">
        <v>30</v>
      </c>
      <c r="B225">
        <v>2019</v>
      </c>
      <c r="C225" t="s">
        <v>35</v>
      </c>
      <c r="D225">
        <v>136.9</v>
      </c>
      <c r="E225">
        <v>154.1</v>
      </c>
      <c r="F225">
        <v>138.69999999999999</v>
      </c>
      <c r="G225">
        <v>142.5</v>
      </c>
      <c r="H225">
        <v>124.1</v>
      </c>
      <c r="I225">
        <v>136.1</v>
      </c>
      <c r="J225">
        <v>128.19999999999999</v>
      </c>
      <c r="K225">
        <v>122.3</v>
      </c>
      <c r="L225">
        <v>108.3</v>
      </c>
      <c r="M225">
        <v>138.9</v>
      </c>
      <c r="N225">
        <v>137.4</v>
      </c>
      <c r="O225">
        <v>156.4</v>
      </c>
      <c r="P225">
        <v>137.30000000000001</v>
      </c>
      <c r="Q225">
        <v>162.9</v>
      </c>
      <c r="R225">
        <v>150.80000000000001</v>
      </c>
      <c r="S225">
        <v>146.1</v>
      </c>
      <c r="T225">
        <v>150.1</v>
      </c>
      <c r="U225">
        <v>0</v>
      </c>
      <c r="V225" s="5">
        <v>146.4</v>
      </c>
      <c r="W225">
        <v>150</v>
      </c>
      <c r="X225">
        <v>150.4</v>
      </c>
      <c r="Y225">
        <v>129.9</v>
      </c>
      <c r="Z225">
        <v>143.80000000000001</v>
      </c>
      <c r="AA225">
        <v>155.5</v>
      </c>
      <c r="AB225">
        <v>134</v>
      </c>
      <c r="AC225">
        <v>142.4</v>
      </c>
      <c r="AD225">
        <v>141.19999999999999</v>
      </c>
      <c r="AE225" s="72">
        <f t="shared" si="15"/>
        <v>1924.1000000000004</v>
      </c>
      <c r="AF225" s="4">
        <f t="shared" si="16"/>
        <v>581</v>
      </c>
      <c r="AG225" s="4">
        <f t="shared" si="17"/>
        <v>426.29999999999995</v>
      </c>
      <c r="AH225" s="4">
        <f t="shared" si="18"/>
        <v>592.1</v>
      </c>
      <c r="AI225" s="6">
        <f t="shared" si="19"/>
        <v>3523.5000000000005</v>
      </c>
    </row>
    <row r="226" spans="1:35" x14ac:dyDescent="0.3">
      <c r="A226" t="s">
        <v>32</v>
      </c>
      <c r="B226">
        <v>2019</v>
      </c>
      <c r="C226" t="s">
        <v>35</v>
      </c>
      <c r="D226">
        <v>139.69999999999999</v>
      </c>
      <c r="E226">
        <v>151.1</v>
      </c>
      <c r="F226">
        <v>142.9</v>
      </c>
      <c r="G226">
        <v>141.9</v>
      </c>
      <c r="H226">
        <v>118.4</v>
      </c>
      <c r="I226">
        <v>139.4</v>
      </c>
      <c r="J226">
        <v>141.19999999999999</v>
      </c>
      <c r="K226">
        <v>120.7</v>
      </c>
      <c r="L226">
        <v>110.4</v>
      </c>
      <c r="M226">
        <v>140.69999999999999</v>
      </c>
      <c r="N226">
        <v>128.5</v>
      </c>
      <c r="O226">
        <v>153.9</v>
      </c>
      <c r="P226">
        <v>139.6</v>
      </c>
      <c r="Q226">
        <v>165.3</v>
      </c>
      <c r="R226">
        <v>143.5</v>
      </c>
      <c r="S226">
        <v>131.19999999999999</v>
      </c>
      <c r="T226">
        <v>141.6</v>
      </c>
      <c r="U226">
        <v>149</v>
      </c>
      <c r="V226" s="5">
        <v>128.80000000000001</v>
      </c>
      <c r="W226">
        <v>136.80000000000001</v>
      </c>
      <c r="X226">
        <v>139.19999999999999</v>
      </c>
      <c r="Y226">
        <v>119.9</v>
      </c>
      <c r="Z226">
        <v>133</v>
      </c>
      <c r="AA226">
        <v>146.69999999999999</v>
      </c>
      <c r="AB226">
        <v>132.5</v>
      </c>
      <c r="AC226">
        <v>132.80000000000001</v>
      </c>
      <c r="AD226">
        <v>139.5</v>
      </c>
      <c r="AE226" s="72">
        <f t="shared" si="15"/>
        <v>1933.7</v>
      </c>
      <c r="AF226" s="4">
        <f t="shared" si="16"/>
        <v>548.79999999999995</v>
      </c>
      <c r="AG226" s="4">
        <f t="shared" si="17"/>
        <v>534.5</v>
      </c>
      <c r="AH226" s="4">
        <f t="shared" si="18"/>
        <v>551.70000000000005</v>
      </c>
      <c r="AI226" s="6">
        <f t="shared" si="19"/>
        <v>3568.7</v>
      </c>
    </row>
    <row r="227" spans="1:35" x14ac:dyDescent="0.3">
      <c r="A227" t="s">
        <v>33</v>
      </c>
      <c r="B227">
        <v>2019</v>
      </c>
      <c r="C227" t="s">
        <v>35</v>
      </c>
      <c r="D227">
        <v>137.80000000000001</v>
      </c>
      <c r="E227">
        <v>153</v>
      </c>
      <c r="F227">
        <v>140.30000000000001</v>
      </c>
      <c r="G227">
        <v>142.30000000000001</v>
      </c>
      <c r="H227">
        <v>122</v>
      </c>
      <c r="I227">
        <v>137.6</v>
      </c>
      <c r="J227">
        <v>132.6</v>
      </c>
      <c r="K227">
        <v>121.8</v>
      </c>
      <c r="L227">
        <v>109</v>
      </c>
      <c r="M227">
        <v>139.5</v>
      </c>
      <c r="N227">
        <v>133.69999999999999</v>
      </c>
      <c r="O227">
        <v>155.19999999999999</v>
      </c>
      <c r="P227">
        <v>138.1</v>
      </c>
      <c r="Q227">
        <v>163.5</v>
      </c>
      <c r="R227">
        <v>147.9</v>
      </c>
      <c r="S227">
        <v>139.9</v>
      </c>
      <c r="T227">
        <v>146.69999999999999</v>
      </c>
      <c r="U227">
        <v>149</v>
      </c>
      <c r="V227" s="5">
        <v>139.69999999999999</v>
      </c>
      <c r="W227">
        <v>143.80000000000001</v>
      </c>
      <c r="X227">
        <v>146.19999999999999</v>
      </c>
      <c r="Y227">
        <v>124.6</v>
      </c>
      <c r="Z227">
        <v>137.69999999999999</v>
      </c>
      <c r="AA227">
        <v>150.30000000000001</v>
      </c>
      <c r="AB227">
        <v>133.4</v>
      </c>
      <c r="AC227">
        <v>137.69999999999999</v>
      </c>
      <c r="AD227">
        <v>140.4</v>
      </c>
      <c r="AE227" s="72">
        <f t="shared" si="15"/>
        <v>1926.4</v>
      </c>
      <c r="AF227" s="4">
        <f t="shared" si="16"/>
        <v>567.9</v>
      </c>
      <c r="AG227" s="4">
        <f t="shared" si="17"/>
        <v>557.1</v>
      </c>
      <c r="AH227" s="4">
        <f t="shared" si="18"/>
        <v>571.9</v>
      </c>
      <c r="AI227" s="6">
        <f t="shared" si="19"/>
        <v>3623.3</v>
      </c>
    </row>
    <row r="228" spans="1:35" x14ac:dyDescent="0.3">
      <c r="A228" t="s">
        <v>30</v>
      </c>
      <c r="B228">
        <v>2019</v>
      </c>
      <c r="C228" t="s">
        <v>37</v>
      </c>
      <c r="D228">
        <v>137.4</v>
      </c>
      <c r="E228">
        <v>159.5</v>
      </c>
      <c r="F228">
        <v>134.5</v>
      </c>
      <c r="G228">
        <v>142.6</v>
      </c>
      <c r="H228">
        <v>124</v>
      </c>
      <c r="I228">
        <v>143.69999999999999</v>
      </c>
      <c r="J228">
        <v>133.4</v>
      </c>
      <c r="K228">
        <v>125.1</v>
      </c>
      <c r="L228">
        <v>109.3</v>
      </c>
      <c r="M228">
        <v>139.30000000000001</v>
      </c>
      <c r="N228">
        <v>137.69999999999999</v>
      </c>
      <c r="O228">
        <v>156.4</v>
      </c>
      <c r="P228">
        <v>139.19999999999999</v>
      </c>
      <c r="Q228">
        <v>163.30000000000001</v>
      </c>
      <c r="R228">
        <v>151.30000000000001</v>
      </c>
      <c r="S228">
        <v>146.6</v>
      </c>
      <c r="T228">
        <v>150.69999999999999</v>
      </c>
      <c r="U228">
        <v>0</v>
      </c>
      <c r="V228" s="5">
        <v>146.9</v>
      </c>
      <c r="W228">
        <v>149.5</v>
      </c>
      <c r="X228">
        <v>151.30000000000001</v>
      </c>
      <c r="Y228">
        <v>130.19999999999999</v>
      </c>
      <c r="Z228">
        <v>145.9</v>
      </c>
      <c r="AA228">
        <v>156.69999999999999</v>
      </c>
      <c r="AB228">
        <v>133.9</v>
      </c>
      <c r="AC228">
        <v>142.9</v>
      </c>
      <c r="AD228">
        <v>142.4</v>
      </c>
      <c r="AE228" s="72">
        <f t="shared" si="15"/>
        <v>1945.4</v>
      </c>
      <c r="AF228" s="4">
        <f t="shared" si="16"/>
        <v>582.5</v>
      </c>
      <c r="AG228" s="4">
        <f t="shared" si="17"/>
        <v>426.59999999999997</v>
      </c>
      <c r="AH228" s="4">
        <f t="shared" si="18"/>
        <v>596.80000000000007</v>
      </c>
      <c r="AI228" s="6">
        <f t="shared" si="19"/>
        <v>3551.3</v>
      </c>
    </row>
    <row r="229" spans="1:35" x14ac:dyDescent="0.3">
      <c r="A229" t="s">
        <v>32</v>
      </c>
      <c r="B229">
        <v>2019</v>
      </c>
      <c r="C229" t="s">
        <v>37</v>
      </c>
      <c r="D229">
        <v>140.4</v>
      </c>
      <c r="E229">
        <v>156.69999999999999</v>
      </c>
      <c r="F229">
        <v>138.30000000000001</v>
      </c>
      <c r="G229">
        <v>142.4</v>
      </c>
      <c r="H229">
        <v>118.6</v>
      </c>
      <c r="I229">
        <v>149.69999999999999</v>
      </c>
      <c r="J229">
        <v>161.6</v>
      </c>
      <c r="K229">
        <v>124.4</v>
      </c>
      <c r="L229">
        <v>111.2</v>
      </c>
      <c r="M229">
        <v>141</v>
      </c>
      <c r="N229">
        <v>128.9</v>
      </c>
      <c r="O229">
        <v>154.5</v>
      </c>
      <c r="P229">
        <v>143.80000000000001</v>
      </c>
      <c r="Q229">
        <v>166.2</v>
      </c>
      <c r="R229">
        <v>144</v>
      </c>
      <c r="S229">
        <v>131.69999999999999</v>
      </c>
      <c r="T229">
        <v>142.19999999999999</v>
      </c>
      <c r="U229">
        <v>150.1</v>
      </c>
      <c r="V229" s="5">
        <v>129.4</v>
      </c>
      <c r="W229">
        <v>137.19999999999999</v>
      </c>
      <c r="X229">
        <v>139.80000000000001</v>
      </c>
      <c r="Y229">
        <v>120.1</v>
      </c>
      <c r="Z229">
        <v>134</v>
      </c>
      <c r="AA229">
        <v>148</v>
      </c>
      <c r="AB229">
        <v>132.6</v>
      </c>
      <c r="AC229">
        <v>133.30000000000001</v>
      </c>
      <c r="AD229">
        <v>141.5</v>
      </c>
      <c r="AE229" s="72">
        <f t="shared" si="15"/>
        <v>1977.7000000000003</v>
      </c>
      <c r="AF229" s="4">
        <f t="shared" si="16"/>
        <v>550.5</v>
      </c>
      <c r="AG229" s="4">
        <f t="shared" si="17"/>
        <v>536.79999999999995</v>
      </c>
      <c r="AH229" s="4">
        <f t="shared" si="18"/>
        <v>555.1</v>
      </c>
      <c r="AI229" s="6">
        <f t="shared" si="19"/>
        <v>3620.1</v>
      </c>
    </row>
    <row r="230" spans="1:35" x14ac:dyDescent="0.3">
      <c r="A230" t="s">
        <v>33</v>
      </c>
      <c r="B230">
        <v>2019</v>
      </c>
      <c r="C230" t="s">
        <v>37</v>
      </c>
      <c r="D230">
        <v>138.30000000000001</v>
      </c>
      <c r="E230">
        <v>158.5</v>
      </c>
      <c r="F230">
        <v>136</v>
      </c>
      <c r="G230">
        <v>142.5</v>
      </c>
      <c r="H230">
        <v>122</v>
      </c>
      <c r="I230">
        <v>146.5</v>
      </c>
      <c r="J230">
        <v>143</v>
      </c>
      <c r="K230">
        <v>124.9</v>
      </c>
      <c r="L230">
        <v>109.9</v>
      </c>
      <c r="M230">
        <v>139.9</v>
      </c>
      <c r="N230">
        <v>134</v>
      </c>
      <c r="O230">
        <v>155.5</v>
      </c>
      <c r="P230">
        <v>140.9</v>
      </c>
      <c r="Q230">
        <v>164.1</v>
      </c>
      <c r="R230">
        <v>148.4</v>
      </c>
      <c r="S230">
        <v>140.4</v>
      </c>
      <c r="T230">
        <v>147.30000000000001</v>
      </c>
      <c r="U230">
        <v>150.1</v>
      </c>
      <c r="V230" s="5">
        <v>140.30000000000001</v>
      </c>
      <c r="W230">
        <v>143.69999999999999</v>
      </c>
      <c r="X230">
        <v>146.9</v>
      </c>
      <c r="Y230">
        <v>124.9</v>
      </c>
      <c r="Z230">
        <v>139.19999999999999</v>
      </c>
      <c r="AA230">
        <v>151.6</v>
      </c>
      <c r="AB230">
        <v>133.4</v>
      </c>
      <c r="AC230">
        <v>138.19999999999999</v>
      </c>
      <c r="AD230">
        <v>142</v>
      </c>
      <c r="AE230" s="72">
        <f t="shared" si="15"/>
        <v>1956.0000000000002</v>
      </c>
      <c r="AF230" s="4">
        <f t="shared" si="16"/>
        <v>569.5</v>
      </c>
      <c r="AG230" s="4">
        <f t="shared" si="17"/>
        <v>559</v>
      </c>
      <c r="AH230" s="4">
        <f t="shared" si="18"/>
        <v>575.90000000000009</v>
      </c>
      <c r="AI230" s="6">
        <f t="shared" si="19"/>
        <v>3660.4</v>
      </c>
    </row>
    <row r="231" spans="1:35" x14ac:dyDescent="0.3">
      <c r="A231" t="s">
        <v>30</v>
      </c>
      <c r="B231">
        <v>2019</v>
      </c>
      <c r="C231" t="s">
        <v>38</v>
      </c>
      <c r="D231">
        <v>137.80000000000001</v>
      </c>
      <c r="E231">
        <v>163.5</v>
      </c>
      <c r="F231">
        <v>136.19999999999999</v>
      </c>
      <c r="G231">
        <v>143.19999999999999</v>
      </c>
      <c r="H231">
        <v>124.3</v>
      </c>
      <c r="I231">
        <v>143.30000000000001</v>
      </c>
      <c r="J231">
        <v>140.6</v>
      </c>
      <c r="K231">
        <v>128.69999999999999</v>
      </c>
      <c r="L231">
        <v>110.6</v>
      </c>
      <c r="M231">
        <v>140.4</v>
      </c>
      <c r="N231">
        <v>138</v>
      </c>
      <c r="O231">
        <v>156.6</v>
      </c>
      <c r="P231">
        <v>141</v>
      </c>
      <c r="Q231">
        <v>164.2</v>
      </c>
      <c r="R231">
        <v>151.4</v>
      </c>
      <c r="S231">
        <v>146.5</v>
      </c>
      <c r="T231">
        <v>150.69999999999999</v>
      </c>
      <c r="U231">
        <v>0</v>
      </c>
      <c r="V231" s="5">
        <v>147.80000000000001</v>
      </c>
      <c r="W231">
        <v>149.6</v>
      </c>
      <c r="X231">
        <v>151.69999999999999</v>
      </c>
      <c r="Y231">
        <v>130.19999999999999</v>
      </c>
      <c r="Z231">
        <v>146.4</v>
      </c>
      <c r="AA231">
        <v>157.69999999999999</v>
      </c>
      <c r="AB231">
        <v>134.80000000000001</v>
      </c>
      <c r="AC231">
        <v>143.30000000000001</v>
      </c>
      <c r="AD231">
        <v>143.6</v>
      </c>
      <c r="AE231" s="72">
        <f t="shared" si="15"/>
        <v>1968.3999999999999</v>
      </c>
      <c r="AF231" s="4">
        <f t="shared" si="16"/>
        <v>583.4</v>
      </c>
      <c r="AG231" s="4">
        <f t="shared" si="17"/>
        <v>427.59999999999997</v>
      </c>
      <c r="AH231" s="4">
        <f t="shared" si="18"/>
        <v>599.1</v>
      </c>
      <c r="AI231" s="6">
        <f t="shared" si="19"/>
        <v>3578.4999999999995</v>
      </c>
    </row>
    <row r="232" spans="1:35" x14ac:dyDescent="0.3">
      <c r="A232" t="s">
        <v>32</v>
      </c>
      <c r="B232">
        <v>2019</v>
      </c>
      <c r="C232" t="s">
        <v>38</v>
      </c>
      <c r="D232">
        <v>140.69999999999999</v>
      </c>
      <c r="E232">
        <v>159.6</v>
      </c>
      <c r="F232">
        <v>140.4</v>
      </c>
      <c r="G232">
        <v>143.4</v>
      </c>
      <c r="H232">
        <v>118.6</v>
      </c>
      <c r="I232">
        <v>150.9</v>
      </c>
      <c r="J232">
        <v>169.8</v>
      </c>
      <c r="K232">
        <v>127.4</v>
      </c>
      <c r="L232">
        <v>111.8</v>
      </c>
      <c r="M232">
        <v>141</v>
      </c>
      <c r="N232">
        <v>129</v>
      </c>
      <c r="O232">
        <v>155.1</v>
      </c>
      <c r="P232">
        <v>145.6</v>
      </c>
      <c r="Q232">
        <v>166.7</v>
      </c>
      <c r="R232">
        <v>144.30000000000001</v>
      </c>
      <c r="S232">
        <v>131.69999999999999</v>
      </c>
      <c r="T232">
        <v>142.4</v>
      </c>
      <c r="U232">
        <v>149.4</v>
      </c>
      <c r="V232" s="5">
        <v>130.5</v>
      </c>
      <c r="W232">
        <v>137.4</v>
      </c>
      <c r="X232">
        <v>140.30000000000001</v>
      </c>
      <c r="Y232">
        <v>119.6</v>
      </c>
      <c r="Z232">
        <v>134.30000000000001</v>
      </c>
      <c r="AA232">
        <v>148.9</v>
      </c>
      <c r="AB232">
        <v>133.69999999999999</v>
      </c>
      <c r="AC232">
        <v>133.6</v>
      </c>
      <c r="AD232">
        <v>142.1</v>
      </c>
      <c r="AE232" s="72">
        <f t="shared" si="15"/>
        <v>1999.9999999999998</v>
      </c>
      <c r="AF232" s="4">
        <f t="shared" si="16"/>
        <v>552.09999999999991</v>
      </c>
      <c r="AG232" s="4">
        <f t="shared" si="17"/>
        <v>536.9</v>
      </c>
      <c r="AH232" s="4">
        <f t="shared" si="18"/>
        <v>557.1</v>
      </c>
      <c r="AI232" s="6">
        <f t="shared" si="19"/>
        <v>3646.0999999999995</v>
      </c>
    </row>
    <row r="233" spans="1:35" x14ac:dyDescent="0.3">
      <c r="A233" t="s">
        <v>33</v>
      </c>
      <c r="B233">
        <v>2019</v>
      </c>
      <c r="C233" t="s">
        <v>38</v>
      </c>
      <c r="D233">
        <v>138.69999999999999</v>
      </c>
      <c r="E233">
        <v>162.1</v>
      </c>
      <c r="F233">
        <v>137.80000000000001</v>
      </c>
      <c r="G233">
        <v>143.30000000000001</v>
      </c>
      <c r="H233">
        <v>122.2</v>
      </c>
      <c r="I233">
        <v>146.80000000000001</v>
      </c>
      <c r="J233">
        <v>150.5</v>
      </c>
      <c r="K233">
        <v>128.30000000000001</v>
      </c>
      <c r="L233">
        <v>111</v>
      </c>
      <c r="M233">
        <v>140.6</v>
      </c>
      <c r="N233">
        <v>134.19999999999999</v>
      </c>
      <c r="O233">
        <v>155.9</v>
      </c>
      <c r="P233">
        <v>142.69999999999999</v>
      </c>
      <c r="Q233">
        <v>164.9</v>
      </c>
      <c r="R233">
        <v>148.6</v>
      </c>
      <c r="S233">
        <v>140.4</v>
      </c>
      <c r="T233">
        <v>147.4</v>
      </c>
      <c r="U233">
        <v>149.4</v>
      </c>
      <c r="V233" s="5">
        <v>141.19999999999999</v>
      </c>
      <c r="W233">
        <v>143.80000000000001</v>
      </c>
      <c r="X233">
        <v>147.4</v>
      </c>
      <c r="Y233">
        <v>124.6</v>
      </c>
      <c r="Z233">
        <v>139.6</v>
      </c>
      <c r="AA233">
        <v>152.5</v>
      </c>
      <c r="AB233">
        <v>134.30000000000001</v>
      </c>
      <c r="AC233">
        <v>138.6</v>
      </c>
      <c r="AD233">
        <v>142.9</v>
      </c>
      <c r="AE233" s="72">
        <f t="shared" si="15"/>
        <v>1979.0000000000002</v>
      </c>
      <c r="AF233" s="4">
        <f t="shared" si="16"/>
        <v>570.70000000000005</v>
      </c>
      <c r="AG233" s="4">
        <f t="shared" si="17"/>
        <v>559</v>
      </c>
      <c r="AH233" s="4">
        <f t="shared" si="18"/>
        <v>578.1</v>
      </c>
      <c r="AI233" s="6">
        <f t="shared" si="19"/>
        <v>3686.8</v>
      </c>
    </row>
    <row r="234" spans="1:35" x14ac:dyDescent="0.3">
      <c r="A234" t="s">
        <v>30</v>
      </c>
      <c r="B234">
        <v>2019</v>
      </c>
      <c r="C234" t="s">
        <v>39</v>
      </c>
      <c r="D234">
        <v>138.4</v>
      </c>
      <c r="E234">
        <v>164</v>
      </c>
      <c r="F234">
        <v>138.4</v>
      </c>
      <c r="G234">
        <v>143.9</v>
      </c>
      <c r="H234">
        <v>124.4</v>
      </c>
      <c r="I234">
        <v>146.4</v>
      </c>
      <c r="J234">
        <v>150.1</v>
      </c>
      <c r="K234">
        <v>130.6</v>
      </c>
      <c r="L234">
        <v>110.8</v>
      </c>
      <c r="M234">
        <v>141.69999999999999</v>
      </c>
      <c r="N234">
        <v>138.5</v>
      </c>
      <c r="O234">
        <v>156.69999999999999</v>
      </c>
      <c r="P234">
        <v>143</v>
      </c>
      <c r="Q234">
        <v>164.5</v>
      </c>
      <c r="R234">
        <v>151.6</v>
      </c>
      <c r="S234">
        <v>146.6</v>
      </c>
      <c r="T234">
        <v>150.9</v>
      </c>
      <c r="U234">
        <v>0</v>
      </c>
      <c r="V234" s="5">
        <v>146.80000000000001</v>
      </c>
      <c r="W234">
        <v>150</v>
      </c>
      <c r="X234">
        <v>152.19999999999999</v>
      </c>
      <c r="Y234">
        <v>131.19999999999999</v>
      </c>
      <c r="Z234">
        <v>147.5</v>
      </c>
      <c r="AA234">
        <v>159.1</v>
      </c>
      <c r="AB234">
        <v>136.1</v>
      </c>
      <c r="AC234">
        <v>144.19999999999999</v>
      </c>
      <c r="AD234">
        <v>144.9</v>
      </c>
      <c r="AE234" s="72">
        <f t="shared" si="15"/>
        <v>1991.3999999999999</v>
      </c>
      <c r="AF234" s="4">
        <f t="shared" si="16"/>
        <v>585.20000000000005</v>
      </c>
      <c r="AG234" s="4">
        <f t="shared" si="17"/>
        <v>428</v>
      </c>
      <c r="AH234" s="4">
        <f t="shared" si="18"/>
        <v>603</v>
      </c>
      <c r="AI234" s="6">
        <f t="shared" si="19"/>
        <v>3607.6</v>
      </c>
    </row>
    <row r="235" spans="1:35" x14ac:dyDescent="0.3">
      <c r="A235" t="s">
        <v>32</v>
      </c>
      <c r="B235">
        <v>2019</v>
      </c>
      <c r="C235" t="s">
        <v>39</v>
      </c>
      <c r="D235">
        <v>141.4</v>
      </c>
      <c r="E235">
        <v>160.19999999999999</v>
      </c>
      <c r="F235">
        <v>142.5</v>
      </c>
      <c r="G235">
        <v>144.1</v>
      </c>
      <c r="H235">
        <v>119.3</v>
      </c>
      <c r="I235">
        <v>154.69999999999999</v>
      </c>
      <c r="J235">
        <v>180.1</v>
      </c>
      <c r="K235">
        <v>128.9</v>
      </c>
      <c r="L235">
        <v>111.8</v>
      </c>
      <c r="M235">
        <v>141.6</v>
      </c>
      <c r="N235">
        <v>129.5</v>
      </c>
      <c r="O235">
        <v>155.6</v>
      </c>
      <c r="P235">
        <v>147.69999999999999</v>
      </c>
      <c r="Q235">
        <v>167.2</v>
      </c>
      <c r="R235">
        <v>144.69999999999999</v>
      </c>
      <c r="S235">
        <v>131.9</v>
      </c>
      <c r="T235">
        <v>142.69999999999999</v>
      </c>
      <c r="U235">
        <v>150.6</v>
      </c>
      <c r="V235" s="5">
        <v>127</v>
      </c>
      <c r="W235">
        <v>137.69999999999999</v>
      </c>
      <c r="X235">
        <v>140.80000000000001</v>
      </c>
      <c r="Y235">
        <v>120.6</v>
      </c>
      <c r="Z235">
        <v>135</v>
      </c>
      <c r="AA235">
        <v>150.4</v>
      </c>
      <c r="AB235">
        <v>135.1</v>
      </c>
      <c r="AC235">
        <v>134.5</v>
      </c>
      <c r="AD235">
        <v>143.30000000000001</v>
      </c>
      <c r="AE235" s="72">
        <f t="shared" si="15"/>
        <v>2024.6</v>
      </c>
      <c r="AF235" s="4">
        <f t="shared" si="16"/>
        <v>554.4</v>
      </c>
      <c r="AG235" s="4">
        <f t="shared" si="17"/>
        <v>535.9</v>
      </c>
      <c r="AH235" s="4">
        <f t="shared" si="18"/>
        <v>560.70000000000005</v>
      </c>
      <c r="AI235" s="6">
        <f t="shared" si="19"/>
        <v>3675.6000000000004</v>
      </c>
    </row>
    <row r="236" spans="1:35" x14ac:dyDescent="0.3">
      <c r="A236" t="s">
        <v>33</v>
      </c>
      <c r="B236">
        <v>2019</v>
      </c>
      <c r="C236" t="s">
        <v>39</v>
      </c>
      <c r="D236">
        <v>139.30000000000001</v>
      </c>
      <c r="E236">
        <v>162.69999999999999</v>
      </c>
      <c r="F236">
        <v>140</v>
      </c>
      <c r="G236">
        <v>144</v>
      </c>
      <c r="H236">
        <v>122.5</v>
      </c>
      <c r="I236">
        <v>150.30000000000001</v>
      </c>
      <c r="J236">
        <v>160.30000000000001</v>
      </c>
      <c r="K236">
        <v>130</v>
      </c>
      <c r="L236">
        <v>111.1</v>
      </c>
      <c r="M236">
        <v>141.69999999999999</v>
      </c>
      <c r="N236">
        <v>134.69999999999999</v>
      </c>
      <c r="O236">
        <v>156.19999999999999</v>
      </c>
      <c r="P236">
        <v>144.69999999999999</v>
      </c>
      <c r="Q236">
        <v>165.2</v>
      </c>
      <c r="R236">
        <v>148.9</v>
      </c>
      <c r="S236">
        <v>140.5</v>
      </c>
      <c r="T236">
        <v>147.6</v>
      </c>
      <c r="U236">
        <v>150.6</v>
      </c>
      <c r="V236" s="5">
        <v>139.30000000000001</v>
      </c>
      <c r="W236">
        <v>144.19999999999999</v>
      </c>
      <c r="X236">
        <v>147.9</v>
      </c>
      <c r="Y236">
        <v>125.6</v>
      </c>
      <c r="Z236">
        <v>140.5</v>
      </c>
      <c r="AA236">
        <v>154</v>
      </c>
      <c r="AB236">
        <v>135.69999999999999</v>
      </c>
      <c r="AC236">
        <v>139.5</v>
      </c>
      <c r="AD236">
        <v>144.19999999999999</v>
      </c>
      <c r="AE236" s="72">
        <f t="shared" si="15"/>
        <v>2002.7</v>
      </c>
      <c r="AF236" s="4">
        <f t="shared" si="16"/>
        <v>572.70000000000005</v>
      </c>
      <c r="AG236" s="4">
        <f t="shared" si="17"/>
        <v>559.69999999999993</v>
      </c>
      <c r="AH236" s="4">
        <f t="shared" si="18"/>
        <v>581.9</v>
      </c>
      <c r="AI236" s="6">
        <f t="shared" si="19"/>
        <v>3717</v>
      </c>
    </row>
    <row r="237" spans="1:35" x14ac:dyDescent="0.3">
      <c r="A237" t="s">
        <v>30</v>
      </c>
      <c r="B237">
        <v>2019</v>
      </c>
      <c r="C237" t="s">
        <v>40</v>
      </c>
      <c r="D237">
        <v>139.19999999999999</v>
      </c>
      <c r="E237">
        <v>161.9</v>
      </c>
      <c r="F237">
        <v>137.1</v>
      </c>
      <c r="G237">
        <v>144.6</v>
      </c>
      <c r="H237">
        <v>124.7</v>
      </c>
      <c r="I237">
        <v>145.5</v>
      </c>
      <c r="J237">
        <v>156.19999999999999</v>
      </c>
      <c r="K237">
        <v>131.5</v>
      </c>
      <c r="L237">
        <v>111.7</v>
      </c>
      <c r="M237">
        <v>142.69999999999999</v>
      </c>
      <c r="N237">
        <v>138.5</v>
      </c>
      <c r="O237">
        <v>156.9</v>
      </c>
      <c r="P237">
        <v>144</v>
      </c>
      <c r="Q237">
        <v>165.1</v>
      </c>
      <c r="R237">
        <v>151.80000000000001</v>
      </c>
      <c r="S237">
        <v>146.6</v>
      </c>
      <c r="T237">
        <v>151.1</v>
      </c>
      <c r="U237">
        <v>0</v>
      </c>
      <c r="V237" s="5">
        <v>146.4</v>
      </c>
      <c r="W237">
        <v>150.19999999999999</v>
      </c>
      <c r="X237">
        <v>152.69999999999999</v>
      </c>
      <c r="Y237">
        <v>131.4</v>
      </c>
      <c r="Z237">
        <v>148</v>
      </c>
      <c r="AA237">
        <v>159.69999999999999</v>
      </c>
      <c r="AB237">
        <v>138.80000000000001</v>
      </c>
      <c r="AC237">
        <v>144.9</v>
      </c>
      <c r="AD237">
        <v>145.69999999999999</v>
      </c>
      <c r="AE237" s="72">
        <f t="shared" si="15"/>
        <v>1999.6000000000001</v>
      </c>
      <c r="AF237" s="4">
        <f t="shared" si="16"/>
        <v>588.29999999999995</v>
      </c>
      <c r="AG237" s="4">
        <f t="shared" si="17"/>
        <v>428</v>
      </c>
      <c r="AH237" s="4">
        <f t="shared" si="18"/>
        <v>605.29999999999995</v>
      </c>
      <c r="AI237" s="6">
        <f t="shared" si="19"/>
        <v>3621.2</v>
      </c>
    </row>
    <row r="238" spans="1:35" x14ac:dyDescent="0.3">
      <c r="A238" t="s">
        <v>32</v>
      </c>
      <c r="B238">
        <v>2019</v>
      </c>
      <c r="C238" t="s">
        <v>40</v>
      </c>
      <c r="D238">
        <v>142.1</v>
      </c>
      <c r="E238">
        <v>158.30000000000001</v>
      </c>
      <c r="F238">
        <v>140.80000000000001</v>
      </c>
      <c r="G238">
        <v>144.9</v>
      </c>
      <c r="H238">
        <v>119.9</v>
      </c>
      <c r="I238">
        <v>153.9</v>
      </c>
      <c r="J238">
        <v>189.1</v>
      </c>
      <c r="K238">
        <v>129.80000000000001</v>
      </c>
      <c r="L238">
        <v>112.7</v>
      </c>
      <c r="M238">
        <v>142.5</v>
      </c>
      <c r="N238">
        <v>129.80000000000001</v>
      </c>
      <c r="O238">
        <v>156.19999999999999</v>
      </c>
      <c r="P238">
        <v>149.1</v>
      </c>
      <c r="Q238">
        <v>167.9</v>
      </c>
      <c r="R238">
        <v>145</v>
      </c>
      <c r="S238">
        <v>132.19999999999999</v>
      </c>
      <c r="T238">
        <v>143</v>
      </c>
      <c r="U238">
        <v>151.6</v>
      </c>
      <c r="V238" s="5">
        <v>125.5</v>
      </c>
      <c r="W238">
        <v>138.1</v>
      </c>
      <c r="X238">
        <v>141.5</v>
      </c>
      <c r="Y238">
        <v>120.8</v>
      </c>
      <c r="Z238">
        <v>135.4</v>
      </c>
      <c r="AA238">
        <v>151.5</v>
      </c>
      <c r="AB238">
        <v>137.80000000000001</v>
      </c>
      <c r="AC238">
        <v>135.30000000000001</v>
      </c>
      <c r="AD238">
        <v>144.19999999999999</v>
      </c>
      <c r="AE238" s="72">
        <f t="shared" si="15"/>
        <v>2037</v>
      </c>
      <c r="AF238" s="4">
        <f t="shared" si="16"/>
        <v>558</v>
      </c>
      <c r="AG238" s="4">
        <f t="shared" si="17"/>
        <v>536</v>
      </c>
      <c r="AH238" s="4">
        <f t="shared" si="18"/>
        <v>563.70000000000005</v>
      </c>
      <c r="AI238" s="6">
        <f t="shared" si="19"/>
        <v>3694.7</v>
      </c>
    </row>
    <row r="239" spans="1:35" x14ac:dyDescent="0.3">
      <c r="A239" t="s">
        <v>33</v>
      </c>
      <c r="B239">
        <v>2019</v>
      </c>
      <c r="C239" t="s">
        <v>40</v>
      </c>
      <c r="D239">
        <v>140.1</v>
      </c>
      <c r="E239">
        <v>160.6</v>
      </c>
      <c r="F239">
        <v>138.5</v>
      </c>
      <c r="G239">
        <v>144.69999999999999</v>
      </c>
      <c r="H239">
        <v>122.9</v>
      </c>
      <c r="I239">
        <v>149.4</v>
      </c>
      <c r="J239">
        <v>167.4</v>
      </c>
      <c r="K239">
        <v>130.9</v>
      </c>
      <c r="L239">
        <v>112</v>
      </c>
      <c r="M239">
        <v>142.6</v>
      </c>
      <c r="N239">
        <v>134.9</v>
      </c>
      <c r="O239">
        <v>156.6</v>
      </c>
      <c r="P239">
        <v>145.9</v>
      </c>
      <c r="Q239">
        <v>165.8</v>
      </c>
      <c r="R239">
        <v>149.1</v>
      </c>
      <c r="S239">
        <v>140.6</v>
      </c>
      <c r="T239">
        <v>147.9</v>
      </c>
      <c r="U239">
        <v>151.6</v>
      </c>
      <c r="V239" s="5">
        <v>138.5</v>
      </c>
      <c r="W239">
        <v>144.5</v>
      </c>
      <c r="X239">
        <v>148.5</v>
      </c>
      <c r="Y239">
        <v>125.8</v>
      </c>
      <c r="Z239">
        <v>140.9</v>
      </c>
      <c r="AA239">
        <v>154.9</v>
      </c>
      <c r="AB239">
        <v>138.4</v>
      </c>
      <c r="AC239">
        <v>140.19999999999999</v>
      </c>
      <c r="AD239">
        <v>145</v>
      </c>
      <c r="AE239" s="72">
        <f t="shared" si="15"/>
        <v>2012.3</v>
      </c>
      <c r="AF239" s="4">
        <f t="shared" si="16"/>
        <v>576</v>
      </c>
      <c r="AG239" s="4">
        <f t="shared" si="17"/>
        <v>560.4</v>
      </c>
      <c r="AH239" s="4">
        <f t="shared" si="18"/>
        <v>584.5</v>
      </c>
      <c r="AI239" s="6">
        <f t="shared" si="19"/>
        <v>3733.2000000000003</v>
      </c>
    </row>
    <row r="240" spans="1:35" x14ac:dyDescent="0.3">
      <c r="A240" t="s">
        <v>30</v>
      </c>
      <c r="B240">
        <v>2019</v>
      </c>
      <c r="C240" t="s">
        <v>41</v>
      </c>
      <c r="D240">
        <v>140.1</v>
      </c>
      <c r="E240">
        <v>161.9</v>
      </c>
      <c r="F240">
        <v>138.30000000000001</v>
      </c>
      <c r="G240">
        <v>145.69999999999999</v>
      </c>
      <c r="H240">
        <v>125.1</v>
      </c>
      <c r="I240">
        <v>143.80000000000001</v>
      </c>
      <c r="J240">
        <v>163.4</v>
      </c>
      <c r="K240">
        <v>132.19999999999999</v>
      </c>
      <c r="L240">
        <v>112.8</v>
      </c>
      <c r="M240">
        <v>144.19999999999999</v>
      </c>
      <c r="N240">
        <v>138.5</v>
      </c>
      <c r="O240">
        <v>157.19999999999999</v>
      </c>
      <c r="P240">
        <v>145.5</v>
      </c>
      <c r="Q240">
        <v>165.7</v>
      </c>
      <c r="R240">
        <v>151.69999999999999</v>
      </c>
      <c r="S240">
        <v>146.6</v>
      </c>
      <c r="T240">
        <v>151</v>
      </c>
      <c r="U240">
        <v>0</v>
      </c>
      <c r="V240" s="5">
        <v>146.9</v>
      </c>
      <c r="W240">
        <v>150.30000000000001</v>
      </c>
      <c r="X240">
        <v>153.4</v>
      </c>
      <c r="Y240">
        <v>131.6</v>
      </c>
      <c r="Z240">
        <v>148.30000000000001</v>
      </c>
      <c r="AA240">
        <v>160.19999999999999</v>
      </c>
      <c r="AB240">
        <v>140.19999999999999</v>
      </c>
      <c r="AC240">
        <v>145.4</v>
      </c>
      <c r="AD240">
        <v>146.69999999999999</v>
      </c>
      <c r="AE240" s="72">
        <f t="shared" si="15"/>
        <v>2014.4</v>
      </c>
      <c r="AF240" s="4">
        <f t="shared" si="16"/>
        <v>589.5</v>
      </c>
      <c r="AG240" s="4">
        <f t="shared" si="17"/>
        <v>428.80000000000007</v>
      </c>
      <c r="AH240" s="4">
        <f t="shared" si="18"/>
        <v>607.30000000000007</v>
      </c>
      <c r="AI240" s="6">
        <f t="shared" si="19"/>
        <v>3640.0000000000005</v>
      </c>
    </row>
    <row r="241" spans="1:35" x14ac:dyDescent="0.3">
      <c r="A241" t="s">
        <v>32</v>
      </c>
      <c r="B241">
        <v>2019</v>
      </c>
      <c r="C241" t="s">
        <v>41</v>
      </c>
      <c r="D241">
        <v>142.69999999999999</v>
      </c>
      <c r="E241">
        <v>158.69999999999999</v>
      </c>
      <c r="F241">
        <v>141.6</v>
      </c>
      <c r="G241">
        <v>144.9</v>
      </c>
      <c r="H241">
        <v>120.8</v>
      </c>
      <c r="I241">
        <v>149.80000000000001</v>
      </c>
      <c r="J241">
        <v>192.4</v>
      </c>
      <c r="K241">
        <v>130.30000000000001</v>
      </c>
      <c r="L241">
        <v>114</v>
      </c>
      <c r="M241">
        <v>143.80000000000001</v>
      </c>
      <c r="N241">
        <v>130</v>
      </c>
      <c r="O241">
        <v>156.4</v>
      </c>
      <c r="P241">
        <v>149.5</v>
      </c>
      <c r="Q241">
        <v>168.6</v>
      </c>
      <c r="R241">
        <v>145.30000000000001</v>
      </c>
      <c r="S241">
        <v>132.19999999999999</v>
      </c>
      <c r="T241">
        <v>143.30000000000001</v>
      </c>
      <c r="U241">
        <v>152.19999999999999</v>
      </c>
      <c r="V241" s="5">
        <v>126.6</v>
      </c>
      <c r="W241">
        <v>138.30000000000001</v>
      </c>
      <c r="X241">
        <v>141.9</v>
      </c>
      <c r="Y241">
        <v>121.2</v>
      </c>
      <c r="Z241">
        <v>135.9</v>
      </c>
      <c r="AA241">
        <v>151.6</v>
      </c>
      <c r="AB241">
        <v>139</v>
      </c>
      <c r="AC241">
        <v>135.69999999999999</v>
      </c>
      <c r="AD241">
        <v>144.69999999999999</v>
      </c>
      <c r="AE241" s="72">
        <f t="shared" si="15"/>
        <v>2043.5</v>
      </c>
      <c r="AF241" s="4">
        <f t="shared" si="16"/>
        <v>559.79999999999995</v>
      </c>
      <c r="AG241" s="4">
        <f t="shared" si="17"/>
        <v>538.29999999999995</v>
      </c>
      <c r="AH241" s="4">
        <f t="shared" si="18"/>
        <v>565.09999999999991</v>
      </c>
      <c r="AI241" s="6">
        <f t="shared" si="19"/>
        <v>3706.7000000000003</v>
      </c>
    </row>
    <row r="242" spans="1:35" x14ac:dyDescent="0.3">
      <c r="A242" t="s">
        <v>33</v>
      </c>
      <c r="B242">
        <v>2019</v>
      </c>
      <c r="C242" t="s">
        <v>41</v>
      </c>
      <c r="D242">
        <v>140.9</v>
      </c>
      <c r="E242">
        <v>160.80000000000001</v>
      </c>
      <c r="F242">
        <v>139.6</v>
      </c>
      <c r="G242">
        <v>145.4</v>
      </c>
      <c r="H242">
        <v>123.5</v>
      </c>
      <c r="I242">
        <v>146.6</v>
      </c>
      <c r="J242">
        <v>173.2</v>
      </c>
      <c r="K242">
        <v>131.6</v>
      </c>
      <c r="L242">
        <v>113.2</v>
      </c>
      <c r="M242">
        <v>144.1</v>
      </c>
      <c r="N242">
        <v>135</v>
      </c>
      <c r="O242">
        <v>156.80000000000001</v>
      </c>
      <c r="P242">
        <v>147</v>
      </c>
      <c r="Q242">
        <v>166.5</v>
      </c>
      <c r="R242">
        <v>149.19999999999999</v>
      </c>
      <c r="S242">
        <v>140.6</v>
      </c>
      <c r="T242">
        <v>147.9</v>
      </c>
      <c r="U242">
        <v>152.19999999999999</v>
      </c>
      <c r="V242" s="5">
        <v>139.19999999999999</v>
      </c>
      <c r="W242">
        <v>144.6</v>
      </c>
      <c r="X242">
        <v>149</v>
      </c>
      <c r="Y242">
        <v>126.1</v>
      </c>
      <c r="Z242">
        <v>141.30000000000001</v>
      </c>
      <c r="AA242">
        <v>155.19999999999999</v>
      </c>
      <c r="AB242">
        <v>139.69999999999999</v>
      </c>
      <c r="AC242">
        <v>140.69999999999999</v>
      </c>
      <c r="AD242">
        <v>145.80000000000001</v>
      </c>
      <c r="AE242" s="72">
        <f t="shared" si="15"/>
        <v>2024.1999999999998</v>
      </c>
      <c r="AF242" s="4">
        <f t="shared" si="16"/>
        <v>577.39999999999986</v>
      </c>
      <c r="AG242" s="4">
        <f t="shared" si="17"/>
        <v>562.1</v>
      </c>
      <c r="AH242" s="4">
        <f t="shared" si="18"/>
        <v>586.20000000000005</v>
      </c>
      <c r="AI242" s="6">
        <f t="shared" si="19"/>
        <v>3749.8999999999996</v>
      </c>
    </row>
    <row r="243" spans="1:35" x14ac:dyDescent="0.3">
      <c r="A243" t="s">
        <v>30</v>
      </c>
      <c r="B243">
        <v>2019</v>
      </c>
      <c r="C243" t="s">
        <v>42</v>
      </c>
      <c r="D243">
        <v>141</v>
      </c>
      <c r="E243">
        <v>161.6</v>
      </c>
      <c r="F243">
        <v>141.19999999999999</v>
      </c>
      <c r="G243">
        <v>146.5</v>
      </c>
      <c r="H243">
        <v>125.6</v>
      </c>
      <c r="I243">
        <v>145.69999999999999</v>
      </c>
      <c r="J243">
        <v>178.8</v>
      </c>
      <c r="K243">
        <v>133.1</v>
      </c>
      <c r="L243">
        <v>113.6</v>
      </c>
      <c r="M243">
        <v>145.5</v>
      </c>
      <c r="N243">
        <v>138.6</v>
      </c>
      <c r="O243">
        <v>157.4</v>
      </c>
      <c r="P243">
        <v>148.30000000000001</v>
      </c>
      <c r="Q243">
        <v>166.3</v>
      </c>
      <c r="R243">
        <v>151.69999999999999</v>
      </c>
      <c r="S243">
        <v>146.69999999999999</v>
      </c>
      <c r="T243">
        <v>151</v>
      </c>
      <c r="U243">
        <v>0</v>
      </c>
      <c r="V243" s="5">
        <v>147.69999999999999</v>
      </c>
      <c r="W243">
        <v>150.6</v>
      </c>
      <c r="X243">
        <v>153.69999999999999</v>
      </c>
      <c r="Y243">
        <v>131.69999999999999</v>
      </c>
      <c r="Z243">
        <v>148.69999999999999</v>
      </c>
      <c r="AA243">
        <v>160.69999999999999</v>
      </c>
      <c r="AB243">
        <v>140.30000000000001</v>
      </c>
      <c r="AC243">
        <v>145.69999999999999</v>
      </c>
      <c r="AD243">
        <v>148.30000000000001</v>
      </c>
      <c r="AE243" s="72">
        <f t="shared" si="15"/>
        <v>2043.1999999999996</v>
      </c>
      <c r="AF243" s="4">
        <f t="shared" si="16"/>
        <v>589.70000000000005</v>
      </c>
      <c r="AG243" s="4">
        <f t="shared" si="17"/>
        <v>429.99999999999994</v>
      </c>
      <c r="AH243" s="4">
        <f t="shared" si="18"/>
        <v>608.79999999999995</v>
      </c>
      <c r="AI243" s="6">
        <f t="shared" si="19"/>
        <v>3671.7</v>
      </c>
    </row>
    <row r="244" spans="1:35" x14ac:dyDescent="0.3">
      <c r="A244" t="s">
        <v>32</v>
      </c>
      <c r="B244">
        <v>2019</v>
      </c>
      <c r="C244" t="s">
        <v>42</v>
      </c>
      <c r="D244">
        <v>143.5</v>
      </c>
      <c r="E244">
        <v>159.80000000000001</v>
      </c>
      <c r="F244">
        <v>144.69999999999999</v>
      </c>
      <c r="G244">
        <v>145.6</v>
      </c>
      <c r="H244">
        <v>121.1</v>
      </c>
      <c r="I244">
        <v>150.6</v>
      </c>
      <c r="J244">
        <v>207.2</v>
      </c>
      <c r="K244">
        <v>131.19999999999999</v>
      </c>
      <c r="L244">
        <v>114.8</v>
      </c>
      <c r="M244">
        <v>145.19999999999999</v>
      </c>
      <c r="N244">
        <v>130.19999999999999</v>
      </c>
      <c r="O244">
        <v>156.80000000000001</v>
      </c>
      <c r="P244">
        <v>151.9</v>
      </c>
      <c r="Q244">
        <v>169.3</v>
      </c>
      <c r="R244">
        <v>145.9</v>
      </c>
      <c r="S244">
        <v>132.4</v>
      </c>
      <c r="T244">
        <v>143.9</v>
      </c>
      <c r="U244">
        <v>153</v>
      </c>
      <c r="V244" s="5">
        <v>128.9</v>
      </c>
      <c r="W244">
        <v>138.69999999999999</v>
      </c>
      <c r="X244">
        <v>142.4</v>
      </c>
      <c r="Y244">
        <v>121.5</v>
      </c>
      <c r="Z244">
        <v>136.19999999999999</v>
      </c>
      <c r="AA244">
        <v>151.69999999999999</v>
      </c>
      <c r="AB244">
        <v>139.5</v>
      </c>
      <c r="AC244">
        <v>136</v>
      </c>
      <c r="AD244">
        <v>146</v>
      </c>
      <c r="AE244" s="72">
        <f t="shared" si="15"/>
        <v>2071.9</v>
      </c>
      <c r="AF244" s="4">
        <f t="shared" si="16"/>
        <v>561.70000000000005</v>
      </c>
      <c r="AG244" s="4">
        <f t="shared" si="17"/>
        <v>542.09999999999991</v>
      </c>
      <c r="AH244" s="4">
        <f t="shared" si="18"/>
        <v>566.29999999999995</v>
      </c>
      <c r="AI244" s="6">
        <f t="shared" si="19"/>
        <v>3742</v>
      </c>
    </row>
    <row r="245" spans="1:35" x14ac:dyDescent="0.3">
      <c r="A245" t="s">
        <v>33</v>
      </c>
      <c r="B245">
        <v>2019</v>
      </c>
      <c r="C245" t="s">
        <v>42</v>
      </c>
      <c r="D245">
        <v>141.80000000000001</v>
      </c>
      <c r="E245">
        <v>161</v>
      </c>
      <c r="F245">
        <v>142.6</v>
      </c>
      <c r="G245">
        <v>146.19999999999999</v>
      </c>
      <c r="H245">
        <v>123.9</v>
      </c>
      <c r="I245">
        <v>148</v>
      </c>
      <c r="J245">
        <v>188.4</v>
      </c>
      <c r="K245">
        <v>132.5</v>
      </c>
      <c r="L245">
        <v>114</v>
      </c>
      <c r="M245">
        <v>145.4</v>
      </c>
      <c r="N245">
        <v>135.1</v>
      </c>
      <c r="O245">
        <v>157.1</v>
      </c>
      <c r="P245">
        <v>149.6</v>
      </c>
      <c r="Q245">
        <v>167.1</v>
      </c>
      <c r="R245">
        <v>149.4</v>
      </c>
      <c r="S245">
        <v>140.80000000000001</v>
      </c>
      <c r="T245">
        <v>148.19999999999999</v>
      </c>
      <c r="U245">
        <v>153</v>
      </c>
      <c r="V245" s="5">
        <v>140.6</v>
      </c>
      <c r="W245">
        <v>145</v>
      </c>
      <c r="X245">
        <v>149.4</v>
      </c>
      <c r="Y245">
        <v>126.3</v>
      </c>
      <c r="Z245">
        <v>141.69999999999999</v>
      </c>
      <c r="AA245">
        <v>155.4</v>
      </c>
      <c r="AB245">
        <v>140</v>
      </c>
      <c r="AC245">
        <v>141</v>
      </c>
      <c r="AD245">
        <v>147.19999999999999</v>
      </c>
      <c r="AE245" s="72">
        <f t="shared" si="15"/>
        <v>2052.6999999999998</v>
      </c>
      <c r="AF245" s="4">
        <f t="shared" si="16"/>
        <v>578.40000000000009</v>
      </c>
      <c r="AG245" s="4">
        <f t="shared" si="17"/>
        <v>564.9</v>
      </c>
      <c r="AH245" s="4">
        <f t="shared" si="18"/>
        <v>587.5</v>
      </c>
      <c r="AI245" s="6">
        <f t="shared" si="19"/>
        <v>3783.5</v>
      </c>
    </row>
    <row r="246" spans="1:35" x14ac:dyDescent="0.3">
      <c r="A246" t="s">
        <v>30</v>
      </c>
      <c r="B246">
        <v>2019</v>
      </c>
      <c r="C246" t="s">
        <v>44</v>
      </c>
      <c r="D246">
        <v>141.80000000000001</v>
      </c>
      <c r="E246">
        <v>163.69999999999999</v>
      </c>
      <c r="F246">
        <v>143.80000000000001</v>
      </c>
      <c r="G246">
        <v>147.1</v>
      </c>
      <c r="H246">
        <v>126</v>
      </c>
      <c r="I246">
        <v>146.19999999999999</v>
      </c>
      <c r="J246">
        <v>191.4</v>
      </c>
      <c r="K246">
        <v>136.19999999999999</v>
      </c>
      <c r="L246">
        <v>113.8</v>
      </c>
      <c r="M246">
        <v>147.30000000000001</v>
      </c>
      <c r="N246">
        <v>138.69999999999999</v>
      </c>
      <c r="O246">
        <v>157.69999999999999</v>
      </c>
      <c r="P246">
        <v>150.9</v>
      </c>
      <c r="Q246">
        <v>167.2</v>
      </c>
      <c r="R246">
        <v>152.30000000000001</v>
      </c>
      <c r="S246">
        <v>147</v>
      </c>
      <c r="T246">
        <v>151.5</v>
      </c>
      <c r="U246">
        <v>0</v>
      </c>
      <c r="V246" s="5">
        <v>148.4</v>
      </c>
      <c r="W246">
        <v>150.9</v>
      </c>
      <c r="X246">
        <v>154.30000000000001</v>
      </c>
      <c r="Y246">
        <v>132.1</v>
      </c>
      <c r="Z246">
        <v>149.1</v>
      </c>
      <c r="AA246">
        <v>160.80000000000001</v>
      </c>
      <c r="AB246">
        <v>140.6</v>
      </c>
      <c r="AC246">
        <v>146.1</v>
      </c>
      <c r="AD246">
        <v>149.9</v>
      </c>
      <c r="AE246" s="72">
        <f t="shared" si="15"/>
        <v>2071.8000000000002</v>
      </c>
      <c r="AF246" s="4">
        <f t="shared" si="16"/>
        <v>591.4</v>
      </c>
      <c r="AG246" s="4">
        <f t="shared" si="17"/>
        <v>431.4</v>
      </c>
      <c r="AH246" s="4">
        <f t="shared" si="18"/>
        <v>610.29999999999995</v>
      </c>
      <c r="AI246" s="6">
        <f t="shared" si="19"/>
        <v>3704.9000000000005</v>
      </c>
    </row>
    <row r="247" spans="1:35" x14ac:dyDescent="0.3">
      <c r="A247" t="s">
        <v>32</v>
      </c>
      <c r="B247">
        <v>2019</v>
      </c>
      <c r="C247" t="s">
        <v>44</v>
      </c>
      <c r="D247">
        <v>144.1</v>
      </c>
      <c r="E247">
        <v>162.4</v>
      </c>
      <c r="F247">
        <v>148.4</v>
      </c>
      <c r="G247">
        <v>145.9</v>
      </c>
      <c r="H247">
        <v>121.5</v>
      </c>
      <c r="I247">
        <v>148.80000000000001</v>
      </c>
      <c r="J247">
        <v>215.7</v>
      </c>
      <c r="K247">
        <v>134.6</v>
      </c>
      <c r="L247">
        <v>115</v>
      </c>
      <c r="M247">
        <v>146.30000000000001</v>
      </c>
      <c r="N247">
        <v>130.5</v>
      </c>
      <c r="O247">
        <v>157.19999999999999</v>
      </c>
      <c r="P247">
        <v>153.6</v>
      </c>
      <c r="Q247">
        <v>169.9</v>
      </c>
      <c r="R247">
        <v>146.30000000000001</v>
      </c>
      <c r="S247">
        <v>132.6</v>
      </c>
      <c r="T247">
        <v>144.19999999999999</v>
      </c>
      <c r="U247">
        <v>153.5</v>
      </c>
      <c r="V247" s="5">
        <v>132.19999999999999</v>
      </c>
      <c r="W247">
        <v>139.1</v>
      </c>
      <c r="X247">
        <v>142.80000000000001</v>
      </c>
      <c r="Y247">
        <v>121.7</v>
      </c>
      <c r="Z247">
        <v>136.69999999999999</v>
      </c>
      <c r="AA247">
        <v>151.80000000000001</v>
      </c>
      <c r="AB247">
        <v>139.80000000000001</v>
      </c>
      <c r="AC247">
        <v>136.30000000000001</v>
      </c>
      <c r="AD247">
        <v>147</v>
      </c>
      <c r="AE247" s="72">
        <f t="shared" si="15"/>
        <v>2093.8999999999996</v>
      </c>
      <c r="AF247" s="4">
        <f t="shared" si="16"/>
        <v>562.9</v>
      </c>
      <c r="AG247" s="4">
        <f t="shared" si="17"/>
        <v>546.5</v>
      </c>
      <c r="AH247" s="4">
        <f t="shared" si="18"/>
        <v>567.6</v>
      </c>
      <c r="AI247" s="6">
        <f t="shared" si="19"/>
        <v>3770.8999999999996</v>
      </c>
    </row>
    <row r="248" spans="1:35" x14ac:dyDescent="0.3">
      <c r="A248" t="s">
        <v>33</v>
      </c>
      <c r="B248">
        <v>2019</v>
      </c>
      <c r="C248" t="s">
        <v>44</v>
      </c>
      <c r="D248">
        <v>142.5</v>
      </c>
      <c r="E248">
        <v>163.19999999999999</v>
      </c>
      <c r="F248">
        <v>145.6</v>
      </c>
      <c r="G248">
        <v>146.69999999999999</v>
      </c>
      <c r="H248">
        <v>124.3</v>
      </c>
      <c r="I248">
        <v>147.4</v>
      </c>
      <c r="J248">
        <v>199.6</v>
      </c>
      <c r="K248">
        <v>135.69999999999999</v>
      </c>
      <c r="L248">
        <v>114.2</v>
      </c>
      <c r="M248">
        <v>147</v>
      </c>
      <c r="N248">
        <v>135.30000000000001</v>
      </c>
      <c r="O248">
        <v>157.5</v>
      </c>
      <c r="P248">
        <v>151.9</v>
      </c>
      <c r="Q248">
        <v>167.9</v>
      </c>
      <c r="R248">
        <v>149.9</v>
      </c>
      <c r="S248">
        <v>141</v>
      </c>
      <c r="T248">
        <v>148.6</v>
      </c>
      <c r="U248">
        <v>153.5</v>
      </c>
      <c r="V248" s="5">
        <v>142.30000000000001</v>
      </c>
      <c r="W248">
        <v>145.30000000000001</v>
      </c>
      <c r="X248">
        <v>149.9</v>
      </c>
      <c r="Y248">
        <v>126.6</v>
      </c>
      <c r="Z248">
        <v>142.1</v>
      </c>
      <c r="AA248">
        <v>155.5</v>
      </c>
      <c r="AB248">
        <v>140.30000000000001</v>
      </c>
      <c r="AC248">
        <v>141.30000000000001</v>
      </c>
      <c r="AD248">
        <v>148.6</v>
      </c>
      <c r="AE248" s="72">
        <f t="shared" si="15"/>
        <v>2078.8000000000002</v>
      </c>
      <c r="AF248" s="4">
        <f t="shared" si="16"/>
        <v>579.79999999999995</v>
      </c>
      <c r="AG248" s="4">
        <f t="shared" si="17"/>
        <v>567.70000000000005</v>
      </c>
      <c r="AH248" s="4">
        <f t="shared" si="18"/>
        <v>588.79999999999995</v>
      </c>
      <c r="AI248" s="6">
        <f t="shared" si="19"/>
        <v>3815.1000000000004</v>
      </c>
    </row>
    <row r="249" spans="1:35" x14ac:dyDescent="0.3">
      <c r="A249" t="s">
        <v>30</v>
      </c>
      <c r="B249">
        <v>2019</v>
      </c>
      <c r="C249" t="s">
        <v>45</v>
      </c>
      <c r="D249">
        <v>142.80000000000001</v>
      </c>
      <c r="E249">
        <v>165.3</v>
      </c>
      <c r="F249">
        <v>149.5</v>
      </c>
      <c r="G249">
        <v>148.69999999999999</v>
      </c>
      <c r="H249">
        <v>127.5</v>
      </c>
      <c r="I249">
        <v>144.30000000000001</v>
      </c>
      <c r="J249">
        <v>209.5</v>
      </c>
      <c r="K249">
        <v>138.80000000000001</v>
      </c>
      <c r="L249">
        <v>113.6</v>
      </c>
      <c r="M249">
        <v>149.1</v>
      </c>
      <c r="N249">
        <v>139.30000000000001</v>
      </c>
      <c r="O249">
        <v>158.30000000000001</v>
      </c>
      <c r="P249">
        <v>154.30000000000001</v>
      </c>
      <c r="Q249">
        <v>167.8</v>
      </c>
      <c r="R249">
        <v>152.6</v>
      </c>
      <c r="S249">
        <v>147.30000000000001</v>
      </c>
      <c r="T249">
        <v>151.9</v>
      </c>
      <c r="U249">
        <v>0</v>
      </c>
      <c r="V249" s="5">
        <v>149.9</v>
      </c>
      <c r="W249">
        <v>151.19999999999999</v>
      </c>
      <c r="X249">
        <v>154.80000000000001</v>
      </c>
      <c r="Y249">
        <v>135</v>
      </c>
      <c r="Z249">
        <v>149.5</v>
      </c>
      <c r="AA249">
        <v>161.1</v>
      </c>
      <c r="AB249">
        <v>140.6</v>
      </c>
      <c r="AC249">
        <v>147.1</v>
      </c>
      <c r="AD249">
        <v>152.30000000000001</v>
      </c>
      <c r="AE249" s="72">
        <f t="shared" si="15"/>
        <v>2108.7999999999997</v>
      </c>
      <c r="AF249" s="4">
        <f t="shared" si="16"/>
        <v>592.4</v>
      </c>
      <c r="AG249" s="4">
        <f t="shared" si="17"/>
        <v>436.1</v>
      </c>
      <c r="AH249" s="4">
        <f t="shared" si="18"/>
        <v>612.5</v>
      </c>
      <c r="AI249" s="6">
        <f t="shared" si="19"/>
        <v>3749.7999999999997</v>
      </c>
    </row>
    <row r="250" spans="1:35" x14ac:dyDescent="0.3">
      <c r="A250" t="s">
        <v>32</v>
      </c>
      <c r="B250">
        <v>2019</v>
      </c>
      <c r="C250" t="s">
        <v>45</v>
      </c>
      <c r="D250">
        <v>144.9</v>
      </c>
      <c r="E250">
        <v>164.5</v>
      </c>
      <c r="F250">
        <v>153.69999999999999</v>
      </c>
      <c r="G250">
        <v>147.5</v>
      </c>
      <c r="H250">
        <v>122.7</v>
      </c>
      <c r="I250">
        <v>147.19999999999999</v>
      </c>
      <c r="J250">
        <v>231.5</v>
      </c>
      <c r="K250">
        <v>137.19999999999999</v>
      </c>
      <c r="L250">
        <v>114.7</v>
      </c>
      <c r="M250">
        <v>148</v>
      </c>
      <c r="N250">
        <v>130.80000000000001</v>
      </c>
      <c r="O250">
        <v>157.69999999999999</v>
      </c>
      <c r="P250">
        <v>156.30000000000001</v>
      </c>
      <c r="Q250">
        <v>170.4</v>
      </c>
      <c r="R250">
        <v>146.80000000000001</v>
      </c>
      <c r="S250">
        <v>132.80000000000001</v>
      </c>
      <c r="T250">
        <v>144.6</v>
      </c>
      <c r="U250">
        <v>152.80000000000001</v>
      </c>
      <c r="V250" s="5">
        <v>133.6</v>
      </c>
      <c r="W250">
        <v>139.80000000000001</v>
      </c>
      <c r="X250">
        <v>143.19999999999999</v>
      </c>
      <c r="Y250">
        <v>125.2</v>
      </c>
      <c r="Z250">
        <v>136.80000000000001</v>
      </c>
      <c r="AA250">
        <v>151.9</v>
      </c>
      <c r="AB250">
        <v>140.19999999999999</v>
      </c>
      <c r="AC250">
        <v>137.69999999999999</v>
      </c>
      <c r="AD250">
        <v>148.30000000000001</v>
      </c>
      <c r="AE250" s="72">
        <f t="shared" si="15"/>
        <v>2127.1</v>
      </c>
      <c r="AF250" s="4">
        <f t="shared" si="16"/>
        <v>564.40000000000009</v>
      </c>
      <c r="AG250" s="4">
        <f t="shared" si="17"/>
        <v>551.4</v>
      </c>
      <c r="AH250" s="4">
        <f t="shared" si="18"/>
        <v>569.59999999999991</v>
      </c>
      <c r="AI250" s="6">
        <f t="shared" si="19"/>
        <v>3812.5</v>
      </c>
    </row>
    <row r="251" spans="1:35" x14ac:dyDescent="0.3">
      <c r="A251" t="s">
        <v>33</v>
      </c>
      <c r="B251">
        <v>2019</v>
      </c>
      <c r="C251" t="s">
        <v>45</v>
      </c>
      <c r="D251">
        <v>143.5</v>
      </c>
      <c r="E251">
        <v>165</v>
      </c>
      <c r="F251">
        <v>151.1</v>
      </c>
      <c r="G251">
        <v>148.30000000000001</v>
      </c>
      <c r="H251">
        <v>125.7</v>
      </c>
      <c r="I251">
        <v>145.69999999999999</v>
      </c>
      <c r="J251">
        <v>217</v>
      </c>
      <c r="K251">
        <v>138.30000000000001</v>
      </c>
      <c r="L251">
        <v>114</v>
      </c>
      <c r="M251">
        <v>148.69999999999999</v>
      </c>
      <c r="N251">
        <v>135.80000000000001</v>
      </c>
      <c r="O251">
        <v>158</v>
      </c>
      <c r="P251">
        <v>155</v>
      </c>
      <c r="Q251">
        <v>168.5</v>
      </c>
      <c r="R251">
        <v>150.30000000000001</v>
      </c>
      <c r="S251">
        <v>141.30000000000001</v>
      </c>
      <c r="T251">
        <v>149</v>
      </c>
      <c r="U251">
        <v>152.80000000000001</v>
      </c>
      <c r="V251" s="5">
        <v>143.69999999999999</v>
      </c>
      <c r="W251">
        <v>145.80000000000001</v>
      </c>
      <c r="X251">
        <v>150.4</v>
      </c>
      <c r="Y251">
        <v>129.80000000000001</v>
      </c>
      <c r="Z251">
        <v>142.30000000000001</v>
      </c>
      <c r="AA251">
        <v>155.69999999999999</v>
      </c>
      <c r="AB251">
        <v>140.4</v>
      </c>
      <c r="AC251">
        <v>142.5</v>
      </c>
      <c r="AD251">
        <v>150.4</v>
      </c>
      <c r="AE251" s="72">
        <f t="shared" si="15"/>
        <v>2114.6000000000004</v>
      </c>
      <c r="AF251" s="4">
        <f t="shared" si="16"/>
        <v>581</v>
      </c>
      <c r="AG251" s="4">
        <f t="shared" si="17"/>
        <v>572.1</v>
      </c>
      <c r="AH251" s="4">
        <f t="shared" si="18"/>
        <v>590.90000000000009</v>
      </c>
      <c r="AI251" s="6">
        <f t="shared" si="19"/>
        <v>3858.6000000000004</v>
      </c>
    </row>
    <row r="252" spans="1:35" x14ac:dyDescent="0.3">
      <c r="A252" t="s">
        <v>30</v>
      </c>
      <c r="B252">
        <v>2020</v>
      </c>
      <c r="C252" t="s">
        <v>31</v>
      </c>
      <c r="D252">
        <v>143.69999999999999</v>
      </c>
      <c r="E252">
        <v>167.3</v>
      </c>
      <c r="F252">
        <v>153.5</v>
      </c>
      <c r="G252">
        <v>150.5</v>
      </c>
      <c r="H252">
        <v>132</v>
      </c>
      <c r="I252">
        <v>142.19999999999999</v>
      </c>
      <c r="J252">
        <v>191.5</v>
      </c>
      <c r="K252">
        <v>141.1</v>
      </c>
      <c r="L252">
        <v>113.8</v>
      </c>
      <c r="M252">
        <v>151.6</v>
      </c>
      <c r="N252">
        <v>139.69999999999999</v>
      </c>
      <c r="O252">
        <v>158.69999999999999</v>
      </c>
      <c r="P252">
        <v>153</v>
      </c>
      <c r="Q252">
        <v>168.6</v>
      </c>
      <c r="R252">
        <v>152.80000000000001</v>
      </c>
      <c r="S252">
        <v>147.4</v>
      </c>
      <c r="T252">
        <v>152.1</v>
      </c>
      <c r="U252">
        <v>0</v>
      </c>
      <c r="V252" s="5">
        <v>150.4</v>
      </c>
      <c r="W252">
        <v>151.69999999999999</v>
      </c>
      <c r="X252">
        <v>155.69999999999999</v>
      </c>
      <c r="Y252">
        <v>136.30000000000001</v>
      </c>
      <c r="Z252">
        <v>150.1</v>
      </c>
      <c r="AA252">
        <v>161.69999999999999</v>
      </c>
      <c r="AB252">
        <v>142.5</v>
      </c>
      <c r="AC252">
        <v>148.1</v>
      </c>
      <c r="AD252">
        <v>151.9</v>
      </c>
      <c r="AE252" s="72">
        <f t="shared" si="15"/>
        <v>2107.1999999999998</v>
      </c>
      <c r="AF252" s="4">
        <f t="shared" si="16"/>
        <v>594.80000000000007</v>
      </c>
      <c r="AG252" s="4">
        <f t="shared" si="17"/>
        <v>438.40000000000003</v>
      </c>
      <c r="AH252" s="4">
        <f t="shared" si="18"/>
        <v>615.59999999999991</v>
      </c>
      <c r="AI252" s="6">
        <f t="shared" si="19"/>
        <v>3756</v>
      </c>
    </row>
    <row r="253" spans="1:35" x14ac:dyDescent="0.3">
      <c r="A253" t="s">
        <v>32</v>
      </c>
      <c r="B253">
        <v>2020</v>
      </c>
      <c r="C253" t="s">
        <v>31</v>
      </c>
      <c r="D253">
        <v>145.6</v>
      </c>
      <c r="E253">
        <v>167.6</v>
      </c>
      <c r="F253">
        <v>157</v>
      </c>
      <c r="G253">
        <v>149.30000000000001</v>
      </c>
      <c r="H253">
        <v>126.3</v>
      </c>
      <c r="I253">
        <v>144.4</v>
      </c>
      <c r="J253">
        <v>207.8</v>
      </c>
      <c r="K253">
        <v>139.1</v>
      </c>
      <c r="L253">
        <v>114.8</v>
      </c>
      <c r="M253">
        <v>149.5</v>
      </c>
      <c r="N253">
        <v>131.1</v>
      </c>
      <c r="O253">
        <v>158.5</v>
      </c>
      <c r="P253">
        <v>154.4</v>
      </c>
      <c r="Q253">
        <v>170.8</v>
      </c>
      <c r="R253">
        <v>147</v>
      </c>
      <c r="S253">
        <v>133.19999999999999</v>
      </c>
      <c r="T253">
        <v>144.9</v>
      </c>
      <c r="U253">
        <v>153.9</v>
      </c>
      <c r="V253" s="5">
        <v>135.1</v>
      </c>
      <c r="W253">
        <v>140.1</v>
      </c>
      <c r="X253">
        <v>143.80000000000001</v>
      </c>
      <c r="Y253">
        <v>126.1</v>
      </c>
      <c r="Z253">
        <v>137.19999999999999</v>
      </c>
      <c r="AA253">
        <v>152.1</v>
      </c>
      <c r="AB253">
        <v>142.1</v>
      </c>
      <c r="AC253">
        <v>138.4</v>
      </c>
      <c r="AD253">
        <v>148.19999999999999</v>
      </c>
      <c r="AE253" s="72">
        <f t="shared" si="15"/>
        <v>2116.1999999999998</v>
      </c>
      <c r="AF253" s="4">
        <f t="shared" si="16"/>
        <v>567.20000000000005</v>
      </c>
      <c r="AG253" s="4">
        <f t="shared" si="17"/>
        <v>555.20000000000005</v>
      </c>
      <c r="AH253" s="4">
        <f t="shared" si="18"/>
        <v>571.5</v>
      </c>
      <c r="AI253" s="6">
        <f t="shared" si="19"/>
        <v>3810.0999999999995</v>
      </c>
    </row>
    <row r="254" spans="1:35" x14ac:dyDescent="0.3">
      <c r="A254" t="s">
        <v>33</v>
      </c>
      <c r="B254">
        <v>2020</v>
      </c>
      <c r="C254" t="s">
        <v>31</v>
      </c>
      <c r="D254">
        <v>144.30000000000001</v>
      </c>
      <c r="E254">
        <v>167.4</v>
      </c>
      <c r="F254">
        <v>154.9</v>
      </c>
      <c r="G254">
        <v>150.1</v>
      </c>
      <c r="H254">
        <v>129.9</v>
      </c>
      <c r="I254">
        <v>143.19999999999999</v>
      </c>
      <c r="J254">
        <v>197</v>
      </c>
      <c r="K254">
        <v>140.4</v>
      </c>
      <c r="L254">
        <v>114.1</v>
      </c>
      <c r="M254">
        <v>150.9</v>
      </c>
      <c r="N254">
        <v>136.1</v>
      </c>
      <c r="O254">
        <v>158.6</v>
      </c>
      <c r="P254">
        <v>153.5</v>
      </c>
      <c r="Q254">
        <v>169.2</v>
      </c>
      <c r="R254">
        <v>150.5</v>
      </c>
      <c r="S254">
        <v>141.5</v>
      </c>
      <c r="T254">
        <v>149.19999999999999</v>
      </c>
      <c r="U254">
        <v>153.9</v>
      </c>
      <c r="V254" s="5">
        <v>144.6</v>
      </c>
      <c r="W254">
        <v>146.19999999999999</v>
      </c>
      <c r="X254">
        <v>151.19999999999999</v>
      </c>
      <c r="Y254">
        <v>130.9</v>
      </c>
      <c r="Z254">
        <v>142.80000000000001</v>
      </c>
      <c r="AA254">
        <v>156.1</v>
      </c>
      <c r="AB254">
        <v>142.30000000000001</v>
      </c>
      <c r="AC254">
        <v>143.4</v>
      </c>
      <c r="AD254">
        <v>150.19999999999999</v>
      </c>
      <c r="AE254" s="72">
        <f t="shared" si="15"/>
        <v>2109.6</v>
      </c>
      <c r="AF254" s="4">
        <f t="shared" si="16"/>
        <v>583.5</v>
      </c>
      <c r="AG254" s="4">
        <f t="shared" si="17"/>
        <v>575.6</v>
      </c>
      <c r="AH254" s="4">
        <f t="shared" si="18"/>
        <v>593.5</v>
      </c>
      <c r="AI254" s="6">
        <f t="shared" si="19"/>
        <v>3862.2</v>
      </c>
    </row>
    <row r="255" spans="1:35" x14ac:dyDescent="0.3">
      <c r="A255" t="s">
        <v>30</v>
      </c>
      <c r="B255">
        <v>2020</v>
      </c>
      <c r="C255" t="s">
        <v>34</v>
      </c>
      <c r="D255">
        <v>144.19999999999999</v>
      </c>
      <c r="E255">
        <v>167.5</v>
      </c>
      <c r="F255">
        <v>150.9</v>
      </c>
      <c r="G255">
        <v>150.9</v>
      </c>
      <c r="H255">
        <v>133.69999999999999</v>
      </c>
      <c r="I255">
        <v>140.69999999999999</v>
      </c>
      <c r="J255">
        <v>165.1</v>
      </c>
      <c r="K255">
        <v>141.80000000000001</v>
      </c>
      <c r="L255">
        <v>113.1</v>
      </c>
      <c r="M255">
        <v>152.80000000000001</v>
      </c>
      <c r="N255">
        <v>140.1</v>
      </c>
      <c r="O255">
        <v>159.19999999999999</v>
      </c>
      <c r="P255">
        <v>149.80000000000001</v>
      </c>
      <c r="Q255">
        <v>169.4</v>
      </c>
      <c r="R255">
        <v>153</v>
      </c>
      <c r="S255">
        <v>147.5</v>
      </c>
      <c r="T255">
        <v>152.30000000000001</v>
      </c>
      <c r="U255">
        <v>0</v>
      </c>
      <c r="V255" s="5">
        <v>152.30000000000001</v>
      </c>
      <c r="W255">
        <v>151.80000000000001</v>
      </c>
      <c r="X255">
        <v>156.19999999999999</v>
      </c>
      <c r="Y255">
        <v>136</v>
      </c>
      <c r="Z255">
        <v>150.4</v>
      </c>
      <c r="AA255">
        <v>161.9</v>
      </c>
      <c r="AB255">
        <v>143.4</v>
      </c>
      <c r="AC255">
        <v>148.4</v>
      </c>
      <c r="AD255">
        <v>150.4</v>
      </c>
      <c r="AE255" s="72">
        <f t="shared" si="15"/>
        <v>2079.1999999999998</v>
      </c>
      <c r="AF255" s="4">
        <f t="shared" si="16"/>
        <v>596.20000000000005</v>
      </c>
      <c r="AG255" s="4">
        <f t="shared" si="17"/>
        <v>440.1</v>
      </c>
      <c r="AH255" s="4">
        <f t="shared" si="18"/>
        <v>616.9</v>
      </c>
      <c r="AI255" s="6">
        <f t="shared" si="19"/>
        <v>3732.3999999999996</v>
      </c>
    </row>
    <row r="256" spans="1:35" x14ac:dyDescent="0.3">
      <c r="A256" t="s">
        <v>32</v>
      </c>
      <c r="B256">
        <v>2020</v>
      </c>
      <c r="C256" t="s">
        <v>34</v>
      </c>
      <c r="D256">
        <v>146.19999999999999</v>
      </c>
      <c r="E256">
        <v>167.6</v>
      </c>
      <c r="F256">
        <v>153.1</v>
      </c>
      <c r="G256">
        <v>150.69999999999999</v>
      </c>
      <c r="H256">
        <v>127.4</v>
      </c>
      <c r="I256">
        <v>143.1</v>
      </c>
      <c r="J256">
        <v>181.7</v>
      </c>
      <c r="K256">
        <v>139.6</v>
      </c>
      <c r="L256">
        <v>114.6</v>
      </c>
      <c r="M256">
        <v>150.4</v>
      </c>
      <c r="N256">
        <v>131.5</v>
      </c>
      <c r="O256">
        <v>159</v>
      </c>
      <c r="P256">
        <v>151.69999999999999</v>
      </c>
      <c r="Q256">
        <v>172</v>
      </c>
      <c r="R256">
        <v>147.30000000000001</v>
      </c>
      <c r="S256">
        <v>133.5</v>
      </c>
      <c r="T256">
        <v>145.19999999999999</v>
      </c>
      <c r="U256">
        <v>154.80000000000001</v>
      </c>
      <c r="V256" s="5">
        <v>138.9</v>
      </c>
      <c r="W256">
        <v>140.4</v>
      </c>
      <c r="X256">
        <v>144.4</v>
      </c>
      <c r="Y256">
        <v>125.2</v>
      </c>
      <c r="Z256">
        <v>137.69999999999999</v>
      </c>
      <c r="AA256">
        <v>152.19999999999999</v>
      </c>
      <c r="AB256">
        <v>143.5</v>
      </c>
      <c r="AC256">
        <v>138.4</v>
      </c>
      <c r="AD256">
        <v>147.69999999999999</v>
      </c>
      <c r="AE256" s="72">
        <f t="shared" si="15"/>
        <v>2088.6</v>
      </c>
      <c r="AF256" s="4">
        <f t="shared" si="16"/>
        <v>569.5</v>
      </c>
      <c r="AG256" s="4">
        <f t="shared" si="17"/>
        <v>559.30000000000007</v>
      </c>
      <c r="AH256" s="4">
        <f t="shared" si="18"/>
        <v>572.70000000000005</v>
      </c>
      <c r="AI256" s="6">
        <f t="shared" si="19"/>
        <v>3790.1000000000004</v>
      </c>
    </row>
    <row r="257" spans="1:35" x14ac:dyDescent="0.3">
      <c r="A257" t="s">
        <v>33</v>
      </c>
      <c r="B257">
        <v>2020</v>
      </c>
      <c r="C257" t="s">
        <v>34</v>
      </c>
      <c r="D257">
        <v>144.80000000000001</v>
      </c>
      <c r="E257">
        <v>167.5</v>
      </c>
      <c r="F257">
        <v>151.80000000000001</v>
      </c>
      <c r="G257">
        <v>150.80000000000001</v>
      </c>
      <c r="H257">
        <v>131.4</v>
      </c>
      <c r="I257">
        <v>141.80000000000001</v>
      </c>
      <c r="J257">
        <v>170.7</v>
      </c>
      <c r="K257">
        <v>141.1</v>
      </c>
      <c r="L257">
        <v>113.6</v>
      </c>
      <c r="M257">
        <v>152</v>
      </c>
      <c r="N257">
        <v>136.5</v>
      </c>
      <c r="O257">
        <v>159.1</v>
      </c>
      <c r="P257">
        <v>150.5</v>
      </c>
      <c r="Q257">
        <v>170.1</v>
      </c>
      <c r="R257">
        <v>150.80000000000001</v>
      </c>
      <c r="S257">
        <v>141.69999999999999</v>
      </c>
      <c r="T257">
        <v>149.5</v>
      </c>
      <c r="U257">
        <v>154.80000000000001</v>
      </c>
      <c r="V257" s="5">
        <v>147.19999999999999</v>
      </c>
      <c r="W257">
        <v>146.4</v>
      </c>
      <c r="X257">
        <v>151.69999999999999</v>
      </c>
      <c r="Y257">
        <v>130.30000000000001</v>
      </c>
      <c r="Z257">
        <v>143.19999999999999</v>
      </c>
      <c r="AA257">
        <v>156.19999999999999</v>
      </c>
      <c r="AB257">
        <v>143.4</v>
      </c>
      <c r="AC257">
        <v>143.6</v>
      </c>
      <c r="AD257">
        <v>149.1</v>
      </c>
      <c r="AE257" s="72">
        <f t="shared" si="15"/>
        <v>2081.6999999999998</v>
      </c>
      <c r="AF257" s="4">
        <f t="shared" si="16"/>
        <v>585.4</v>
      </c>
      <c r="AG257" s="4">
        <f t="shared" si="17"/>
        <v>578.70000000000005</v>
      </c>
      <c r="AH257" s="4">
        <f t="shared" si="18"/>
        <v>594.69999999999993</v>
      </c>
      <c r="AI257" s="6">
        <f t="shared" si="19"/>
        <v>3840.5</v>
      </c>
    </row>
    <row r="258" spans="1:35" x14ac:dyDescent="0.3">
      <c r="A258" t="s">
        <v>30</v>
      </c>
      <c r="B258">
        <v>2020</v>
      </c>
      <c r="C258" t="s">
        <v>35</v>
      </c>
      <c r="D258">
        <v>144.4</v>
      </c>
      <c r="E258">
        <v>166.8</v>
      </c>
      <c r="F258">
        <v>147.6</v>
      </c>
      <c r="G258">
        <v>151.69999999999999</v>
      </c>
      <c r="H258">
        <v>133.30000000000001</v>
      </c>
      <c r="I258">
        <v>141.80000000000001</v>
      </c>
      <c r="J258">
        <v>152.30000000000001</v>
      </c>
      <c r="K258">
        <v>141.80000000000001</v>
      </c>
      <c r="L258">
        <v>112.6</v>
      </c>
      <c r="M258">
        <v>154</v>
      </c>
      <c r="N258">
        <v>140.1</v>
      </c>
      <c r="O258">
        <v>160</v>
      </c>
      <c r="P258">
        <v>148.19999999999999</v>
      </c>
      <c r="Q258">
        <v>170.5</v>
      </c>
      <c r="R258">
        <v>153.4</v>
      </c>
      <c r="S258">
        <v>147.6</v>
      </c>
      <c r="T258">
        <v>152.5</v>
      </c>
      <c r="U258">
        <v>0</v>
      </c>
      <c r="V258" s="5">
        <v>153.4</v>
      </c>
      <c r="W258">
        <v>151.5</v>
      </c>
      <c r="X258">
        <v>156.69999999999999</v>
      </c>
      <c r="Y258">
        <v>135.80000000000001</v>
      </c>
      <c r="Z258">
        <v>151.19999999999999</v>
      </c>
      <c r="AA258">
        <v>161.19999999999999</v>
      </c>
      <c r="AB258">
        <v>145.1</v>
      </c>
      <c r="AC258">
        <v>148.6</v>
      </c>
      <c r="AD258">
        <v>149.80000000000001</v>
      </c>
      <c r="AE258" s="72">
        <f t="shared" si="15"/>
        <v>2065.0999999999995</v>
      </c>
      <c r="AF258" s="4">
        <f t="shared" si="16"/>
        <v>598.6</v>
      </c>
      <c r="AG258" s="4">
        <f t="shared" si="17"/>
        <v>440.7</v>
      </c>
      <c r="AH258" s="4">
        <f t="shared" si="18"/>
        <v>617.69999999999993</v>
      </c>
      <c r="AI258" s="6">
        <f t="shared" si="19"/>
        <v>3722.099999999999</v>
      </c>
    </row>
    <row r="259" spans="1:35" x14ac:dyDescent="0.3">
      <c r="A259" t="s">
        <v>32</v>
      </c>
      <c r="B259">
        <v>2020</v>
      </c>
      <c r="C259" t="s">
        <v>35</v>
      </c>
      <c r="D259">
        <v>146.5</v>
      </c>
      <c r="E259">
        <v>167.5</v>
      </c>
      <c r="F259">
        <v>148.9</v>
      </c>
      <c r="G259">
        <v>151.1</v>
      </c>
      <c r="H259">
        <v>127.5</v>
      </c>
      <c r="I259">
        <v>143.30000000000001</v>
      </c>
      <c r="J259">
        <v>167</v>
      </c>
      <c r="K259">
        <v>139.69999999999999</v>
      </c>
      <c r="L259">
        <v>114.4</v>
      </c>
      <c r="M259">
        <v>151.5</v>
      </c>
      <c r="N259">
        <v>131.9</v>
      </c>
      <c r="O259">
        <v>159.1</v>
      </c>
      <c r="P259">
        <v>150.1</v>
      </c>
      <c r="Q259">
        <v>173.3</v>
      </c>
      <c r="R259">
        <v>147.69999999999999</v>
      </c>
      <c r="S259">
        <v>133.80000000000001</v>
      </c>
      <c r="T259">
        <v>145.6</v>
      </c>
      <c r="U259">
        <v>154.5</v>
      </c>
      <c r="V259" s="5">
        <v>141.4</v>
      </c>
      <c r="W259">
        <v>140.80000000000001</v>
      </c>
      <c r="X259">
        <v>145</v>
      </c>
      <c r="Y259">
        <v>124.6</v>
      </c>
      <c r="Z259">
        <v>137.9</v>
      </c>
      <c r="AA259">
        <v>152.5</v>
      </c>
      <c r="AB259">
        <v>145.30000000000001</v>
      </c>
      <c r="AC259">
        <v>138.69999999999999</v>
      </c>
      <c r="AD259">
        <v>147.30000000000001</v>
      </c>
      <c r="AE259" s="72">
        <f t="shared" ref="AE259:AE322" si="20">SUM(D259:Q259)</f>
        <v>2071.8000000000002</v>
      </c>
      <c r="AF259" s="4">
        <f t="shared" ref="AF259:AF322" si="21">SUM(R259:T259,AB259)</f>
        <v>572.40000000000009</v>
      </c>
      <c r="AG259" s="4">
        <f t="shared" ref="AG259:AG322" si="22">SUM(U259:W259,Y259)</f>
        <v>561.29999999999995</v>
      </c>
      <c r="AH259" s="4">
        <f t="shared" ref="AH259:AH322" si="23">X259+Z259+AA259+AC259</f>
        <v>574.09999999999991</v>
      </c>
      <c r="AI259" s="6">
        <f t="shared" ref="AI259:AI322" si="24">SUM(AE259:AH259)</f>
        <v>3779.6</v>
      </c>
    </row>
    <row r="260" spans="1:35" x14ac:dyDescent="0.3">
      <c r="A260" t="s">
        <v>33</v>
      </c>
      <c r="B260">
        <v>2020</v>
      </c>
      <c r="C260" t="s">
        <v>35</v>
      </c>
      <c r="D260">
        <v>145.1</v>
      </c>
      <c r="E260">
        <v>167</v>
      </c>
      <c r="F260">
        <v>148.1</v>
      </c>
      <c r="G260">
        <v>151.5</v>
      </c>
      <c r="H260">
        <v>131.19999999999999</v>
      </c>
      <c r="I260">
        <v>142.5</v>
      </c>
      <c r="J260">
        <v>157.30000000000001</v>
      </c>
      <c r="K260">
        <v>141.1</v>
      </c>
      <c r="L260">
        <v>113.2</v>
      </c>
      <c r="M260">
        <v>153.19999999999999</v>
      </c>
      <c r="N260">
        <v>136.69999999999999</v>
      </c>
      <c r="O260">
        <v>159.6</v>
      </c>
      <c r="P260">
        <v>148.9</v>
      </c>
      <c r="Q260">
        <v>171.2</v>
      </c>
      <c r="R260">
        <v>151.19999999999999</v>
      </c>
      <c r="S260">
        <v>141.9</v>
      </c>
      <c r="T260">
        <v>149.80000000000001</v>
      </c>
      <c r="U260">
        <v>154.5</v>
      </c>
      <c r="V260" s="5">
        <v>148.9</v>
      </c>
      <c r="W260">
        <v>146.4</v>
      </c>
      <c r="X260">
        <v>152.30000000000001</v>
      </c>
      <c r="Y260">
        <v>129.9</v>
      </c>
      <c r="Z260">
        <v>143.69999999999999</v>
      </c>
      <c r="AA260">
        <v>156.1</v>
      </c>
      <c r="AB260">
        <v>145.19999999999999</v>
      </c>
      <c r="AC260">
        <v>143.80000000000001</v>
      </c>
      <c r="AD260">
        <v>148.6</v>
      </c>
      <c r="AE260" s="72">
        <f t="shared" si="20"/>
        <v>2066.6</v>
      </c>
      <c r="AF260" s="4">
        <f t="shared" si="21"/>
        <v>588.1</v>
      </c>
      <c r="AG260" s="4">
        <f t="shared" si="22"/>
        <v>579.69999999999993</v>
      </c>
      <c r="AH260" s="4">
        <f t="shared" si="23"/>
        <v>595.90000000000009</v>
      </c>
      <c r="AI260" s="6">
        <f t="shared" si="24"/>
        <v>3830.2999999999997</v>
      </c>
    </row>
    <row r="261" spans="1:35" x14ac:dyDescent="0.3">
      <c r="A261" t="s">
        <v>30</v>
      </c>
      <c r="B261">
        <v>2020</v>
      </c>
      <c r="C261" t="s">
        <v>36</v>
      </c>
      <c r="D261">
        <v>147.19999999999999</v>
      </c>
      <c r="E261">
        <v>166.8</v>
      </c>
      <c r="F261">
        <v>146.9</v>
      </c>
      <c r="G261">
        <v>155.6</v>
      </c>
      <c r="H261">
        <v>137.1</v>
      </c>
      <c r="I261">
        <v>147.30000000000001</v>
      </c>
      <c r="J261">
        <v>162.69999999999999</v>
      </c>
      <c r="K261">
        <v>150.19999999999999</v>
      </c>
      <c r="L261">
        <v>119.8</v>
      </c>
      <c r="M261">
        <v>158.69999999999999</v>
      </c>
      <c r="N261">
        <v>139.19999999999999</v>
      </c>
      <c r="O261">
        <v>160</v>
      </c>
      <c r="P261">
        <v>150.1</v>
      </c>
      <c r="Q261">
        <v>170.5</v>
      </c>
      <c r="R261">
        <v>153.4</v>
      </c>
      <c r="S261">
        <v>147.6</v>
      </c>
      <c r="T261">
        <v>152.5</v>
      </c>
      <c r="U261">
        <v>0</v>
      </c>
      <c r="V261" s="5">
        <v>148.4</v>
      </c>
      <c r="W261">
        <v>151.5</v>
      </c>
      <c r="X261">
        <v>154.30000000000001</v>
      </c>
      <c r="Y261">
        <v>135.80000000000001</v>
      </c>
      <c r="Z261">
        <v>151.19999999999999</v>
      </c>
      <c r="AA261">
        <v>161.19999999999999</v>
      </c>
      <c r="AB261">
        <v>145.1</v>
      </c>
      <c r="AC261">
        <v>148.6</v>
      </c>
      <c r="AD261">
        <v>149.80000000000001</v>
      </c>
      <c r="AE261" s="72">
        <f t="shared" si="20"/>
        <v>2112.1000000000004</v>
      </c>
      <c r="AF261" s="4">
        <f t="shared" si="21"/>
        <v>598.6</v>
      </c>
      <c r="AG261" s="4">
        <f t="shared" si="22"/>
        <v>435.7</v>
      </c>
      <c r="AH261" s="4">
        <f t="shared" si="23"/>
        <v>615.29999999999995</v>
      </c>
      <c r="AI261" s="6">
        <f t="shared" si="24"/>
        <v>3761.7</v>
      </c>
    </row>
    <row r="262" spans="1:35" x14ac:dyDescent="0.3">
      <c r="A262" t="s">
        <v>32</v>
      </c>
      <c r="B262">
        <v>2020</v>
      </c>
      <c r="C262" t="s">
        <v>36</v>
      </c>
      <c r="D262">
        <v>151.80000000000001</v>
      </c>
      <c r="E262">
        <v>167.5</v>
      </c>
      <c r="F262">
        <v>151.9</v>
      </c>
      <c r="G262">
        <v>155.5</v>
      </c>
      <c r="H262">
        <v>131.6</v>
      </c>
      <c r="I262">
        <v>152.9</v>
      </c>
      <c r="J262">
        <v>180</v>
      </c>
      <c r="K262">
        <v>150.80000000000001</v>
      </c>
      <c r="L262">
        <v>121.2</v>
      </c>
      <c r="M262">
        <v>154</v>
      </c>
      <c r="N262">
        <v>133.5</v>
      </c>
      <c r="O262">
        <v>159.1</v>
      </c>
      <c r="P262">
        <v>153.5</v>
      </c>
      <c r="Q262">
        <v>173.3</v>
      </c>
      <c r="R262">
        <v>147.69999999999999</v>
      </c>
      <c r="S262">
        <v>133.80000000000001</v>
      </c>
      <c r="T262">
        <v>145.6</v>
      </c>
      <c r="U262">
        <v>155.6</v>
      </c>
      <c r="V262" s="5">
        <v>137.1</v>
      </c>
      <c r="W262">
        <v>140.80000000000001</v>
      </c>
      <c r="X262">
        <v>144.80000000000001</v>
      </c>
      <c r="Y262">
        <v>124.6</v>
      </c>
      <c r="Z262">
        <v>137.9</v>
      </c>
      <c r="AA262">
        <v>152.5</v>
      </c>
      <c r="AB262">
        <v>145.30000000000001</v>
      </c>
      <c r="AC262">
        <v>138.69999999999999</v>
      </c>
      <c r="AD262">
        <v>147.30000000000001</v>
      </c>
      <c r="AE262" s="72">
        <f t="shared" si="20"/>
        <v>2136.6</v>
      </c>
      <c r="AF262" s="4">
        <f t="shared" si="21"/>
        <v>572.40000000000009</v>
      </c>
      <c r="AG262" s="4">
        <f t="shared" si="22"/>
        <v>558.1</v>
      </c>
      <c r="AH262" s="4">
        <f t="shared" si="23"/>
        <v>573.90000000000009</v>
      </c>
      <c r="AI262" s="6">
        <f t="shared" si="24"/>
        <v>3841</v>
      </c>
    </row>
    <row r="263" spans="1:35" x14ac:dyDescent="0.3">
      <c r="A263" t="s">
        <v>33</v>
      </c>
      <c r="B263">
        <v>2020</v>
      </c>
      <c r="C263" t="s">
        <v>36</v>
      </c>
      <c r="D263">
        <v>148.69999999999999</v>
      </c>
      <c r="E263">
        <v>167</v>
      </c>
      <c r="F263">
        <v>148.80000000000001</v>
      </c>
      <c r="G263">
        <v>155.6</v>
      </c>
      <c r="H263">
        <v>135.1</v>
      </c>
      <c r="I263">
        <v>149.9</v>
      </c>
      <c r="J263">
        <v>168.6</v>
      </c>
      <c r="K263">
        <v>150.4</v>
      </c>
      <c r="L263">
        <v>120.3</v>
      </c>
      <c r="M263">
        <v>157.1</v>
      </c>
      <c r="N263">
        <v>136.80000000000001</v>
      </c>
      <c r="O263">
        <v>159.6</v>
      </c>
      <c r="P263">
        <v>151.4</v>
      </c>
      <c r="Q263">
        <v>171.2</v>
      </c>
      <c r="R263">
        <v>151.19999999999999</v>
      </c>
      <c r="S263">
        <v>141.9</v>
      </c>
      <c r="T263">
        <v>149.80000000000001</v>
      </c>
      <c r="U263">
        <v>155.6</v>
      </c>
      <c r="V263" s="5">
        <v>144.1</v>
      </c>
      <c r="W263">
        <v>146.4</v>
      </c>
      <c r="X263">
        <v>150.69999999999999</v>
      </c>
      <c r="Y263">
        <v>129.9</v>
      </c>
      <c r="Z263">
        <v>143.69999999999999</v>
      </c>
      <c r="AA263">
        <v>156.1</v>
      </c>
      <c r="AB263">
        <v>145.19999999999999</v>
      </c>
      <c r="AC263">
        <v>143.80000000000001</v>
      </c>
      <c r="AD263">
        <v>148.6</v>
      </c>
      <c r="AE263" s="72">
        <f t="shared" si="20"/>
        <v>2120.5</v>
      </c>
      <c r="AF263" s="4">
        <f t="shared" si="21"/>
        <v>588.1</v>
      </c>
      <c r="AG263" s="4">
        <f t="shared" si="22"/>
        <v>576</v>
      </c>
      <c r="AH263" s="4">
        <f t="shared" si="23"/>
        <v>594.29999999999995</v>
      </c>
      <c r="AI263" s="6">
        <f t="shared" si="24"/>
        <v>3878.8999999999996</v>
      </c>
    </row>
    <row r="264" spans="1:35" x14ac:dyDescent="0.3">
      <c r="A264" t="s">
        <v>30</v>
      </c>
      <c r="B264">
        <v>2020</v>
      </c>
      <c r="C264" t="s">
        <v>37</v>
      </c>
      <c r="D264">
        <v>147.19999999999999</v>
      </c>
      <c r="E264">
        <v>166.8</v>
      </c>
      <c r="F264">
        <v>146.9</v>
      </c>
      <c r="G264">
        <v>155.6</v>
      </c>
      <c r="H264">
        <v>137.1</v>
      </c>
      <c r="I264">
        <v>147.30000000000001</v>
      </c>
      <c r="J264">
        <v>162.69999999999999</v>
      </c>
      <c r="K264">
        <v>150.19999999999999</v>
      </c>
      <c r="L264">
        <v>119.8</v>
      </c>
      <c r="M264">
        <v>158.69999999999999</v>
      </c>
      <c r="N264">
        <v>139.19999999999999</v>
      </c>
      <c r="O264">
        <v>160</v>
      </c>
      <c r="P264">
        <v>150.1</v>
      </c>
      <c r="Q264">
        <v>170.5</v>
      </c>
      <c r="R264">
        <v>153.4</v>
      </c>
      <c r="S264">
        <v>147.6</v>
      </c>
      <c r="T264">
        <v>152.5</v>
      </c>
      <c r="U264">
        <v>0</v>
      </c>
      <c r="V264" s="5">
        <v>148.4</v>
      </c>
      <c r="W264">
        <v>151.5</v>
      </c>
      <c r="X264">
        <v>154.30000000000001</v>
      </c>
      <c r="Y264">
        <v>135.80000000000001</v>
      </c>
      <c r="Z264">
        <v>151.19999999999999</v>
      </c>
      <c r="AA264">
        <v>161.19999999999999</v>
      </c>
      <c r="AB264">
        <v>145.1</v>
      </c>
      <c r="AC264">
        <v>148.6</v>
      </c>
      <c r="AD264">
        <v>149.80000000000001</v>
      </c>
      <c r="AE264" s="72">
        <f t="shared" si="20"/>
        <v>2112.1000000000004</v>
      </c>
      <c r="AF264" s="4">
        <f t="shared" si="21"/>
        <v>598.6</v>
      </c>
      <c r="AG264" s="4">
        <f t="shared" si="22"/>
        <v>435.7</v>
      </c>
      <c r="AH264" s="4">
        <f t="shared" si="23"/>
        <v>615.29999999999995</v>
      </c>
      <c r="AI264" s="6">
        <f t="shared" si="24"/>
        <v>3761.7</v>
      </c>
    </row>
    <row r="265" spans="1:35" x14ac:dyDescent="0.3">
      <c r="A265" t="s">
        <v>32</v>
      </c>
      <c r="B265">
        <v>2020</v>
      </c>
      <c r="C265" t="s">
        <v>37</v>
      </c>
      <c r="D265">
        <v>151.80000000000001</v>
      </c>
      <c r="E265">
        <v>167.5</v>
      </c>
      <c r="F265">
        <v>151.9</v>
      </c>
      <c r="G265">
        <v>155.5</v>
      </c>
      <c r="H265">
        <v>131.6</v>
      </c>
      <c r="I265">
        <v>152.9</v>
      </c>
      <c r="J265">
        <v>180</v>
      </c>
      <c r="K265">
        <v>150.80000000000001</v>
      </c>
      <c r="L265">
        <v>121.2</v>
      </c>
      <c r="M265">
        <v>154</v>
      </c>
      <c r="N265">
        <v>133.5</v>
      </c>
      <c r="O265">
        <v>159.1</v>
      </c>
      <c r="P265">
        <v>153.5</v>
      </c>
      <c r="Q265">
        <v>173.3</v>
      </c>
      <c r="R265">
        <v>147.69999999999999</v>
      </c>
      <c r="S265">
        <v>133.80000000000001</v>
      </c>
      <c r="T265">
        <v>145.6</v>
      </c>
      <c r="U265">
        <v>155.6</v>
      </c>
      <c r="V265" s="5">
        <v>137.1</v>
      </c>
      <c r="W265">
        <v>140.80000000000001</v>
      </c>
      <c r="X265">
        <v>144.80000000000001</v>
      </c>
      <c r="Y265">
        <v>124.6</v>
      </c>
      <c r="Z265">
        <v>137.9</v>
      </c>
      <c r="AA265">
        <v>152.5</v>
      </c>
      <c r="AB265">
        <v>145.30000000000001</v>
      </c>
      <c r="AC265">
        <v>138.69999999999999</v>
      </c>
      <c r="AD265">
        <v>147.30000000000001</v>
      </c>
      <c r="AE265" s="72">
        <f t="shared" si="20"/>
        <v>2136.6</v>
      </c>
      <c r="AF265" s="4">
        <f t="shared" si="21"/>
        <v>572.40000000000009</v>
      </c>
      <c r="AG265" s="4">
        <f t="shared" si="22"/>
        <v>558.1</v>
      </c>
      <c r="AH265" s="4">
        <f t="shared" si="23"/>
        <v>573.90000000000009</v>
      </c>
      <c r="AI265" s="6">
        <f t="shared" si="24"/>
        <v>3841</v>
      </c>
    </row>
    <row r="266" spans="1:35" x14ac:dyDescent="0.3">
      <c r="A266" t="s">
        <v>33</v>
      </c>
      <c r="B266">
        <v>2020</v>
      </c>
      <c r="C266" t="s">
        <v>37</v>
      </c>
      <c r="D266">
        <v>148.69999999999999</v>
      </c>
      <c r="E266">
        <v>167</v>
      </c>
      <c r="F266">
        <v>148.80000000000001</v>
      </c>
      <c r="G266">
        <v>155.6</v>
      </c>
      <c r="H266">
        <v>135.1</v>
      </c>
      <c r="I266">
        <v>149.9</v>
      </c>
      <c r="J266">
        <v>168.6</v>
      </c>
      <c r="K266">
        <v>150.4</v>
      </c>
      <c r="L266">
        <v>120.3</v>
      </c>
      <c r="M266">
        <v>157.1</v>
      </c>
      <c r="N266">
        <v>136.80000000000001</v>
      </c>
      <c r="O266">
        <v>159.6</v>
      </c>
      <c r="P266">
        <v>151.4</v>
      </c>
      <c r="Q266">
        <v>171.2</v>
      </c>
      <c r="R266">
        <v>151.19999999999999</v>
      </c>
      <c r="S266">
        <v>141.9</v>
      </c>
      <c r="T266">
        <v>149.80000000000001</v>
      </c>
      <c r="U266">
        <v>155.6</v>
      </c>
      <c r="V266" s="5">
        <v>144.1</v>
      </c>
      <c r="W266">
        <v>146.4</v>
      </c>
      <c r="X266">
        <v>150.69999999999999</v>
      </c>
      <c r="Y266">
        <v>129.9</v>
      </c>
      <c r="Z266">
        <v>143.69999999999999</v>
      </c>
      <c r="AA266">
        <v>156.1</v>
      </c>
      <c r="AB266">
        <v>145.19999999999999</v>
      </c>
      <c r="AC266">
        <v>143.80000000000001</v>
      </c>
      <c r="AD266">
        <v>148.6</v>
      </c>
      <c r="AE266" s="72">
        <f t="shared" si="20"/>
        <v>2120.5</v>
      </c>
      <c r="AF266" s="4">
        <f t="shared" si="21"/>
        <v>588.1</v>
      </c>
      <c r="AG266" s="4">
        <f t="shared" si="22"/>
        <v>576</v>
      </c>
      <c r="AH266" s="4">
        <f t="shared" si="23"/>
        <v>594.29999999999995</v>
      </c>
      <c r="AI266" s="6">
        <f t="shared" si="24"/>
        <v>3878.8999999999996</v>
      </c>
    </row>
    <row r="267" spans="1:35" x14ac:dyDescent="0.3">
      <c r="A267" t="s">
        <v>30</v>
      </c>
      <c r="B267">
        <v>2020</v>
      </c>
      <c r="C267" t="s">
        <v>38</v>
      </c>
      <c r="D267">
        <v>148.19999999999999</v>
      </c>
      <c r="E267">
        <v>190.3</v>
      </c>
      <c r="F267">
        <v>149.4</v>
      </c>
      <c r="G267">
        <v>153.30000000000001</v>
      </c>
      <c r="H267">
        <v>138.19999999999999</v>
      </c>
      <c r="I267">
        <v>143.19999999999999</v>
      </c>
      <c r="J267">
        <v>148.9</v>
      </c>
      <c r="K267">
        <v>150.30000000000001</v>
      </c>
      <c r="L267">
        <v>113.2</v>
      </c>
      <c r="M267">
        <v>159.80000000000001</v>
      </c>
      <c r="N267">
        <v>142.1</v>
      </c>
      <c r="O267">
        <v>161.80000000000001</v>
      </c>
      <c r="P267">
        <v>152.30000000000001</v>
      </c>
      <c r="Q267">
        <v>182.4</v>
      </c>
      <c r="R267">
        <v>154.69999999999999</v>
      </c>
      <c r="S267">
        <v>150</v>
      </c>
      <c r="T267">
        <v>154.1</v>
      </c>
      <c r="U267">
        <v>0</v>
      </c>
      <c r="V267" s="5">
        <v>144.9</v>
      </c>
      <c r="W267">
        <v>151.69999999999999</v>
      </c>
      <c r="X267">
        <v>158.19999999999999</v>
      </c>
      <c r="Y267">
        <v>141.4</v>
      </c>
      <c r="Z267">
        <v>153.19999999999999</v>
      </c>
      <c r="AA267">
        <v>161.80000000000001</v>
      </c>
      <c r="AB267">
        <v>151.19999999999999</v>
      </c>
      <c r="AC267">
        <v>151.69999999999999</v>
      </c>
      <c r="AD267">
        <v>152.69999999999999</v>
      </c>
      <c r="AE267" s="72">
        <f t="shared" si="20"/>
        <v>2133.4</v>
      </c>
      <c r="AF267" s="4">
        <f t="shared" si="21"/>
        <v>610</v>
      </c>
      <c r="AG267" s="4">
        <f t="shared" si="22"/>
        <v>438</v>
      </c>
      <c r="AH267" s="4">
        <f t="shared" si="23"/>
        <v>624.9</v>
      </c>
      <c r="AI267" s="6">
        <f t="shared" si="24"/>
        <v>3806.3</v>
      </c>
    </row>
    <row r="268" spans="1:35" x14ac:dyDescent="0.3">
      <c r="A268" t="s">
        <v>32</v>
      </c>
      <c r="B268">
        <v>2020</v>
      </c>
      <c r="C268" t="s">
        <v>38</v>
      </c>
      <c r="D268">
        <v>152.69999999999999</v>
      </c>
      <c r="E268">
        <v>197</v>
      </c>
      <c r="F268">
        <v>154.6</v>
      </c>
      <c r="G268">
        <v>153.4</v>
      </c>
      <c r="H268">
        <v>132.9</v>
      </c>
      <c r="I268">
        <v>151.80000000000001</v>
      </c>
      <c r="J268">
        <v>171.2</v>
      </c>
      <c r="K268">
        <v>152</v>
      </c>
      <c r="L268">
        <v>116.3</v>
      </c>
      <c r="M268">
        <v>158.80000000000001</v>
      </c>
      <c r="N268">
        <v>135.6</v>
      </c>
      <c r="O268">
        <v>161.69999999999999</v>
      </c>
      <c r="P268">
        <v>157</v>
      </c>
      <c r="Q268">
        <v>186.7</v>
      </c>
      <c r="R268">
        <v>149.1</v>
      </c>
      <c r="S268">
        <v>136.6</v>
      </c>
      <c r="T268">
        <v>147.19999999999999</v>
      </c>
      <c r="U268">
        <v>154.69999999999999</v>
      </c>
      <c r="V268" s="5">
        <v>137.1</v>
      </c>
      <c r="W268">
        <v>140.4</v>
      </c>
      <c r="X268">
        <v>148.1</v>
      </c>
      <c r="Y268">
        <v>129.30000000000001</v>
      </c>
      <c r="Z268">
        <v>144.5</v>
      </c>
      <c r="AA268">
        <v>152.5</v>
      </c>
      <c r="AB268">
        <v>152.19999999999999</v>
      </c>
      <c r="AC268">
        <v>142</v>
      </c>
      <c r="AD268">
        <v>150.80000000000001</v>
      </c>
      <c r="AE268" s="72">
        <f t="shared" si="20"/>
        <v>2181.6999999999998</v>
      </c>
      <c r="AF268" s="4">
        <f t="shared" si="21"/>
        <v>585.09999999999991</v>
      </c>
      <c r="AG268" s="4">
        <f t="shared" si="22"/>
        <v>561.5</v>
      </c>
      <c r="AH268" s="4">
        <f t="shared" si="23"/>
        <v>587.1</v>
      </c>
      <c r="AI268" s="6">
        <f t="shared" si="24"/>
        <v>3915.3999999999996</v>
      </c>
    </row>
    <row r="269" spans="1:35" x14ac:dyDescent="0.3">
      <c r="A269" t="s">
        <v>33</v>
      </c>
      <c r="B269">
        <v>2020</v>
      </c>
      <c r="C269" t="s">
        <v>38</v>
      </c>
      <c r="D269">
        <v>149.6</v>
      </c>
      <c r="E269">
        <v>192.7</v>
      </c>
      <c r="F269">
        <v>151.4</v>
      </c>
      <c r="G269">
        <v>153.30000000000001</v>
      </c>
      <c r="H269">
        <v>136.30000000000001</v>
      </c>
      <c r="I269">
        <v>147.19999999999999</v>
      </c>
      <c r="J269">
        <v>156.5</v>
      </c>
      <c r="K269">
        <v>150.9</v>
      </c>
      <c r="L269">
        <v>114.2</v>
      </c>
      <c r="M269">
        <v>159.5</v>
      </c>
      <c r="N269">
        <v>139.4</v>
      </c>
      <c r="O269">
        <v>161.80000000000001</v>
      </c>
      <c r="P269">
        <v>154</v>
      </c>
      <c r="Q269">
        <v>183.5</v>
      </c>
      <c r="R269">
        <v>152.5</v>
      </c>
      <c r="S269">
        <v>144.4</v>
      </c>
      <c r="T269">
        <v>151.4</v>
      </c>
      <c r="U269">
        <v>154.69999999999999</v>
      </c>
      <c r="V269" s="5">
        <v>141.9</v>
      </c>
      <c r="W269">
        <v>146.4</v>
      </c>
      <c r="X269">
        <v>154.4</v>
      </c>
      <c r="Y269">
        <v>135</v>
      </c>
      <c r="Z269">
        <v>148.30000000000001</v>
      </c>
      <c r="AA269">
        <v>156.4</v>
      </c>
      <c r="AB269">
        <v>151.6</v>
      </c>
      <c r="AC269">
        <v>147</v>
      </c>
      <c r="AD269">
        <v>151.80000000000001</v>
      </c>
      <c r="AE269" s="72">
        <f t="shared" si="20"/>
        <v>2150.3000000000002</v>
      </c>
      <c r="AF269" s="4">
        <f t="shared" si="21"/>
        <v>599.9</v>
      </c>
      <c r="AG269" s="4">
        <f t="shared" si="22"/>
        <v>578</v>
      </c>
      <c r="AH269" s="4">
        <f t="shared" si="23"/>
        <v>606.1</v>
      </c>
      <c r="AI269" s="6">
        <f t="shared" si="24"/>
        <v>3934.3</v>
      </c>
    </row>
    <row r="270" spans="1:35" x14ac:dyDescent="0.3">
      <c r="A270" t="s">
        <v>30</v>
      </c>
      <c r="B270">
        <v>2020</v>
      </c>
      <c r="C270" t="s">
        <v>39</v>
      </c>
      <c r="D270">
        <v>148.19999999999999</v>
      </c>
      <c r="E270">
        <v>190.3</v>
      </c>
      <c r="F270">
        <v>149.4</v>
      </c>
      <c r="G270">
        <v>153.30000000000001</v>
      </c>
      <c r="H270">
        <v>138.19999999999999</v>
      </c>
      <c r="I270">
        <v>143.19999999999999</v>
      </c>
      <c r="J270">
        <v>148.9</v>
      </c>
      <c r="K270">
        <v>150.30000000000001</v>
      </c>
      <c r="L270">
        <v>113.2</v>
      </c>
      <c r="M270">
        <v>159.80000000000001</v>
      </c>
      <c r="N270">
        <v>142.1</v>
      </c>
      <c r="O270">
        <v>161.80000000000001</v>
      </c>
      <c r="P270">
        <v>152.30000000000001</v>
      </c>
      <c r="Q270">
        <v>182.4</v>
      </c>
      <c r="R270">
        <v>154.69999999999999</v>
      </c>
      <c r="S270">
        <v>150</v>
      </c>
      <c r="T270">
        <v>154.1</v>
      </c>
      <c r="U270">
        <v>0</v>
      </c>
      <c r="V270" s="5">
        <v>144.9</v>
      </c>
      <c r="W270">
        <v>151.69999999999999</v>
      </c>
      <c r="X270">
        <v>158.19999999999999</v>
      </c>
      <c r="Y270">
        <v>141.4</v>
      </c>
      <c r="Z270">
        <v>153.19999999999999</v>
      </c>
      <c r="AA270">
        <v>161.80000000000001</v>
      </c>
      <c r="AB270">
        <v>151.19999999999999</v>
      </c>
      <c r="AC270">
        <v>151.69999999999999</v>
      </c>
      <c r="AD270">
        <v>152.69999999999999</v>
      </c>
      <c r="AE270" s="72">
        <f t="shared" si="20"/>
        <v>2133.4</v>
      </c>
      <c r="AF270" s="4">
        <f t="shared" si="21"/>
        <v>610</v>
      </c>
      <c r="AG270" s="4">
        <f t="shared" si="22"/>
        <v>438</v>
      </c>
      <c r="AH270" s="4">
        <f t="shared" si="23"/>
        <v>624.9</v>
      </c>
      <c r="AI270" s="6">
        <f t="shared" si="24"/>
        <v>3806.3</v>
      </c>
    </row>
    <row r="271" spans="1:35" x14ac:dyDescent="0.3">
      <c r="A271" t="s">
        <v>32</v>
      </c>
      <c r="B271">
        <v>2020</v>
      </c>
      <c r="C271" t="s">
        <v>39</v>
      </c>
      <c r="D271">
        <v>152.69999999999999</v>
      </c>
      <c r="E271">
        <v>197</v>
      </c>
      <c r="F271">
        <v>154.6</v>
      </c>
      <c r="G271">
        <v>153.4</v>
      </c>
      <c r="H271">
        <v>132.9</v>
      </c>
      <c r="I271">
        <v>151.80000000000001</v>
      </c>
      <c r="J271">
        <v>171.2</v>
      </c>
      <c r="K271">
        <v>152</v>
      </c>
      <c r="L271">
        <v>116.3</v>
      </c>
      <c r="M271">
        <v>158.80000000000001</v>
      </c>
      <c r="N271">
        <v>135.6</v>
      </c>
      <c r="O271">
        <v>161.69999999999999</v>
      </c>
      <c r="P271">
        <v>157</v>
      </c>
      <c r="Q271">
        <v>186.7</v>
      </c>
      <c r="R271">
        <v>149.1</v>
      </c>
      <c r="S271">
        <v>136.6</v>
      </c>
      <c r="T271">
        <v>147.19999999999999</v>
      </c>
      <c r="U271">
        <v>154.69999999999999</v>
      </c>
      <c r="V271" s="5">
        <v>137.1</v>
      </c>
      <c r="W271">
        <v>140.4</v>
      </c>
      <c r="X271">
        <v>148.1</v>
      </c>
      <c r="Y271">
        <v>129.30000000000001</v>
      </c>
      <c r="Z271">
        <v>144.5</v>
      </c>
      <c r="AA271">
        <v>152.5</v>
      </c>
      <c r="AB271">
        <v>152.19999999999999</v>
      </c>
      <c r="AC271">
        <v>142</v>
      </c>
      <c r="AD271">
        <v>150.80000000000001</v>
      </c>
      <c r="AE271" s="72">
        <f t="shared" si="20"/>
        <v>2181.6999999999998</v>
      </c>
      <c r="AF271" s="4">
        <f t="shared" si="21"/>
        <v>585.09999999999991</v>
      </c>
      <c r="AG271" s="4">
        <f t="shared" si="22"/>
        <v>561.5</v>
      </c>
      <c r="AH271" s="4">
        <f t="shared" si="23"/>
        <v>587.1</v>
      </c>
      <c r="AI271" s="6">
        <f t="shared" si="24"/>
        <v>3915.3999999999996</v>
      </c>
    </row>
    <row r="272" spans="1:35" x14ac:dyDescent="0.3">
      <c r="A272" t="s">
        <v>33</v>
      </c>
      <c r="B272">
        <v>2020</v>
      </c>
      <c r="C272" t="s">
        <v>39</v>
      </c>
      <c r="D272">
        <v>149.6</v>
      </c>
      <c r="E272">
        <v>192.7</v>
      </c>
      <c r="F272">
        <v>151.4</v>
      </c>
      <c r="G272">
        <v>153.30000000000001</v>
      </c>
      <c r="H272">
        <v>136.30000000000001</v>
      </c>
      <c r="I272">
        <v>147.19999999999999</v>
      </c>
      <c r="J272">
        <v>156.5</v>
      </c>
      <c r="K272">
        <v>150.9</v>
      </c>
      <c r="L272">
        <v>114.2</v>
      </c>
      <c r="M272">
        <v>159.5</v>
      </c>
      <c r="N272">
        <v>139.4</v>
      </c>
      <c r="O272">
        <v>161.80000000000001</v>
      </c>
      <c r="P272">
        <v>154</v>
      </c>
      <c r="Q272">
        <v>183.5</v>
      </c>
      <c r="R272">
        <v>152.5</v>
      </c>
      <c r="S272">
        <v>144.4</v>
      </c>
      <c r="T272">
        <v>151.4</v>
      </c>
      <c r="U272">
        <v>154.69999999999999</v>
      </c>
      <c r="V272" s="5">
        <v>141.9</v>
      </c>
      <c r="W272">
        <v>146.4</v>
      </c>
      <c r="X272">
        <v>154.4</v>
      </c>
      <c r="Y272">
        <v>135</v>
      </c>
      <c r="Z272">
        <v>148.30000000000001</v>
      </c>
      <c r="AA272">
        <v>156.4</v>
      </c>
      <c r="AB272">
        <v>151.6</v>
      </c>
      <c r="AC272">
        <v>147</v>
      </c>
      <c r="AD272">
        <v>151.80000000000001</v>
      </c>
      <c r="AE272" s="72">
        <f t="shared" si="20"/>
        <v>2150.3000000000002</v>
      </c>
      <c r="AF272" s="4">
        <f t="shared" si="21"/>
        <v>599.9</v>
      </c>
      <c r="AG272" s="4">
        <f t="shared" si="22"/>
        <v>578</v>
      </c>
      <c r="AH272" s="4">
        <f t="shared" si="23"/>
        <v>606.1</v>
      </c>
      <c r="AI272" s="6">
        <f t="shared" si="24"/>
        <v>3934.3</v>
      </c>
    </row>
    <row r="273" spans="1:36" x14ac:dyDescent="0.3">
      <c r="A273" t="s">
        <v>30</v>
      </c>
      <c r="B273">
        <v>2020</v>
      </c>
      <c r="C273" t="s">
        <v>40</v>
      </c>
      <c r="D273">
        <v>147.6</v>
      </c>
      <c r="E273">
        <v>187.2</v>
      </c>
      <c r="F273">
        <v>148.4</v>
      </c>
      <c r="G273">
        <v>153.30000000000001</v>
      </c>
      <c r="H273">
        <v>139.80000000000001</v>
      </c>
      <c r="I273">
        <v>146.9</v>
      </c>
      <c r="J273">
        <v>171</v>
      </c>
      <c r="K273">
        <v>149.9</v>
      </c>
      <c r="L273">
        <v>114.2</v>
      </c>
      <c r="M273">
        <v>160</v>
      </c>
      <c r="N273">
        <v>143.5</v>
      </c>
      <c r="O273">
        <v>161.5</v>
      </c>
      <c r="P273">
        <v>155.30000000000001</v>
      </c>
      <c r="Q273">
        <v>180.9</v>
      </c>
      <c r="R273">
        <v>155.1</v>
      </c>
      <c r="S273">
        <v>149.30000000000001</v>
      </c>
      <c r="T273">
        <v>154.30000000000001</v>
      </c>
      <c r="U273">
        <v>0</v>
      </c>
      <c r="V273" s="5">
        <v>145.80000000000001</v>
      </c>
      <c r="W273">
        <v>151.9</v>
      </c>
      <c r="X273">
        <v>158.80000000000001</v>
      </c>
      <c r="Y273">
        <v>143.6</v>
      </c>
      <c r="Z273">
        <v>152.19999999999999</v>
      </c>
      <c r="AA273">
        <v>162.69999999999999</v>
      </c>
      <c r="AB273">
        <v>153.6</v>
      </c>
      <c r="AC273">
        <v>153</v>
      </c>
      <c r="AD273">
        <v>154.69999999999999</v>
      </c>
      <c r="AE273" s="72">
        <f t="shared" si="20"/>
        <v>2159.5</v>
      </c>
      <c r="AF273" s="4">
        <f t="shared" si="21"/>
        <v>612.29999999999995</v>
      </c>
      <c r="AG273" s="4">
        <f t="shared" si="22"/>
        <v>441.30000000000007</v>
      </c>
      <c r="AH273" s="4">
        <f t="shared" si="23"/>
        <v>626.70000000000005</v>
      </c>
      <c r="AI273" s="6">
        <f t="shared" si="24"/>
        <v>3839.8</v>
      </c>
    </row>
    <row r="274" spans="1:36" x14ac:dyDescent="0.3">
      <c r="A274" t="s">
        <v>32</v>
      </c>
      <c r="B274">
        <v>2020</v>
      </c>
      <c r="C274" t="s">
        <v>40</v>
      </c>
      <c r="D274">
        <v>151.6</v>
      </c>
      <c r="E274">
        <v>197.8</v>
      </c>
      <c r="F274">
        <v>154.5</v>
      </c>
      <c r="G274">
        <v>153.4</v>
      </c>
      <c r="H274">
        <v>133.4</v>
      </c>
      <c r="I274">
        <v>154.5</v>
      </c>
      <c r="J274">
        <v>191.9</v>
      </c>
      <c r="K274">
        <v>151.30000000000001</v>
      </c>
      <c r="L274">
        <v>116.8</v>
      </c>
      <c r="M274">
        <v>160</v>
      </c>
      <c r="N274">
        <v>136.5</v>
      </c>
      <c r="O274">
        <v>163.30000000000001</v>
      </c>
      <c r="P274">
        <v>159.9</v>
      </c>
      <c r="Q274">
        <v>187.2</v>
      </c>
      <c r="R274">
        <v>150</v>
      </c>
      <c r="S274">
        <v>135.19999999999999</v>
      </c>
      <c r="T274">
        <v>147.80000000000001</v>
      </c>
      <c r="U274">
        <v>155.5</v>
      </c>
      <c r="V274" s="5">
        <v>138.30000000000001</v>
      </c>
      <c r="W274">
        <v>144.5</v>
      </c>
      <c r="X274">
        <v>148.69999999999999</v>
      </c>
      <c r="Y274">
        <v>133.9</v>
      </c>
      <c r="Z274">
        <v>141.19999999999999</v>
      </c>
      <c r="AA274">
        <v>155.5</v>
      </c>
      <c r="AB274">
        <v>155.19999999999999</v>
      </c>
      <c r="AC274">
        <v>144.80000000000001</v>
      </c>
      <c r="AD274">
        <v>152.9</v>
      </c>
      <c r="AE274" s="72">
        <f t="shared" si="20"/>
        <v>2212.1</v>
      </c>
      <c r="AF274" s="4">
        <f t="shared" si="21"/>
        <v>588.20000000000005</v>
      </c>
      <c r="AG274" s="4">
        <f t="shared" si="22"/>
        <v>572.20000000000005</v>
      </c>
      <c r="AH274" s="4">
        <f t="shared" si="23"/>
        <v>590.20000000000005</v>
      </c>
      <c r="AI274" s="6">
        <f t="shared" si="24"/>
        <v>3962.7</v>
      </c>
    </row>
    <row r="275" spans="1:36" x14ac:dyDescent="0.3">
      <c r="A275" t="s">
        <v>33</v>
      </c>
      <c r="B275">
        <v>2020</v>
      </c>
      <c r="C275" t="s">
        <v>40</v>
      </c>
      <c r="D275">
        <v>148.9</v>
      </c>
      <c r="E275">
        <v>190.9</v>
      </c>
      <c r="F275">
        <v>150.80000000000001</v>
      </c>
      <c r="G275">
        <v>153.30000000000001</v>
      </c>
      <c r="H275">
        <v>137.4</v>
      </c>
      <c r="I275">
        <v>150.4</v>
      </c>
      <c r="J275">
        <v>178.1</v>
      </c>
      <c r="K275">
        <v>150.4</v>
      </c>
      <c r="L275">
        <v>115.1</v>
      </c>
      <c r="M275">
        <v>160</v>
      </c>
      <c r="N275">
        <v>140.6</v>
      </c>
      <c r="O275">
        <v>162.30000000000001</v>
      </c>
      <c r="P275">
        <v>157</v>
      </c>
      <c r="Q275">
        <v>182.6</v>
      </c>
      <c r="R275">
        <v>153.1</v>
      </c>
      <c r="S275">
        <v>143.4</v>
      </c>
      <c r="T275">
        <v>151.69999999999999</v>
      </c>
      <c r="U275">
        <v>155.5</v>
      </c>
      <c r="V275" s="5">
        <v>143</v>
      </c>
      <c r="W275">
        <v>148.4</v>
      </c>
      <c r="X275">
        <v>155</v>
      </c>
      <c r="Y275">
        <v>138.5</v>
      </c>
      <c r="Z275">
        <v>146</v>
      </c>
      <c r="AA275">
        <v>158.5</v>
      </c>
      <c r="AB275">
        <v>154.30000000000001</v>
      </c>
      <c r="AC275">
        <v>149</v>
      </c>
      <c r="AD275">
        <v>153.9</v>
      </c>
      <c r="AE275" s="72">
        <f t="shared" si="20"/>
        <v>2177.7999999999997</v>
      </c>
      <c r="AF275" s="4">
        <f t="shared" si="21"/>
        <v>602.5</v>
      </c>
      <c r="AG275" s="4">
        <f t="shared" si="22"/>
        <v>585.4</v>
      </c>
      <c r="AH275" s="4">
        <f t="shared" si="23"/>
        <v>608.5</v>
      </c>
      <c r="AI275" s="6">
        <f t="shared" si="24"/>
        <v>3974.2</v>
      </c>
    </row>
    <row r="276" spans="1:36" x14ac:dyDescent="0.3">
      <c r="A276" t="s">
        <v>30</v>
      </c>
      <c r="B276">
        <v>2020</v>
      </c>
      <c r="C276" t="s">
        <v>41</v>
      </c>
      <c r="D276">
        <v>146.9</v>
      </c>
      <c r="E276">
        <v>183.9</v>
      </c>
      <c r="F276">
        <v>149.5</v>
      </c>
      <c r="G276">
        <v>153.4</v>
      </c>
      <c r="H276">
        <v>140.4</v>
      </c>
      <c r="I276">
        <v>147</v>
      </c>
      <c r="J276">
        <v>178.8</v>
      </c>
      <c r="K276">
        <v>149.30000000000001</v>
      </c>
      <c r="L276">
        <v>115.1</v>
      </c>
      <c r="M276">
        <v>160</v>
      </c>
      <c r="N276">
        <v>145.4</v>
      </c>
      <c r="O276">
        <v>161.6</v>
      </c>
      <c r="P276">
        <v>156.1</v>
      </c>
      <c r="Q276">
        <v>182.9</v>
      </c>
      <c r="R276">
        <v>155.4</v>
      </c>
      <c r="S276">
        <v>149.9</v>
      </c>
      <c r="T276">
        <v>154.6</v>
      </c>
      <c r="U276">
        <v>0</v>
      </c>
      <c r="V276" s="5">
        <v>146.4</v>
      </c>
      <c r="W276">
        <v>151.6</v>
      </c>
      <c r="X276">
        <v>159.1</v>
      </c>
      <c r="Y276">
        <v>144.6</v>
      </c>
      <c r="Z276">
        <v>152.80000000000001</v>
      </c>
      <c r="AA276">
        <v>161.1</v>
      </c>
      <c r="AB276">
        <v>157.4</v>
      </c>
      <c r="AC276">
        <v>153.69999999999999</v>
      </c>
      <c r="AD276">
        <v>155.4</v>
      </c>
      <c r="AE276" s="72">
        <f t="shared" si="20"/>
        <v>2170.2999999999997</v>
      </c>
      <c r="AF276" s="4">
        <f t="shared" si="21"/>
        <v>617.29999999999995</v>
      </c>
      <c r="AG276" s="4">
        <f t="shared" si="22"/>
        <v>442.6</v>
      </c>
      <c r="AH276" s="4">
        <f t="shared" si="23"/>
        <v>626.70000000000005</v>
      </c>
      <c r="AI276" s="6">
        <f t="shared" si="24"/>
        <v>3856.8999999999996</v>
      </c>
    </row>
    <row r="277" spans="1:36" x14ac:dyDescent="0.3">
      <c r="A277" t="s">
        <v>32</v>
      </c>
      <c r="B277">
        <v>2020</v>
      </c>
      <c r="C277" t="s">
        <v>41</v>
      </c>
      <c r="D277">
        <v>151.5</v>
      </c>
      <c r="E277">
        <v>193.1</v>
      </c>
      <c r="F277">
        <v>157.30000000000001</v>
      </c>
      <c r="G277">
        <v>153.9</v>
      </c>
      <c r="H277">
        <v>134.4</v>
      </c>
      <c r="I277">
        <v>155.4</v>
      </c>
      <c r="J277">
        <v>202</v>
      </c>
      <c r="K277">
        <v>150.80000000000001</v>
      </c>
      <c r="L277">
        <v>118.9</v>
      </c>
      <c r="M277">
        <v>160.9</v>
      </c>
      <c r="N277">
        <v>137.69999999999999</v>
      </c>
      <c r="O277">
        <v>164.4</v>
      </c>
      <c r="P277">
        <v>161.30000000000001</v>
      </c>
      <c r="Q277">
        <v>188.7</v>
      </c>
      <c r="R277">
        <v>150.19999999999999</v>
      </c>
      <c r="S277">
        <v>136.30000000000001</v>
      </c>
      <c r="T277">
        <v>148.1</v>
      </c>
      <c r="U277">
        <v>156.30000000000001</v>
      </c>
      <c r="V277" s="5">
        <v>137.19999999999999</v>
      </c>
      <c r="W277">
        <v>145.4</v>
      </c>
      <c r="X277">
        <v>150</v>
      </c>
      <c r="Y277">
        <v>135.1</v>
      </c>
      <c r="Z277">
        <v>141.80000000000001</v>
      </c>
      <c r="AA277">
        <v>154.9</v>
      </c>
      <c r="AB277">
        <v>159.80000000000001</v>
      </c>
      <c r="AC277">
        <v>146</v>
      </c>
      <c r="AD277">
        <v>154</v>
      </c>
      <c r="AE277" s="72">
        <f t="shared" si="20"/>
        <v>2230.3000000000002</v>
      </c>
      <c r="AF277" s="4">
        <f t="shared" si="21"/>
        <v>594.40000000000009</v>
      </c>
      <c r="AG277" s="4">
        <f t="shared" si="22"/>
        <v>574</v>
      </c>
      <c r="AH277" s="4">
        <f t="shared" si="23"/>
        <v>592.70000000000005</v>
      </c>
      <c r="AI277" s="6">
        <f t="shared" si="24"/>
        <v>3991.4000000000005</v>
      </c>
    </row>
    <row r="278" spans="1:36" x14ac:dyDescent="0.3">
      <c r="A278" t="s">
        <v>33</v>
      </c>
      <c r="B278">
        <v>2020</v>
      </c>
      <c r="C278" t="s">
        <v>41</v>
      </c>
      <c r="D278">
        <v>148.4</v>
      </c>
      <c r="E278">
        <v>187.1</v>
      </c>
      <c r="F278">
        <v>152.5</v>
      </c>
      <c r="G278">
        <v>153.6</v>
      </c>
      <c r="H278">
        <v>138.19999999999999</v>
      </c>
      <c r="I278">
        <v>150.9</v>
      </c>
      <c r="J278">
        <v>186.7</v>
      </c>
      <c r="K278">
        <v>149.80000000000001</v>
      </c>
      <c r="L278">
        <v>116.4</v>
      </c>
      <c r="M278">
        <v>160.30000000000001</v>
      </c>
      <c r="N278">
        <v>142.19999999999999</v>
      </c>
      <c r="O278">
        <v>162.9</v>
      </c>
      <c r="P278">
        <v>158</v>
      </c>
      <c r="Q278">
        <v>184.4</v>
      </c>
      <c r="R278">
        <v>153.4</v>
      </c>
      <c r="S278">
        <v>144.30000000000001</v>
      </c>
      <c r="T278">
        <v>152</v>
      </c>
      <c r="U278">
        <v>156.30000000000001</v>
      </c>
      <c r="V278" s="5">
        <v>142.9</v>
      </c>
      <c r="W278">
        <v>148.69999999999999</v>
      </c>
      <c r="X278">
        <v>155.6</v>
      </c>
      <c r="Y278">
        <v>139.6</v>
      </c>
      <c r="Z278">
        <v>146.6</v>
      </c>
      <c r="AA278">
        <v>157.5</v>
      </c>
      <c r="AB278">
        <v>158.4</v>
      </c>
      <c r="AC278">
        <v>150</v>
      </c>
      <c r="AD278">
        <v>154.69999999999999</v>
      </c>
      <c r="AE278" s="72">
        <f t="shared" si="20"/>
        <v>2191.4</v>
      </c>
      <c r="AF278" s="4">
        <f t="shared" si="21"/>
        <v>608.1</v>
      </c>
      <c r="AG278" s="4">
        <f t="shared" si="22"/>
        <v>587.5</v>
      </c>
      <c r="AH278" s="4">
        <f t="shared" si="23"/>
        <v>609.70000000000005</v>
      </c>
      <c r="AI278" s="6">
        <f t="shared" si="24"/>
        <v>3996.7</v>
      </c>
    </row>
    <row r="279" spans="1:36" x14ac:dyDescent="0.3">
      <c r="A279" t="s">
        <v>30</v>
      </c>
      <c r="B279">
        <v>2020</v>
      </c>
      <c r="C279" t="s">
        <v>42</v>
      </c>
      <c r="D279">
        <v>146</v>
      </c>
      <c r="E279">
        <v>186.3</v>
      </c>
      <c r="F279">
        <v>159.19999999999999</v>
      </c>
      <c r="G279">
        <v>153.6</v>
      </c>
      <c r="H279">
        <v>142.6</v>
      </c>
      <c r="I279">
        <v>147.19999999999999</v>
      </c>
      <c r="J279">
        <v>200.6</v>
      </c>
      <c r="K279">
        <v>150.30000000000001</v>
      </c>
      <c r="L279">
        <v>115.3</v>
      </c>
      <c r="M279">
        <v>160.9</v>
      </c>
      <c r="N279">
        <v>147.4</v>
      </c>
      <c r="O279">
        <v>161.9</v>
      </c>
      <c r="P279">
        <v>159.6</v>
      </c>
      <c r="Q279">
        <v>182.7</v>
      </c>
      <c r="R279">
        <v>155.69999999999999</v>
      </c>
      <c r="S279">
        <v>150.6</v>
      </c>
      <c r="T279">
        <v>155</v>
      </c>
      <c r="U279">
        <v>0</v>
      </c>
      <c r="V279" s="5">
        <v>146.80000000000001</v>
      </c>
      <c r="W279">
        <v>152</v>
      </c>
      <c r="X279">
        <v>159.5</v>
      </c>
      <c r="Y279">
        <v>146.4</v>
      </c>
      <c r="Z279">
        <v>152.4</v>
      </c>
      <c r="AA279">
        <v>162.5</v>
      </c>
      <c r="AB279">
        <v>156.19999999999999</v>
      </c>
      <c r="AC279">
        <v>154.30000000000001</v>
      </c>
      <c r="AD279">
        <v>157.5</v>
      </c>
      <c r="AE279" s="72">
        <f t="shared" si="20"/>
        <v>2213.6</v>
      </c>
      <c r="AF279" s="4">
        <f t="shared" si="21"/>
        <v>617.5</v>
      </c>
      <c r="AG279" s="4">
        <f t="shared" si="22"/>
        <v>445.20000000000005</v>
      </c>
      <c r="AH279" s="4">
        <f t="shared" si="23"/>
        <v>628.70000000000005</v>
      </c>
      <c r="AI279" s="6">
        <f t="shared" si="24"/>
        <v>3905</v>
      </c>
    </row>
    <row r="280" spans="1:36" x14ac:dyDescent="0.3">
      <c r="A280" t="s">
        <v>32</v>
      </c>
      <c r="B280">
        <v>2020</v>
      </c>
      <c r="C280" t="s">
        <v>42</v>
      </c>
      <c r="D280">
        <v>150.6</v>
      </c>
      <c r="E280">
        <v>193.7</v>
      </c>
      <c r="F280">
        <v>164.8</v>
      </c>
      <c r="G280">
        <v>153.69999999999999</v>
      </c>
      <c r="H280">
        <v>135.69999999999999</v>
      </c>
      <c r="I280">
        <v>155.69999999999999</v>
      </c>
      <c r="J280">
        <v>226</v>
      </c>
      <c r="K280">
        <v>152.19999999999999</v>
      </c>
      <c r="L280">
        <v>118.1</v>
      </c>
      <c r="M280">
        <v>161.30000000000001</v>
      </c>
      <c r="N280">
        <v>139.19999999999999</v>
      </c>
      <c r="O280">
        <v>164.8</v>
      </c>
      <c r="P280">
        <v>164.4</v>
      </c>
      <c r="Q280">
        <v>188.7</v>
      </c>
      <c r="R280">
        <v>150.5</v>
      </c>
      <c r="S280">
        <v>136.1</v>
      </c>
      <c r="T280">
        <v>148.30000000000001</v>
      </c>
      <c r="U280">
        <v>156.5</v>
      </c>
      <c r="V280" s="5">
        <v>137.1</v>
      </c>
      <c r="W280">
        <v>145.1</v>
      </c>
      <c r="X280">
        <v>151</v>
      </c>
      <c r="Y280">
        <v>135.4</v>
      </c>
      <c r="Z280">
        <v>142</v>
      </c>
      <c r="AA280">
        <v>155.69999999999999</v>
      </c>
      <c r="AB280">
        <v>158.1</v>
      </c>
      <c r="AC280">
        <v>146.19999999999999</v>
      </c>
      <c r="AD280">
        <v>155.19999999999999</v>
      </c>
      <c r="AE280" s="72">
        <f t="shared" si="20"/>
        <v>2268.8999999999996</v>
      </c>
      <c r="AF280" s="4">
        <f t="shared" si="21"/>
        <v>593</v>
      </c>
      <c r="AG280" s="4">
        <f t="shared" si="22"/>
        <v>574.1</v>
      </c>
      <c r="AH280" s="4">
        <f t="shared" si="23"/>
        <v>594.9</v>
      </c>
      <c r="AI280" s="6">
        <f t="shared" si="24"/>
        <v>4030.8999999999996</v>
      </c>
    </row>
    <row r="281" spans="1:36" x14ac:dyDescent="0.3">
      <c r="A281" t="s">
        <v>33</v>
      </c>
      <c r="B281">
        <v>2020</v>
      </c>
      <c r="C281" t="s">
        <v>42</v>
      </c>
      <c r="D281">
        <v>147.5</v>
      </c>
      <c r="E281">
        <v>188.9</v>
      </c>
      <c r="F281">
        <v>161.4</v>
      </c>
      <c r="G281">
        <v>153.6</v>
      </c>
      <c r="H281">
        <v>140.1</v>
      </c>
      <c r="I281">
        <v>151.19999999999999</v>
      </c>
      <c r="J281">
        <v>209.2</v>
      </c>
      <c r="K281">
        <v>150.9</v>
      </c>
      <c r="L281">
        <v>116.2</v>
      </c>
      <c r="M281">
        <v>161</v>
      </c>
      <c r="N281">
        <v>144</v>
      </c>
      <c r="O281">
        <v>163.19999999999999</v>
      </c>
      <c r="P281">
        <v>161.4</v>
      </c>
      <c r="Q281">
        <v>184.3</v>
      </c>
      <c r="R281">
        <v>153.69999999999999</v>
      </c>
      <c r="S281">
        <v>144.6</v>
      </c>
      <c r="T281">
        <v>152.30000000000001</v>
      </c>
      <c r="U281">
        <v>156.5</v>
      </c>
      <c r="V281" s="5">
        <v>143.1</v>
      </c>
      <c r="W281">
        <v>148.69999999999999</v>
      </c>
      <c r="X281">
        <v>156.30000000000001</v>
      </c>
      <c r="Y281">
        <v>140.6</v>
      </c>
      <c r="Z281">
        <v>146.5</v>
      </c>
      <c r="AA281">
        <v>158.5</v>
      </c>
      <c r="AB281">
        <v>157</v>
      </c>
      <c r="AC281">
        <v>150.4</v>
      </c>
      <c r="AD281">
        <v>156.4</v>
      </c>
      <c r="AE281" s="72">
        <f t="shared" si="20"/>
        <v>2232.9000000000005</v>
      </c>
      <c r="AF281" s="4">
        <f t="shared" si="21"/>
        <v>607.59999999999991</v>
      </c>
      <c r="AG281" s="4">
        <f t="shared" si="22"/>
        <v>588.9</v>
      </c>
      <c r="AH281" s="4">
        <f t="shared" si="23"/>
        <v>611.70000000000005</v>
      </c>
      <c r="AI281" s="6">
        <f t="shared" si="24"/>
        <v>4041.1000000000004</v>
      </c>
    </row>
    <row r="282" spans="1:36" x14ac:dyDescent="0.3">
      <c r="A282" t="s">
        <v>30</v>
      </c>
      <c r="B282">
        <v>2020</v>
      </c>
      <c r="C282" t="s">
        <v>44</v>
      </c>
      <c r="D282">
        <v>145.4</v>
      </c>
      <c r="E282">
        <v>188.6</v>
      </c>
      <c r="F282">
        <v>171.6</v>
      </c>
      <c r="G282">
        <v>153.80000000000001</v>
      </c>
      <c r="H282">
        <v>145.4</v>
      </c>
      <c r="I282">
        <v>146.5</v>
      </c>
      <c r="J282">
        <v>222.2</v>
      </c>
      <c r="K282">
        <v>155.9</v>
      </c>
      <c r="L282">
        <v>114.9</v>
      </c>
      <c r="M282">
        <v>162</v>
      </c>
      <c r="N282">
        <v>150</v>
      </c>
      <c r="O282">
        <v>162.69999999999999</v>
      </c>
      <c r="P282">
        <v>163.4</v>
      </c>
      <c r="Q282">
        <v>183.4</v>
      </c>
      <c r="R282">
        <v>156.30000000000001</v>
      </c>
      <c r="S282">
        <v>151</v>
      </c>
      <c r="T282">
        <v>155.5</v>
      </c>
      <c r="U282">
        <v>0</v>
      </c>
      <c r="V282" s="5">
        <v>147.5</v>
      </c>
      <c r="W282">
        <v>152.80000000000001</v>
      </c>
      <c r="X282">
        <v>160.4</v>
      </c>
      <c r="Y282">
        <v>146.1</v>
      </c>
      <c r="Z282">
        <v>153.6</v>
      </c>
      <c r="AA282">
        <v>161.6</v>
      </c>
      <c r="AB282">
        <v>156.19999999999999</v>
      </c>
      <c r="AC282">
        <v>154.5</v>
      </c>
      <c r="AD282">
        <v>159.80000000000001</v>
      </c>
      <c r="AE282" s="72">
        <f t="shared" si="20"/>
        <v>2265.8000000000002</v>
      </c>
      <c r="AF282" s="4">
        <f t="shared" si="21"/>
        <v>619</v>
      </c>
      <c r="AG282" s="4">
        <f t="shared" si="22"/>
        <v>446.4</v>
      </c>
      <c r="AH282" s="4">
        <f t="shared" si="23"/>
        <v>630.1</v>
      </c>
      <c r="AI282" s="6">
        <f t="shared" si="24"/>
        <v>3961.3</v>
      </c>
    </row>
    <row r="283" spans="1:36" x14ac:dyDescent="0.3">
      <c r="A283" t="s">
        <v>32</v>
      </c>
      <c r="B283">
        <v>2020</v>
      </c>
      <c r="C283" t="s">
        <v>44</v>
      </c>
      <c r="D283">
        <v>149.69999999999999</v>
      </c>
      <c r="E283">
        <v>195.5</v>
      </c>
      <c r="F283">
        <v>176.9</v>
      </c>
      <c r="G283">
        <v>153.9</v>
      </c>
      <c r="H283">
        <v>138</v>
      </c>
      <c r="I283">
        <v>150.5</v>
      </c>
      <c r="J283">
        <v>245.3</v>
      </c>
      <c r="K283">
        <v>158.69999999999999</v>
      </c>
      <c r="L283">
        <v>117.2</v>
      </c>
      <c r="M283">
        <v>161.4</v>
      </c>
      <c r="N283">
        <v>141.5</v>
      </c>
      <c r="O283">
        <v>165.1</v>
      </c>
      <c r="P283">
        <v>167</v>
      </c>
      <c r="Q283">
        <v>188.8</v>
      </c>
      <c r="R283">
        <v>151.1</v>
      </c>
      <c r="S283">
        <v>136.4</v>
      </c>
      <c r="T283">
        <v>148.80000000000001</v>
      </c>
      <c r="U283">
        <v>158</v>
      </c>
      <c r="V283" s="5">
        <v>137.30000000000001</v>
      </c>
      <c r="W283">
        <v>145.1</v>
      </c>
      <c r="X283">
        <v>152</v>
      </c>
      <c r="Y283">
        <v>135.19999999999999</v>
      </c>
      <c r="Z283">
        <v>144.4</v>
      </c>
      <c r="AA283">
        <v>156.4</v>
      </c>
      <c r="AB283">
        <v>157.9</v>
      </c>
      <c r="AC283">
        <v>146.6</v>
      </c>
      <c r="AD283">
        <v>156.69999999999999</v>
      </c>
      <c r="AE283" s="72">
        <f t="shared" si="20"/>
        <v>2309.5</v>
      </c>
      <c r="AF283" s="4">
        <f t="shared" si="21"/>
        <v>594.20000000000005</v>
      </c>
      <c r="AG283" s="4">
        <f t="shared" si="22"/>
        <v>575.59999999999991</v>
      </c>
      <c r="AH283" s="4">
        <f t="shared" si="23"/>
        <v>599.4</v>
      </c>
      <c r="AI283" s="6">
        <f t="shared" si="24"/>
        <v>4078.7</v>
      </c>
    </row>
    <row r="284" spans="1:36" x14ac:dyDescent="0.3">
      <c r="A284" t="s">
        <v>33</v>
      </c>
      <c r="B284">
        <v>2020</v>
      </c>
      <c r="C284" t="s">
        <v>44</v>
      </c>
      <c r="D284">
        <v>146.80000000000001</v>
      </c>
      <c r="E284">
        <v>191</v>
      </c>
      <c r="F284">
        <v>173.6</v>
      </c>
      <c r="G284">
        <v>153.80000000000001</v>
      </c>
      <c r="H284">
        <v>142.69999999999999</v>
      </c>
      <c r="I284">
        <v>148.4</v>
      </c>
      <c r="J284">
        <v>230</v>
      </c>
      <c r="K284">
        <v>156.80000000000001</v>
      </c>
      <c r="L284">
        <v>115.7</v>
      </c>
      <c r="M284">
        <v>161.80000000000001</v>
      </c>
      <c r="N284">
        <v>146.5</v>
      </c>
      <c r="O284">
        <v>163.80000000000001</v>
      </c>
      <c r="P284">
        <v>164.7</v>
      </c>
      <c r="Q284">
        <v>184.8</v>
      </c>
      <c r="R284">
        <v>154.30000000000001</v>
      </c>
      <c r="S284">
        <v>144.9</v>
      </c>
      <c r="T284">
        <v>152.80000000000001</v>
      </c>
      <c r="U284">
        <v>158</v>
      </c>
      <c r="V284" s="5">
        <v>143.6</v>
      </c>
      <c r="W284">
        <v>149.19999999999999</v>
      </c>
      <c r="X284">
        <v>157.19999999999999</v>
      </c>
      <c r="Y284">
        <v>140.4</v>
      </c>
      <c r="Z284">
        <v>148.4</v>
      </c>
      <c r="AA284">
        <v>158.6</v>
      </c>
      <c r="AB284">
        <v>156.9</v>
      </c>
      <c r="AC284">
        <v>150.69999999999999</v>
      </c>
      <c r="AD284">
        <v>158.4</v>
      </c>
      <c r="AE284" s="72">
        <f t="shared" si="20"/>
        <v>2280.4</v>
      </c>
      <c r="AF284" s="4">
        <f t="shared" si="21"/>
        <v>608.90000000000009</v>
      </c>
      <c r="AG284" s="4">
        <f t="shared" si="22"/>
        <v>591.20000000000005</v>
      </c>
      <c r="AH284" s="4">
        <f t="shared" si="23"/>
        <v>614.90000000000009</v>
      </c>
      <c r="AI284" s="6">
        <f t="shared" si="24"/>
        <v>4095.4</v>
      </c>
    </row>
    <row r="285" spans="1:36" x14ac:dyDescent="0.3">
      <c r="A285" t="s">
        <v>30</v>
      </c>
      <c r="B285">
        <v>2020</v>
      </c>
      <c r="C285" t="s">
        <v>45</v>
      </c>
      <c r="D285">
        <v>144.6</v>
      </c>
      <c r="E285">
        <v>188.5</v>
      </c>
      <c r="F285">
        <v>173.4</v>
      </c>
      <c r="G285">
        <v>154</v>
      </c>
      <c r="H285">
        <v>150</v>
      </c>
      <c r="I285">
        <v>145.9</v>
      </c>
      <c r="J285">
        <v>225.2</v>
      </c>
      <c r="K285">
        <v>159.5</v>
      </c>
      <c r="L285">
        <v>114.4</v>
      </c>
      <c r="M285">
        <v>163.5</v>
      </c>
      <c r="N285">
        <v>153.4</v>
      </c>
      <c r="O285">
        <v>163.6</v>
      </c>
      <c r="P285">
        <v>164.5</v>
      </c>
      <c r="Q285">
        <v>183.6</v>
      </c>
      <c r="R285">
        <v>157</v>
      </c>
      <c r="S285">
        <v>151.6</v>
      </c>
      <c r="T285">
        <v>156.30000000000001</v>
      </c>
      <c r="U285">
        <v>0</v>
      </c>
      <c r="V285" s="5">
        <v>148.69999999999999</v>
      </c>
      <c r="W285">
        <v>153.4</v>
      </c>
      <c r="X285">
        <v>161.6</v>
      </c>
      <c r="Y285">
        <v>146.4</v>
      </c>
      <c r="Z285">
        <v>153.9</v>
      </c>
      <c r="AA285">
        <v>162.9</v>
      </c>
      <c r="AB285">
        <v>156.6</v>
      </c>
      <c r="AC285">
        <v>155.19999999999999</v>
      </c>
      <c r="AD285">
        <v>160.69999999999999</v>
      </c>
      <c r="AE285" s="72">
        <f t="shared" si="20"/>
        <v>2284.1</v>
      </c>
      <c r="AF285" s="4">
        <f t="shared" si="21"/>
        <v>621.5</v>
      </c>
      <c r="AG285" s="4">
        <f t="shared" si="22"/>
        <v>448.5</v>
      </c>
      <c r="AH285" s="4">
        <f t="shared" si="23"/>
        <v>633.59999999999991</v>
      </c>
      <c r="AI285" s="6">
        <f t="shared" si="24"/>
        <v>3987.7</v>
      </c>
    </row>
    <row r="286" spans="1:36" x14ac:dyDescent="0.3">
      <c r="A286" t="s">
        <v>32</v>
      </c>
      <c r="B286">
        <v>2020</v>
      </c>
      <c r="C286" t="s">
        <v>45</v>
      </c>
      <c r="D286">
        <v>149</v>
      </c>
      <c r="E286">
        <v>195.7</v>
      </c>
      <c r="F286">
        <v>178.3</v>
      </c>
      <c r="G286">
        <v>154.19999999999999</v>
      </c>
      <c r="H286">
        <v>140.69999999999999</v>
      </c>
      <c r="I286">
        <v>149.69999999999999</v>
      </c>
      <c r="J286">
        <v>240.9</v>
      </c>
      <c r="K286">
        <v>161.5</v>
      </c>
      <c r="L286">
        <v>117.1</v>
      </c>
      <c r="M286">
        <v>161.9</v>
      </c>
      <c r="N286">
        <v>143.30000000000001</v>
      </c>
      <c r="O286">
        <v>166.1</v>
      </c>
      <c r="P286">
        <v>167</v>
      </c>
      <c r="Q286">
        <v>190.2</v>
      </c>
      <c r="R286">
        <v>151.9</v>
      </c>
      <c r="S286">
        <v>136.69999999999999</v>
      </c>
      <c r="T286">
        <v>149.6</v>
      </c>
      <c r="U286">
        <v>158.4</v>
      </c>
      <c r="V286" s="5">
        <v>137.9</v>
      </c>
      <c r="W286">
        <v>145.5</v>
      </c>
      <c r="X286">
        <v>152.9</v>
      </c>
      <c r="Y286">
        <v>135.5</v>
      </c>
      <c r="Z286">
        <v>144.30000000000001</v>
      </c>
      <c r="AA286">
        <v>156.9</v>
      </c>
      <c r="AB286">
        <v>157.9</v>
      </c>
      <c r="AC286">
        <v>146.9</v>
      </c>
      <c r="AD286">
        <v>156.9</v>
      </c>
      <c r="AE286" s="72">
        <f t="shared" si="20"/>
        <v>2315.6</v>
      </c>
      <c r="AF286" s="4">
        <f t="shared" si="21"/>
        <v>596.1</v>
      </c>
      <c r="AG286" s="4">
        <f t="shared" si="22"/>
        <v>577.29999999999995</v>
      </c>
      <c r="AH286" s="4">
        <f t="shared" si="23"/>
        <v>601</v>
      </c>
      <c r="AI286" s="6">
        <f t="shared" si="24"/>
        <v>4090</v>
      </c>
    </row>
    <row r="287" spans="1:36" x14ac:dyDescent="0.3">
      <c r="A287" t="s">
        <v>33</v>
      </c>
      <c r="B287">
        <v>2020</v>
      </c>
      <c r="C287" t="s">
        <v>45</v>
      </c>
      <c r="D287">
        <v>146</v>
      </c>
      <c r="E287">
        <v>191</v>
      </c>
      <c r="F287">
        <v>175.3</v>
      </c>
      <c r="G287">
        <v>154.1</v>
      </c>
      <c r="H287">
        <v>146.6</v>
      </c>
      <c r="I287">
        <v>147.69999999999999</v>
      </c>
      <c r="J287">
        <v>230.5</v>
      </c>
      <c r="K287">
        <v>160.19999999999999</v>
      </c>
      <c r="L287">
        <v>115.3</v>
      </c>
      <c r="M287">
        <v>163</v>
      </c>
      <c r="N287">
        <v>149.19999999999999</v>
      </c>
      <c r="O287">
        <v>164.8</v>
      </c>
      <c r="P287">
        <v>165.4</v>
      </c>
      <c r="Q287">
        <v>185.4</v>
      </c>
      <c r="R287">
        <v>155</v>
      </c>
      <c r="S287">
        <v>145.4</v>
      </c>
      <c r="T287">
        <v>153.6</v>
      </c>
      <c r="U287">
        <v>158.4</v>
      </c>
      <c r="V287" s="5">
        <v>144.6</v>
      </c>
      <c r="W287">
        <v>149.69999999999999</v>
      </c>
      <c r="X287">
        <v>158.30000000000001</v>
      </c>
      <c r="Y287">
        <v>140.69999999999999</v>
      </c>
      <c r="Z287">
        <v>148.5</v>
      </c>
      <c r="AA287">
        <v>159.4</v>
      </c>
      <c r="AB287">
        <v>157.1</v>
      </c>
      <c r="AC287">
        <v>151.19999999999999</v>
      </c>
      <c r="AD287">
        <v>158.9</v>
      </c>
      <c r="AE287" s="72">
        <f t="shared" si="20"/>
        <v>2294.5</v>
      </c>
      <c r="AF287" s="4">
        <f t="shared" si="21"/>
        <v>611.1</v>
      </c>
      <c r="AG287" s="4">
        <f t="shared" si="22"/>
        <v>593.4</v>
      </c>
      <c r="AH287" s="4">
        <f t="shared" si="23"/>
        <v>617.40000000000009</v>
      </c>
      <c r="AI287" s="6">
        <f t="shared" si="24"/>
        <v>4116.3999999999996</v>
      </c>
      <c r="AJ287" s="70" t="s">
        <v>109</v>
      </c>
    </row>
    <row r="288" spans="1:36" s="70" customFormat="1" x14ac:dyDescent="0.3">
      <c r="A288" s="70" t="s">
        <v>30</v>
      </c>
      <c r="B288" s="70">
        <v>2021</v>
      </c>
      <c r="C288" s="70" t="s">
        <v>31</v>
      </c>
      <c r="D288" s="70">
        <v>143.4</v>
      </c>
      <c r="E288" s="70">
        <v>187.5</v>
      </c>
      <c r="F288" s="70">
        <v>173.4</v>
      </c>
      <c r="G288" s="70">
        <v>154</v>
      </c>
      <c r="H288" s="70">
        <v>154.80000000000001</v>
      </c>
      <c r="I288" s="70">
        <v>147</v>
      </c>
      <c r="J288" s="70">
        <v>187.8</v>
      </c>
      <c r="K288" s="70">
        <v>159.5</v>
      </c>
      <c r="L288" s="70">
        <v>113.8</v>
      </c>
      <c r="M288" s="70">
        <v>164.5</v>
      </c>
      <c r="N288" s="70">
        <v>156.1</v>
      </c>
      <c r="O288" s="70">
        <v>164.3</v>
      </c>
      <c r="P288" s="70">
        <v>159.6</v>
      </c>
      <c r="Q288" s="70">
        <v>184.6</v>
      </c>
      <c r="R288" s="70">
        <v>157.5</v>
      </c>
      <c r="S288" s="70">
        <v>152.4</v>
      </c>
      <c r="T288" s="70">
        <v>156.80000000000001</v>
      </c>
      <c r="U288" s="70">
        <v>0</v>
      </c>
      <c r="V288" s="74">
        <v>150.9</v>
      </c>
      <c r="W288" s="70">
        <v>153.9</v>
      </c>
      <c r="X288" s="70">
        <v>162.5</v>
      </c>
      <c r="Y288" s="70">
        <v>147.5</v>
      </c>
      <c r="Z288" s="70">
        <v>155.1</v>
      </c>
      <c r="AA288" s="70">
        <v>163.5</v>
      </c>
      <c r="AB288" s="70">
        <v>156.19999999999999</v>
      </c>
      <c r="AC288" s="70">
        <v>155.9</v>
      </c>
      <c r="AD288" s="70">
        <v>158.5</v>
      </c>
      <c r="AE288" s="74">
        <f t="shared" si="20"/>
        <v>2250.2999999999997</v>
      </c>
      <c r="AF288" s="70">
        <f t="shared" si="21"/>
        <v>622.9</v>
      </c>
      <c r="AG288" s="70">
        <f t="shared" si="22"/>
        <v>452.3</v>
      </c>
      <c r="AH288" s="70">
        <f t="shared" si="23"/>
        <v>637</v>
      </c>
      <c r="AI288" s="71">
        <f t="shared" si="24"/>
        <v>3962.5</v>
      </c>
      <c r="AJ288" s="70">
        <f>U288+W288</f>
        <v>153.9</v>
      </c>
    </row>
    <row r="289" spans="1:42" x14ac:dyDescent="0.3">
      <c r="A289" t="s">
        <v>32</v>
      </c>
      <c r="B289">
        <v>2021</v>
      </c>
      <c r="C289" t="s">
        <v>31</v>
      </c>
      <c r="D289">
        <v>148</v>
      </c>
      <c r="E289">
        <v>194.8</v>
      </c>
      <c r="F289">
        <v>178.4</v>
      </c>
      <c r="G289">
        <v>154.4</v>
      </c>
      <c r="H289">
        <v>144.1</v>
      </c>
      <c r="I289">
        <v>152.6</v>
      </c>
      <c r="J289">
        <v>206.8</v>
      </c>
      <c r="K289">
        <v>162.1</v>
      </c>
      <c r="L289">
        <v>116.3</v>
      </c>
      <c r="M289">
        <v>163</v>
      </c>
      <c r="N289">
        <v>145.9</v>
      </c>
      <c r="O289">
        <v>167.2</v>
      </c>
      <c r="P289">
        <v>163.4</v>
      </c>
      <c r="Q289">
        <v>191.8</v>
      </c>
      <c r="R289">
        <v>152.5</v>
      </c>
      <c r="S289">
        <v>137.30000000000001</v>
      </c>
      <c r="T289">
        <v>150.19999999999999</v>
      </c>
      <c r="U289">
        <v>157.69999999999999</v>
      </c>
      <c r="V289" s="5">
        <v>142.9</v>
      </c>
      <c r="W289">
        <v>145.69999999999999</v>
      </c>
      <c r="X289">
        <v>154.1</v>
      </c>
      <c r="Y289">
        <v>136.9</v>
      </c>
      <c r="Z289">
        <v>145.4</v>
      </c>
      <c r="AA289">
        <v>156.1</v>
      </c>
      <c r="AB289">
        <v>157.69999999999999</v>
      </c>
      <c r="AC289">
        <v>147.6</v>
      </c>
      <c r="AD289">
        <v>156</v>
      </c>
      <c r="AE289" s="72">
        <f t="shared" si="20"/>
        <v>2288.8000000000002</v>
      </c>
      <c r="AF289" s="4">
        <f t="shared" si="21"/>
        <v>597.70000000000005</v>
      </c>
      <c r="AG289" s="4">
        <f t="shared" si="22"/>
        <v>583.20000000000005</v>
      </c>
      <c r="AH289" s="4">
        <f t="shared" si="23"/>
        <v>603.20000000000005</v>
      </c>
      <c r="AI289" s="6">
        <f t="shared" si="24"/>
        <v>4072.8999999999996</v>
      </c>
      <c r="AJ289" s="70">
        <f t="shared" ref="AJ289:AJ352" si="25">U289+W289</f>
        <v>303.39999999999998</v>
      </c>
      <c r="AL289" t="s">
        <v>105</v>
      </c>
    </row>
    <row r="290" spans="1:42" x14ac:dyDescent="0.3">
      <c r="A290" t="s">
        <v>33</v>
      </c>
      <c r="B290">
        <v>2021</v>
      </c>
      <c r="C290" t="s">
        <v>31</v>
      </c>
      <c r="D290">
        <v>144.9</v>
      </c>
      <c r="E290">
        <v>190.1</v>
      </c>
      <c r="F290">
        <v>175.3</v>
      </c>
      <c r="G290">
        <v>154.1</v>
      </c>
      <c r="H290">
        <v>150.9</v>
      </c>
      <c r="I290">
        <v>149.6</v>
      </c>
      <c r="J290">
        <v>194.2</v>
      </c>
      <c r="K290">
        <v>160.4</v>
      </c>
      <c r="L290">
        <v>114.6</v>
      </c>
      <c r="M290">
        <v>164</v>
      </c>
      <c r="N290">
        <v>151.80000000000001</v>
      </c>
      <c r="O290">
        <v>165.6</v>
      </c>
      <c r="P290">
        <v>161</v>
      </c>
      <c r="Q290">
        <v>186.5</v>
      </c>
      <c r="R290">
        <v>155.5</v>
      </c>
      <c r="S290">
        <v>146.1</v>
      </c>
      <c r="T290">
        <v>154.19999999999999</v>
      </c>
      <c r="U290">
        <v>157.69999999999999</v>
      </c>
      <c r="V290" s="5">
        <v>147.9</v>
      </c>
      <c r="W290">
        <v>150</v>
      </c>
      <c r="X290">
        <v>159.30000000000001</v>
      </c>
      <c r="Y290">
        <v>141.9</v>
      </c>
      <c r="Z290">
        <v>149.6</v>
      </c>
      <c r="AA290">
        <v>159.19999999999999</v>
      </c>
      <c r="AB290">
        <v>156.80000000000001</v>
      </c>
      <c r="AC290">
        <v>151.9</v>
      </c>
      <c r="AD290">
        <v>157.30000000000001</v>
      </c>
      <c r="AE290" s="72">
        <f t="shared" si="20"/>
        <v>2263</v>
      </c>
      <c r="AF290" s="4">
        <f t="shared" si="21"/>
        <v>612.6</v>
      </c>
      <c r="AG290" s="4">
        <f t="shared" si="22"/>
        <v>597.5</v>
      </c>
      <c r="AH290" s="4">
        <f t="shared" si="23"/>
        <v>620</v>
      </c>
      <c r="AI290" s="6">
        <f t="shared" si="24"/>
        <v>4093.1</v>
      </c>
      <c r="AJ290" s="70">
        <f t="shared" si="25"/>
        <v>307.7</v>
      </c>
      <c r="AL290" t="s">
        <v>106</v>
      </c>
      <c r="AM290" t="s">
        <v>107</v>
      </c>
      <c r="AN290" t="s">
        <v>20</v>
      </c>
      <c r="AO290" t="s">
        <v>108</v>
      </c>
      <c r="AP290" t="s">
        <v>50</v>
      </c>
    </row>
    <row r="291" spans="1:42" x14ac:dyDescent="0.3">
      <c r="A291" t="s">
        <v>30</v>
      </c>
      <c r="B291">
        <v>2021</v>
      </c>
      <c r="C291" t="s">
        <v>34</v>
      </c>
      <c r="D291">
        <v>142.80000000000001</v>
      </c>
      <c r="E291">
        <v>184</v>
      </c>
      <c r="F291">
        <v>168</v>
      </c>
      <c r="G291">
        <v>154.4</v>
      </c>
      <c r="H291">
        <v>163</v>
      </c>
      <c r="I291">
        <v>147.80000000000001</v>
      </c>
      <c r="J291">
        <v>149.69999999999999</v>
      </c>
      <c r="K291">
        <v>158.30000000000001</v>
      </c>
      <c r="L291">
        <v>111.8</v>
      </c>
      <c r="M291">
        <v>165</v>
      </c>
      <c r="N291">
        <v>160</v>
      </c>
      <c r="O291">
        <v>165.8</v>
      </c>
      <c r="P291">
        <v>154.69999999999999</v>
      </c>
      <c r="Q291">
        <v>186.5</v>
      </c>
      <c r="R291">
        <v>159.1</v>
      </c>
      <c r="S291">
        <v>153.9</v>
      </c>
      <c r="T291">
        <v>158.4</v>
      </c>
      <c r="U291">
        <v>0</v>
      </c>
      <c r="V291" s="5">
        <v>154.4</v>
      </c>
      <c r="W291">
        <v>154.80000000000001</v>
      </c>
      <c r="X291">
        <v>164.3</v>
      </c>
      <c r="Y291">
        <v>150.19999999999999</v>
      </c>
      <c r="Z291">
        <v>157</v>
      </c>
      <c r="AA291">
        <v>163.6</v>
      </c>
      <c r="AB291">
        <v>155.19999999999999</v>
      </c>
      <c r="AC291">
        <v>157.19999999999999</v>
      </c>
      <c r="AD291">
        <v>156.69999999999999</v>
      </c>
      <c r="AE291" s="72">
        <f t="shared" si="20"/>
        <v>2211.8000000000002</v>
      </c>
      <c r="AF291" s="4">
        <f t="shared" si="21"/>
        <v>626.59999999999991</v>
      </c>
      <c r="AG291" s="4">
        <f t="shared" si="22"/>
        <v>459.40000000000003</v>
      </c>
      <c r="AH291" s="4">
        <f t="shared" si="23"/>
        <v>642.09999999999991</v>
      </c>
      <c r="AI291" s="6">
        <f t="shared" si="24"/>
        <v>3939.9</v>
      </c>
      <c r="AJ291" s="70">
        <f t="shared" si="25"/>
        <v>154.80000000000001</v>
      </c>
      <c r="AL291">
        <f>CORREL($V$288:$V$374,AE288:AE374)</f>
        <v>0.93079080171827877</v>
      </c>
      <c r="AM291">
        <f>CORREL($V$288:$V$374,AF288:AF374)</f>
        <v>0.93414931776230359</v>
      </c>
      <c r="AN291">
        <f>CORREL($V$288:$V$374,AJ288:AJ374)</f>
        <v>7.0327544687990684E-2</v>
      </c>
      <c r="AO291">
        <f>CORREL($V$288:$V$374,Y288:Y374)</f>
        <v>0.89217062133422786</v>
      </c>
      <c r="AP291">
        <f>CORREL($V$288:$V$374,AH288:AH374)</f>
        <v>0.93332028919278087</v>
      </c>
    </row>
    <row r="292" spans="1:42" x14ac:dyDescent="0.3">
      <c r="A292" t="s">
        <v>32</v>
      </c>
      <c r="B292">
        <v>2021</v>
      </c>
      <c r="C292" t="s">
        <v>34</v>
      </c>
      <c r="D292">
        <v>147.6</v>
      </c>
      <c r="E292">
        <v>191.2</v>
      </c>
      <c r="F292">
        <v>169.9</v>
      </c>
      <c r="G292">
        <v>155.1</v>
      </c>
      <c r="H292">
        <v>151.4</v>
      </c>
      <c r="I292">
        <v>154</v>
      </c>
      <c r="J292">
        <v>180.2</v>
      </c>
      <c r="K292">
        <v>159.80000000000001</v>
      </c>
      <c r="L292">
        <v>114.9</v>
      </c>
      <c r="M292">
        <v>162.5</v>
      </c>
      <c r="N292">
        <v>149.19999999999999</v>
      </c>
      <c r="O292">
        <v>169.4</v>
      </c>
      <c r="P292">
        <v>160.80000000000001</v>
      </c>
      <c r="Q292">
        <v>193.3</v>
      </c>
      <c r="R292">
        <v>154.19999999999999</v>
      </c>
      <c r="S292">
        <v>138.19999999999999</v>
      </c>
      <c r="T292">
        <v>151.80000000000001</v>
      </c>
      <c r="U292">
        <v>159.80000000000001</v>
      </c>
      <c r="V292" s="5">
        <v>149.1</v>
      </c>
      <c r="W292">
        <v>146.5</v>
      </c>
      <c r="X292">
        <v>156.30000000000001</v>
      </c>
      <c r="Y292">
        <v>140.5</v>
      </c>
      <c r="Z292">
        <v>147.30000000000001</v>
      </c>
      <c r="AA292">
        <v>156.6</v>
      </c>
      <c r="AB292">
        <v>156.69999999999999</v>
      </c>
      <c r="AC292">
        <v>149.30000000000001</v>
      </c>
      <c r="AD292">
        <v>156.5</v>
      </c>
      <c r="AE292" s="72">
        <f t="shared" si="20"/>
        <v>2259.3000000000002</v>
      </c>
      <c r="AF292" s="4">
        <f t="shared" si="21"/>
        <v>600.9</v>
      </c>
      <c r="AG292" s="4">
        <f t="shared" si="22"/>
        <v>595.9</v>
      </c>
      <c r="AH292" s="4">
        <f t="shared" si="23"/>
        <v>609.5</v>
      </c>
      <c r="AI292" s="6">
        <f t="shared" si="24"/>
        <v>4065.6000000000004</v>
      </c>
      <c r="AJ292" s="70">
        <f t="shared" si="25"/>
        <v>306.3</v>
      </c>
    </row>
    <row r="293" spans="1:42" x14ac:dyDescent="0.3">
      <c r="A293" t="s">
        <v>33</v>
      </c>
      <c r="B293">
        <v>2021</v>
      </c>
      <c r="C293" t="s">
        <v>34</v>
      </c>
      <c r="D293">
        <v>144.30000000000001</v>
      </c>
      <c r="E293">
        <v>186.5</v>
      </c>
      <c r="F293">
        <v>168.7</v>
      </c>
      <c r="G293">
        <v>154.69999999999999</v>
      </c>
      <c r="H293">
        <v>158.69999999999999</v>
      </c>
      <c r="I293">
        <v>150.69999999999999</v>
      </c>
      <c r="J293">
        <v>160</v>
      </c>
      <c r="K293">
        <v>158.80000000000001</v>
      </c>
      <c r="L293">
        <v>112.8</v>
      </c>
      <c r="M293">
        <v>164.2</v>
      </c>
      <c r="N293">
        <v>155.5</v>
      </c>
      <c r="O293">
        <v>167.5</v>
      </c>
      <c r="P293">
        <v>156.9</v>
      </c>
      <c r="Q293">
        <v>188.3</v>
      </c>
      <c r="R293">
        <v>157.19999999999999</v>
      </c>
      <c r="S293">
        <v>147.4</v>
      </c>
      <c r="T293">
        <v>155.80000000000001</v>
      </c>
      <c r="U293">
        <v>159.80000000000001</v>
      </c>
      <c r="V293" s="5">
        <v>152.4</v>
      </c>
      <c r="W293">
        <v>150.9</v>
      </c>
      <c r="X293">
        <v>161.30000000000001</v>
      </c>
      <c r="Y293">
        <v>145.1</v>
      </c>
      <c r="Z293">
        <v>151.5</v>
      </c>
      <c r="AA293">
        <v>159.5</v>
      </c>
      <c r="AB293">
        <v>155.80000000000001</v>
      </c>
      <c r="AC293">
        <v>153.4</v>
      </c>
      <c r="AD293">
        <v>156.6</v>
      </c>
      <c r="AE293" s="72">
        <f t="shared" si="20"/>
        <v>2227.6000000000004</v>
      </c>
      <c r="AF293" s="4">
        <f t="shared" si="21"/>
        <v>616.20000000000005</v>
      </c>
      <c r="AG293" s="4">
        <f t="shared" si="22"/>
        <v>608.20000000000005</v>
      </c>
      <c r="AH293" s="4">
        <f t="shared" si="23"/>
        <v>625.70000000000005</v>
      </c>
      <c r="AI293" s="6">
        <f t="shared" si="24"/>
        <v>4077.7</v>
      </c>
      <c r="AJ293" s="70">
        <f t="shared" si="25"/>
        <v>310.70000000000005</v>
      </c>
    </row>
    <row r="294" spans="1:42" x14ac:dyDescent="0.3">
      <c r="A294" t="s">
        <v>30</v>
      </c>
      <c r="B294">
        <v>2021</v>
      </c>
      <c r="C294" t="s">
        <v>35</v>
      </c>
      <c r="D294">
        <v>142.5</v>
      </c>
      <c r="E294">
        <v>189.4</v>
      </c>
      <c r="F294">
        <v>163.19999999999999</v>
      </c>
      <c r="G294">
        <v>154.5</v>
      </c>
      <c r="H294">
        <v>168.2</v>
      </c>
      <c r="I294">
        <v>150.5</v>
      </c>
      <c r="J294">
        <v>141</v>
      </c>
      <c r="K294">
        <v>159.19999999999999</v>
      </c>
      <c r="L294">
        <v>111.7</v>
      </c>
      <c r="M294">
        <v>164</v>
      </c>
      <c r="N294">
        <v>160.6</v>
      </c>
      <c r="O294">
        <v>166.4</v>
      </c>
      <c r="P294">
        <v>154.5</v>
      </c>
      <c r="Q294">
        <v>186.1</v>
      </c>
      <c r="R294">
        <v>159.6</v>
      </c>
      <c r="S294">
        <v>154.4</v>
      </c>
      <c r="T294">
        <v>158.9</v>
      </c>
      <c r="U294">
        <v>0</v>
      </c>
      <c r="V294" s="5">
        <v>156</v>
      </c>
      <c r="W294">
        <v>154.80000000000001</v>
      </c>
      <c r="X294">
        <v>164.6</v>
      </c>
      <c r="Y294">
        <v>151.30000000000001</v>
      </c>
      <c r="Z294">
        <v>157.80000000000001</v>
      </c>
      <c r="AA294">
        <v>163.80000000000001</v>
      </c>
      <c r="AB294">
        <v>153.1</v>
      </c>
      <c r="AC294">
        <v>157.30000000000001</v>
      </c>
      <c r="AD294">
        <v>156.69999999999999</v>
      </c>
      <c r="AE294" s="72">
        <f t="shared" si="20"/>
        <v>2211.8000000000002</v>
      </c>
      <c r="AF294" s="4">
        <f t="shared" si="21"/>
        <v>626</v>
      </c>
      <c r="AG294" s="4">
        <f t="shared" si="22"/>
        <v>462.1</v>
      </c>
      <c r="AH294" s="4">
        <f t="shared" si="23"/>
        <v>643.5</v>
      </c>
      <c r="AI294" s="6">
        <f t="shared" si="24"/>
        <v>3943.4</v>
      </c>
      <c r="AJ294" s="70">
        <f t="shared" si="25"/>
        <v>154.80000000000001</v>
      </c>
    </row>
    <row r="295" spans="1:42" x14ac:dyDescent="0.3">
      <c r="A295" t="s">
        <v>32</v>
      </c>
      <c r="B295">
        <v>2021</v>
      </c>
      <c r="C295" t="s">
        <v>35</v>
      </c>
      <c r="D295">
        <v>147.5</v>
      </c>
      <c r="E295">
        <v>197.5</v>
      </c>
      <c r="F295">
        <v>164.7</v>
      </c>
      <c r="G295">
        <v>155.6</v>
      </c>
      <c r="H295">
        <v>156.4</v>
      </c>
      <c r="I295">
        <v>157.30000000000001</v>
      </c>
      <c r="J295">
        <v>166.1</v>
      </c>
      <c r="K295">
        <v>161.1</v>
      </c>
      <c r="L295">
        <v>114.3</v>
      </c>
      <c r="M295">
        <v>162.6</v>
      </c>
      <c r="N295">
        <v>150.69999999999999</v>
      </c>
      <c r="O295">
        <v>170.3</v>
      </c>
      <c r="P295">
        <v>160.4</v>
      </c>
      <c r="Q295">
        <v>193.5</v>
      </c>
      <c r="R295">
        <v>155.1</v>
      </c>
      <c r="S295">
        <v>138.69999999999999</v>
      </c>
      <c r="T295">
        <v>152.6</v>
      </c>
      <c r="U295">
        <v>159.9</v>
      </c>
      <c r="V295" s="5">
        <v>154.80000000000001</v>
      </c>
      <c r="W295">
        <v>147.19999999999999</v>
      </c>
      <c r="X295">
        <v>156.9</v>
      </c>
      <c r="Y295">
        <v>141.69999999999999</v>
      </c>
      <c r="Z295">
        <v>148.6</v>
      </c>
      <c r="AA295">
        <v>157.6</v>
      </c>
      <c r="AB295">
        <v>154.9</v>
      </c>
      <c r="AC295">
        <v>150</v>
      </c>
      <c r="AD295">
        <v>156.9</v>
      </c>
      <c r="AE295" s="72">
        <f t="shared" si="20"/>
        <v>2257.9999999999995</v>
      </c>
      <c r="AF295" s="4">
        <f t="shared" si="21"/>
        <v>601.29999999999995</v>
      </c>
      <c r="AG295" s="4">
        <f t="shared" si="22"/>
        <v>603.6</v>
      </c>
      <c r="AH295" s="4">
        <f t="shared" si="23"/>
        <v>613.1</v>
      </c>
      <c r="AI295" s="6">
        <f t="shared" si="24"/>
        <v>4075.9999999999991</v>
      </c>
      <c r="AJ295" s="70">
        <f t="shared" si="25"/>
        <v>307.10000000000002</v>
      </c>
    </row>
    <row r="296" spans="1:42" x14ac:dyDescent="0.3">
      <c r="A296" t="s">
        <v>33</v>
      </c>
      <c r="B296">
        <v>2021</v>
      </c>
      <c r="C296" t="s">
        <v>35</v>
      </c>
      <c r="D296">
        <v>144.1</v>
      </c>
      <c r="E296">
        <v>192.2</v>
      </c>
      <c r="F296">
        <v>163.80000000000001</v>
      </c>
      <c r="G296">
        <v>154.9</v>
      </c>
      <c r="H296">
        <v>163.9</v>
      </c>
      <c r="I296">
        <v>153.69999999999999</v>
      </c>
      <c r="J296">
        <v>149.5</v>
      </c>
      <c r="K296">
        <v>159.80000000000001</v>
      </c>
      <c r="L296">
        <v>112.6</v>
      </c>
      <c r="M296">
        <v>163.5</v>
      </c>
      <c r="N296">
        <v>156.5</v>
      </c>
      <c r="O296">
        <v>168.2</v>
      </c>
      <c r="P296">
        <v>156.69999999999999</v>
      </c>
      <c r="Q296">
        <v>188.1</v>
      </c>
      <c r="R296">
        <v>157.80000000000001</v>
      </c>
      <c r="S296">
        <v>147.9</v>
      </c>
      <c r="T296">
        <v>156.4</v>
      </c>
      <c r="U296">
        <v>159.9</v>
      </c>
      <c r="V296" s="5">
        <v>155.5</v>
      </c>
      <c r="W296">
        <v>151.19999999999999</v>
      </c>
      <c r="X296">
        <v>161.69999999999999</v>
      </c>
      <c r="Y296">
        <v>146.19999999999999</v>
      </c>
      <c r="Z296">
        <v>152.6</v>
      </c>
      <c r="AA296">
        <v>160.19999999999999</v>
      </c>
      <c r="AB296">
        <v>153.80000000000001</v>
      </c>
      <c r="AC296">
        <v>153.80000000000001</v>
      </c>
      <c r="AD296">
        <v>156.80000000000001</v>
      </c>
      <c r="AE296" s="72">
        <f t="shared" si="20"/>
        <v>2227.5</v>
      </c>
      <c r="AF296" s="4">
        <f t="shared" si="21"/>
        <v>615.90000000000009</v>
      </c>
      <c r="AG296" s="4">
        <f t="shared" si="22"/>
        <v>612.79999999999995</v>
      </c>
      <c r="AH296" s="4">
        <f t="shared" si="23"/>
        <v>628.29999999999995</v>
      </c>
      <c r="AI296" s="6">
        <f t="shared" si="24"/>
        <v>4084.5</v>
      </c>
      <c r="AJ296" s="70">
        <f t="shared" si="25"/>
        <v>311.10000000000002</v>
      </c>
    </row>
    <row r="297" spans="1:42" x14ac:dyDescent="0.3">
      <c r="A297" t="s">
        <v>30</v>
      </c>
      <c r="B297">
        <v>2021</v>
      </c>
      <c r="C297" t="s">
        <v>36</v>
      </c>
      <c r="D297">
        <v>142.69999999999999</v>
      </c>
      <c r="E297">
        <v>195.5</v>
      </c>
      <c r="F297">
        <v>163.4</v>
      </c>
      <c r="G297">
        <v>155</v>
      </c>
      <c r="H297">
        <v>175.2</v>
      </c>
      <c r="I297">
        <v>160.6</v>
      </c>
      <c r="J297">
        <v>135.1</v>
      </c>
      <c r="K297">
        <v>161.1</v>
      </c>
      <c r="L297">
        <v>112.2</v>
      </c>
      <c r="M297">
        <v>164.4</v>
      </c>
      <c r="N297">
        <v>161.9</v>
      </c>
      <c r="O297">
        <v>166.8</v>
      </c>
      <c r="P297">
        <v>155.6</v>
      </c>
      <c r="Q297">
        <v>186.8</v>
      </c>
      <c r="R297">
        <v>160.69999999999999</v>
      </c>
      <c r="S297">
        <v>155.1</v>
      </c>
      <c r="T297">
        <v>159.9</v>
      </c>
      <c r="U297">
        <v>0</v>
      </c>
      <c r="V297" s="5">
        <v>156</v>
      </c>
      <c r="W297">
        <v>155.5</v>
      </c>
      <c r="X297">
        <v>165.3</v>
      </c>
      <c r="Y297">
        <v>151.69999999999999</v>
      </c>
      <c r="Z297">
        <v>158.6</v>
      </c>
      <c r="AA297">
        <v>164.1</v>
      </c>
      <c r="AB297">
        <v>154.6</v>
      </c>
      <c r="AC297">
        <v>158</v>
      </c>
      <c r="AD297">
        <v>157.6</v>
      </c>
      <c r="AE297" s="72">
        <f t="shared" si="20"/>
        <v>2236.3000000000002</v>
      </c>
      <c r="AF297" s="4">
        <f t="shared" si="21"/>
        <v>630.29999999999995</v>
      </c>
      <c r="AG297" s="4">
        <f t="shared" si="22"/>
        <v>463.2</v>
      </c>
      <c r="AH297" s="4">
        <f t="shared" si="23"/>
        <v>646</v>
      </c>
      <c r="AI297" s="6">
        <f t="shared" si="24"/>
        <v>3975.8</v>
      </c>
      <c r="AJ297" s="70">
        <f t="shared" si="25"/>
        <v>155.5</v>
      </c>
    </row>
    <row r="298" spans="1:42" x14ac:dyDescent="0.3">
      <c r="A298" t="s">
        <v>32</v>
      </c>
      <c r="B298">
        <v>2021</v>
      </c>
      <c r="C298" t="s">
        <v>36</v>
      </c>
      <c r="D298">
        <v>147.6</v>
      </c>
      <c r="E298">
        <v>202.5</v>
      </c>
      <c r="F298">
        <v>166.4</v>
      </c>
      <c r="G298">
        <v>156</v>
      </c>
      <c r="H298">
        <v>161.4</v>
      </c>
      <c r="I298">
        <v>168.8</v>
      </c>
      <c r="J298">
        <v>161.6</v>
      </c>
      <c r="K298">
        <v>162.80000000000001</v>
      </c>
      <c r="L298">
        <v>114.8</v>
      </c>
      <c r="M298">
        <v>162.80000000000001</v>
      </c>
      <c r="N298">
        <v>151.5</v>
      </c>
      <c r="O298">
        <v>171.4</v>
      </c>
      <c r="P298">
        <v>162</v>
      </c>
      <c r="Q298">
        <v>194.4</v>
      </c>
      <c r="R298">
        <v>155.9</v>
      </c>
      <c r="S298">
        <v>139.30000000000001</v>
      </c>
      <c r="T298">
        <v>153.4</v>
      </c>
      <c r="U298">
        <v>161.4</v>
      </c>
      <c r="V298" s="5">
        <v>154.9</v>
      </c>
      <c r="W298">
        <v>147.6</v>
      </c>
      <c r="X298">
        <v>157.5</v>
      </c>
      <c r="Y298">
        <v>142.1</v>
      </c>
      <c r="Z298">
        <v>149.1</v>
      </c>
      <c r="AA298">
        <v>157.6</v>
      </c>
      <c r="AB298">
        <v>156.6</v>
      </c>
      <c r="AC298">
        <v>150.5</v>
      </c>
      <c r="AD298">
        <v>158</v>
      </c>
      <c r="AE298" s="72">
        <f t="shared" si="20"/>
        <v>2284</v>
      </c>
      <c r="AF298" s="4">
        <f t="shared" si="21"/>
        <v>605.20000000000005</v>
      </c>
      <c r="AG298" s="4">
        <f t="shared" si="22"/>
        <v>606</v>
      </c>
      <c r="AH298" s="4">
        <f t="shared" si="23"/>
        <v>614.70000000000005</v>
      </c>
      <c r="AI298" s="6">
        <f t="shared" si="24"/>
        <v>4109.8999999999996</v>
      </c>
      <c r="AJ298" s="70">
        <f t="shared" si="25"/>
        <v>309</v>
      </c>
    </row>
    <row r="299" spans="1:42" x14ac:dyDescent="0.3">
      <c r="A299" t="s">
        <v>33</v>
      </c>
      <c r="B299">
        <v>2021</v>
      </c>
      <c r="C299" t="s">
        <v>36</v>
      </c>
      <c r="D299">
        <v>144.30000000000001</v>
      </c>
      <c r="E299">
        <v>198</v>
      </c>
      <c r="F299">
        <v>164.6</v>
      </c>
      <c r="G299">
        <v>155.4</v>
      </c>
      <c r="H299">
        <v>170.1</v>
      </c>
      <c r="I299">
        <v>164.4</v>
      </c>
      <c r="J299">
        <v>144.1</v>
      </c>
      <c r="K299">
        <v>161.69999999999999</v>
      </c>
      <c r="L299">
        <v>113.1</v>
      </c>
      <c r="M299">
        <v>163.9</v>
      </c>
      <c r="N299">
        <v>157.6</v>
      </c>
      <c r="O299">
        <v>168.9</v>
      </c>
      <c r="P299">
        <v>158</v>
      </c>
      <c r="Q299">
        <v>188.8</v>
      </c>
      <c r="R299">
        <v>158.80000000000001</v>
      </c>
      <c r="S299">
        <v>148.5</v>
      </c>
      <c r="T299">
        <v>157.30000000000001</v>
      </c>
      <c r="U299">
        <v>161.4</v>
      </c>
      <c r="V299" s="5">
        <v>155.6</v>
      </c>
      <c r="W299">
        <v>151.80000000000001</v>
      </c>
      <c r="X299">
        <v>162.30000000000001</v>
      </c>
      <c r="Y299">
        <v>146.6</v>
      </c>
      <c r="Z299">
        <v>153.19999999999999</v>
      </c>
      <c r="AA299">
        <v>160.30000000000001</v>
      </c>
      <c r="AB299">
        <v>155.4</v>
      </c>
      <c r="AC299">
        <v>154.4</v>
      </c>
      <c r="AD299">
        <v>157.80000000000001</v>
      </c>
      <c r="AE299" s="72">
        <f t="shared" si="20"/>
        <v>2252.9</v>
      </c>
      <c r="AF299" s="4">
        <f t="shared" si="21"/>
        <v>620</v>
      </c>
      <c r="AG299" s="4">
        <f t="shared" si="22"/>
        <v>615.4</v>
      </c>
      <c r="AH299" s="4">
        <f t="shared" si="23"/>
        <v>630.20000000000005</v>
      </c>
      <c r="AI299" s="6">
        <f t="shared" si="24"/>
        <v>4118.5</v>
      </c>
      <c r="AJ299" s="70">
        <f t="shared" si="25"/>
        <v>313.20000000000005</v>
      </c>
    </row>
    <row r="300" spans="1:42" x14ac:dyDescent="0.3">
      <c r="A300" t="s">
        <v>30</v>
      </c>
      <c r="B300">
        <v>2021</v>
      </c>
      <c r="C300" t="s">
        <v>37</v>
      </c>
      <c r="D300">
        <v>145.1</v>
      </c>
      <c r="E300">
        <v>198.5</v>
      </c>
      <c r="F300">
        <v>168.6</v>
      </c>
      <c r="G300">
        <v>155.80000000000001</v>
      </c>
      <c r="H300">
        <v>184.4</v>
      </c>
      <c r="I300">
        <v>162.30000000000001</v>
      </c>
      <c r="J300">
        <v>138.4</v>
      </c>
      <c r="K300">
        <v>165.1</v>
      </c>
      <c r="L300">
        <v>114.3</v>
      </c>
      <c r="M300">
        <v>169.7</v>
      </c>
      <c r="N300">
        <v>164.6</v>
      </c>
      <c r="O300">
        <v>169.8</v>
      </c>
      <c r="P300">
        <v>158.69999999999999</v>
      </c>
      <c r="Q300">
        <v>189.6</v>
      </c>
      <c r="R300">
        <v>165.3</v>
      </c>
      <c r="S300">
        <v>160.6</v>
      </c>
      <c r="T300">
        <v>164.5</v>
      </c>
      <c r="U300">
        <v>0</v>
      </c>
      <c r="V300" s="5">
        <v>161.69999999999999</v>
      </c>
      <c r="W300">
        <v>158.80000000000001</v>
      </c>
      <c r="X300">
        <v>169.1</v>
      </c>
      <c r="Y300">
        <v>153.19999999999999</v>
      </c>
      <c r="Z300">
        <v>160</v>
      </c>
      <c r="AA300">
        <v>167.6</v>
      </c>
      <c r="AB300">
        <v>159.30000000000001</v>
      </c>
      <c r="AC300">
        <v>161.1</v>
      </c>
      <c r="AD300">
        <v>161.1</v>
      </c>
      <c r="AE300" s="72">
        <f t="shared" si="20"/>
        <v>2284.8999999999996</v>
      </c>
      <c r="AF300" s="4">
        <f t="shared" si="21"/>
        <v>649.70000000000005</v>
      </c>
      <c r="AG300" s="4">
        <f t="shared" si="22"/>
        <v>473.7</v>
      </c>
      <c r="AH300" s="4">
        <f t="shared" si="23"/>
        <v>657.80000000000007</v>
      </c>
      <c r="AI300" s="6">
        <f t="shared" si="24"/>
        <v>4066.0999999999995</v>
      </c>
      <c r="AJ300" s="70">
        <f t="shared" si="25"/>
        <v>158.80000000000001</v>
      </c>
    </row>
    <row r="301" spans="1:42" x14ac:dyDescent="0.3">
      <c r="A301" t="s">
        <v>32</v>
      </c>
      <c r="B301">
        <v>2021</v>
      </c>
      <c r="C301" t="s">
        <v>37</v>
      </c>
      <c r="D301">
        <v>148.80000000000001</v>
      </c>
      <c r="E301">
        <v>204.3</v>
      </c>
      <c r="F301">
        <v>173</v>
      </c>
      <c r="G301">
        <v>156.5</v>
      </c>
      <c r="H301">
        <v>168.8</v>
      </c>
      <c r="I301">
        <v>172.5</v>
      </c>
      <c r="J301">
        <v>166.5</v>
      </c>
      <c r="K301">
        <v>165.9</v>
      </c>
      <c r="L301">
        <v>115.9</v>
      </c>
      <c r="M301">
        <v>165.2</v>
      </c>
      <c r="N301">
        <v>152</v>
      </c>
      <c r="O301">
        <v>171.1</v>
      </c>
      <c r="P301">
        <v>164.2</v>
      </c>
      <c r="Q301">
        <v>198.2</v>
      </c>
      <c r="R301">
        <v>156.5</v>
      </c>
      <c r="S301">
        <v>140.19999999999999</v>
      </c>
      <c r="T301">
        <v>154.1</v>
      </c>
      <c r="U301">
        <v>161.6</v>
      </c>
      <c r="V301" s="5">
        <v>155.5</v>
      </c>
      <c r="W301">
        <v>150.1</v>
      </c>
      <c r="X301">
        <v>160.4</v>
      </c>
      <c r="Y301">
        <v>145</v>
      </c>
      <c r="Z301">
        <v>152.6</v>
      </c>
      <c r="AA301">
        <v>156.6</v>
      </c>
      <c r="AB301">
        <v>157.5</v>
      </c>
      <c r="AC301">
        <v>152.30000000000001</v>
      </c>
      <c r="AD301">
        <v>159.5</v>
      </c>
      <c r="AE301" s="72">
        <f t="shared" si="20"/>
        <v>2322.9</v>
      </c>
      <c r="AF301" s="4">
        <f t="shared" si="21"/>
        <v>608.29999999999995</v>
      </c>
      <c r="AG301" s="4">
        <f t="shared" si="22"/>
        <v>612.20000000000005</v>
      </c>
      <c r="AH301" s="4">
        <f t="shared" si="23"/>
        <v>621.90000000000009</v>
      </c>
      <c r="AI301" s="6">
        <f t="shared" si="24"/>
        <v>4165.2999999999993</v>
      </c>
      <c r="AJ301" s="70">
        <f t="shared" si="25"/>
        <v>311.7</v>
      </c>
    </row>
    <row r="302" spans="1:42" x14ac:dyDescent="0.3">
      <c r="A302" t="s">
        <v>33</v>
      </c>
      <c r="B302">
        <v>2021</v>
      </c>
      <c r="C302" t="s">
        <v>37</v>
      </c>
      <c r="D302">
        <v>146.30000000000001</v>
      </c>
      <c r="E302">
        <v>200.5</v>
      </c>
      <c r="F302">
        <v>170.3</v>
      </c>
      <c r="G302">
        <v>156.1</v>
      </c>
      <c r="H302">
        <v>178.7</v>
      </c>
      <c r="I302">
        <v>167.1</v>
      </c>
      <c r="J302">
        <v>147.9</v>
      </c>
      <c r="K302">
        <v>165.4</v>
      </c>
      <c r="L302">
        <v>114.8</v>
      </c>
      <c r="M302">
        <v>168.2</v>
      </c>
      <c r="N302">
        <v>159.30000000000001</v>
      </c>
      <c r="O302">
        <v>170.4</v>
      </c>
      <c r="P302">
        <v>160.69999999999999</v>
      </c>
      <c r="Q302">
        <v>191.9</v>
      </c>
      <c r="R302">
        <v>161.80000000000001</v>
      </c>
      <c r="S302">
        <v>152.1</v>
      </c>
      <c r="T302">
        <v>160.4</v>
      </c>
      <c r="U302">
        <v>161.6</v>
      </c>
      <c r="V302" s="5">
        <v>159.4</v>
      </c>
      <c r="W302">
        <v>154.69999999999999</v>
      </c>
      <c r="X302">
        <v>165.8</v>
      </c>
      <c r="Y302">
        <v>148.9</v>
      </c>
      <c r="Z302">
        <v>155.80000000000001</v>
      </c>
      <c r="AA302">
        <v>161.19999999999999</v>
      </c>
      <c r="AB302">
        <v>158.6</v>
      </c>
      <c r="AC302">
        <v>156.80000000000001</v>
      </c>
      <c r="AD302">
        <v>160.4</v>
      </c>
      <c r="AE302" s="72">
        <f t="shared" si="20"/>
        <v>2297.6000000000004</v>
      </c>
      <c r="AF302" s="4">
        <f t="shared" si="21"/>
        <v>632.9</v>
      </c>
      <c r="AG302" s="4">
        <f t="shared" si="22"/>
        <v>624.6</v>
      </c>
      <c r="AH302" s="4">
        <f t="shared" si="23"/>
        <v>639.6</v>
      </c>
      <c r="AI302" s="6">
        <f t="shared" si="24"/>
        <v>4194.7000000000007</v>
      </c>
      <c r="AJ302" s="70">
        <f t="shared" si="25"/>
        <v>316.29999999999995</v>
      </c>
    </row>
    <row r="303" spans="1:42" x14ac:dyDescent="0.3">
      <c r="A303" t="s">
        <v>30</v>
      </c>
      <c r="B303">
        <v>2021</v>
      </c>
      <c r="C303" t="s">
        <v>38</v>
      </c>
      <c r="D303">
        <v>145.6</v>
      </c>
      <c r="E303">
        <v>200.1</v>
      </c>
      <c r="F303">
        <v>179.3</v>
      </c>
      <c r="G303">
        <v>156.1</v>
      </c>
      <c r="H303">
        <v>190.4</v>
      </c>
      <c r="I303">
        <v>158.6</v>
      </c>
      <c r="J303">
        <v>144.69999999999999</v>
      </c>
      <c r="K303">
        <v>165.5</v>
      </c>
      <c r="L303">
        <v>114.6</v>
      </c>
      <c r="M303">
        <v>170</v>
      </c>
      <c r="N303">
        <v>165.5</v>
      </c>
      <c r="O303">
        <v>171.7</v>
      </c>
      <c r="P303">
        <v>160.5</v>
      </c>
      <c r="Q303">
        <v>189.1</v>
      </c>
      <c r="R303">
        <v>165.3</v>
      </c>
      <c r="S303">
        <v>159.9</v>
      </c>
      <c r="T303">
        <v>164.6</v>
      </c>
      <c r="U303">
        <v>0</v>
      </c>
      <c r="V303" s="5">
        <v>162.1</v>
      </c>
      <c r="W303">
        <v>159.19999999999999</v>
      </c>
      <c r="X303">
        <v>169.7</v>
      </c>
      <c r="Y303">
        <v>154.19999999999999</v>
      </c>
      <c r="Z303">
        <v>160.4</v>
      </c>
      <c r="AA303">
        <v>166.8</v>
      </c>
      <c r="AB303">
        <v>159.4</v>
      </c>
      <c r="AC303">
        <v>161.5</v>
      </c>
      <c r="AD303">
        <v>162.1</v>
      </c>
      <c r="AE303" s="72">
        <f t="shared" si="20"/>
        <v>2311.6999999999998</v>
      </c>
      <c r="AF303" s="4">
        <f t="shared" si="21"/>
        <v>649.20000000000005</v>
      </c>
      <c r="AG303" s="4">
        <f t="shared" si="22"/>
        <v>475.49999999999994</v>
      </c>
      <c r="AH303" s="4">
        <f t="shared" si="23"/>
        <v>658.40000000000009</v>
      </c>
      <c r="AI303" s="6">
        <f t="shared" si="24"/>
        <v>4094.7999999999997</v>
      </c>
      <c r="AJ303" s="70">
        <f t="shared" si="25"/>
        <v>159.19999999999999</v>
      </c>
    </row>
    <row r="304" spans="1:42" x14ac:dyDescent="0.3">
      <c r="A304" t="s">
        <v>32</v>
      </c>
      <c r="B304">
        <v>2021</v>
      </c>
      <c r="C304" t="s">
        <v>38</v>
      </c>
      <c r="D304">
        <v>149.19999999999999</v>
      </c>
      <c r="E304">
        <v>205.5</v>
      </c>
      <c r="F304">
        <v>182.8</v>
      </c>
      <c r="G304">
        <v>156.5</v>
      </c>
      <c r="H304">
        <v>172.2</v>
      </c>
      <c r="I304">
        <v>171.5</v>
      </c>
      <c r="J304">
        <v>176.2</v>
      </c>
      <c r="K304">
        <v>166.9</v>
      </c>
      <c r="L304">
        <v>116.1</v>
      </c>
      <c r="M304">
        <v>165.5</v>
      </c>
      <c r="N304">
        <v>152.30000000000001</v>
      </c>
      <c r="O304">
        <v>173.3</v>
      </c>
      <c r="P304">
        <v>166.2</v>
      </c>
      <c r="Q304">
        <v>195.6</v>
      </c>
      <c r="R304">
        <v>157.30000000000001</v>
      </c>
      <c r="S304">
        <v>140.5</v>
      </c>
      <c r="T304">
        <v>154.80000000000001</v>
      </c>
      <c r="U304">
        <v>160.5</v>
      </c>
      <c r="V304" s="5">
        <v>156.1</v>
      </c>
      <c r="W304">
        <v>149.80000000000001</v>
      </c>
      <c r="X304">
        <v>160.80000000000001</v>
      </c>
      <c r="Y304">
        <v>147.5</v>
      </c>
      <c r="Z304">
        <v>150.69999999999999</v>
      </c>
      <c r="AA304">
        <v>158.1</v>
      </c>
      <c r="AB304">
        <v>158</v>
      </c>
      <c r="AC304">
        <v>153.4</v>
      </c>
      <c r="AD304">
        <v>160.4</v>
      </c>
      <c r="AE304" s="72">
        <f t="shared" si="20"/>
        <v>2349.7999999999997</v>
      </c>
      <c r="AF304" s="4">
        <f t="shared" si="21"/>
        <v>610.6</v>
      </c>
      <c r="AG304" s="4">
        <f t="shared" si="22"/>
        <v>613.90000000000009</v>
      </c>
      <c r="AH304" s="4">
        <f t="shared" si="23"/>
        <v>623</v>
      </c>
      <c r="AI304" s="6">
        <f t="shared" si="24"/>
        <v>4197.2999999999993</v>
      </c>
      <c r="AJ304" s="70">
        <f t="shared" si="25"/>
        <v>310.3</v>
      </c>
    </row>
    <row r="305" spans="1:36" x14ac:dyDescent="0.3">
      <c r="A305" t="s">
        <v>33</v>
      </c>
      <c r="B305">
        <v>2021</v>
      </c>
      <c r="C305" t="s">
        <v>38</v>
      </c>
      <c r="D305">
        <v>146.69999999999999</v>
      </c>
      <c r="E305">
        <v>202</v>
      </c>
      <c r="F305">
        <v>180.7</v>
      </c>
      <c r="G305">
        <v>156.19999999999999</v>
      </c>
      <c r="H305">
        <v>183.7</v>
      </c>
      <c r="I305">
        <v>164.6</v>
      </c>
      <c r="J305">
        <v>155.4</v>
      </c>
      <c r="K305">
        <v>166</v>
      </c>
      <c r="L305">
        <v>115.1</v>
      </c>
      <c r="M305">
        <v>168.5</v>
      </c>
      <c r="N305">
        <v>160</v>
      </c>
      <c r="O305">
        <v>172.4</v>
      </c>
      <c r="P305">
        <v>162.6</v>
      </c>
      <c r="Q305">
        <v>190.8</v>
      </c>
      <c r="R305">
        <v>162.19999999999999</v>
      </c>
      <c r="S305">
        <v>151.80000000000001</v>
      </c>
      <c r="T305">
        <v>160.69999999999999</v>
      </c>
      <c r="U305">
        <v>160.5</v>
      </c>
      <c r="V305" s="5">
        <v>159.80000000000001</v>
      </c>
      <c r="W305">
        <v>154.80000000000001</v>
      </c>
      <c r="X305">
        <v>166.3</v>
      </c>
      <c r="Y305">
        <v>150.69999999999999</v>
      </c>
      <c r="Z305">
        <v>154.9</v>
      </c>
      <c r="AA305">
        <v>161.69999999999999</v>
      </c>
      <c r="AB305">
        <v>158.80000000000001</v>
      </c>
      <c r="AC305">
        <v>157.6</v>
      </c>
      <c r="AD305">
        <v>161.30000000000001</v>
      </c>
      <c r="AE305" s="72">
        <f t="shared" si="20"/>
        <v>2324.7000000000003</v>
      </c>
      <c r="AF305" s="4">
        <f t="shared" si="21"/>
        <v>633.5</v>
      </c>
      <c r="AG305" s="4">
        <f t="shared" si="22"/>
        <v>625.79999999999995</v>
      </c>
      <c r="AH305" s="4">
        <f t="shared" si="23"/>
        <v>640.5</v>
      </c>
      <c r="AI305" s="6">
        <f t="shared" si="24"/>
        <v>4224.5</v>
      </c>
      <c r="AJ305" s="70">
        <f t="shared" si="25"/>
        <v>315.3</v>
      </c>
    </row>
    <row r="306" spans="1:36" x14ac:dyDescent="0.3">
      <c r="A306" t="s">
        <v>30</v>
      </c>
      <c r="B306">
        <v>2021</v>
      </c>
      <c r="C306" t="s">
        <v>39</v>
      </c>
      <c r="D306">
        <v>145.1</v>
      </c>
      <c r="E306">
        <v>204.5</v>
      </c>
      <c r="F306">
        <v>180.4</v>
      </c>
      <c r="G306">
        <v>157.1</v>
      </c>
      <c r="H306">
        <v>188.7</v>
      </c>
      <c r="I306">
        <v>157.69999999999999</v>
      </c>
      <c r="J306">
        <v>152.80000000000001</v>
      </c>
      <c r="K306">
        <v>163.6</v>
      </c>
      <c r="L306">
        <v>113.9</v>
      </c>
      <c r="M306">
        <v>169.7</v>
      </c>
      <c r="N306">
        <v>166.2</v>
      </c>
      <c r="O306">
        <v>171</v>
      </c>
      <c r="P306">
        <v>161.69999999999999</v>
      </c>
      <c r="Q306">
        <v>189.7</v>
      </c>
      <c r="R306">
        <v>166</v>
      </c>
      <c r="S306">
        <v>161.1</v>
      </c>
      <c r="T306">
        <v>165.3</v>
      </c>
      <c r="U306">
        <v>0</v>
      </c>
      <c r="V306" s="5">
        <v>162.5</v>
      </c>
      <c r="W306">
        <v>160.30000000000001</v>
      </c>
      <c r="X306">
        <v>170.4</v>
      </c>
      <c r="Y306">
        <v>157.1</v>
      </c>
      <c r="Z306">
        <v>160.69999999999999</v>
      </c>
      <c r="AA306">
        <v>167.2</v>
      </c>
      <c r="AB306">
        <v>160.4</v>
      </c>
      <c r="AC306">
        <v>162.80000000000001</v>
      </c>
      <c r="AD306">
        <v>163.19999999999999</v>
      </c>
      <c r="AE306" s="72">
        <f t="shared" si="20"/>
        <v>2322.1</v>
      </c>
      <c r="AF306" s="4">
        <f t="shared" si="21"/>
        <v>652.80000000000007</v>
      </c>
      <c r="AG306" s="4">
        <f t="shared" si="22"/>
        <v>479.9</v>
      </c>
      <c r="AH306" s="4">
        <f t="shared" si="23"/>
        <v>661.1</v>
      </c>
      <c r="AI306" s="6">
        <f t="shared" si="24"/>
        <v>4115.9000000000005</v>
      </c>
      <c r="AJ306" s="70">
        <f t="shared" si="25"/>
        <v>160.30000000000001</v>
      </c>
    </row>
    <row r="307" spans="1:36" x14ac:dyDescent="0.3">
      <c r="A307" t="s">
        <v>32</v>
      </c>
      <c r="B307">
        <v>2021</v>
      </c>
      <c r="C307" t="s">
        <v>39</v>
      </c>
      <c r="D307">
        <v>149.1</v>
      </c>
      <c r="E307">
        <v>210.9</v>
      </c>
      <c r="F307">
        <v>185</v>
      </c>
      <c r="G307">
        <v>158.19999999999999</v>
      </c>
      <c r="H307">
        <v>170.6</v>
      </c>
      <c r="I307">
        <v>170.9</v>
      </c>
      <c r="J307">
        <v>186.4</v>
      </c>
      <c r="K307">
        <v>164.7</v>
      </c>
      <c r="L307">
        <v>115.7</v>
      </c>
      <c r="M307">
        <v>165.5</v>
      </c>
      <c r="N307">
        <v>153.4</v>
      </c>
      <c r="O307">
        <v>173.5</v>
      </c>
      <c r="P307">
        <v>167.9</v>
      </c>
      <c r="Q307">
        <v>195.5</v>
      </c>
      <c r="R307">
        <v>157.9</v>
      </c>
      <c r="S307">
        <v>141.9</v>
      </c>
      <c r="T307">
        <v>155.5</v>
      </c>
      <c r="U307">
        <v>161.5</v>
      </c>
      <c r="V307" s="5">
        <v>157.69999999999999</v>
      </c>
      <c r="W307">
        <v>150.69999999999999</v>
      </c>
      <c r="X307">
        <v>161.5</v>
      </c>
      <c r="Y307">
        <v>149.5</v>
      </c>
      <c r="Z307">
        <v>151.19999999999999</v>
      </c>
      <c r="AA307">
        <v>160.30000000000001</v>
      </c>
      <c r="AB307">
        <v>159.6</v>
      </c>
      <c r="AC307">
        <v>155</v>
      </c>
      <c r="AD307">
        <v>161.80000000000001</v>
      </c>
      <c r="AE307" s="72">
        <f t="shared" si="20"/>
        <v>2367.3000000000002</v>
      </c>
      <c r="AF307" s="4">
        <f t="shared" si="21"/>
        <v>614.9</v>
      </c>
      <c r="AG307" s="4">
        <f t="shared" si="22"/>
        <v>619.4</v>
      </c>
      <c r="AH307" s="4">
        <f t="shared" si="23"/>
        <v>628</v>
      </c>
      <c r="AI307" s="6">
        <f t="shared" si="24"/>
        <v>4229.6000000000004</v>
      </c>
      <c r="AJ307" s="70">
        <f t="shared" si="25"/>
        <v>312.2</v>
      </c>
    </row>
    <row r="308" spans="1:36" x14ac:dyDescent="0.3">
      <c r="A308" t="s">
        <v>33</v>
      </c>
      <c r="B308">
        <v>2021</v>
      </c>
      <c r="C308" t="s">
        <v>39</v>
      </c>
      <c r="D308">
        <v>146.4</v>
      </c>
      <c r="E308">
        <v>206.8</v>
      </c>
      <c r="F308">
        <v>182.2</v>
      </c>
      <c r="G308">
        <v>157.5</v>
      </c>
      <c r="H308">
        <v>182.1</v>
      </c>
      <c r="I308">
        <v>163.9</v>
      </c>
      <c r="J308">
        <v>164.2</v>
      </c>
      <c r="K308">
        <v>164</v>
      </c>
      <c r="L308">
        <v>114.5</v>
      </c>
      <c r="M308">
        <v>168.3</v>
      </c>
      <c r="N308">
        <v>160.9</v>
      </c>
      <c r="O308">
        <v>172.2</v>
      </c>
      <c r="P308">
        <v>164</v>
      </c>
      <c r="Q308">
        <v>191.2</v>
      </c>
      <c r="R308">
        <v>162.80000000000001</v>
      </c>
      <c r="S308">
        <v>153.1</v>
      </c>
      <c r="T308">
        <v>161.4</v>
      </c>
      <c r="U308">
        <v>161.5</v>
      </c>
      <c r="V308" s="5">
        <v>160.69999999999999</v>
      </c>
      <c r="W308">
        <v>155.80000000000001</v>
      </c>
      <c r="X308">
        <v>167</v>
      </c>
      <c r="Y308">
        <v>153.1</v>
      </c>
      <c r="Z308">
        <v>155.30000000000001</v>
      </c>
      <c r="AA308">
        <v>163.19999999999999</v>
      </c>
      <c r="AB308">
        <v>160.1</v>
      </c>
      <c r="AC308">
        <v>159</v>
      </c>
      <c r="AD308">
        <v>162.5</v>
      </c>
      <c r="AE308" s="72">
        <f t="shared" si="20"/>
        <v>2338.1999999999998</v>
      </c>
      <c r="AF308" s="4">
        <f t="shared" si="21"/>
        <v>637.4</v>
      </c>
      <c r="AG308" s="4">
        <f t="shared" si="22"/>
        <v>631.1</v>
      </c>
      <c r="AH308" s="4">
        <f t="shared" si="23"/>
        <v>644.5</v>
      </c>
      <c r="AI308" s="6">
        <f t="shared" si="24"/>
        <v>4251.2</v>
      </c>
      <c r="AJ308" s="70">
        <f t="shared" si="25"/>
        <v>317.3</v>
      </c>
    </row>
    <row r="309" spans="1:36" x14ac:dyDescent="0.3">
      <c r="A309" t="s">
        <v>30</v>
      </c>
      <c r="B309">
        <v>2021</v>
      </c>
      <c r="C309" t="s">
        <v>40</v>
      </c>
      <c r="D309">
        <v>144.9</v>
      </c>
      <c r="E309">
        <v>202.3</v>
      </c>
      <c r="F309">
        <v>176.5</v>
      </c>
      <c r="G309">
        <v>157.5</v>
      </c>
      <c r="H309">
        <v>190.9</v>
      </c>
      <c r="I309">
        <v>155.69999999999999</v>
      </c>
      <c r="J309">
        <v>153.9</v>
      </c>
      <c r="K309">
        <v>162.80000000000001</v>
      </c>
      <c r="L309">
        <v>115.2</v>
      </c>
      <c r="M309">
        <v>169.8</v>
      </c>
      <c r="N309">
        <v>167.6</v>
      </c>
      <c r="O309">
        <v>171.9</v>
      </c>
      <c r="P309">
        <v>161.80000000000001</v>
      </c>
      <c r="Q309">
        <v>190.2</v>
      </c>
      <c r="R309">
        <v>167</v>
      </c>
      <c r="S309">
        <v>162.6</v>
      </c>
      <c r="T309">
        <v>166.3</v>
      </c>
      <c r="U309">
        <v>0</v>
      </c>
      <c r="V309" s="5">
        <v>163.1</v>
      </c>
      <c r="W309">
        <v>160.9</v>
      </c>
      <c r="X309">
        <v>171.1</v>
      </c>
      <c r="Y309">
        <v>157.69999999999999</v>
      </c>
      <c r="Z309">
        <v>161.1</v>
      </c>
      <c r="AA309">
        <v>167.5</v>
      </c>
      <c r="AB309">
        <v>160.30000000000001</v>
      </c>
      <c r="AC309">
        <v>163.30000000000001</v>
      </c>
      <c r="AD309">
        <v>163.6</v>
      </c>
      <c r="AE309" s="72">
        <f t="shared" si="20"/>
        <v>2321</v>
      </c>
      <c r="AF309" s="4">
        <f t="shared" si="21"/>
        <v>656.2</v>
      </c>
      <c r="AG309" s="4">
        <f t="shared" si="22"/>
        <v>481.7</v>
      </c>
      <c r="AH309" s="4">
        <f t="shared" si="23"/>
        <v>663</v>
      </c>
      <c r="AI309" s="6">
        <f t="shared" si="24"/>
        <v>4121.8999999999996</v>
      </c>
      <c r="AJ309" s="70">
        <f t="shared" si="25"/>
        <v>160.9</v>
      </c>
    </row>
    <row r="310" spans="1:36" x14ac:dyDescent="0.3">
      <c r="A310" t="s">
        <v>32</v>
      </c>
      <c r="B310">
        <v>2021</v>
      </c>
      <c r="C310" t="s">
        <v>40</v>
      </c>
      <c r="D310">
        <v>149.30000000000001</v>
      </c>
      <c r="E310">
        <v>207.4</v>
      </c>
      <c r="F310">
        <v>174.1</v>
      </c>
      <c r="G310">
        <v>159.19999999999999</v>
      </c>
      <c r="H310">
        <v>175</v>
      </c>
      <c r="I310">
        <v>161.30000000000001</v>
      </c>
      <c r="J310">
        <v>183.3</v>
      </c>
      <c r="K310">
        <v>164.5</v>
      </c>
      <c r="L310">
        <v>120.4</v>
      </c>
      <c r="M310">
        <v>166.2</v>
      </c>
      <c r="N310">
        <v>154.80000000000001</v>
      </c>
      <c r="O310">
        <v>175.1</v>
      </c>
      <c r="P310">
        <v>167.3</v>
      </c>
      <c r="Q310">
        <v>196.5</v>
      </c>
      <c r="R310">
        <v>159.80000000000001</v>
      </c>
      <c r="S310">
        <v>143.6</v>
      </c>
      <c r="T310">
        <v>157.30000000000001</v>
      </c>
      <c r="U310">
        <v>162.1</v>
      </c>
      <c r="V310" s="5">
        <v>160.69999999999999</v>
      </c>
      <c r="W310">
        <v>153.19999999999999</v>
      </c>
      <c r="X310">
        <v>162.80000000000001</v>
      </c>
      <c r="Y310">
        <v>150.4</v>
      </c>
      <c r="Z310">
        <v>153.69999999999999</v>
      </c>
      <c r="AA310">
        <v>160.4</v>
      </c>
      <c r="AB310">
        <v>159.6</v>
      </c>
      <c r="AC310">
        <v>156</v>
      </c>
      <c r="AD310">
        <v>162.30000000000001</v>
      </c>
      <c r="AE310" s="72">
        <f t="shared" si="20"/>
        <v>2354.4</v>
      </c>
      <c r="AF310" s="4">
        <f t="shared" si="21"/>
        <v>620.29999999999995</v>
      </c>
      <c r="AG310" s="4">
        <f t="shared" si="22"/>
        <v>626.4</v>
      </c>
      <c r="AH310" s="4">
        <f t="shared" si="23"/>
        <v>632.9</v>
      </c>
      <c r="AI310" s="6">
        <f t="shared" si="24"/>
        <v>4234</v>
      </c>
      <c r="AJ310" s="70">
        <f t="shared" si="25"/>
        <v>315.29999999999995</v>
      </c>
    </row>
    <row r="311" spans="1:36" x14ac:dyDescent="0.3">
      <c r="A311" t="s">
        <v>33</v>
      </c>
      <c r="B311">
        <v>2021</v>
      </c>
      <c r="C311" t="s">
        <v>40</v>
      </c>
      <c r="D311">
        <v>146.6</v>
      </c>
      <c r="E311">
        <v>204</v>
      </c>
      <c r="F311">
        <v>172.8</v>
      </c>
      <c r="G311">
        <v>158.4</v>
      </c>
      <c r="H311">
        <v>188</v>
      </c>
      <c r="I311">
        <v>156.80000000000001</v>
      </c>
      <c r="J311">
        <v>162.19999999999999</v>
      </c>
      <c r="K311">
        <v>164.1</v>
      </c>
      <c r="L311">
        <v>119.7</v>
      </c>
      <c r="M311">
        <v>168.8</v>
      </c>
      <c r="N311">
        <v>162.69999999999999</v>
      </c>
      <c r="O311">
        <v>173.9</v>
      </c>
      <c r="P311">
        <v>164</v>
      </c>
      <c r="Q311">
        <v>192.1</v>
      </c>
      <c r="R311">
        <v>164.5</v>
      </c>
      <c r="S311">
        <v>155.30000000000001</v>
      </c>
      <c r="T311">
        <v>163.19999999999999</v>
      </c>
      <c r="U311">
        <v>162.1</v>
      </c>
      <c r="V311" s="5">
        <v>162.6</v>
      </c>
      <c r="W311">
        <v>157.5</v>
      </c>
      <c r="X311">
        <v>168.4</v>
      </c>
      <c r="Y311">
        <v>154</v>
      </c>
      <c r="Z311">
        <v>157.6</v>
      </c>
      <c r="AA311">
        <v>163.80000000000001</v>
      </c>
      <c r="AB311">
        <v>160</v>
      </c>
      <c r="AC311">
        <v>160</v>
      </c>
      <c r="AD311">
        <v>163.19999999999999</v>
      </c>
      <c r="AE311" s="72">
        <f t="shared" si="20"/>
        <v>2334.1</v>
      </c>
      <c r="AF311" s="4">
        <f t="shared" si="21"/>
        <v>643</v>
      </c>
      <c r="AG311" s="4">
        <f t="shared" si="22"/>
        <v>636.20000000000005</v>
      </c>
      <c r="AH311" s="4">
        <f t="shared" si="23"/>
        <v>649.79999999999995</v>
      </c>
      <c r="AI311" s="6">
        <f t="shared" si="24"/>
        <v>4263.1000000000004</v>
      </c>
      <c r="AJ311" s="70">
        <f t="shared" si="25"/>
        <v>319.60000000000002</v>
      </c>
    </row>
    <row r="312" spans="1:36" x14ac:dyDescent="0.3">
      <c r="A312" t="s">
        <v>30</v>
      </c>
      <c r="B312">
        <v>2021</v>
      </c>
      <c r="C312" t="s">
        <v>41</v>
      </c>
      <c r="D312">
        <v>145.4</v>
      </c>
      <c r="E312">
        <v>202.1</v>
      </c>
      <c r="F312">
        <v>172</v>
      </c>
      <c r="G312">
        <v>158</v>
      </c>
      <c r="H312">
        <v>195.5</v>
      </c>
      <c r="I312">
        <v>152.69999999999999</v>
      </c>
      <c r="J312">
        <v>151.4</v>
      </c>
      <c r="K312">
        <v>163.9</v>
      </c>
      <c r="L312">
        <v>119.3</v>
      </c>
      <c r="M312">
        <v>170.1</v>
      </c>
      <c r="N312">
        <v>168.3</v>
      </c>
      <c r="O312">
        <v>172.8</v>
      </c>
      <c r="P312">
        <v>162.1</v>
      </c>
      <c r="Q312">
        <v>190.5</v>
      </c>
      <c r="R312">
        <v>167.7</v>
      </c>
      <c r="S312">
        <v>163.6</v>
      </c>
      <c r="T312">
        <v>167.1</v>
      </c>
      <c r="U312">
        <v>0</v>
      </c>
      <c r="V312" s="5">
        <v>163.69999999999999</v>
      </c>
      <c r="W312">
        <v>161.30000000000001</v>
      </c>
      <c r="X312">
        <v>171.9</v>
      </c>
      <c r="Y312">
        <v>157.80000000000001</v>
      </c>
      <c r="Z312">
        <v>162.69999999999999</v>
      </c>
      <c r="AA312">
        <v>168.5</v>
      </c>
      <c r="AB312">
        <v>160.19999999999999</v>
      </c>
      <c r="AC312">
        <v>163.80000000000001</v>
      </c>
      <c r="AD312">
        <v>164</v>
      </c>
      <c r="AE312" s="72">
        <f t="shared" si="20"/>
        <v>2324.1</v>
      </c>
      <c r="AF312" s="4">
        <f t="shared" si="21"/>
        <v>658.59999999999991</v>
      </c>
      <c r="AG312" s="4">
        <f t="shared" si="22"/>
        <v>482.8</v>
      </c>
      <c r="AH312" s="4">
        <f t="shared" si="23"/>
        <v>666.90000000000009</v>
      </c>
      <c r="AI312" s="6">
        <f t="shared" si="24"/>
        <v>4132.3999999999996</v>
      </c>
      <c r="AJ312" s="70">
        <f t="shared" si="25"/>
        <v>161.30000000000001</v>
      </c>
    </row>
    <row r="313" spans="1:36" x14ac:dyDescent="0.3">
      <c r="A313" t="s">
        <v>32</v>
      </c>
      <c r="B313">
        <v>2021</v>
      </c>
      <c r="C313" t="s">
        <v>41</v>
      </c>
      <c r="D313">
        <v>149.30000000000001</v>
      </c>
      <c r="E313">
        <v>207.4</v>
      </c>
      <c r="F313">
        <v>174.1</v>
      </c>
      <c r="G313">
        <v>159.1</v>
      </c>
      <c r="H313">
        <v>175</v>
      </c>
      <c r="I313">
        <v>161.19999999999999</v>
      </c>
      <c r="J313">
        <v>183.5</v>
      </c>
      <c r="K313">
        <v>164.5</v>
      </c>
      <c r="L313">
        <v>120.4</v>
      </c>
      <c r="M313">
        <v>166.2</v>
      </c>
      <c r="N313">
        <v>154.80000000000001</v>
      </c>
      <c r="O313">
        <v>175.1</v>
      </c>
      <c r="P313">
        <v>167.3</v>
      </c>
      <c r="Q313">
        <v>196.5</v>
      </c>
      <c r="R313">
        <v>159.80000000000001</v>
      </c>
      <c r="S313">
        <v>143.6</v>
      </c>
      <c r="T313">
        <v>157.4</v>
      </c>
      <c r="U313">
        <v>162.1</v>
      </c>
      <c r="V313" s="5">
        <v>160.80000000000001</v>
      </c>
      <c r="W313">
        <v>153.30000000000001</v>
      </c>
      <c r="X313">
        <v>162.80000000000001</v>
      </c>
      <c r="Y313">
        <v>150.5</v>
      </c>
      <c r="Z313">
        <v>153.9</v>
      </c>
      <c r="AA313">
        <v>160.30000000000001</v>
      </c>
      <c r="AB313">
        <v>159.6</v>
      </c>
      <c r="AC313">
        <v>156</v>
      </c>
      <c r="AD313">
        <v>162.30000000000001</v>
      </c>
      <c r="AE313" s="72">
        <f t="shared" si="20"/>
        <v>2354.4</v>
      </c>
      <c r="AF313" s="4">
        <f t="shared" si="21"/>
        <v>620.4</v>
      </c>
      <c r="AG313" s="4">
        <f t="shared" si="22"/>
        <v>626.70000000000005</v>
      </c>
      <c r="AH313" s="4">
        <f t="shared" si="23"/>
        <v>633</v>
      </c>
      <c r="AI313" s="6">
        <f t="shared" si="24"/>
        <v>4234.5</v>
      </c>
      <c r="AJ313" s="70">
        <f t="shared" si="25"/>
        <v>315.39999999999998</v>
      </c>
    </row>
    <row r="314" spans="1:36" x14ac:dyDescent="0.3">
      <c r="A314" t="s">
        <v>33</v>
      </c>
      <c r="B314">
        <v>2021</v>
      </c>
      <c r="C314" t="s">
        <v>41</v>
      </c>
      <c r="D314">
        <v>146.6</v>
      </c>
      <c r="E314">
        <v>204</v>
      </c>
      <c r="F314">
        <v>172.8</v>
      </c>
      <c r="G314">
        <v>158.4</v>
      </c>
      <c r="H314">
        <v>188</v>
      </c>
      <c r="I314">
        <v>156.69999999999999</v>
      </c>
      <c r="J314">
        <v>162.30000000000001</v>
      </c>
      <c r="K314">
        <v>164.1</v>
      </c>
      <c r="L314">
        <v>119.7</v>
      </c>
      <c r="M314">
        <v>168.8</v>
      </c>
      <c r="N314">
        <v>162.69999999999999</v>
      </c>
      <c r="O314">
        <v>173.9</v>
      </c>
      <c r="P314">
        <v>164</v>
      </c>
      <c r="Q314">
        <v>192.1</v>
      </c>
      <c r="R314">
        <v>164.6</v>
      </c>
      <c r="S314">
        <v>155.30000000000001</v>
      </c>
      <c r="T314">
        <v>163.30000000000001</v>
      </c>
      <c r="U314">
        <v>162.1</v>
      </c>
      <c r="V314" s="5">
        <v>162.6</v>
      </c>
      <c r="W314">
        <v>157.5</v>
      </c>
      <c r="X314">
        <v>168.4</v>
      </c>
      <c r="Y314">
        <v>154</v>
      </c>
      <c r="Z314">
        <v>157.69999999999999</v>
      </c>
      <c r="AA314">
        <v>163.69999999999999</v>
      </c>
      <c r="AB314">
        <v>160</v>
      </c>
      <c r="AC314">
        <v>160</v>
      </c>
      <c r="AD314">
        <v>163.19999999999999</v>
      </c>
      <c r="AE314" s="72">
        <f t="shared" si="20"/>
        <v>2334.1</v>
      </c>
      <c r="AF314" s="4">
        <f t="shared" si="21"/>
        <v>643.20000000000005</v>
      </c>
      <c r="AG314" s="4">
        <f t="shared" si="22"/>
        <v>636.20000000000005</v>
      </c>
      <c r="AH314" s="4">
        <f t="shared" si="23"/>
        <v>649.79999999999995</v>
      </c>
      <c r="AI314" s="6">
        <f t="shared" si="24"/>
        <v>4263.3</v>
      </c>
      <c r="AJ314" s="70">
        <f t="shared" si="25"/>
        <v>319.60000000000002</v>
      </c>
    </row>
    <row r="315" spans="1:36" x14ac:dyDescent="0.3">
      <c r="A315" t="s">
        <v>30</v>
      </c>
      <c r="B315">
        <v>2021</v>
      </c>
      <c r="C315" t="s">
        <v>42</v>
      </c>
      <c r="D315">
        <v>146.1</v>
      </c>
      <c r="E315">
        <v>202.5</v>
      </c>
      <c r="F315">
        <v>170.1</v>
      </c>
      <c r="G315">
        <v>158.4</v>
      </c>
      <c r="H315">
        <v>198.8</v>
      </c>
      <c r="I315">
        <v>152.6</v>
      </c>
      <c r="J315">
        <v>170.4</v>
      </c>
      <c r="K315">
        <v>165.2</v>
      </c>
      <c r="L315">
        <v>121.6</v>
      </c>
      <c r="M315">
        <v>170.6</v>
      </c>
      <c r="N315">
        <v>168.8</v>
      </c>
      <c r="O315">
        <v>173.6</v>
      </c>
      <c r="P315">
        <v>165.5</v>
      </c>
      <c r="Q315">
        <v>191.2</v>
      </c>
      <c r="R315">
        <v>168.9</v>
      </c>
      <c r="S315">
        <v>164.8</v>
      </c>
      <c r="T315">
        <v>168.3</v>
      </c>
      <c r="U315">
        <v>0</v>
      </c>
      <c r="V315" s="5">
        <v>165.5</v>
      </c>
      <c r="W315">
        <v>162</v>
      </c>
      <c r="X315">
        <v>172.5</v>
      </c>
      <c r="Y315">
        <v>159.5</v>
      </c>
      <c r="Z315">
        <v>163.19999999999999</v>
      </c>
      <c r="AA315">
        <v>169</v>
      </c>
      <c r="AB315">
        <v>161.1</v>
      </c>
      <c r="AC315">
        <v>164.7</v>
      </c>
      <c r="AD315">
        <v>166.3</v>
      </c>
      <c r="AE315" s="72">
        <f t="shared" si="20"/>
        <v>2355.3999999999996</v>
      </c>
      <c r="AF315" s="4">
        <f t="shared" si="21"/>
        <v>663.1</v>
      </c>
      <c r="AG315" s="4">
        <f t="shared" si="22"/>
        <v>487</v>
      </c>
      <c r="AH315" s="4">
        <f t="shared" si="23"/>
        <v>669.4</v>
      </c>
      <c r="AI315" s="6">
        <f t="shared" si="24"/>
        <v>4174.8999999999996</v>
      </c>
      <c r="AJ315" s="70">
        <f t="shared" si="25"/>
        <v>162</v>
      </c>
    </row>
    <row r="316" spans="1:36" x14ac:dyDescent="0.3">
      <c r="A316" t="s">
        <v>32</v>
      </c>
      <c r="B316">
        <v>2021</v>
      </c>
      <c r="C316" t="s">
        <v>42</v>
      </c>
      <c r="D316">
        <v>150.1</v>
      </c>
      <c r="E316">
        <v>208.4</v>
      </c>
      <c r="F316">
        <v>173</v>
      </c>
      <c r="G316">
        <v>159.19999999999999</v>
      </c>
      <c r="H316">
        <v>176.6</v>
      </c>
      <c r="I316">
        <v>159.30000000000001</v>
      </c>
      <c r="J316">
        <v>214.4</v>
      </c>
      <c r="K316">
        <v>165.3</v>
      </c>
      <c r="L316">
        <v>122.5</v>
      </c>
      <c r="M316">
        <v>166.8</v>
      </c>
      <c r="N316">
        <v>155.4</v>
      </c>
      <c r="O316">
        <v>175.9</v>
      </c>
      <c r="P316">
        <v>171.5</v>
      </c>
      <c r="Q316">
        <v>197</v>
      </c>
      <c r="R316">
        <v>160.80000000000001</v>
      </c>
      <c r="S316">
        <v>144.4</v>
      </c>
      <c r="T316">
        <v>158.30000000000001</v>
      </c>
      <c r="U316">
        <v>163.6</v>
      </c>
      <c r="V316" s="5">
        <v>162.19999999999999</v>
      </c>
      <c r="W316">
        <v>154.30000000000001</v>
      </c>
      <c r="X316">
        <v>163.5</v>
      </c>
      <c r="Y316">
        <v>152.19999999999999</v>
      </c>
      <c r="Z316">
        <v>155.1</v>
      </c>
      <c r="AA316">
        <v>160.30000000000001</v>
      </c>
      <c r="AB316">
        <v>160.30000000000001</v>
      </c>
      <c r="AC316">
        <v>157</v>
      </c>
      <c r="AD316">
        <v>164.6</v>
      </c>
      <c r="AE316" s="72">
        <f t="shared" si="20"/>
        <v>2395.4000000000005</v>
      </c>
      <c r="AF316" s="4">
        <f t="shared" si="21"/>
        <v>623.80000000000007</v>
      </c>
      <c r="AG316" s="4">
        <f t="shared" si="22"/>
        <v>632.29999999999995</v>
      </c>
      <c r="AH316" s="4">
        <f t="shared" si="23"/>
        <v>635.90000000000009</v>
      </c>
      <c r="AI316" s="6">
        <f t="shared" si="24"/>
        <v>4287.4000000000015</v>
      </c>
      <c r="AJ316" s="70">
        <f t="shared" si="25"/>
        <v>317.89999999999998</v>
      </c>
    </row>
    <row r="317" spans="1:36" x14ac:dyDescent="0.3">
      <c r="A317" t="s">
        <v>33</v>
      </c>
      <c r="B317">
        <v>2021</v>
      </c>
      <c r="C317" t="s">
        <v>42</v>
      </c>
      <c r="D317">
        <v>147.4</v>
      </c>
      <c r="E317">
        <v>204.6</v>
      </c>
      <c r="F317">
        <v>171.2</v>
      </c>
      <c r="G317">
        <v>158.69999999999999</v>
      </c>
      <c r="H317">
        <v>190.6</v>
      </c>
      <c r="I317">
        <v>155.69999999999999</v>
      </c>
      <c r="J317">
        <v>185.3</v>
      </c>
      <c r="K317">
        <v>165.2</v>
      </c>
      <c r="L317">
        <v>121.9</v>
      </c>
      <c r="M317">
        <v>169.3</v>
      </c>
      <c r="N317">
        <v>163.19999999999999</v>
      </c>
      <c r="O317">
        <v>174.7</v>
      </c>
      <c r="P317">
        <v>167.7</v>
      </c>
      <c r="Q317">
        <v>192.7</v>
      </c>
      <c r="R317">
        <v>165.7</v>
      </c>
      <c r="S317">
        <v>156.30000000000001</v>
      </c>
      <c r="T317">
        <v>164.3</v>
      </c>
      <c r="U317">
        <v>163.6</v>
      </c>
      <c r="V317" s="5">
        <v>164.2</v>
      </c>
      <c r="W317">
        <v>158.4</v>
      </c>
      <c r="X317">
        <v>169.1</v>
      </c>
      <c r="Y317">
        <v>155.69999999999999</v>
      </c>
      <c r="Z317">
        <v>158.6</v>
      </c>
      <c r="AA317">
        <v>163.9</v>
      </c>
      <c r="AB317">
        <v>160.80000000000001</v>
      </c>
      <c r="AC317">
        <v>161</v>
      </c>
      <c r="AD317">
        <v>165.5</v>
      </c>
      <c r="AE317" s="72">
        <f t="shared" si="20"/>
        <v>2368.1999999999998</v>
      </c>
      <c r="AF317" s="4">
        <f t="shared" si="21"/>
        <v>647.1</v>
      </c>
      <c r="AG317" s="4">
        <f t="shared" si="22"/>
        <v>641.89999999999986</v>
      </c>
      <c r="AH317" s="4">
        <f t="shared" si="23"/>
        <v>652.6</v>
      </c>
      <c r="AI317" s="6">
        <f t="shared" si="24"/>
        <v>4309.8</v>
      </c>
      <c r="AJ317" s="70">
        <f t="shared" si="25"/>
        <v>322</v>
      </c>
    </row>
    <row r="318" spans="1:36" x14ac:dyDescent="0.3">
      <c r="A318" t="s">
        <v>30</v>
      </c>
      <c r="B318">
        <v>2021</v>
      </c>
      <c r="C318" t="s">
        <v>44</v>
      </c>
      <c r="D318">
        <v>146.9</v>
      </c>
      <c r="E318">
        <v>199.8</v>
      </c>
      <c r="F318">
        <v>171.5</v>
      </c>
      <c r="G318">
        <v>159.1</v>
      </c>
      <c r="H318">
        <v>198.4</v>
      </c>
      <c r="I318">
        <v>153.19999999999999</v>
      </c>
      <c r="J318">
        <v>183.9</v>
      </c>
      <c r="K318">
        <v>165.4</v>
      </c>
      <c r="L318">
        <v>122.1</v>
      </c>
      <c r="M318">
        <v>170.8</v>
      </c>
      <c r="N318">
        <v>169.1</v>
      </c>
      <c r="O318">
        <v>174.3</v>
      </c>
      <c r="P318">
        <v>167.5</v>
      </c>
      <c r="Q318">
        <v>191.4</v>
      </c>
      <c r="R318">
        <v>170.4</v>
      </c>
      <c r="S318">
        <v>166</v>
      </c>
      <c r="T318">
        <v>169.8</v>
      </c>
      <c r="U318">
        <v>0</v>
      </c>
      <c r="V318" s="5">
        <v>165.3</v>
      </c>
      <c r="W318">
        <v>162.9</v>
      </c>
      <c r="X318">
        <v>173.4</v>
      </c>
      <c r="Y318">
        <v>158.9</v>
      </c>
      <c r="Z318">
        <v>163.80000000000001</v>
      </c>
      <c r="AA318">
        <v>169.3</v>
      </c>
      <c r="AB318">
        <v>162.4</v>
      </c>
      <c r="AC318">
        <v>165.2</v>
      </c>
      <c r="AD318">
        <v>167.6</v>
      </c>
      <c r="AE318" s="72">
        <f t="shared" si="20"/>
        <v>2373.4</v>
      </c>
      <c r="AF318" s="4">
        <f t="shared" si="21"/>
        <v>668.6</v>
      </c>
      <c r="AG318" s="4">
        <f t="shared" si="22"/>
        <v>487.1</v>
      </c>
      <c r="AH318" s="4">
        <f t="shared" si="23"/>
        <v>671.7</v>
      </c>
      <c r="AI318" s="6">
        <f t="shared" si="24"/>
        <v>4200.8</v>
      </c>
      <c r="AJ318" s="70">
        <f t="shared" si="25"/>
        <v>162.9</v>
      </c>
    </row>
    <row r="319" spans="1:36" x14ac:dyDescent="0.3">
      <c r="A319" t="s">
        <v>32</v>
      </c>
      <c r="B319">
        <v>2021</v>
      </c>
      <c r="C319" t="s">
        <v>44</v>
      </c>
      <c r="D319">
        <v>151</v>
      </c>
      <c r="E319">
        <v>204.9</v>
      </c>
      <c r="F319">
        <v>175.4</v>
      </c>
      <c r="G319">
        <v>159.6</v>
      </c>
      <c r="H319">
        <v>175.8</v>
      </c>
      <c r="I319">
        <v>160.30000000000001</v>
      </c>
      <c r="J319">
        <v>229.1</v>
      </c>
      <c r="K319">
        <v>165.1</v>
      </c>
      <c r="L319">
        <v>123.1</v>
      </c>
      <c r="M319">
        <v>167.2</v>
      </c>
      <c r="N319">
        <v>156.1</v>
      </c>
      <c r="O319">
        <v>176.8</v>
      </c>
      <c r="P319">
        <v>173.5</v>
      </c>
      <c r="Q319">
        <v>197</v>
      </c>
      <c r="R319">
        <v>162.30000000000001</v>
      </c>
      <c r="S319">
        <v>145.30000000000001</v>
      </c>
      <c r="T319">
        <v>159.69999999999999</v>
      </c>
      <c r="U319">
        <v>164.2</v>
      </c>
      <c r="V319" s="5">
        <v>161.6</v>
      </c>
      <c r="W319">
        <v>155.19999999999999</v>
      </c>
      <c r="X319">
        <v>164.2</v>
      </c>
      <c r="Y319">
        <v>151.19999999999999</v>
      </c>
      <c r="Z319">
        <v>156.69999999999999</v>
      </c>
      <c r="AA319">
        <v>160.80000000000001</v>
      </c>
      <c r="AB319">
        <v>161.80000000000001</v>
      </c>
      <c r="AC319">
        <v>157.30000000000001</v>
      </c>
      <c r="AD319">
        <v>165.6</v>
      </c>
      <c r="AE319" s="72">
        <f t="shared" si="20"/>
        <v>2414.8999999999996</v>
      </c>
      <c r="AF319" s="4">
        <f t="shared" si="21"/>
        <v>629.1</v>
      </c>
      <c r="AG319" s="4">
        <f t="shared" si="22"/>
        <v>632.19999999999993</v>
      </c>
      <c r="AH319" s="4">
        <f t="shared" si="23"/>
        <v>639</v>
      </c>
      <c r="AI319" s="6">
        <f t="shared" si="24"/>
        <v>4315.1999999999989</v>
      </c>
      <c r="AJ319" s="70">
        <f t="shared" si="25"/>
        <v>319.39999999999998</v>
      </c>
    </row>
    <row r="320" spans="1:36" x14ac:dyDescent="0.3">
      <c r="A320" t="s">
        <v>33</v>
      </c>
      <c r="B320">
        <v>2021</v>
      </c>
      <c r="C320" t="s">
        <v>44</v>
      </c>
      <c r="D320">
        <v>148.19999999999999</v>
      </c>
      <c r="E320">
        <v>201.6</v>
      </c>
      <c r="F320">
        <v>173</v>
      </c>
      <c r="G320">
        <v>159.30000000000001</v>
      </c>
      <c r="H320">
        <v>190.1</v>
      </c>
      <c r="I320">
        <v>156.5</v>
      </c>
      <c r="J320">
        <v>199.2</v>
      </c>
      <c r="K320">
        <v>165.3</v>
      </c>
      <c r="L320">
        <v>122.4</v>
      </c>
      <c r="M320">
        <v>169.6</v>
      </c>
      <c r="N320">
        <v>163.69999999999999</v>
      </c>
      <c r="O320">
        <v>175.5</v>
      </c>
      <c r="P320">
        <v>169.7</v>
      </c>
      <c r="Q320">
        <v>192.9</v>
      </c>
      <c r="R320">
        <v>167.2</v>
      </c>
      <c r="S320">
        <v>157.4</v>
      </c>
      <c r="T320">
        <v>165.8</v>
      </c>
      <c r="U320">
        <v>164.2</v>
      </c>
      <c r="V320" s="5">
        <v>163.9</v>
      </c>
      <c r="W320">
        <v>159.30000000000001</v>
      </c>
      <c r="X320">
        <v>169.9</v>
      </c>
      <c r="Y320">
        <v>154.80000000000001</v>
      </c>
      <c r="Z320">
        <v>159.80000000000001</v>
      </c>
      <c r="AA320">
        <v>164.3</v>
      </c>
      <c r="AB320">
        <v>162.19999999999999</v>
      </c>
      <c r="AC320">
        <v>161.4</v>
      </c>
      <c r="AD320">
        <v>166.7</v>
      </c>
      <c r="AE320" s="72">
        <f t="shared" si="20"/>
        <v>2387</v>
      </c>
      <c r="AF320" s="4">
        <f t="shared" si="21"/>
        <v>652.6</v>
      </c>
      <c r="AG320" s="4">
        <f t="shared" si="22"/>
        <v>642.20000000000005</v>
      </c>
      <c r="AH320" s="4">
        <f t="shared" si="23"/>
        <v>655.40000000000009</v>
      </c>
      <c r="AI320" s="6">
        <f t="shared" si="24"/>
        <v>4337.2000000000007</v>
      </c>
      <c r="AJ320" s="70">
        <f t="shared" si="25"/>
        <v>323.5</v>
      </c>
    </row>
    <row r="321" spans="1:36" x14ac:dyDescent="0.3">
      <c r="A321" t="s">
        <v>30</v>
      </c>
      <c r="B321">
        <v>2021</v>
      </c>
      <c r="C321" t="s">
        <v>45</v>
      </c>
      <c r="D321">
        <v>147.4</v>
      </c>
      <c r="E321">
        <v>197</v>
      </c>
      <c r="F321">
        <v>176.5</v>
      </c>
      <c r="G321">
        <v>159.80000000000001</v>
      </c>
      <c r="H321">
        <v>195.8</v>
      </c>
      <c r="I321">
        <v>152</v>
      </c>
      <c r="J321">
        <v>172.3</v>
      </c>
      <c r="K321">
        <v>164.5</v>
      </c>
      <c r="L321">
        <v>120.6</v>
      </c>
      <c r="M321">
        <v>171.7</v>
      </c>
      <c r="N321">
        <v>169.7</v>
      </c>
      <c r="O321">
        <v>175.1</v>
      </c>
      <c r="P321">
        <v>165.8</v>
      </c>
      <c r="Q321">
        <v>190.8</v>
      </c>
      <c r="R321">
        <v>171.8</v>
      </c>
      <c r="S321">
        <v>167.3</v>
      </c>
      <c r="T321">
        <v>171.2</v>
      </c>
      <c r="U321">
        <v>0</v>
      </c>
      <c r="V321" s="5">
        <v>165.6</v>
      </c>
      <c r="W321">
        <v>163.9</v>
      </c>
      <c r="X321">
        <v>174</v>
      </c>
      <c r="Y321">
        <v>160.1</v>
      </c>
      <c r="Z321">
        <v>164.5</v>
      </c>
      <c r="AA321">
        <v>169.7</v>
      </c>
      <c r="AB321">
        <v>162.80000000000001</v>
      </c>
      <c r="AC321">
        <v>166</v>
      </c>
      <c r="AD321">
        <v>167</v>
      </c>
      <c r="AE321" s="72">
        <f t="shared" si="20"/>
        <v>2359</v>
      </c>
      <c r="AF321" s="4">
        <f t="shared" si="21"/>
        <v>673.1</v>
      </c>
      <c r="AG321" s="4">
        <f t="shared" si="22"/>
        <v>489.6</v>
      </c>
      <c r="AH321" s="4">
        <f t="shared" si="23"/>
        <v>674.2</v>
      </c>
      <c r="AI321" s="6">
        <f t="shared" si="24"/>
        <v>4195.8999999999996</v>
      </c>
      <c r="AJ321" s="70">
        <f t="shared" si="25"/>
        <v>163.9</v>
      </c>
    </row>
    <row r="322" spans="1:36" x14ac:dyDescent="0.3">
      <c r="A322" t="s">
        <v>32</v>
      </c>
      <c r="B322">
        <v>2021</v>
      </c>
      <c r="C322" t="s">
        <v>45</v>
      </c>
      <c r="D322">
        <v>151.6</v>
      </c>
      <c r="E322">
        <v>202.2</v>
      </c>
      <c r="F322">
        <v>180</v>
      </c>
      <c r="G322">
        <v>160</v>
      </c>
      <c r="H322">
        <v>173.5</v>
      </c>
      <c r="I322">
        <v>158.30000000000001</v>
      </c>
      <c r="J322">
        <v>219.5</v>
      </c>
      <c r="K322">
        <v>164.2</v>
      </c>
      <c r="L322">
        <v>121.9</v>
      </c>
      <c r="M322">
        <v>168.2</v>
      </c>
      <c r="N322">
        <v>156.5</v>
      </c>
      <c r="O322">
        <v>178.2</v>
      </c>
      <c r="P322">
        <v>172.2</v>
      </c>
      <c r="Q322">
        <v>196.8</v>
      </c>
      <c r="R322">
        <v>163.30000000000001</v>
      </c>
      <c r="S322">
        <v>146.69999999999999</v>
      </c>
      <c r="T322">
        <v>160.69999999999999</v>
      </c>
      <c r="U322">
        <v>163.4</v>
      </c>
      <c r="V322" s="5">
        <v>161.69999999999999</v>
      </c>
      <c r="W322">
        <v>156</v>
      </c>
      <c r="X322">
        <v>165.1</v>
      </c>
      <c r="Y322">
        <v>151.80000000000001</v>
      </c>
      <c r="Z322">
        <v>157.6</v>
      </c>
      <c r="AA322">
        <v>160.6</v>
      </c>
      <c r="AB322">
        <v>162.4</v>
      </c>
      <c r="AC322">
        <v>157.80000000000001</v>
      </c>
      <c r="AD322">
        <v>165.2</v>
      </c>
      <c r="AE322" s="72">
        <f t="shared" si="20"/>
        <v>2403.1000000000004</v>
      </c>
      <c r="AF322" s="4">
        <f t="shared" si="21"/>
        <v>633.1</v>
      </c>
      <c r="AG322" s="4">
        <f t="shared" si="22"/>
        <v>632.90000000000009</v>
      </c>
      <c r="AH322" s="4">
        <f t="shared" si="23"/>
        <v>641.09999999999991</v>
      </c>
      <c r="AI322" s="6">
        <f t="shared" si="24"/>
        <v>4310.2000000000007</v>
      </c>
      <c r="AJ322" s="70">
        <f t="shared" si="25"/>
        <v>319.39999999999998</v>
      </c>
    </row>
    <row r="323" spans="1:36" x14ac:dyDescent="0.3">
      <c r="A323" t="s">
        <v>33</v>
      </c>
      <c r="B323">
        <v>2021</v>
      </c>
      <c r="C323" t="s">
        <v>45</v>
      </c>
      <c r="D323">
        <v>148.69999999999999</v>
      </c>
      <c r="E323">
        <v>198.8</v>
      </c>
      <c r="F323">
        <v>177.9</v>
      </c>
      <c r="G323">
        <v>159.9</v>
      </c>
      <c r="H323">
        <v>187.6</v>
      </c>
      <c r="I323">
        <v>154.9</v>
      </c>
      <c r="J323">
        <v>188.3</v>
      </c>
      <c r="K323">
        <v>164.4</v>
      </c>
      <c r="L323">
        <v>121</v>
      </c>
      <c r="M323">
        <v>170.5</v>
      </c>
      <c r="N323">
        <v>164.2</v>
      </c>
      <c r="O323">
        <v>176.5</v>
      </c>
      <c r="P323">
        <v>168.2</v>
      </c>
      <c r="Q323">
        <v>192.4</v>
      </c>
      <c r="R323">
        <v>168.5</v>
      </c>
      <c r="S323">
        <v>158.69999999999999</v>
      </c>
      <c r="T323">
        <v>167</v>
      </c>
      <c r="U323">
        <v>163.4</v>
      </c>
      <c r="V323" s="5">
        <v>164.1</v>
      </c>
      <c r="W323">
        <v>160.19999999999999</v>
      </c>
      <c r="X323">
        <v>170.6</v>
      </c>
      <c r="Y323">
        <v>155.69999999999999</v>
      </c>
      <c r="Z323">
        <v>160.6</v>
      </c>
      <c r="AA323">
        <v>164.4</v>
      </c>
      <c r="AB323">
        <v>162.6</v>
      </c>
      <c r="AC323">
        <v>162</v>
      </c>
      <c r="AD323">
        <v>166.2</v>
      </c>
      <c r="AE323" s="72">
        <f t="shared" ref="AE323:AE374" si="26">SUM(D323:Q323)</f>
        <v>2373.3000000000002</v>
      </c>
      <c r="AF323" s="4">
        <f t="shared" ref="AF323:AF374" si="27">SUM(R323:T323,AB323)</f>
        <v>656.8</v>
      </c>
      <c r="AG323" s="4">
        <f t="shared" ref="AG323:AG374" si="28">SUM(U323:W323,Y323)</f>
        <v>643.4</v>
      </c>
      <c r="AH323" s="4">
        <f t="shared" ref="AH323:AH374" si="29">X323+Z323+AA323+AC323</f>
        <v>657.6</v>
      </c>
      <c r="AI323" s="6">
        <f t="shared" ref="AI323:AI374" si="30">SUM(AE323:AH323)</f>
        <v>4331.1000000000004</v>
      </c>
      <c r="AJ323" s="70">
        <f t="shared" si="25"/>
        <v>323.60000000000002</v>
      </c>
    </row>
    <row r="324" spans="1:36" x14ac:dyDescent="0.3">
      <c r="A324" t="s">
        <v>30</v>
      </c>
      <c r="B324">
        <v>2022</v>
      </c>
      <c r="C324" t="s">
        <v>31</v>
      </c>
      <c r="D324">
        <v>148.30000000000001</v>
      </c>
      <c r="E324">
        <v>196.9</v>
      </c>
      <c r="F324">
        <v>178</v>
      </c>
      <c r="G324">
        <v>160.5</v>
      </c>
      <c r="H324">
        <v>192.6</v>
      </c>
      <c r="I324">
        <v>151.19999999999999</v>
      </c>
      <c r="J324">
        <v>159.19999999999999</v>
      </c>
      <c r="K324">
        <v>164</v>
      </c>
      <c r="L324">
        <v>119.3</v>
      </c>
      <c r="M324">
        <v>173.3</v>
      </c>
      <c r="N324">
        <v>169.8</v>
      </c>
      <c r="O324">
        <v>175.8</v>
      </c>
      <c r="P324">
        <v>164.1</v>
      </c>
      <c r="Q324">
        <v>190.7</v>
      </c>
      <c r="R324">
        <v>173.2</v>
      </c>
      <c r="S324">
        <v>169.3</v>
      </c>
      <c r="T324">
        <v>172.7</v>
      </c>
      <c r="U324">
        <v>0</v>
      </c>
      <c r="V324" s="5">
        <v>165.8</v>
      </c>
      <c r="W324">
        <v>164.9</v>
      </c>
      <c r="X324">
        <v>174.7</v>
      </c>
      <c r="Y324">
        <v>160.80000000000001</v>
      </c>
      <c r="Z324">
        <v>164.9</v>
      </c>
      <c r="AA324">
        <v>169.9</v>
      </c>
      <c r="AB324">
        <v>163.19999999999999</v>
      </c>
      <c r="AC324">
        <v>166.6</v>
      </c>
      <c r="AD324">
        <v>166.4</v>
      </c>
      <c r="AE324" s="72">
        <f t="shared" si="26"/>
        <v>2343.6999999999998</v>
      </c>
      <c r="AF324" s="4">
        <f t="shared" si="27"/>
        <v>678.40000000000009</v>
      </c>
      <c r="AG324" s="4">
        <f t="shared" si="28"/>
        <v>491.50000000000006</v>
      </c>
      <c r="AH324" s="4">
        <f t="shared" si="29"/>
        <v>676.1</v>
      </c>
      <c r="AI324" s="6">
        <f t="shared" si="30"/>
        <v>4189.7</v>
      </c>
      <c r="AJ324" s="70">
        <f t="shared" si="25"/>
        <v>164.9</v>
      </c>
    </row>
    <row r="325" spans="1:36" x14ac:dyDescent="0.3">
      <c r="A325" t="s">
        <v>32</v>
      </c>
      <c r="B325">
        <v>2022</v>
      </c>
      <c r="C325" t="s">
        <v>31</v>
      </c>
      <c r="D325">
        <v>152.19999999999999</v>
      </c>
      <c r="E325">
        <v>202.1</v>
      </c>
      <c r="F325">
        <v>180.1</v>
      </c>
      <c r="G325">
        <v>160.4</v>
      </c>
      <c r="H325">
        <v>171</v>
      </c>
      <c r="I325">
        <v>156.5</v>
      </c>
      <c r="J325">
        <v>203.6</v>
      </c>
      <c r="K325">
        <v>163.80000000000001</v>
      </c>
      <c r="L325">
        <v>121.3</v>
      </c>
      <c r="M325">
        <v>169.8</v>
      </c>
      <c r="N325">
        <v>156.6</v>
      </c>
      <c r="O325">
        <v>179</v>
      </c>
      <c r="P325">
        <v>170.3</v>
      </c>
      <c r="Q325">
        <v>196.4</v>
      </c>
      <c r="R325">
        <v>164.7</v>
      </c>
      <c r="S325">
        <v>148.5</v>
      </c>
      <c r="T325">
        <v>162.19999999999999</v>
      </c>
      <c r="U325">
        <v>164.5</v>
      </c>
      <c r="V325" s="5">
        <v>161.6</v>
      </c>
      <c r="W325">
        <v>156.80000000000001</v>
      </c>
      <c r="X325">
        <v>166.1</v>
      </c>
      <c r="Y325">
        <v>152.69999999999999</v>
      </c>
      <c r="Z325">
        <v>158.4</v>
      </c>
      <c r="AA325">
        <v>161</v>
      </c>
      <c r="AB325">
        <v>162.80000000000001</v>
      </c>
      <c r="AC325">
        <v>158.6</v>
      </c>
      <c r="AD325">
        <v>165</v>
      </c>
      <c r="AE325" s="72">
        <f t="shared" si="26"/>
        <v>2383.1</v>
      </c>
      <c r="AF325" s="4">
        <f t="shared" si="27"/>
        <v>638.20000000000005</v>
      </c>
      <c r="AG325" s="4">
        <f t="shared" si="28"/>
        <v>635.6</v>
      </c>
      <c r="AH325" s="4">
        <f t="shared" si="29"/>
        <v>644.1</v>
      </c>
      <c r="AI325" s="6">
        <f t="shared" si="30"/>
        <v>4301</v>
      </c>
      <c r="AJ325" s="70">
        <f t="shared" si="25"/>
        <v>321.3</v>
      </c>
    </row>
    <row r="326" spans="1:36" x14ac:dyDescent="0.3">
      <c r="A326" t="s">
        <v>33</v>
      </c>
      <c r="B326">
        <v>2022</v>
      </c>
      <c r="C326" t="s">
        <v>31</v>
      </c>
      <c r="D326">
        <v>149.5</v>
      </c>
      <c r="E326">
        <v>198.7</v>
      </c>
      <c r="F326">
        <v>178.8</v>
      </c>
      <c r="G326">
        <v>160.5</v>
      </c>
      <c r="H326">
        <v>184.7</v>
      </c>
      <c r="I326">
        <v>153.69999999999999</v>
      </c>
      <c r="J326">
        <v>174.3</v>
      </c>
      <c r="K326">
        <v>163.9</v>
      </c>
      <c r="L326">
        <v>120</v>
      </c>
      <c r="M326">
        <v>172.1</v>
      </c>
      <c r="N326">
        <v>164.3</v>
      </c>
      <c r="O326">
        <v>177.3</v>
      </c>
      <c r="P326">
        <v>166.4</v>
      </c>
      <c r="Q326">
        <v>192.2</v>
      </c>
      <c r="R326">
        <v>169.9</v>
      </c>
      <c r="S326">
        <v>160.69999999999999</v>
      </c>
      <c r="T326">
        <v>168.5</v>
      </c>
      <c r="U326">
        <v>164.5</v>
      </c>
      <c r="V326" s="5">
        <v>164.2</v>
      </c>
      <c r="W326">
        <v>161.1</v>
      </c>
      <c r="X326">
        <v>171.4</v>
      </c>
      <c r="Y326">
        <v>156.5</v>
      </c>
      <c r="Z326">
        <v>161.19999999999999</v>
      </c>
      <c r="AA326">
        <v>164.7</v>
      </c>
      <c r="AB326">
        <v>163</v>
      </c>
      <c r="AC326">
        <v>162.69999999999999</v>
      </c>
      <c r="AD326">
        <v>165.7</v>
      </c>
      <c r="AE326" s="72">
        <f t="shared" si="26"/>
        <v>2356.3999999999996</v>
      </c>
      <c r="AF326" s="4">
        <f t="shared" si="27"/>
        <v>662.1</v>
      </c>
      <c r="AG326" s="4">
        <f t="shared" si="28"/>
        <v>646.29999999999995</v>
      </c>
      <c r="AH326" s="4">
        <f t="shared" si="29"/>
        <v>660</v>
      </c>
      <c r="AI326" s="6">
        <f t="shared" si="30"/>
        <v>4324.7999999999993</v>
      </c>
      <c r="AJ326" s="70">
        <f t="shared" si="25"/>
        <v>325.60000000000002</v>
      </c>
    </row>
    <row r="327" spans="1:36" x14ac:dyDescent="0.3">
      <c r="A327" t="s">
        <v>30</v>
      </c>
      <c r="B327">
        <v>2022</v>
      </c>
      <c r="C327" t="s">
        <v>34</v>
      </c>
      <c r="D327">
        <v>148.80000000000001</v>
      </c>
      <c r="E327">
        <v>198.1</v>
      </c>
      <c r="F327">
        <v>175.5</v>
      </c>
      <c r="G327">
        <v>160.69999999999999</v>
      </c>
      <c r="H327">
        <v>192.6</v>
      </c>
      <c r="I327">
        <v>151.4</v>
      </c>
      <c r="J327">
        <v>155.19999999999999</v>
      </c>
      <c r="K327">
        <v>163.9</v>
      </c>
      <c r="L327">
        <v>118.1</v>
      </c>
      <c r="M327">
        <v>175.4</v>
      </c>
      <c r="N327">
        <v>170.5</v>
      </c>
      <c r="O327">
        <v>176.3</v>
      </c>
      <c r="P327">
        <v>163.9</v>
      </c>
      <c r="Q327">
        <v>191.5</v>
      </c>
      <c r="R327">
        <v>174.1</v>
      </c>
      <c r="S327">
        <v>171</v>
      </c>
      <c r="T327">
        <v>173.7</v>
      </c>
      <c r="U327">
        <v>0</v>
      </c>
      <c r="V327" s="5">
        <v>167.4</v>
      </c>
      <c r="W327">
        <v>165.7</v>
      </c>
      <c r="X327">
        <v>175.3</v>
      </c>
      <c r="Y327">
        <v>161.19999999999999</v>
      </c>
      <c r="Z327">
        <v>165.5</v>
      </c>
      <c r="AA327">
        <v>170.3</v>
      </c>
      <c r="AB327">
        <v>164.5</v>
      </c>
      <c r="AC327">
        <v>167.3</v>
      </c>
      <c r="AD327">
        <v>166.7</v>
      </c>
      <c r="AE327" s="72">
        <f t="shared" si="26"/>
        <v>2341.9</v>
      </c>
      <c r="AF327" s="4">
        <f t="shared" si="27"/>
        <v>683.3</v>
      </c>
      <c r="AG327" s="4">
        <f t="shared" si="28"/>
        <v>494.3</v>
      </c>
      <c r="AH327" s="4">
        <f t="shared" si="29"/>
        <v>678.40000000000009</v>
      </c>
      <c r="AI327" s="6">
        <f t="shared" si="30"/>
        <v>4197.8999999999996</v>
      </c>
      <c r="AJ327" s="70">
        <f t="shared" si="25"/>
        <v>165.7</v>
      </c>
    </row>
    <row r="328" spans="1:36" x14ac:dyDescent="0.3">
      <c r="A328" t="s">
        <v>32</v>
      </c>
      <c r="B328">
        <v>2022</v>
      </c>
      <c r="C328" t="s">
        <v>34</v>
      </c>
      <c r="D328">
        <v>152.5</v>
      </c>
      <c r="E328">
        <v>205.2</v>
      </c>
      <c r="F328">
        <v>176.4</v>
      </c>
      <c r="G328">
        <v>160.6</v>
      </c>
      <c r="H328">
        <v>171.5</v>
      </c>
      <c r="I328">
        <v>156.4</v>
      </c>
      <c r="J328">
        <v>198</v>
      </c>
      <c r="K328">
        <v>163.19999999999999</v>
      </c>
      <c r="L328">
        <v>120.6</v>
      </c>
      <c r="M328">
        <v>172.2</v>
      </c>
      <c r="N328">
        <v>156.69999999999999</v>
      </c>
      <c r="O328">
        <v>180</v>
      </c>
      <c r="P328">
        <v>170.2</v>
      </c>
      <c r="Q328">
        <v>196.5</v>
      </c>
      <c r="R328">
        <v>165.7</v>
      </c>
      <c r="S328">
        <v>150.4</v>
      </c>
      <c r="T328">
        <v>163.4</v>
      </c>
      <c r="U328">
        <v>165.5</v>
      </c>
      <c r="V328" s="5">
        <v>163</v>
      </c>
      <c r="W328">
        <v>157.4</v>
      </c>
      <c r="X328">
        <v>167.2</v>
      </c>
      <c r="Y328">
        <v>153.1</v>
      </c>
      <c r="Z328">
        <v>159.5</v>
      </c>
      <c r="AA328">
        <v>162</v>
      </c>
      <c r="AB328">
        <v>164.2</v>
      </c>
      <c r="AC328">
        <v>159.4</v>
      </c>
      <c r="AD328">
        <v>165.5</v>
      </c>
      <c r="AE328" s="72">
        <f t="shared" si="26"/>
        <v>2380</v>
      </c>
      <c r="AF328" s="4">
        <f t="shared" si="27"/>
        <v>643.70000000000005</v>
      </c>
      <c r="AG328" s="4">
        <f t="shared" si="28"/>
        <v>639</v>
      </c>
      <c r="AH328" s="4">
        <f t="shared" si="29"/>
        <v>648.1</v>
      </c>
      <c r="AI328" s="6">
        <f t="shared" si="30"/>
        <v>4310.8</v>
      </c>
      <c r="AJ328" s="70">
        <f t="shared" si="25"/>
        <v>322.89999999999998</v>
      </c>
    </row>
    <row r="329" spans="1:36" x14ac:dyDescent="0.3">
      <c r="A329" t="s">
        <v>33</v>
      </c>
      <c r="B329">
        <v>2022</v>
      </c>
      <c r="C329" t="s">
        <v>34</v>
      </c>
      <c r="D329">
        <v>150</v>
      </c>
      <c r="E329">
        <v>200.6</v>
      </c>
      <c r="F329">
        <v>175.8</v>
      </c>
      <c r="G329">
        <v>160.69999999999999</v>
      </c>
      <c r="H329">
        <v>184.9</v>
      </c>
      <c r="I329">
        <v>153.69999999999999</v>
      </c>
      <c r="J329">
        <v>169.7</v>
      </c>
      <c r="K329">
        <v>163.69999999999999</v>
      </c>
      <c r="L329">
        <v>118.9</v>
      </c>
      <c r="M329">
        <v>174.3</v>
      </c>
      <c r="N329">
        <v>164.7</v>
      </c>
      <c r="O329">
        <v>178</v>
      </c>
      <c r="P329">
        <v>166.2</v>
      </c>
      <c r="Q329">
        <v>192.8</v>
      </c>
      <c r="R329">
        <v>170.8</v>
      </c>
      <c r="S329">
        <v>162.4</v>
      </c>
      <c r="T329">
        <v>169.6</v>
      </c>
      <c r="U329">
        <v>165.5</v>
      </c>
      <c r="V329" s="5">
        <v>165.7</v>
      </c>
      <c r="W329">
        <v>161.80000000000001</v>
      </c>
      <c r="X329">
        <v>172.2</v>
      </c>
      <c r="Y329">
        <v>156.9</v>
      </c>
      <c r="Z329">
        <v>162.1</v>
      </c>
      <c r="AA329">
        <v>165.4</v>
      </c>
      <c r="AB329">
        <v>164.4</v>
      </c>
      <c r="AC329">
        <v>163.5</v>
      </c>
      <c r="AD329">
        <v>166.1</v>
      </c>
      <c r="AE329" s="72">
        <f t="shared" si="26"/>
        <v>2354.0000000000005</v>
      </c>
      <c r="AF329" s="4">
        <f t="shared" si="27"/>
        <v>667.2</v>
      </c>
      <c r="AG329" s="4">
        <f t="shared" si="28"/>
        <v>649.9</v>
      </c>
      <c r="AH329" s="4">
        <f t="shared" si="29"/>
        <v>663.19999999999993</v>
      </c>
      <c r="AI329" s="6">
        <f t="shared" si="30"/>
        <v>4334.3000000000011</v>
      </c>
      <c r="AJ329" s="70">
        <f t="shared" si="25"/>
        <v>327.3</v>
      </c>
    </row>
    <row r="330" spans="1:36" x14ac:dyDescent="0.3">
      <c r="A330" t="s">
        <v>30</v>
      </c>
      <c r="B330">
        <v>2022</v>
      </c>
      <c r="C330" t="s">
        <v>35</v>
      </c>
      <c r="D330">
        <v>150.19999999999999</v>
      </c>
      <c r="E330">
        <v>208</v>
      </c>
      <c r="F330">
        <v>167.9</v>
      </c>
      <c r="G330">
        <v>162</v>
      </c>
      <c r="H330">
        <v>203.1</v>
      </c>
      <c r="I330">
        <v>155.9</v>
      </c>
      <c r="J330">
        <v>155.80000000000001</v>
      </c>
      <c r="K330">
        <v>164.2</v>
      </c>
      <c r="L330">
        <v>118.1</v>
      </c>
      <c r="M330">
        <v>178.7</v>
      </c>
      <c r="N330">
        <v>171.2</v>
      </c>
      <c r="O330">
        <v>177.4</v>
      </c>
      <c r="P330">
        <v>166.6</v>
      </c>
      <c r="Q330">
        <v>192.3</v>
      </c>
      <c r="R330">
        <v>175.4</v>
      </c>
      <c r="S330">
        <v>173.2</v>
      </c>
      <c r="T330">
        <v>175.1</v>
      </c>
      <c r="U330">
        <v>0</v>
      </c>
      <c r="V330" s="5">
        <v>168.9</v>
      </c>
      <c r="W330">
        <v>166.5</v>
      </c>
      <c r="X330">
        <v>176</v>
      </c>
      <c r="Y330">
        <v>162</v>
      </c>
      <c r="Z330">
        <v>166.6</v>
      </c>
      <c r="AA330">
        <v>170.6</v>
      </c>
      <c r="AB330">
        <v>167.4</v>
      </c>
      <c r="AC330">
        <v>168.3</v>
      </c>
      <c r="AD330">
        <v>168.7</v>
      </c>
      <c r="AE330" s="72">
        <f t="shared" si="26"/>
        <v>2371.4000000000005</v>
      </c>
      <c r="AF330" s="4">
        <f t="shared" si="27"/>
        <v>691.1</v>
      </c>
      <c r="AG330" s="4">
        <f t="shared" si="28"/>
        <v>497.4</v>
      </c>
      <c r="AH330" s="4">
        <f t="shared" si="29"/>
        <v>681.5</v>
      </c>
      <c r="AI330" s="6">
        <f t="shared" si="30"/>
        <v>4241.4000000000005</v>
      </c>
      <c r="AJ330" s="70">
        <f t="shared" si="25"/>
        <v>166.5</v>
      </c>
    </row>
    <row r="331" spans="1:36" x14ac:dyDescent="0.3">
      <c r="A331" t="s">
        <v>32</v>
      </c>
      <c r="B331">
        <v>2022</v>
      </c>
      <c r="C331" t="s">
        <v>35</v>
      </c>
      <c r="D331">
        <v>153.69999999999999</v>
      </c>
      <c r="E331">
        <v>215.8</v>
      </c>
      <c r="F331">
        <v>167.7</v>
      </c>
      <c r="G331">
        <v>162.6</v>
      </c>
      <c r="H331">
        <v>180</v>
      </c>
      <c r="I331">
        <v>159.6</v>
      </c>
      <c r="J331">
        <v>188.4</v>
      </c>
      <c r="K331">
        <v>163.4</v>
      </c>
      <c r="L331">
        <v>120.3</v>
      </c>
      <c r="M331">
        <v>174.7</v>
      </c>
      <c r="N331">
        <v>157.1</v>
      </c>
      <c r="O331">
        <v>181.5</v>
      </c>
      <c r="P331">
        <v>171.5</v>
      </c>
      <c r="Q331">
        <v>197.5</v>
      </c>
      <c r="R331">
        <v>167.1</v>
      </c>
      <c r="S331">
        <v>152.6</v>
      </c>
      <c r="T331">
        <v>164.9</v>
      </c>
      <c r="U331">
        <v>165.3</v>
      </c>
      <c r="V331" s="5">
        <v>164.5</v>
      </c>
      <c r="W331">
        <v>158.6</v>
      </c>
      <c r="X331">
        <v>168.2</v>
      </c>
      <c r="Y331">
        <v>154.19999999999999</v>
      </c>
      <c r="Z331">
        <v>160.80000000000001</v>
      </c>
      <c r="AA331">
        <v>162.69999999999999</v>
      </c>
      <c r="AB331">
        <v>166.8</v>
      </c>
      <c r="AC331">
        <v>160.6</v>
      </c>
      <c r="AD331">
        <v>166.5</v>
      </c>
      <c r="AE331" s="72">
        <f t="shared" si="26"/>
        <v>2393.8000000000002</v>
      </c>
      <c r="AF331" s="4">
        <f t="shared" si="27"/>
        <v>651.40000000000009</v>
      </c>
      <c r="AG331" s="4">
        <f t="shared" si="28"/>
        <v>642.59999999999991</v>
      </c>
      <c r="AH331" s="4">
        <f t="shared" si="29"/>
        <v>652.29999999999995</v>
      </c>
      <c r="AI331" s="6">
        <f t="shared" si="30"/>
        <v>4340.1000000000004</v>
      </c>
      <c r="AJ331" s="70">
        <f t="shared" si="25"/>
        <v>323.89999999999998</v>
      </c>
    </row>
    <row r="332" spans="1:36" x14ac:dyDescent="0.3">
      <c r="A332" t="s">
        <v>33</v>
      </c>
      <c r="B332">
        <v>2022</v>
      </c>
      <c r="C332" t="s">
        <v>35</v>
      </c>
      <c r="D332">
        <v>151.30000000000001</v>
      </c>
      <c r="E332">
        <v>210.7</v>
      </c>
      <c r="F332">
        <v>167.8</v>
      </c>
      <c r="G332">
        <v>162.19999999999999</v>
      </c>
      <c r="H332">
        <v>194.6</v>
      </c>
      <c r="I332">
        <v>157.6</v>
      </c>
      <c r="J332">
        <v>166.9</v>
      </c>
      <c r="K332">
        <v>163.9</v>
      </c>
      <c r="L332">
        <v>118.8</v>
      </c>
      <c r="M332">
        <v>177.4</v>
      </c>
      <c r="N332">
        <v>165.3</v>
      </c>
      <c r="O332">
        <v>179.3</v>
      </c>
      <c r="P332">
        <v>168.4</v>
      </c>
      <c r="Q332">
        <v>193.7</v>
      </c>
      <c r="R332">
        <v>172.1</v>
      </c>
      <c r="S332">
        <v>164.6</v>
      </c>
      <c r="T332">
        <v>171.1</v>
      </c>
      <c r="U332">
        <v>165.3</v>
      </c>
      <c r="V332" s="5">
        <v>167.2</v>
      </c>
      <c r="W332">
        <v>162.80000000000001</v>
      </c>
      <c r="X332">
        <v>173</v>
      </c>
      <c r="Y332">
        <v>157.9</v>
      </c>
      <c r="Z332">
        <v>163.30000000000001</v>
      </c>
      <c r="AA332">
        <v>166</v>
      </c>
      <c r="AB332">
        <v>167.2</v>
      </c>
      <c r="AC332">
        <v>164.6</v>
      </c>
      <c r="AD332">
        <v>167.7</v>
      </c>
      <c r="AE332" s="72">
        <f t="shared" si="26"/>
        <v>2377.9</v>
      </c>
      <c r="AF332" s="4">
        <f t="shared" si="27"/>
        <v>675</v>
      </c>
      <c r="AG332" s="4">
        <f t="shared" si="28"/>
        <v>653.20000000000005</v>
      </c>
      <c r="AH332" s="4">
        <f t="shared" si="29"/>
        <v>666.9</v>
      </c>
      <c r="AI332" s="6">
        <f t="shared" si="30"/>
        <v>4373</v>
      </c>
      <c r="AJ332" s="70">
        <f t="shared" si="25"/>
        <v>328.1</v>
      </c>
    </row>
    <row r="333" spans="1:36" x14ac:dyDescent="0.3">
      <c r="A333" t="s">
        <v>30</v>
      </c>
      <c r="B333">
        <v>2022</v>
      </c>
      <c r="C333" t="s">
        <v>36</v>
      </c>
      <c r="D333">
        <v>151.80000000000001</v>
      </c>
      <c r="E333">
        <v>209.7</v>
      </c>
      <c r="F333">
        <v>164.5</v>
      </c>
      <c r="G333">
        <v>163.80000000000001</v>
      </c>
      <c r="H333">
        <v>207.4</v>
      </c>
      <c r="I333">
        <v>169.7</v>
      </c>
      <c r="J333">
        <v>153.6</v>
      </c>
      <c r="K333">
        <v>165.1</v>
      </c>
      <c r="L333">
        <v>118.2</v>
      </c>
      <c r="M333">
        <v>182.9</v>
      </c>
      <c r="N333">
        <v>172.4</v>
      </c>
      <c r="O333">
        <v>178.9</v>
      </c>
      <c r="P333">
        <v>168.6</v>
      </c>
      <c r="Q333">
        <v>192.8</v>
      </c>
      <c r="R333">
        <v>177.5</v>
      </c>
      <c r="S333">
        <v>175.1</v>
      </c>
      <c r="T333">
        <v>177.1</v>
      </c>
      <c r="U333">
        <v>0</v>
      </c>
      <c r="V333" s="5">
        <v>173.3</v>
      </c>
      <c r="W333">
        <v>167.7</v>
      </c>
      <c r="X333">
        <v>177</v>
      </c>
      <c r="Y333">
        <v>166.2</v>
      </c>
      <c r="Z333">
        <v>167.2</v>
      </c>
      <c r="AA333">
        <v>170.9</v>
      </c>
      <c r="AB333">
        <v>169</v>
      </c>
      <c r="AC333">
        <v>170.2</v>
      </c>
      <c r="AD333">
        <v>170.8</v>
      </c>
      <c r="AE333" s="72">
        <f t="shared" si="26"/>
        <v>2399.4</v>
      </c>
      <c r="AF333" s="4">
        <f t="shared" si="27"/>
        <v>698.7</v>
      </c>
      <c r="AG333" s="4">
        <f t="shared" si="28"/>
        <v>507.2</v>
      </c>
      <c r="AH333" s="4">
        <f t="shared" si="29"/>
        <v>685.3</v>
      </c>
      <c r="AI333" s="6">
        <f t="shared" si="30"/>
        <v>4290.6000000000004</v>
      </c>
      <c r="AJ333" s="70">
        <f t="shared" si="25"/>
        <v>167.7</v>
      </c>
    </row>
    <row r="334" spans="1:36" x14ac:dyDescent="0.3">
      <c r="A334" t="s">
        <v>32</v>
      </c>
      <c r="B334">
        <v>2022</v>
      </c>
      <c r="C334" t="s">
        <v>36</v>
      </c>
      <c r="D334">
        <v>155.4</v>
      </c>
      <c r="E334">
        <v>215.8</v>
      </c>
      <c r="F334">
        <v>164.6</v>
      </c>
      <c r="G334">
        <v>164.2</v>
      </c>
      <c r="H334">
        <v>186</v>
      </c>
      <c r="I334">
        <v>175.9</v>
      </c>
      <c r="J334">
        <v>190.7</v>
      </c>
      <c r="K334">
        <v>164</v>
      </c>
      <c r="L334">
        <v>120.5</v>
      </c>
      <c r="M334">
        <v>178</v>
      </c>
      <c r="N334">
        <v>157.5</v>
      </c>
      <c r="O334">
        <v>183.3</v>
      </c>
      <c r="P334">
        <v>174.5</v>
      </c>
      <c r="Q334">
        <v>197.1</v>
      </c>
      <c r="R334">
        <v>168.4</v>
      </c>
      <c r="S334">
        <v>154.5</v>
      </c>
      <c r="T334">
        <v>166.3</v>
      </c>
      <c r="U334">
        <v>167</v>
      </c>
      <c r="V334" s="5">
        <v>170.5</v>
      </c>
      <c r="W334">
        <v>159.80000000000001</v>
      </c>
      <c r="X334">
        <v>169</v>
      </c>
      <c r="Y334">
        <v>159.30000000000001</v>
      </c>
      <c r="Z334">
        <v>162.19999999999999</v>
      </c>
      <c r="AA334">
        <v>164</v>
      </c>
      <c r="AB334">
        <v>168.4</v>
      </c>
      <c r="AC334">
        <v>163.1</v>
      </c>
      <c r="AD334">
        <v>169.2</v>
      </c>
      <c r="AE334" s="72">
        <f t="shared" si="26"/>
        <v>2427.5</v>
      </c>
      <c r="AF334" s="4">
        <f t="shared" si="27"/>
        <v>657.6</v>
      </c>
      <c r="AG334" s="4">
        <f t="shared" si="28"/>
        <v>656.6</v>
      </c>
      <c r="AH334" s="4">
        <f t="shared" si="29"/>
        <v>658.3</v>
      </c>
      <c r="AI334" s="6">
        <f t="shared" si="30"/>
        <v>4400</v>
      </c>
      <c r="AJ334" s="70">
        <f t="shared" si="25"/>
        <v>326.8</v>
      </c>
    </row>
    <row r="335" spans="1:36" x14ac:dyDescent="0.3">
      <c r="A335" t="s">
        <v>33</v>
      </c>
      <c r="B335">
        <v>2022</v>
      </c>
      <c r="C335" t="s">
        <v>36</v>
      </c>
      <c r="D335">
        <v>152.9</v>
      </c>
      <c r="E335">
        <v>211.8</v>
      </c>
      <c r="F335">
        <v>164.5</v>
      </c>
      <c r="G335">
        <v>163.9</v>
      </c>
      <c r="H335">
        <v>199.5</v>
      </c>
      <c r="I335">
        <v>172.6</v>
      </c>
      <c r="J335">
        <v>166.2</v>
      </c>
      <c r="K335">
        <v>164.7</v>
      </c>
      <c r="L335">
        <v>119</v>
      </c>
      <c r="M335">
        <v>181.3</v>
      </c>
      <c r="N335">
        <v>166.2</v>
      </c>
      <c r="O335">
        <v>180.9</v>
      </c>
      <c r="P335">
        <v>170.8</v>
      </c>
      <c r="Q335">
        <v>193.9</v>
      </c>
      <c r="R335">
        <v>173.9</v>
      </c>
      <c r="S335">
        <v>166.5</v>
      </c>
      <c r="T335">
        <v>172.8</v>
      </c>
      <c r="U335">
        <v>167</v>
      </c>
      <c r="V335" s="5">
        <v>172.2</v>
      </c>
      <c r="W335">
        <v>164</v>
      </c>
      <c r="X335">
        <v>174</v>
      </c>
      <c r="Y335">
        <v>162.6</v>
      </c>
      <c r="Z335">
        <v>164.4</v>
      </c>
      <c r="AA335">
        <v>166.9</v>
      </c>
      <c r="AB335">
        <v>168.8</v>
      </c>
      <c r="AC335">
        <v>166.8</v>
      </c>
      <c r="AD335">
        <v>170.1</v>
      </c>
      <c r="AE335" s="72">
        <f t="shared" si="26"/>
        <v>2408.2000000000003</v>
      </c>
      <c r="AF335" s="4">
        <f t="shared" si="27"/>
        <v>682</v>
      </c>
      <c r="AG335" s="4">
        <f t="shared" si="28"/>
        <v>665.8</v>
      </c>
      <c r="AH335" s="4">
        <f t="shared" si="29"/>
        <v>672.09999999999991</v>
      </c>
      <c r="AI335" s="6">
        <f t="shared" si="30"/>
        <v>4428.1000000000004</v>
      </c>
      <c r="AJ335" s="70">
        <f t="shared" si="25"/>
        <v>331</v>
      </c>
    </row>
    <row r="336" spans="1:36" x14ac:dyDescent="0.3">
      <c r="A336" t="s">
        <v>30</v>
      </c>
      <c r="B336">
        <v>2022</v>
      </c>
      <c r="C336" t="s">
        <v>37</v>
      </c>
      <c r="D336">
        <v>152.9</v>
      </c>
      <c r="E336">
        <v>214.7</v>
      </c>
      <c r="F336">
        <v>161.4</v>
      </c>
      <c r="G336">
        <v>164.6</v>
      </c>
      <c r="H336">
        <v>209.9</v>
      </c>
      <c r="I336">
        <v>168</v>
      </c>
      <c r="J336">
        <v>160.4</v>
      </c>
      <c r="K336">
        <v>165</v>
      </c>
      <c r="L336">
        <v>118.9</v>
      </c>
      <c r="M336">
        <v>186.6</v>
      </c>
      <c r="N336">
        <v>173.2</v>
      </c>
      <c r="O336">
        <v>180.4</v>
      </c>
      <c r="P336">
        <v>170.8</v>
      </c>
      <c r="Q336">
        <v>192.9</v>
      </c>
      <c r="R336">
        <v>179.3</v>
      </c>
      <c r="S336">
        <v>177.2</v>
      </c>
      <c r="T336">
        <v>179</v>
      </c>
      <c r="U336">
        <v>0</v>
      </c>
      <c r="V336" s="5">
        <v>175.3</v>
      </c>
      <c r="W336">
        <v>168.9</v>
      </c>
      <c r="X336">
        <v>177.7</v>
      </c>
      <c r="Y336">
        <v>167.1</v>
      </c>
      <c r="Z336">
        <v>167.6</v>
      </c>
      <c r="AA336">
        <v>171.8</v>
      </c>
      <c r="AB336">
        <v>168.5</v>
      </c>
      <c r="AC336">
        <v>170.9</v>
      </c>
      <c r="AD336">
        <v>172.5</v>
      </c>
      <c r="AE336" s="72">
        <f t="shared" si="26"/>
        <v>2419.7000000000003</v>
      </c>
      <c r="AF336" s="4">
        <f t="shared" si="27"/>
        <v>704</v>
      </c>
      <c r="AG336" s="4">
        <f t="shared" si="28"/>
        <v>511.30000000000007</v>
      </c>
      <c r="AH336" s="4">
        <f t="shared" si="29"/>
        <v>687.99999999999989</v>
      </c>
      <c r="AI336" s="6">
        <f t="shared" si="30"/>
        <v>4323</v>
      </c>
      <c r="AJ336" s="70">
        <f t="shared" si="25"/>
        <v>168.9</v>
      </c>
    </row>
    <row r="337" spans="1:36" x14ac:dyDescent="0.3">
      <c r="A337" t="s">
        <v>32</v>
      </c>
      <c r="B337">
        <v>2022</v>
      </c>
      <c r="C337" t="s">
        <v>37</v>
      </c>
      <c r="D337">
        <v>156.69999999999999</v>
      </c>
      <c r="E337">
        <v>221.2</v>
      </c>
      <c r="F337">
        <v>164.1</v>
      </c>
      <c r="G337">
        <v>165.4</v>
      </c>
      <c r="H337">
        <v>189.5</v>
      </c>
      <c r="I337">
        <v>174.5</v>
      </c>
      <c r="J337">
        <v>203.2</v>
      </c>
      <c r="K337">
        <v>164.1</v>
      </c>
      <c r="L337">
        <v>121.2</v>
      </c>
      <c r="M337">
        <v>181.4</v>
      </c>
      <c r="N337">
        <v>158.5</v>
      </c>
      <c r="O337">
        <v>184.9</v>
      </c>
      <c r="P337">
        <v>177.5</v>
      </c>
      <c r="Q337">
        <v>197.5</v>
      </c>
      <c r="R337">
        <v>170</v>
      </c>
      <c r="S337">
        <v>155.9</v>
      </c>
      <c r="T337">
        <v>167.8</v>
      </c>
      <c r="U337">
        <v>167.5</v>
      </c>
      <c r="V337" s="5">
        <v>173.5</v>
      </c>
      <c r="W337">
        <v>161.1</v>
      </c>
      <c r="X337">
        <v>170.1</v>
      </c>
      <c r="Y337">
        <v>159.4</v>
      </c>
      <c r="Z337">
        <v>163.19999999999999</v>
      </c>
      <c r="AA337">
        <v>165.2</v>
      </c>
      <c r="AB337">
        <v>168.2</v>
      </c>
      <c r="AC337">
        <v>163.80000000000001</v>
      </c>
      <c r="AD337">
        <v>170.8</v>
      </c>
      <c r="AE337" s="72">
        <f t="shared" si="26"/>
        <v>2459.7000000000003</v>
      </c>
      <c r="AF337" s="4">
        <f t="shared" si="27"/>
        <v>661.9</v>
      </c>
      <c r="AG337" s="4">
        <f t="shared" si="28"/>
        <v>661.5</v>
      </c>
      <c r="AH337" s="4">
        <f t="shared" si="29"/>
        <v>662.3</v>
      </c>
      <c r="AI337" s="6">
        <f t="shared" si="30"/>
        <v>4445.4000000000005</v>
      </c>
      <c r="AJ337" s="70">
        <f t="shared" si="25"/>
        <v>328.6</v>
      </c>
    </row>
    <row r="338" spans="1:36" x14ac:dyDescent="0.3">
      <c r="A338" t="s">
        <v>33</v>
      </c>
      <c r="B338">
        <v>2022</v>
      </c>
      <c r="C338" t="s">
        <v>37</v>
      </c>
      <c r="D338">
        <v>154.1</v>
      </c>
      <c r="E338">
        <v>217</v>
      </c>
      <c r="F338">
        <v>162.4</v>
      </c>
      <c r="G338">
        <v>164.9</v>
      </c>
      <c r="H338">
        <v>202.4</v>
      </c>
      <c r="I338">
        <v>171</v>
      </c>
      <c r="J338">
        <v>174.9</v>
      </c>
      <c r="K338">
        <v>164.7</v>
      </c>
      <c r="L338">
        <v>119.7</v>
      </c>
      <c r="M338">
        <v>184.9</v>
      </c>
      <c r="N338">
        <v>167.1</v>
      </c>
      <c r="O338">
        <v>182.5</v>
      </c>
      <c r="P338">
        <v>173.3</v>
      </c>
      <c r="Q338">
        <v>194.1</v>
      </c>
      <c r="R338">
        <v>175.6</v>
      </c>
      <c r="S338">
        <v>168.4</v>
      </c>
      <c r="T338">
        <v>174.6</v>
      </c>
      <c r="U338">
        <v>167.5</v>
      </c>
      <c r="V338" s="5">
        <v>174.6</v>
      </c>
      <c r="W338">
        <v>165.2</v>
      </c>
      <c r="X338">
        <v>174.8</v>
      </c>
      <c r="Y338">
        <v>163</v>
      </c>
      <c r="Z338">
        <v>165.1</v>
      </c>
      <c r="AA338">
        <v>167.9</v>
      </c>
      <c r="AB338">
        <v>168.4</v>
      </c>
      <c r="AC338">
        <v>167.5</v>
      </c>
      <c r="AD338">
        <v>171.7</v>
      </c>
      <c r="AE338" s="72">
        <f t="shared" si="26"/>
        <v>2433.0000000000005</v>
      </c>
      <c r="AF338" s="4">
        <f t="shared" si="27"/>
        <v>687</v>
      </c>
      <c r="AG338" s="4">
        <f t="shared" si="28"/>
        <v>670.3</v>
      </c>
      <c r="AH338" s="4">
        <f t="shared" si="29"/>
        <v>675.3</v>
      </c>
      <c r="AI338" s="6">
        <f t="shared" si="30"/>
        <v>4465.6000000000004</v>
      </c>
      <c r="AJ338" s="70">
        <f t="shared" si="25"/>
        <v>332.7</v>
      </c>
    </row>
    <row r="339" spans="1:36" x14ac:dyDescent="0.3">
      <c r="A339" t="s">
        <v>30</v>
      </c>
      <c r="B339">
        <v>2022</v>
      </c>
      <c r="C339" t="s">
        <v>38</v>
      </c>
      <c r="D339">
        <v>153.80000000000001</v>
      </c>
      <c r="E339">
        <v>217.2</v>
      </c>
      <c r="F339">
        <v>169.6</v>
      </c>
      <c r="G339">
        <v>165.4</v>
      </c>
      <c r="H339">
        <v>208.1</v>
      </c>
      <c r="I339">
        <v>165.8</v>
      </c>
      <c r="J339">
        <v>167.3</v>
      </c>
      <c r="K339">
        <v>164.6</v>
      </c>
      <c r="L339">
        <v>119.1</v>
      </c>
      <c r="M339">
        <v>188.9</v>
      </c>
      <c r="N339">
        <v>174.2</v>
      </c>
      <c r="O339">
        <v>181.9</v>
      </c>
      <c r="P339">
        <v>172.4</v>
      </c>
      <c r="Q339">
        <v>192.9</v>
      </c>
      <c r="R339">
        <v>180.7</v>
      </c>
      <c r="S339">
        <v>178.7</v>
      </c>
      <c r="T339">
        <v>180.4</v>
      </c>
      <c r="U339">
        <v>0</v>
      </c>
      <c r="V339" s="5">
        <v>176.7</v>
      </c>
      <c r="W339">
        <v>170.3</v>
      </c>
      <c r="X339">
        <v>178.2</v>
      </c>
      <c r="Y339">
        <v>165.5</v>
      </c>
      <c r="Z339">
        <v>168</v>
      </c>
      <c r="AA339">
        <v>172.6</v>
      </c>
      <c r="AB339">
        <v>169.5</v>
      </c>
      <c r="AC339">
        <v>171</v>
      </c>
      <c r="AD339">
        <v>173.6</v>
      </c>
      <c r="AE339" s="72">
        <f t="shared" si="26"/>
        <v>2441.2000000000003</v>
      </c>
      <c r="AF339" s="4">
        <f t="shared" si="27"/>
        <v>709.3</v>
      </c>
      <c r="AG339" s="4">
        <f t="shared" si="28"/>
        <v>512.5</v>
      </c>
      <c r="AH339" s="4">
        <f t="shared" si="29"/>
        <v>689.8</v>
      </c>
      <c r="AI339" s="6">
        <f t="shared" si="30"/>
        <v>4352.8</v>
      </c>
      <c r="AJ339" s="70">
        <f t="shared" si="25"/>
        <v>170.3</v>
      </c>
    </row>
    <row r="340" spans="1:36" x14ac:dyDescent="0.3">
      <c r="A340" t="s">
        <v>32</v>
      </c>
      <c r="B340">
        <v>2022</v>
      </c>
      <c r="C340" t="s">
        <v>38</v>
      </c>
      <c r="D340">
        <v>157.5</v>
      </c>
      <c r="E340">
        <v>223.4</v>
      </c>
      <c r="F340">
        <v>172.8</v>
      </c>
      <c r="G340">
        <v>166.4</v>
      </c>
      <c r="H340">
        <v>188.6</v>
      </c>
      <c r="I340">
        <v>174.1</v>
      </c>
      <c r="J340">
        <v>211.5</v>
      </c>
      <c r="K340">
        <v>163.6</v>
      </c>
      <c r="L340">
        <v>121.4</v>
      </c>
      <c r="M340">
        <v>183.5</v>
      </c>
      <c r="N340">
        <v>159.1</v>
      </c>
      <c r="O340">
        <v>186.3</v>
      </c>
      <c r="P340">
        <v>179.3</v>
      </c>
      <c r="Q340">
        <v>198.3</v>
      </c>
      <c r="R340">
        <v>171.6</v>
      </c>
      <c r="S340">
        <v>157.4</v>
      </c>
      <c r="T340">
        <v>169.4</v>
      </c>
      <c r="U340">
        <v>166.8</v>
      </c>
      <c r="V340" s="5">
        <v>174.9</v>
      </c>
      <c r="W340">
        <v>162.1</v>
      </c>
      <c r="X340">
        <v>170.9</v>
      </c>
      <c r="Y340">
        <v>157.19999999999999</v>
      </c>
      <c r="Z340">
        <v>164.1</v>
      </c>
      <c r="AA340">
        <v>166.5</v>
      </c>
      <c r="AB340">
        <v>169.2</v>
      </c>
      <c r="AC340">
        <v>163.80000000000001</v>
      </c>
      <c r="AD340">
        <v>171.4</v>
      </c>
      <c r="AE340" s="72">
        <f t="shared" si="26"/>
        <v>2485.8000000000002</v>
      </c>
      <c r="AF340" s="4">
        <f t="shared" si="27"/>
        <v>667.59999999999991</v>
      </c>
      <c r="AG340" s="4">
        <f t="shared" si="28"/>
        <v>661</v>
      </c>
      <c r="AH340" s="4">
        <f t="shared" si="29"/>
        <v>665.3</v>
      </c>
      <c r="AI340" s="6">
        <f t="shared" si="30"/>
        <v>4479.7</v>
      </c>
      <c r="AJ340" s="70">
        <f t="shared" si="25"/>
        <v>328.9</v>
      </c>
    </row>
    <row r="341" spans="1:36" x14ac:dyDescent="0.3">
      <c r="A341" t="s">
        <v>33</v>
      </c>
      <c r="B341">
        <v>2022</v>
      </c>
      <c r="C341" t="s">
        <v>38</v>
      </c>
      <c r="D341">
        <v>155</v>
      </c>
      <c r="E341">
        <v>219.4</v>
      </c>
      <c r="F341">
        <v>170.8</v>
      </c>
      <c r="G341">
        <v>165.8</v>
      </c>
      <c r="H341">
        <v>200.9</v>
      </c>
      <c r="I341">
        <v>169.7</v>
      </c>
      <c r="J341">
        <v>182.3</v>
      </c>
      <c r="K341">
        <v>164.3</v>
      </c>
      <c r="L341">
        <v>119.9</v>
      </c>
      <c r="M341">
        <v>187.1</v>
      </c>
      <c r="N341">
        <v>167.9</v>
      </c>
      <c r="O341">
        <v>183.9</v>
      </c>
      <c r="P341">
        <v>174.9</v>
      </c>
      <c r="Q341">
        <v>194.3</v>
      </c>
      <c r="R341">
        <v>177.1</v>
      </c>
      <c r="S341">
        <v>169.9</v>
      </c>
      <c r="T341">
        <v>176</v>
      </c>
      <c r="U341">
        <v>166.8</v>
      </c>
      <c r="V341" s="5">
        <v>176</v>
      </c>
      <c r="W341">
        <v>166.4</v>
      </c>
      <c r="X341">
        <v>175.4</v>
      </c>
      <c r="Y341">
        <v>161.1</v>
      </c>
      <c r="Z341">
        <v>165.8</v>
      </c>
      <c r="AA341">
        <v>169</v>
      </c>
      <c r="AB341">
        <v>169.4</v>
      </c>
      <c r="AC341">
        <v>167.5</v>
      </c>
      <c r="AD341">
        <v>172.6</v>
      </c>
      <c r="AE341" s="72">
        <f t="shared" si="26"/>
        <v>2456.2000000000003</v>
      </c>
      <c r="AF341" s="4">
        <f t="shared" si="27"/>
        <v>692.4</v>
      </c>
      <c r="AG341" s="4">
        <f t="shared" si="28"/>
        <v>670.30000000000007</v>
      </c>
      <c r="AH341" s="4">
        <f t="shared" si="29"/>
        <v>677.7</v>
      </c>
      <c r="AI341" s="6">
        <f t="shared" si="30"/>
        <v>4496.6000000000004</v>
      </c>
      <c r="AJ341" s="70">
        <f t="shared" si="25"/>
        <v>333.20000000000005</v>
      </c>
    </row>
    <row r="342" spans="1:36" x14ac:dyDescent="0.3">
      <c r="A342" t="s">
        <v>30</v>
      </c>
      <c r="B342">
        <v>2022</v>
      </c>
      <c r="C342" t="s">
        <v>39</v>
      </c>
      <c r="D342">
        <v>155.19999999999999</v>
      </c>
      <c r="E342">
        <v>210.8</v>
      </c>
      <c r="F342">
        <v>174.3</v>
      </c>
      <c r="G342">
        <v>166.3</v>
      </c>
      <c r="H342">
        <v>202.2</v>
      </c>
      <c r="I342">
        <v>169.6</v>
      </c>
      <c r="J342">
        <v>168.6</v>
      </c>
      <c r="K342">
        <v>164.4</v>
      </c>
      <c r="L342">
        <v>119.2</v>
      </c>
      <c r="M342">
        <v>191.8</v>
      </c>
      <c r="N342">
        <v>174.5</v>
      </c>
      <c r="O342">
        <v>183.1</v>
      </c>
      <c r="P342">
        <v>172.5</v>
      </c>
      <c r="Q342">
        <v>193.2</v>
      </c>
      <c r="R342">
        <v>182</v>
      </c>
      <c r="S342">
        <v>180.3</v>
      </c>
      <c r="T342">
        <v>181.7</v>
      </c>
      <c r="U342">
        <v>0</v>
      </c>
      <c r="V342" s="5">
        <v>179.6</v>
      </c>
      <c r="W342">
        <v>171.3</v>
      </c>
      <c r="X342">
        <v>178.8</v>
      </c>
      <c r="Y342">
        <v>166.3</v>
      </c>
      <c r="Z342">
        <v>168.6</v>
      </c>
      <c r="AA342">
        <v>174.7</v>
      </c>
      <c r="AB342">
        <v>169.7</v>
      </c>
      <c r="AC342">
        <v>171.8</v>
      </c>
      <c r="AD342">
        <v>174.3</v>
      </c>
      <c r="AE342" s="72">
        <f t="shared" si="26"/>
        <v>2445.6999999999998</v>
      </c>
      <c r="AF342" s="4">
        <f t="shared" si="27"/>
        <v>713.7</v>
      </c>
      <c r="AG342" s="4">
        <f t="shared" si="28"/>
        <v>517.20000000000005</v>
      </c>
      <c r="AH342" s="4">
        <f t="shared" si="29"/>
        <v>693.89999999999986</v>
      </c>
      <c r="AI342" s="6">
        <f t="shared" si="30"/>
        <v>4370.4999999999991</v>
      </c>
      <c r="AJ342" s="70">
        <f t="shared" si="25"/>
        <v>171.3</v>
      </c>
    </row>
    <row r="343" spans="1:36" x14ac:dyDescent="0.3">
      <c r="A343" t="s">
        <v>32</v>
      </c>
      <c r="B343">
        <v>2022</v>
      </c>
      <c r="C343" t="s">
        <v>39</v>
      </c>
      <c r="D343">
        <v>159.30000000000001</v>
      </c>
      <c r="E343">
        <v>217.1</v>
      </c>
      <c r="F343">
        <v>176.6</v>
      </c>
      <c r="G343">
        <v>167.1</v>
      </c>
      <c r="H343">
        <v>184.8</v>
      </c>
      <c r="I343">
        <v>179.5</v>
      </c>
      <c r="J343">
        <v>208.5</v>
      </c>
      <c r="K343">
        <v>164</v>
      </c>
      <c r="L343">
        <v>121.5</v>
      </c>
      <c r="M343">
        <v>186.3</v>
      </c>
      <c r="N343">
        <v>159.80000000000001</v>
      </c>
      <c r="O343">
        <v>187.7</v>
      </c>
      <c r="P343">
        <v>179.4</v>
      </c>
      <c r="Q343">
        <v>198.6</v>
      </c>
      <c r="R343">
        <v>172.7</v>
      </c>
      <c r="S343">
        <v>158.69999999999999</v>
      </c>
      <c r="T343">
        <v>170.6</v>
      </c>
      <c r="U343">
        <v>167.8</v>
      </c>
      <c r="V343" s="5">
        <v>179.5</v>
      </c>
      <c r="W343">
        <v>163.1</v>
      </c>
      <c r="X343">
        <v>171.7</v>
      </c>
      <c r="Y343">
        <v>157.4</v>
      </c>
      <c r="Z343">
        <v>164.6</v>
      </c>
      <c r="AA343">
        <v>169.1</v>
      </c>
      <c r="AB343">
        <v>169.8</v>
      </c>
      <c r="AC343">
        <v>164.7</v>
      </c>
      <c r="AD343">
        <v>172.3</v>
      </c>
      <c r="AE343" s="72">
        <f t="shared" si="26"/>
        <v>2490.1999999999998</v>
      </c>
      <c r="AF343" s="4">
        <f t="shared" si="27"/>
        <v>671.8</v>
      </c>
      <c r="AG343" s="4">
        <f t="shared" si="28"/>
        <v>667.8</v>
      </c>
      <c r="AH343" s="4">
        <f t="shared" si="29"/>
        <v>670.09999999999991</v>
      </c>
      <c r="AI343" s="6">
        <f t="shared" si="30"/>
        <v>4499.8999999999996</v>
      </c>
      <c r="AJ343" s="70">
        <f t="shared" si="25"/>
        <v>330.9</v>
      </c>
    </row>
    <row r="344" spans="1:36" x14ac:dyDescent="0.3">
      <c r="A344" t="s">
        <v>33</v>
      </c>
      <c r="B344">
        <v>2022</v>
      </c>
      <c r="C344" t="s">
        <v>39</v>
      </c>
      <c r="D344">
        <v>156.5</v>
      </c>
      <c r="E344">
        <v>213</v>
      </c>
      <c r="F344">
        <v>175.2</v>
      </c>
      <c r="G344">
        <v>166.6</v>
      </c>
      <c r="H344">
        <v>195.8</v>
      </c>
      <c r="I344">
        <v>174.2</v>
      </c>
      <c r="J344">
        <v>182.1</v>
      </c>
      <c r="K344">
        <v>164.3</v>
      </c>
      <c r="L344">
        <v>120</v>
      </c>
      <c r="M344">
        <v>190</v>
      </c>
      <c r="N344">
        <v>168.4</v>
      </c>
      <c r="O344">
        <v>185.2</v>
      </c>
      <c r="P344">
        <v>175</v>
      </c>
      <c r="Q344">
        <v>194.6</v>
      </c>
      <c r="R344">
        <v>178.3</v>
      </c>
      <c r="S344">
        <v>171.3</v>
      </c>
      <c r="T344">
        <v>177.3</v>
      </c>
      <c r="U344">
        <v>167.8</v>
      </c>
      <c r="V344" s="5">
        <v>179.6</v>
      </c>
      <c r="W344">
        <v>167.4</v>
      </c>
      <c r="X344">
        <v>176.1</v>
      </c>
      <c r="Y344">
        <v>161.6</v>
      </c>
      <c r="Z344">
        <v>166.3</v>
      </c>
      <c r="AA344">
        <v>171.4</v>
      </c>
      <c r="AB344">
        <v>169.7</v>
      </c>
      <c r="AC344">
        <v>168.4</v>
      </c>
      <c r="AD344">
        <v>173.4</v>
      </c>
      <c r="AE344" s="72">
        <f t="shared" si="26"/>
        <v>2460.9</v>
      </c>
      <c r="AF344" s="4">
        <f t="shared" si="27"/>
        <v>696.60000000000014</v>
      </c>
      <c r="AG344" s="4">
        <f t="shared" si="28"/>
        <v>676.4</v>
      </c>
      <c r="AH344" s="4">
        <f t="shared" si="29"/>
        <v>682.19999999999993</v>
      </c>
      <c r="AI344" s="6">
        <f t="shared" si="30"/>
        <v>4516.1000000000004</v>
      </c>
      <c r="AJ344" s="70">
        <f t="shared" si="25"/>
        <v>335.20000000000005</v>
      </c>
    </row>
    <row r="345" spans="1:36" x14ac:dyDescent="0.3">
      <c r="A345" t="s">
        <v>30</v>
      </c>
      <c r="B345">
        <v>2022</v>
      </c>
      <c r="C345" t="s">
        <v>40</v>
      </c>
      <c r="D345">
        <v>159.5</v>
      </c>
      <c r="E345">
        <v>204.1</v>
      </c>
      <c r="F345">
        <v>168.3</v>
      </c>
      <c r="G345">
        <v>167.9</v>
      </c>
      <c r="H345">
        <v>198.1</v>
      </c>
      <c r="I345">
        <v>169.2</v>
      </c>
      <c r="J345">
        <v>173.1</v>
      </c>
      <c r="K345">
        <v>167.1</v>
      </c>
      <c r="L345">
        <v>120.2</v>
      </c>
      <c r="M345">
        <v>195.6</v>
      </c>
      <c r="N345">
        <v>174.8</v>
      </c>
      <c r="O345">
        <v>184</v>
      </c>
      <c r="P345">
        <v>173.9</v>
      </c>
      <c r="Q345">
        <v>193.7</v>
      </c>
      <c r="R345">
        <v>183.2</v>
      </c>
      <c r="S345">
        <v>181.7</v>
      </c>
      <c r="T345">
        <v>183</v>
      </c>
      <c r="U345">
        <v>0</v>
      </c>
      <c r="V345" s="5">
        <v>179.1</v>
      </c>
      <c r="W345">
        <v>172.3</v>
      </c>
      <c r="X345">
        <v>179.4</v>
      </c>
      <c r="Y345">
        <v>166.6</v>
      </c>
      <c r="Z345">
        <v>169.3</v>
      </c>
      <c r="AA345">
        <v>175.7</v>
      </c>
      <c r="AB345">
        <v>171.1</v>
      </c>
      <c r="AC345">
        <v>172.6</v>
      </c>
      <c r="AD345">
        <v>175.3</v>
      </c>
      <c r="AE345" s="72">
        <f t="shared" si="26"/>
        <v>2449.4999999999995</v>
      </c>
      <c r="AF345" s="4">
        <f t="shared" si="27"/>
        <v>719</v>
      </c>
      <c r="AG345" s="4">
        <f t="shared" si="28"/>
        <v>518</v>
      </c>
      <c r="AH345" s="4">
        <f t="shared" si="29"/>
        <v>697.00000000000011</v>
      </c>
      <c r="AI345" s="6">
        <f t="shared" si="30"/>
        <v>4383.5</v>
      </c>
      <c r="AJ345" s="70">
        <f t="shared" si="25"/>
        <v>172.3</v>
      </c>
    </row>
    <row r="346" spans="1:36" x14ac:dyDescent="0.3">
      <c r="A346" t="s">
        <v>32</v>
      </c>
      <c r="B346">
        <v>2022</v>
      </c>
      <c r="C346" t="s">
        <v>40</v>
      </c>
      <c r="D346">
        <v>162.1</v>
      </c>
      <c r="E346">
        <v>210.9</v>
      </c>
      <c r="F346">
        <v>170.6</v>
      </c>
      <c r="G346">
        <v>168.4</v>
      </c>
      <c r="H346">
        <v>182.5</v>
      </c>
      <c r="I346">
        <v>177.1</v>
      </c>
      <c r="J346">
        <v>213.1</v>
      </c>
      <c r="K346">
        <v>167.3</v>
      </c>
      <c r="L346">
        <v>122.2</v>
      </c>
      <c r="M346">
        <v>189.7</v>
      </c>
      <c r="N346">
        <v>160.5</v>
      </c>
      <c r="O346">
        <v>188.9</v>
      </c>
      <c r="P346">
        <v>180.4</v>
      </c>
      <c r="Q346">
        <v>198.7</v>
      </c>
      <c r="R346">
        <v>173.7</v>
      </c>
      <c r="S346">
        <v>160</v>
      </c>
      <c r="T346">
        <v>171.6</v>
      </c>
      <c r="U346">
        <v>169</v>
      </c>
      <c r="V346" s="5">
        <v>178.4</v>
      </c>
      <c r="W346">
        <v>164.2</v>
      </c>
      <c r="X346">
        <v>172.6</v>
      </c>
      <c r="Y346">
        <v>157.69999999999999</v>
      </c>
      <c r="Z346">
        <v>165.1</v>
      </c>
      <c r="AA346">
        <v>169.9</v>
      </c>
      <c r="AB346">
        <v>171.4</v>
      </c>
      <c r="AC346">
        <v>165.4</v>
      </c>
      <c r="AD346">
        <v>173.1</v>
      </c>
      <c r="AE346" s="72">
        <f t="shared" si="26"/>
        <v>2492.3999999999996</v>
      </c>
      <c r="AF346" s="4">
        <f t="shared" si="27"/>
        <v>676.69999999999993</v>
      </c>
      <c r="AG346" s="4">
        <f t="shared" si="28"/>
        <v>669.3</v>
      </c>
      <c r="AH346" s="4">
        <f t="shared" si="29"/>
        <v>673</v>
      </c>
      <c r="AI346" s="6">
        <f t="shared" si="30"/>
        <v>4511.3999999999996</v>
      </c>
      <c r="AJ346" s="70">
        <f t="shared" si="25"/>
        <v>333.2</v>
      </c>
    </row>
    <row r="347" spans="1:36" x14ac:dyDescent="0.3">
      <c r="A347" t="s">
        <v>33</v>
      </c>
      <c r="B347">
        <v>2022</v>
      </c>
      <c r="C347" t="s">
        <v>40</v>
      </c>
      <c r="D347">
        <v>160.30000000000001</v>
      </c>
      <c r="E347">
        <v>206.5</v>
      </c>
      <c r="F347">
        <v>169.2</v>
      </c>
      <c r="G347">
        <v>168.1</v>
      </c>
      <c r="H347">
        <v>192.4</v>
      </c>
      <c r="I347">
        <v>172.9</v>
      </c>
      <c r="J347">
        <v>186.7</v>
      </c>
      <c r="K347">
        <v>167.2</v>
      </c>
      <c r="L347">
        <v>120.9</v>
      </c>
      <c r="M347">
        <v>193.6</v>
      </c>
      <c r="N347">
        <v>168.8</v>
      </c>
      <c r="O347">
        <v>186.3</v>
      </c>
      <c r="P347">
        <v>176.3</v>
      </c>
      <c r="Q347">
        <v>195</v>
      </c>
      <c r="R347">
        <v>179.5</v>
      </c>
      <c r="S347">
        <v>172.7</v>
      </c>
      <c r="T347">
        <v>178.5</v>
      </c>
      <c r="U347">
        <v>169</v>
      </c>
      <c r="V347" s="5">
        <v>178.8</v>
      </c>
      <c r="W347">
        <v>168.5</v>
      </c>
      <c r="X347">
        <v>176.8</v>
      </c>
      <c r="Y347">
        <v>161.9</v>
      </c>
      <c r="Z347">
        <v>166.9</v>
      </c>
      <c r="AA347">
        <v>172.3</v>
      </c>
      <c r="AB347">
        <v>171.2</v>
      </c>
      <c r="AC347">
        <v>169.1</v>
      </c>
      <c r="AD347">
        <v>174.3</v>
      </c>
      <c r="AE347" s="72">
        <f t="shared" si="26"/>
        <v>2464.2000000000003</v>
      </c>
      <c r="AF347" s="4">
        <f t="shared" si="27"/>
        <v>701.90000000000009</v>
      </c>
      <c r="AG347" s="4">
        <f t="shared" si="28"/>
        <v>678.19999999999993</v>
      </c>
      <c r="AH347" s="4">
        <f t="shared" si="29"/>
        <v>685.1</v>
      </c>
      <c r="AI347" s="6">
        <f t="shared" si="30"/>
        <v>4529.4000000000005</v>
      </c>
      <c r="AJ347" s="70">
        <f t="shared" si="25"/>
        <v>337.5</v>
      </c>
    </row>
    <row r="348" spans="1:36" x14ac:dyDescent="0.3">
      <c r="A348" t="s">
        <v>30</v>
      </c>
      <c r="B348">
        <v>2022</v>
      </c>
      <c r="C348" t="s">
        <v>41</v>
      </c>
      <c r="D348">
        <v>162.9</v>
      </c>
      <c r="E348">
        <v>206.7</v>
      </c>
      <c r="F348">
        <v>169</v>
      </c>
      <c r="G348">
        <v>169.5</v>
      </c>
      <c r="H348">
        <v>194.1</v>
      </c>
      <c r="I348">
        <v>164.1</v>
      </c>
      <c r="J348">
        <v>176.9</v>
      </c>
      <c r="K348">
        <v>169</v>
      </c>
      <c r="L348">
        <v>120.8</v>
      </c>
      <c r="M348">
        <v>199.1</v>
      </c>
      <c r="N348">
        <v>175.4</v>
      </c>
      <c r="O348">
        <v>184.8</v>
      </c>
      <c r="P348">
        <v>175.5</v>
      </c>
      <c r="Q348">
        <v>194.5</v>
      </c>
      <c r="R348">
        <v>184.7</v>
      </c>
      <c r="S348">
        <v>183.3</v>
      </c>
      <c r="T348">
        <v>184.5</v>
      </c>
      <c r="U348">
        <v>0</v>
      </c>
      <c r="V348" s="5">
        <v>179.7</v>
      </c>
      <c r="W348">
        <v>173.6</v>
      </c>
      <c r="X348">
        <v>180.2</v>
      </c>
      <c r="Y348">
        <v>166.9</v>
      </c>
      <c r="Z348">
        <v>170</v>
      </c>
      <c r="AA348">
        <v>176.2</v>
      </c>
      <c r="AB348">
        <v>170.8</v>
      </c>
      <c r="AC348">
        <v>173.1</v>
      </c>
      <c r="AD348">
        <v>176.4</v>
      </c>
      <c r="AE348" s="72">
        <f t="shared" si="26"/>
        <v>2462.3000000000002</v>
      </c>
      <c r="AF348" s="4">
        <f t="shared" si="27"/>
        <v>723.3</v>
      </c>
      <c r="AG348" s="4">
        <f t="shared" si="28"/>
        <v>520.19999999999993</v>
      </c>
      <c r="AH348" s="4">
        <f t="shared" si="29"/>
        <v>699.5</v>
      </c>
      <c r="AI348" s="6">
        <f t="shared" si="30"/>
        <v>4405.3</v>
      </c>
      <c r="AJ348" s="70">
        <f t="shared" si="25"/>
        <v>173.6</v>
      </c>
    </row>
    <row r="349" spans="1:36" x14ac:dyDescent="0.3">
      <c r="A349" t="s">
        <v>32</v>
      </c>
      <c r="B349">
        <v>2022</v>
      </c>
      <c r="C349" t="s">
        <v>41</v>
      </c>
      <c r="D349">
        <v>164.9</v>
      </c>
      <c r="E349">
        <v>213.7</v>
      </c>
      <c r="F349">
        <v>170.9</v>
      </c>
      <c r="G349">
        <v>170.1</v>
      </c>
      <c r="H349">
        <v>179.3</v>
      </c>
      <c r="I349">
        <v>167.5</v>
      </c>
      <c r="J349">
        <v>220.8</v>
      </c>
      <c r="K349">
        <v>169.2</v>
      </c>
      <c r="L349">
        <v>123.1</v>
      </c>
      <c r="M349">
        <v>193.6</v>
      </c>
      <c r="N349">
        <v>161.1</v>
      </c>
      <c r="O349">
        <v>190.4</v>
      </c>
      <c r="P349">
        <v>181.8</v>
      </c>
      <c r="Q349">
        <v>199.7</v>
      </c>
      <c r="R349">
        <v>175</v>
      </c>
      <c r="S349">
        <v>161.69999999999999</v>
      </c>
      <c r="T349">
        <v>173</v>
      </c>
      <c r="U349">
        <v>169.5</v>
      </c>
      <c r="V349" s="5">
        <v>179.2</v>
      </c>
      <c r="W349">
        <v>165</v>
      </c>
      <c r="X349">
        <v>173.8</v>
      </c>
      <c r="Y349">
        <v>158.19999999999999</v>
      </c>
      <c r="Z349">
        <v>165.8</v>
      </c>
      <c r="AA349">
        <v>170.9</v>
      </c>
      <c r="AB349">
        <v>171.1</v>
      </c>
      <c r="AC349">
        <v>166.1</v>
      </c>
      <c r="AD349">
        <v>174.1</v>
      </c>
      <c r="AE349" s="72">
        <f t="shared" si="26"/>
        <v>2506.1</v>
      </c>
      <c r="AF349" s="4">
        <f t="shared" si="27"/>
        <v>680.8</v>
      </c>
      <c r="AG349" s="4">
        <f t="shared" si="28"/>
        <v>671.90000000000009</v>
      </c>
      <c r="AH349" s="4">
        <f t="shared" si="29"/>
        <v>676.6</v>
      </c>
      <c r="AI349" s="6">
        <f t="shared" si="30"/>
        <v>4535.3999999999996</v>
      </c>
      <c r="AJ349" s="70">
        <f t="shared" si="25"/>
        <v>334.5</v>
      </c>
    </row>
    <row r="350" spans="1:36" x14ac:dyDescent="0.3">
      <c r="A350" t="s">
        <v>33</v>
      </c>
      <c r="B350">
        <v>2022</v>
      </c>
      <c r="C350" t="s">
        <v>41</v>
      </c>
      <c r="D350">
        <v>163.5</v>
      </c>
      <c r="E350">
        <v>209.2</v>
      </c>
      <c r="F350">
        <v>169.7</v>
      </c>
      <c r="G350">
        <v>169.7</v>
      </c>
      <c r="H350">
        <v>188.7</v>
      </c>
      <c r="I350">
        <v>165.7</v>
      </c>
      <c r="J350">
        <v>191.8</v>
      </c>
      <c r="K350">
        <v>169.1</v>
      </c>
      <c r="L350">
        <v>121.6</v>
      </c>
      <c r="M350">
        <v>197.3</v>
      </c>
      <c r="N350">
        <v>169.4</v>
      </c>
      <c r="O350">
        <v>187.4</v>
      </c>
      <c r="P350">
        <v>177.8</v>
      </c>
      <c r="Q350">
        <v>195.9</v>
      </c>
      <c r="R350">
        <v>180.9</v>
      </c>
      <c r="S350">
        <v>174.3</v>
      </c>
      <c r="T350">
        <v>179.9</v>
      </c>
      <c r="U350">
        <v>169.5</v>
      </c>
      <c r="V350" s="5">
        <v>179.5</v>
      </c>
      <c r="W350">
        <v>169.5</v>
      </c>
      <c r="X350">
        <v>177.8</v>
      </c>
      <c r="Y350">
        <v>162.30000000000001</v>
      </c>
      <c r="Z350">
        <v>167.6</v>
      </c>
      <c r="AA350">
        <v>173.1</v>
      </c>
      <c r="AB350">
        <v>170.9</v>
      </c>
      <c r="AC350">
        <v>169.7</v>
      </c>
      <c r="AD350">
        <v>175.3</v>
      </c>
      <c r="AE350" s="72">
        <f t="shared" si="26"/>
        <v>2476.8000000000002</v>
      </c>
      <c r="AF350" s="4">
        <f t="shared" si="27"/>
        <v>706</v>
      </c>
      <c r="AG350" s="4">
        <f t="shared" si="28"/>
        <v>680.8</v>
      </c>
      <c r="AH350" s="4">
        <f t="shared" si="29"/>
        <v>688.2</v>
      </c>
      <c r="AI350" s="6">
        <f t="shared" si="30"/>
        <v>4551.8</v>
      </c>
      <c r="AJ350" s="70">
        <f t="shared" si="25"/>
        <v>339</v>
      </c>
    </row>
    <row r="351" spans="1:36" x14ac:dyDescent="0.3">
      <c r="A351" t="s">
        <v>30</v>
      </c>
      <c r="B351">
        <v>2022</v>
      </c>
      <c r="C351" t="s">
        <v>42</v>
      </c>
      <c r="D351">
        <v>164.7</v>
      </c>
      <c r="E351">
        <v>208.8</v>
      </c>
      <c r="F351">
        <v>170.3</v>
      </c>
      <c r="G351">
        <v>170.9</v>
      </c>
      <c r="H351">
        <v>191.6</v>
      </c>
      <c r="I351">
        <v>162.19999999999999</v>
      </c>
      <c r="J351">
        <v>184.8</v>
      </c>
      <c r="K351">
        <v>169.7</v>
      </c>
      <c r="L351">
        <v>121.1</v>
      </c>
      <c r="M351">
        <v>201.6</v>
      </c>
      <c r="N351">
        <v>175.8</v>
      </c>
      <c r="O351">
        <v>185.6</v>
      </c>
      <c r="P351">
        <v>177.4</v>
      </c>
      <c r="Q351">
        <v>194.9</v>
      </c>
      <c r="R351">
        <v>186.1</v>
      </c>
      <c r="S351">
        <v>184.4</v>
      </c>
      <c r="T351">
        <v>185.9</v>
      </c>
      <c r="U351">
        <v>0</v>
      </c>
      <c r="V351" s="5">
        <v>180.8</v>
      </c>
      <c r="W351">
        <v>174.4</v>
      </c>
      <c r="X351">
        <v>181.2</v>
      </c>
      <c r="Y351">
        <v>167.4</v>
      </c>
      <c r="Z351">
        <v>170.6</v>
      </c>
      <c r="AA351">
        <v>176.5</v>
      </c>
      <c r="AB351">
        <v>172</v>
      </c>
      <c r="AC351">
        <v>173.9</v>
      </c>
      <c r="AD351">
        <v>177.9</v>
      </c>
      <c r="AE351" s="72">
        <f t="shared" si="26"/>
        <v>2479.4</v>
      </c>
      <c r="AF351" s="4">
        <f t="shared" si="27"/>
        <v>728.4</v>
      </c>
      <c r="AG351" s="4">
        <f t="shared" si="28"/>
        <v>522.6</v>
      </c>
      <c r="AH351" s="4">
        <f t="shared" si="29"/>
        <v>702.19999999999993</v>
      </c>
      <c r="AI351" s="6">
        <f t="shared" si="30"/>
        <v>4432.6000000000004</v>
      </c>
      <c r="AJ351" s="70">
        <f t="shared" si="25"/>
        <v>174.4</v>
      </c>
    </row>
    <row r="352" spans="1:36" x14ac:dyDescent="0.3">
      <c r="A352" t="s">
        <v>32</v>
      </c>
      <c r="B352">
        <v>2022</v>
      </c>
      <c r="C352" t="s">
        <v>42</v>
      </c>
      <c r="D352">
        <v>166.4</v>
      </c>
      <c r="E352">
        <v>214.9</v>
      </c>
      <c r="F352">
        <v>171.9</v>
      </c>
      <c r="G352">
        <v>171</v>
      </c>
      <c r="H352">
        <v>177.7</v>
      </c>
      <c r="I352">
        <v>165.7</v>
      </c>
      <c r="J352">
        <v>228.6</v>
      </c>
      <c r="K352">
        <v>169.9</v>
      </c>
      <c r="L352">
        <v>123.4</v>
      </c>
      <c r="M352">
        <v>196.4</v>
      </c>
      <c r="N352">
        <v>161.6</v>
      </c>
      <c r="O352">
        <v>191.5</v>
      </c>
      <c r="P352">
        <v>183.3</v>
      </c>
      <c r="Q352">
        <v>200.1</v>
      </c>
      <c r="R352">
        <v>175.5</v>
      </c>
      <c r="S352">
        <v>162.6</v>
      </c>
      <c r="T352">
        <v>173.6</v>
      </c>
      <c r="U352">
        <v>171.2</v>
      </c>
      <c r="V352" s="5">
        <v>180</v>
      </c>
      <c r="W352">
        <v>166</v>
      </c>
      <c r="X352">
        <v>174.7</v>
      </c>
      <c r="Y352">
        <v>158.80000000000001</v>
      </c>
      <c r="Z352">
        <v>166.3</v>
      </c>
      <c r="AA352">
        <v>171.2</v>
      </c>
      <c r="AB352">
        <v>172.3</v>
      </c>
      <c r="AC352">
        <v>166.8</v>
      </c>
      <c r="AD352">
        <v>175.3</v>
      </c>
      <c r="AE352" s="72">
        <f t="shared" si="26"/>
        <v>2522.4</v>
      </c>
      <c r="AF352" s="4">
        <f t="shared" si="27"/>
        <v>684</v>
      </c>
      <c r="AG352" s="4">
        <f t="shared" si="28"/>
        <v>676</v>
      </c>
      <c r="AH352" s="4">
        <f t="shared" si="29"/>
        <v>679</v>
      </c>
      <c r="AI352" s="6">
        <f t="shared" si="30"/>
        <v>4561.3999999999996</v>
      </c>
      <c r="AJ352" s="70">
        <f t="shared" si="25"/>
        <v>337.2</v>
      </c>
    </row>
    <row r="353" spans="1:36" x14ac:dyDescent="0.3">
      <c r="A353" t="s">
        <v>33</v>
      </c>
      <c r="B353">
        <v>2022</v>
      </c>
      <c r="C353" t="s">
        <v>42</v>
      </c>
      <c r="D353">
        <v>165.2</v>
      </c>
      <c r="E353">
        <v>210.9</v>
      </c>
      <c r="F353">
        <v>170.9</v>
      </c>
      <c r="G353">
        <v>170.9</v>
      </c>
      <c r="H353">
        <v>186.5</v>
      </c>
      <c r="I353">
        <v>163.80000000000001</v>
      </c>
      <c r="J353">
        <v>199.7</v>
      </c>
      <c r="K353">
        <v>169.8</v>
      </c>
      <c r="L353">
        <v>121.9</v>
      </c>
      <c r="M353">
        <v>199.9</v>
      </c>
      <c r="N353">
        <v>169.9</v>
      </c>
      <c r="O353">
        <v>188.3</v>
      </c>
      <c r="P353">
        <v>179.6</v>
      </c>
      <c r="Q353">
        <v>196.3</v>
      </c>
      <c r="R353">
        <v>181.9</v>
      </c>
      <c r="S353">
        <v>175.3</v>
      </c>
      <c r="T353">
        <v>181</v>
      </c>
      <c r="U353">
        <v>171.2</v>
      </c>
      <c r="V353" s="5">
        <v>180.5</v>
      </c>
      <c r="W353">
        <v>170.4</v>
      </c>
      <c r="X353">
        <v>178.7</v>
      </c>
      <c r="Y353">
        <v>162.9</v>
      </c>
      <c r="Z353">
        <v>168.2</v>
      </c>
      <c r="AA353">
        <v>173.4</v>
      </c>
      <c r="AB353">
        <v>172.1</v>
      </c>
      <c r="AC353">
        <v>170.5</v>
      </c>
      <c r="AD353">
        <v>176.7</v>
      </c>
      <c r="AE353" s="72">
        <f t="shared" si="26"/>
        <v>2493.6000000000004</v>
      </c>
      <c r="AF353" s="4">
        <f t="shared" si="27"/>
        <v>710.30000000000007</v>
      </c>
      <c r="AG353" s="4">
        <f t="shared" si="28"/>
        <v>685</v>
      </c>
      <c r="AH353" s="4">
        <f t="shared" si="29"/>
        <v>690.8</v>
      </c>
      <c r="AI353" s="6">
        <f t="shared" si="30"/>
        <v>4579.7000000000007</v>
      </c>
      <c r="AJ353" s="70">
        <f t="shared" ref="AJ353:AJ374" si="31">U353+W353</f>
        <v>341.6</v>
      </c>
    </row>
    <row r="354" spans="1:36" x14ac:dyDescent="0.3">
      <c r="A354" t="s">
        <v>30</v>
      </c>
      <c r="B354">
        <v>2022</v>
      </c>
      <c r="C354" t="s">
        <v>44</v>
      </c>
      <c r="D354">
        <v>166.9</v>
      </c>
      <c r="E354">
        <v>207.2</v>
      </c>
      <c r="F354">
        <v>180.2</v>
      </c>
      <c r="G354">
        <v>172.3</v>
      </c>
      <c r="H354">
        <v>194</v>
      </c>
      <c r="I354">
        <v>159.1</v>
      </c>
      <c r="J354">
        <v>171.6</v>
      </c>
      <c r="K354">
        <v>170.2</v>
      </c>
      <c r="L354">
        <v>121.5</v>
      </c>
      <c r="M354">
        <v>204.8</v>
      </c>
      <c r="N354">
        <v>176.4</v>
      </c>
      <c r="O354">
        <v>186.9</v>
      </c>
      <c r="P354">
        <v>176.6</v>
      </c>
      <c r="Q354">
        <v>195.5</v>
      </c>
      <c r="R354">
        <v>187.2</v>
      </c>
      <c r="S354">
        <v>185.2</v>
      </c>
      <c r="T354">
        <v>186.9</v>
      </c>
      <c r="U354">
        <v>0</v>
      </c>
      <c r="V354" s="5">
        <v>181.9</v>
      </c>
      <c r="W354">
        <v>175.5</v>
      </c>
      <c r="X354">
        <v>182.3</v>
      </c>
      <c r="Y354">
        <v>167.5</v>
      </c>
      <c r="Z354">
        <v>170.8</v>
      </c>
      <c r="AA354">
        <v>176.9</v>
      </c>
      <c r="AB354">
        <v>173.4</v>
      </c>
      <c r="AC354">
        <v>174.6</v>
      </c>
      <c r="AD354">
        <v>177.8</v>
      </c>
      <c r="AE354" s="72">
        <f t="shared" si="26"/>
        <v>2483.1999999999998</v>
      </c>
      <c r="AF354" s="4">
        <f t="shared" si="27"/>
        <v>732.69999999999993</v>
      </c>
      <c r="AG354" s="4">
        <f t="shared" si="28"/>
        <v>524.9</v>
      </c>
      <c r="AH354" s="4">
        <f t="shared" si="29"/>
        <v>704.6</v>
      </c>
      <c r="AI354" s="6">
        <f t="shared" si="30"/>
        <v>4445.3999999999996</v>
      </c>
      <c r="AJ354" s="70">
        <f t="shared" si="31"/>
        <v>175.5</v>
      </c>
    </row>
    <row r="355" spans="1:36" x14ac:dyDescent="0.3">
      <c r="A355" t="s">
        <v>32</v>
      </c>
      <c r="B355">
        <v>2022</v>
      </c>
      <c r="C355" t="s">
        <v>44</v>
      </c>
      <c r="D355">
        <v>168.4</v>
      </c>
      <c r="E355">
        <v>213.4</v>
      </c>
      <c r="F355">
        <v>183.2</v>
      </c>
      <c r="G355">
        <v>172.3</v>
      </c>
      <c r="H355">
        <v>180</v>
      </c>
      <c r="I355">
        <v>162.6</v>
      </c>
      <c r="J355">
        <v>205.5</v>
      </c>
      <c r="K355">
        <v>171</v>
      </c>
      <c r="L355">
        <v>123.4</v>
      </c>
      <c r="M355">
        <v>198.8</v>
      </c>
      <c r="N355">
        <v>162.1</v>
      </c>
      <c r="O355">
        <v>192.4</v>
      </c>
      <c r="P355">
        <v>181.3</v>
      </c>
      <c r="Q355">
        <v>200.6</v>
      </c>
      <c r="R355">
        <v>176.7</v>
      </c>
      <c r="S355">
        <v>163.5</v>
      </c>
      <c r="T355">
        <v>174.7</v>
      </c>
      <c r="U355">
        <v>171.8</v>
      </c>
      <c r="V355" s="5">
        <v>180.3</v>
      </c>
      <c r="W355">
        <v>166.9</v>
      </c>
      <c r="X355">
        <v>175.8</v>
      </c>
      <c r="Y355">
        <v>158.9</v>
      </c>
      <c r="Z355">
        <v>166.7</v>
      </c>
      <c r="AA355">
        <v>171.5</v>
      </c>
      <c r="AB355">
        <v>173.8</v>
      </c>
      <c r="AC355">
        <v>167.4</v>
      </c>
      <c r="AD355">
        <v>174.1</v>
      </c>
      <c r="AE355" s="72">
        <f t="shared" si="26"/>
        <v>2515</v>
      </c>
      <c r="AF355" s="4">
        <f t="shared" si="27"/>
        <v>688.7</v>
      </c>
      <c r="AG355" s="4">
        <f t="shared" si="28"/>
        <v>677.9</v>
      </c>
      <c r="AH355" s="4">
        <f t="shared" si="29"/>
        <v>681.4</v>
      </c>
      <c r="AI355" s="6">
        <f t="shared" si="30"/>
        <v>4563</v>
      </c>
      <c r="AJ355" s="70">
        <f t="shared" si="31"/>
        <v>338.70000000000005</v>
      </c>
    </row>
    <row r="356" spans="1:36" x14ac:dyDescent="0.3">
      <c r="A356" t="s">
        <v>33</v>
      </c>
      <c r="B356">
        <v>2022</v>
      </c>
      <c r="C356" t="s">
        <v>44</v>
      </c>
      <c r="D356">
        <v>167.4</v>
      </c>
      <c r="E356">
        <v>209.4</v>
      </c>
      <c r="F356">
        <v>181.4</v>
      </c>
      <c r="G356">
        <v>172.3</v>
      </c>
      <c r="H356">
        <v>188.9</v>
      </c>
      <c r="I356">
        <v>160.69999999999999</v>
      </c>
      <c r="J356">
        <v>183.1</v>
      </c>
      <c r="K356">
        <v>170.5</v>
      </c>
      <c r="L356">
        <v>122.1</v>
      </c>
      <c r="M356">
        <v>202.8</v>
      </c>
      <c r="N356">
        <v>170.4</v>
      </c>
      <c r="O356">
        <v>189.5</v>
      </c>
      <c r="P356">
        <v>178.3</v>
      </c>
      <c r="Q356">
        <v>196.9</v>
      </c>
      <c r="R356">
        <v>183.1</v>
      </c>
      <c r="S356">
        <v>176.2</v>
      </c>
      <c r="T356">
        <v>182.1</v>
      </c>
      <c r="U356">
        <v>171.8</v>
      </c>
      <c r="V356" s="5">
        <v>181.3</v>
      </c>
      <c r="W356">
        <v>171.4</v>
      </c>
      <c r="X356">
        <v>179.8</v>
      </c>
      <c r="Y356">
        <v>163</v>
      </c>
      <c r="Z356">
        <v>168.5</v>
      </c>
      <c r="AA356">
        <v>173.7</v>
      </c>
      <c r="AB356">
        <v>173.6</v>
      </c>
      <c r="AC356">
        <v>171.1</v>
      </c>
      <c r="AD356">
        <v>176.5</v>
      </c>
      <c r="AE356" s="72">
        <f t="shared" si="26"/>
        <v>2493.7000000000003</v>
      </c>
      <c r="AF356" s="4">
        <f t="shared" si="27"/>
        <v>715</v>
      </c>
      <c r="AG356" s="4">
        <f t="shared" si="28"/>
        <v>687.5</v>
      </c>
      <c r="AH356" s="4">
        <f t="shared" si="29"/>
        <v>693.1</v>
      </c>
      <c r="AI356" s="6">
        <f t="shared" si="30"/>
        <v>4589.3</v>
      </c>
      <c r="AJ356" s="70">
        <f t="shared" si="31"/>
        <v>343.20000000000005</v>
      </c>
    </row>
    <row r="357" spans="1:36" x14ac:dyDescent="0.3">
      <c r="A357" t="s">
        <v>30</v>
      </c>
      <c r="B357">
        <v>2022</v>
      </c>
      <c r="C357" t="s">
        <v>45</v>
      </c>
      <c r="D357">
        <v>168.8</v>
      </c>
      <c r="E357">
        <v>206.9</v>
      </c>
      <c r="F357">
        <v>189.1</v>
      </c>
      <c r="G357">
        <v>173.4</v>
      </c>
      <c r="H357">
        <v>193.9</v>
      </c>
      <c r="I357">
        <v>156.69999999999999</v>
      </c>
      <c r="J357">
        <v>150.19999999999999</v>
      </c>
      <c r="K357">
        <v>170.5</v>
      </c>
      <c r="L357">
        <v>121.2</v>
      </c>
      <c r="M357">
        <v>207.5</v>
      </c>
      <c r="N357">
        <v>176.8</v>
      </c>
      <c r="O357">
        <v>187.7</v>
      </c>
      <c r="P357">
        <v>174.4</v>
      </c>
      <c r="Q357">
        <v>195.9</v>
      </c>
      <c r="R357">
        <v>188.1</v>
      </c>
      <c r="S357">
        <v>185.9</v>
      </c>
      <c r="T357">
        <v>187.8</v>
      </c>
      <c r="U357">
        <v>0</v>
      </c>
      <c r="V357" s="5">
        <v>182.8</v>
      </c>
      <c r="W357">
        <v>176.4</v>
      </c>
      <c r="X357">
        <v>183.5</v>
      </c>
      <c r="Y357">
        <v>167.8</v>
      </c>
      <c r="Z357">
        <v>171.2</v>
      </c>
      <c r="AA357">
        <v>177.3</v>
      </c>
      <c r="AB357">
        <v>175.7</v>
      </c>
      <c r="AC357">
        <v>175.5</v>
      </c>
      <c r="AD357">
        <v>177.1</v>
      </c>
      <c r="AE357" s="72">
        <f t="shared" si="26"/>
        <v>2473</v>
      </c>
      <c r="AF357" s="4">
        <f t="shared" si="27"/>
        <v>737.5</v>
      </c>
      <c r="AG357" s="4">
        <f t="shared" si="28"/>
        <v>527</v>
      </c>
      <c r="AH357" s="4">
        <f t="shared" si="29"/>
        <v>707.5</v>
      </c>
      <c r="AI357" s="6">
        <f t="shared" si="30"/>
        <v>4445</v>
      </c>
      <c r="AJ357" s="70">
        <f t="shared" si="31"/>
        <v>176.4</v>
      </c>
    </row>
    <row r="358" spans="1:36" x14ac:dyDescent="0.3">
      <c r="A358" t="s">
        <v>32</v>
      </c>
      <c r="B358">
        <v>2022</v>
      </c>
      <c r="C358" t="s">
        <v>45</v>
      </c>
      <c r="D358">
        <v>170.2</v>
      </c>
      <c r="E358">
        <v>212.9</v>
      </c>
      <c r="F358">
        <v>191.9</v>
      </c>
      <c r="G358">
        <v>173.9</v>
      </c>
      <c r="H358">
        <v>179.1</v>
      </c>
      <c r="I358">
        <v>159.5</v>
      </c>
      <c r="J358">
        <v>178.7</v>
      </c>
      <c r="K358">
        <v>171.3</v>
      </c>
      <c r="L358">
        <v>123.1</v>
      </c>
      <c r="M358">
        <v>200.5</v>
      </c>
      <c r="N358">
        <v>162.80000000000001</v>
      </c>
      <c r="O358">
        <v>193.3</v>
      </c>
      <c r="P358">
        <v>178.6</v>
      </c>
      <c r="Q358">
        <v>201.1</v>
      </c>
      <c r="R358">
        <v>177.7</v>
      </c>
      <c r="S358">
        <v>164.5</v>
      </c>
      <c r="T358">
        <v>175.7</v>
      </c>
      <c r="U358">
        <v>170.7</v>
      </c>
      <c r="V358" s="5">
        <v>180.6</v>
      </c>
      <c r="W358">
        <v>167.3</v>
      </c>
      <c r="X358">
        <v>177.2</v>
      </c>
      <c r="Y358">
        <v>159.4</v>
      </c>
      <c r="Z358">
        <v>167.1</v>
      </c>
      <c r="AA358">
        <v>171.8</v>
      </c>
      <c r="AB358">
        <v>176</v>
      </c>
      <c r="AC358">
        <v>168.2</v>
      </c>
      <c r="AD358">
        <v>174.1</v>
      </c>
      <c r="AE358" s="72">
        <f t="shared" si="26"/>
        <v>2496.8999999999996</v>
      </c>
      <c r="AF358" s="4">
        <f t="shared" si="27"/>
        <v>693.9</v>
      </c>
      <c r="AG358" s="4">
        <f t="shared" si="28"/>
        <v>677.99999999999989</v>
      </c>
      <c r="AH358" s="4">
        <f t="shared" si="29"/>
        <v>684.3</v>
      </c>
      <c r="AI358" s="6">
        <f t="shared" si="30"/>
        <v>4553.0999999999995</v>
      </c>
      <c r="AJ358" s="70">
        <f t="shared" si="31"/>
        <v>338</v>
      </c>
    </row>
    <row r="359" spans="1:36" x14ac:dyDescent="0.3">
      <c r="A359" t="s">
        <v>33</v>
      </c>
      <c r="B359">
        <v>2022</v>
      </c>
      <c r="C359" t="s">
        <v>45</v>
      </c>
      <c r="D359">
        <v>169.2</v>
      </c>
      <c r="E359">
        <v>209</v>
      </c>
      <c r="F359">
        <v>190.2</v>
      </c>
      <c r="G359">
        <v>173.6</v>
      </c>
      <c r="H359">
        <v>188.5</v>
      </c>
      <c r="I359">
        <v>158</v>
      </c>
      <c r="J359">
        <v>159.9</v>
      </c>
      <c r="K359">
        <v>170.8</v>
      </c>
      <c r="L359">
        <v>121.8</v>
      </c>
      <c r="M359">
        <v>205.2</v>
      </c>
      <c r="N359">
        <v>171</v>
      </c>
      <c r="O359">
        <v>190.3</v>
      </c>
      <c r="P359">
        <v>175.9</v>
      </c>
      <c r="Q359">
        <v>197.3</v>
      </c>
      <c r="R359">
        <v>184</v>
      </c>
      <c r="S359">
        <v>177</v>
      </c>
      <c r="T359">
        <v>183</v>
      </c>
      <c r="U359">
        <v>170.7</v>
      </c>
      <c r="V359" s="5">
        <v>182</v>
      </c>
      <c r="W359">
        <v>172.1</v>
      </c>
      <c r="X359">
        <v>181.1</v>
      </c>
      <c r="Y359">
        <v>163.4</v>
      </c>
      <c r="Z359">
        <v>168.9</v>
      </c>
      <c r="AA359">
        <v>174.1</v>
      </c>
      <c r="AB359">
        <v>175.8</v>
      </c>
      <c r="AC359">
        <v>172</v>
      </c>
      <c r="AD359">
        <v>175.7</v>
      </c>
      <c r="AE359" s="72">
        <f t="shared" si="26"/>
        <v>2480.7000000000003</v>
      </c>
      <c r="AF359" s="4">
        <f t="shared" si="27"/>
        <v>719.8</v>
      </c>
      <c r="AG359" s="4">
        <f t="shared" si="28"/>
        <v>688.19999999999993</v>
      </c>
      <c r="AH359" s="4">
        <f t="shared" si="29"/>
        <v>696.1</v>
      </c>
      <c r="AI359" s="6">
        <f t="shared" si="30"/>
        <v>4584.8</v>
      </c>
      <c r="AJ359" s="70">
        <f t="shared" si="31"/>
        <v>342.79999999999995</v>
      </c>
    </row>
    <row r="360" spans="1:36" x14ac:dyDescent="0.3">
      <c r="A360" t="s">
        <v>30</v>
      </c>
      <c r="B360">
        <v>2023</v>
      </c>
      <c r="C360" t="s">
        <v>31</v>
      </c>
      <c r="D360">
        <v>174</v>
      </c>
      <c r="E360">
        <v>208.3</v>
      </c>
      <c r="F360">
        <v>192.9</v>
      </c>
      <c r="G360">
        <v>174.3</v>
      </c>
      <c r="H360">
        <v>192.6</v>
      </c>
      <c r="I360">
        <v>156.30000000000001</v>
      </c>
      <c r="J360">
        <v>142.9</v>
      </c>
      <c r="K360">
        <v>170.7</v>
      </c>
      <c r="L360">
        <v>120.3</v>
      </c>
      <c r="M360">
        <v>210.5</v>
      </c>
      <c r="N360">
        <v>176.9</v>
      </c>
      <c r="O360">
        <v>188.5</v>
      </c>
      <c r="P360">
        <v>175</v>
      </c>
      <c r="Q360">
        <v>196.9</v>
      </c>
      <c r="R360">
        <v>189</v>
      </c>
      <c r="S360">
        <v>186.3</v>
      </c>
      <c r="T360">
        <v>188.6</v>
      </c>
      <c r="U360">
        <v>0</v>
      </c>
      <c r="V360" s="5">
        <v>183.2</v>
      </c>
      <c r="W360">
        <v>177.2</v>
      </c>
      <c r="X360">
        <v>184.7</v>
      </c>
      <c r="Y360">
        <v>168.2</v>
      </c>
      <c r="Z360">
        <v>171.8</v>
      </c>
      <c r="AA360">
        <v>177.8</v>
      </c>
      <c r="AB360">
        <v>178.4</v>
      </c>
      <c r="AC360">
        <v>176.5</v>
      </c>
      <c r="AD360">
        <v>177.8</v>
      </c>
      <c r="AE360" s="72">
        <f t="shared" si="26"/>
        <v>2480.1000000000004</v>
      </c>
      <c r="AF360" s="4">
        <f t="shared" si="27"/>
        <v>742.3</v>
      </c>
      <c r="AG360" s="4">
        <f t="shared" si="28"/>
        <v>528.59999999999991</v>
      </c>
      <c r="AH360" s="4">
        <f t="shared" si="29"/>
        <v>710.8</v>
      </c>
      <c r="AI360" s="6">
        <f t="shared" si="30"/>
        <v>4461.8</v>
      </c>
      <c r="AJ360" s="70">
        <f t="shared" si="31"/>
        <v>177.2</v>
      </c>
    </row>
    <row r="361" spans="1:36" x14ac:dyDescent="0.3">
      <c r="A361" t="s">
        <v>32</v>
      </c>
      <c r="B361">
        <v>2023</v>
      </c>
      <c r="C361" t="s">
        <v>31</v>
      </c>
      <c r="D361">
        <v>173.3</v>
      </c>
      <c r="E361">
        <v>215.2</v>
      </c>
      <c r="F361">
        <v>197</v>
      </c>
      <c r="G361">
        <v>175.2</v>
      </c>
      <c r="H361">
        <v>178</v>
      </c>
      <c r="I361">
        <v>160.5</v>
      </c>
      <c r="J361">
        <v>175.3</v>
      </c>
      <c r="K361">
        <v>171.2</v>
      </c>
      <c r="L361">
        <v>122.7</v>
      </c>
      <c r="M361">
        <v>204.3</v>
      </c>
      <c r="N361">
        <v>163.69999999999999</v>
      </c>
      <c r="O361">
        <v>194.3</v>
      </c>
      <c r="P361">
        <v>179.5</v>
      </c>
      <c r="Q361">
        <v>201.6</v>
      </c>
      <c r="R361">
        <v>178.7</v>
      </c>
      <c r="S361">
        <v>165.3</v>
      </c>
      <c r="T361">
        <v>176.6</v>
      </c>
      <c r="U361">
        <v>172.1</v>
      </c>
      <c r="V361" s="5">
        <v>180.1</v>
      </c>
      <c r="W361">
        <v>168</v>
      </c>
      <c r="X361">
        <v>178.5</v>
      </c>
      <c r="Y361">
        <v>159.5</v>
      </c>
      <c r="Z361">
        <v>167.8</v>
      </c>
      <c r="AA361">
        <v>171.8</v>
      </c>
      <c r="AB361">
        <v>178.8</v>
      </c>
      <c r="AC361">
        <v>168.9</v>
      </c>
      <c r="AD361">
        <v>174.9</v>
      </c>
      <c r="AE361" s="72">
        <f t="shared" si="26"/>
        <v>2511.8000000000002</v>
      </c>
      <c r="AF361" s="4">
        <f t="shared" si="27"/>
        <v>699.40000000000009</v>
      </c>
      <c r="AG361" s="4">
        <f t="shared" si="28"/>
        <v>679.7</v>
      </c>
      <c r="AH361" s="4">
        <f t="shared" si="29"/>
        <v>687</v>
      </c>
      <c r="AI361" s="6">
        <f t="shared" si="30"/>
        <v>4577.9000000000005</v>
      </c>
      <c r="AJ361" s="70">
        <f t="shared" si="31"/>
        <v>340.1</v>
      </c>
    </row>
    <row r="362" spans="1:36" x14ac:dyDescent="0.3">
      <c r="A362" t="s">
        <v>33</v>
      </c>
      <c r="B362">
        <v>2023</v>
      </c>
      <c r="C362" t="s">
        <v>31</v>
      </c>
      <c r="D362">
        <v>173.8</v>
      </c>
      <c r="E362">
        <v>210.7</v>
      </c>
      <c r="F362">
        <v>194.5</v>
      </c>
      <c r="G362">
        <v>174.6</v>
      </c>
      <c r="H362">
        <v>187.2</v>
      </c>
      <c r="I362">
        <v>158.30000000000001</v>
      </c>
      <c r="J362">
        <v>153.9</v>
      </c>
      <c r="K362">
        <v>170.9</v>
      </c>
      <c r="L362">
        <v>121.1</v>
      </c>
      <c r="M362">
        <v>208.4</v>
      </c>
      <c r="N362">
        <v>171.4</v>
      </c>
      <c r="O362">
        <v>191.2</v>
      </c>
      <c r="P362">
        <v>176.7</v>
      </c>
      <c r="Q362">
        <v>198.2</v>
      </c>
      <c r="R362">
        <v>184.9</v>
      </c>
      <c r="S362">
        <v>177.6</v>
      </c>
      <c r="T362">
        <v>183.8</v>
      </c>
      <c r="U362">
        <v>172.1</v>
      </c>
      <c r="V362" s="5">
        <v>182</v>
      </c>
      <c r="W362">
        <v>172.9</v>
      </c>
      <c r="X362">
        <v>182.3</v>
      </c>
      <c r="Y362">
        <v>163.6</v>
      </c>
      <c r="Z362">
        <v>169.5</v>
      </c>
      <c r="AA362">
        <v>174.3</v>
      </c>
      <c r="AB362">
        <v>178.6</v>
      </c>
      <c r="AC362">
        <v>172.8</v>
      </c>
      <c r="AD362">
        <v>176.5</v>
      </c>
      <c r="AE362" s="72">
        <f t="shared" si="26"/>
        <v>2490.8999999999996</v>
      </c>
      <c r="AF362" s="4">
        <f t="shared" si="27"/>
        <v>724.9</v>
      </c>
      <c r="AG362" s="4">
        <f t="shared" si="28"/>
        <v>690.6</v>
      </c>
      <c r="AH362" s="4">
        <f t="shared" si="29"/>
        <v>698.90000000000009</v>
      </c>
      <c r="AI362" s="6">
        <f t="shared" si="30"/>
        <v>4605.2999999999993</v>
      </c>
      <c r="AJ362" s="70">
        <f t="shared" si="31"/>
        <v>345</v>
      </c>
    </row>
    <row r="363" spans="1:36" x14ac:dyDescent="0.3">
      <c r="A363" t="s">
        <v>30</v>
      </c>
      <c r="B363">
        <v>2023</v>
      </c>
      <c r="C363" t="s">
        <v>34</v>
      </c>
      <c r="D363">
        <v>174.2</v>
      </c>
      <c r="E363">
        <v>205.2</v>
      </c>
      <c r="F363">
        <v>173.9</v>
      </c>
      <c r="G363">
        <v>177</v>
      </c>
      <c r="H363">
        <v>183.4</v>
      </c>
      <c r="I363">
        <v>167.2</v>
      </c>
      <c r="J363">
        <v>140.9</v>
      </c>
      <c r="K363">
        <v>170.4</v>
      </c>
      <c r="L363">
        <v>119.1</v>
      </c>
      <c r="M363">
        <v>212.1</v>
      </c>
      <c r="N363">
        <v>177.6</v>
      </c>
      <c r="O363">
        <v>189.9</v>
      </c>
      <c r="P363">
        <v>174.8</v>
      </c>
      <c r="Q363">
        <v>198.3</v>
      </c>
      <c r="R363">
        <v>190</v>
      </c>
      <c r="S363">
        <v>187</v>
      </c>
      <c r="T363">
        <v>189.6</v>
      </c>
      <c r="U363">
        <v>0</v>
      </c>
      <c r="V363" s="5">
        <v>181.6</v>
      </c>
      <c r="W363">
        <v>178.6</v>
      </c>
      <c r="X363">
        <v>186.6</v>
      </c>
      <c r="Y363">
        <v>169</v>
      </c>
      <c r="Z363">
        <v>172.8</v>
      </c>
      <c r="AA363">
        <v>178.5</v>
      </c>
      <c r="AB363">
        <v>180.7</v>
      </c>
      <c r="AC363">
        <v>177.9</v>
      </c>
      <c r="AD363">
        <v>178</v>
      </c>
      <c r="AE363" s="72">
        <f t="shared" si="26"/>
        <v>2464</v>
      </c>
      <c r="AF363" s="4">
        <f t="shared" si="27"/>
        <v>747.3</v>
      </c>
      <c r="AG363" s="4">
        <f t="shared" si="28"/>
        <v>529.20000000000005</v>
      </c>
      <c r="AH363" s="4">
        <f t="shared" si="29"/>
        <v>715.8</v>
      </c>
      <c r="AI363" s="6">
        <f t="shared" si="30"/>
        <v>4456.3</v>
      </c>
      <c r="AJ363" s="70">
        <f t="shared" si="31"/>
        <v>178.6</v>
      </c>
    </row>
    <row r="364" spans="1:36" x14ac:dyDescent="0.3">
      <c r="A364" t="s">
        <v>32</v>
      </c>
      <c r="B364">
        <v>2023</v>
      </c>
      <c r="C364" t="s">
        <v>34</v>
      </c>
      <c r="D364">
        <v>174.7</v>
      </c>
      <c r="E364">
        <v>212.2</v>
      </c>
      <c r="F364">
        <v>177.2</v>
      </c>
      <c r="G364">
        <v>177.9</v>
      </c>
      <c r="H364">
        <v>172.2</v>
      </c>
      <c r="I364">
        <v>172.1</v>
      </c>
      <c r="J364">
        <v>175.8</v>
      </c>
      <c r="K364">
        <v>172.2</v>
      </c>
      <c r="L364">
        <v>121.9</v>
      </c>
      <c r="M364">
        <v>204.8</v>
      </c>
      <c r="N364">
        <v>164.9</v>
      </c>
      <c r="O364">
        <v>196.6</v>
      </c>
      <c r="P364">
        <v>180.7</v>
      </c>
      <c r="Q364">
        <v>202.7</v>
      </c>
      <c r="R364">
        <v>180.3</v>
      </c>
      <c r="S364">
        <v>167</v>
      </c>
      <c r="T364">
        <v>178.2</v>
      </c>
      <c r="U364">
        <v>173.5</v>
      </c>
      <c r="V364" s="5">
        <v>182.8</v>
      </c>
      <c r="W364">
        <v>169.2</v>
      </c>
      <c r="X364">
        <v>180.8</v>
      </c>
      <c r="Y364">
        <v>159.80000000000001</v>
      </c>
      <c r="Z364">
        <v>168.4</v>
      </c>
      <c r="AA364">
        <v>172.5</v>
      </c>
      <c r="AB364">
        <v>181.4</v>
      </c>
      <c r="AC364">
        <v>170</v>
      </c>
      <c r="AD364">
        <v>176.3</v>
      </c>
      <c r="AE364" s="72">
        <f t="shared" si="26"/>
        <v>2505.8999999999996</v>
      </c>
      <c r="AF364" s="4">
        <f t="shared" si="27"/>
        <v>706.9</v>
      </c>
      <c r="AG364" s="4">
        <f t="shared" si="28"/>
        <v>685.3</v>
      </c>
      <c r="AH364" s="4">
        <f t="shared" si="29"/>
        <v>691.7</v>
      </c>
      <c r="AI364" s="6">
        <f t="shared" si="30"/>
        <v>4589.7999999999993</v>
      </c>
      <c r="AJ364" s="70">
        <f t="shared" si="31"/>
        <v>342.7</v>
      </c>
    </row>
    <row r="365" spans="1:36" x14ac:dyDescent="0.3">
      <c r="A365" t="s">
        <v>33</v>
      </c>
      <c r="B365">
        <v>2023</v>
      </c>
      <c r="C365" t="s">
        <v>34</v>
      </c>
      <c r="D365">
        <v>174.4</v>
      </c>
      <c r="E365">
        <v>207.7</v>
      </c>
      <c r="F365">
        <v>175.2</v>
      </c>
      <c r="G365">
        <v>177.3</v>
      </c>
      <c r="H365">
        <v>179.3</v>
      </c>
      <c r="I365">
        <v>169.5</v>
      </c>
      <c r="J365">
        <v>152.69999999999999</v>
      </c>
      <c r="K365">
        <v>171</v>
      </c>
      <c r="L365">
        <v>120</v>
      </c>
      <c r="M365">
        <v>209.7</v>
      </c>
      <c r="N365">
        <v>172.3</v>
      </c>
      <c r="O365">
        <v>193</v>
      </c>
      <c r="P365">
        <v>177</v>
      </c>
      <c r="Q365">
        <v>199.5</v>
      </c>
      <c r="R365">
        <v>186.2</v>
      </c>
      <c r="S365">
        <v>178.7</v>
      </c>
      <c r="T365">
        <v>185.1</v>
      </c>
      <c r="U365">
        <v>173.5</v>
      </c>
      <c r="V365" s="5">
        <v>182.1</v>
      </c>
      <c r="W365">
        <v>174.2</v>
      </c>
      <c r="X365">
        <v>184.4</v>
      </c>
      <c r="Y365">
        <v>164.2</v>
      </c>
      <c r="Z365">
        <v>170.3</v>
      </c>
      <c r="AA365">
        <v>175</v>
      </c>
      <c r="AB365">
        <v>181</v>
      </c>
      <c r="AC365">
        <v>174.1</v>
      </c>
      <c r="AD365">
        <v>177.2</v>
      </c>
      <c r="AE365" s="72">
        <f t="shared" si="26"/>
        <v>2478.6</v>
      </c>
      <c r="AF365" s="4">
        <f t="shared" si="27"/>
        <v>731</v>
      </c>
      <c r="AG365" s="4">
        <f t="shared" si="28"/>
        <v>694</v>
      </c>
      <c r="AH365" s="4">
        <f t="shared" si="29"/>
        <v>703.80000000000007</v>
      </c>
      <c r="AI365" s="6">
        <f t="shared" si="30"/>
        <v>4607.3999999999996</v>
      </c>
      <c r="AJ365" s="70">
        <f t="shared" si="31"/>
        <v>347.7</v>
      </c>
    </row>
    <row r="366" spans="1:36" x14ac:dyDescent="0.3">
      <c r="A366" t="s">
        <v>30</v>
      </c>
      <c r="B366">
        <v>2023</v>
      </c>
      <c r="C366" t="s">
        <v>35</v>
      </c>
      <c r="D366">
        <v>174.3</v>
      </c>
      <c r="E366">
        <v>205.2</v>
      </c>
      <c r="F366">
        <v>173.9</v>
      </c>
      <c r="G366">
        <v>177</v>
      </c>
      <c r="H366">
        <v>183.3</v>
      </c>
      <c r="I366">
        <v>167.2</v>
      </c>
      <c r="J366">
        <v>140.9</v>
      </c>
      <c r="K366">
        <v>170.5</v>
      </c>
      <c r="L366">
        <v>119.1</v>
      </c>
      <c r="M366">
        <v>212.1</v>
      </c>
      <c r="N366">
        <v>177.6</v>
      </c>
      <c r="O366">
        <v>189.9</v>
      </c>
      <c r="P366">
        <v>174.8</v>
      </c>
      <c r="Q366">
        <v>198.4</v>
      </c>
      <c r="R366">
        <v>190</v>
      </c>
      <c r="S366">
        <v>187</v>
      </c>
      <c r="T366">
        <v>189.6</v>
      </c>
      <c r="U366">
        <v>0</v>
      </c>
      <c r="V366" s="5">
        <v>181.4</v>
      </c>
      <c r="W366">
        <v>178.6</v>
      </c>
      <c r="X366">
        <v>186.6</v>
      </c>
      <c r="Y366">
        <v>169</v>
      </c>
      <c r="Z366">
        <v>172.8</v>
      </c>
      <c r="AA366">
        <v>178.5</v>
      </c>
      <c r="AB366">
        <v>180.7</v>
      </c>
      <c r="AC366">
        <v>177.9</v>
      </c>
      <c r="AD366">
        <v>178</v>
      </c>
      <c r="AE366" s="72">
        <f t="shared" si="26"/>
        <v>2464.2000000000003</v>
      </c>
      <c r="AF366" s="4">
        <f t="shared" si="27"/>
        <v>747.3</v>
      </c>
      <c r="AG366" s="4">
        <f t="shared" si="28"/>
        <v>529</v>
      </c>
      <c r="AH366" s="4">
        <f t="shared" si="29"/>
        <v>715.8</v>
      </c>
      <c r="AI366" s="6">
        <f t="shared" si="30"/>
        <v>4456.3</v>
      </c>
      <c r="AJ366" s="70">
        <f t="shared" si="31"/>
        <v>178.6</v>
      </c>
    </row>
    <row r="367" spans="1:36" x14ac:dyDescent="0.3">
      <c r="A367" t="s">
        <v>32</v>
      </c>
      <c r="B367">
        <v>2023</v>
      </c>
      <c r="C367" t="s">
        <v>35</v>
      </c>
      <c r="D367">
        <v>174.7</v>
      </c>
      <c r="E367">
        <v>212.2</v>
      </c>
      <c r="F367">
        <v>177.2</v>
      </c>
      <c r="G367">
        <v>177.9</v>
      </c>
      <c r="H367">
        <v>172.2</v>
      </c>
      <c r="I367">
        <v>172.1</v>
      </c>
      <c r="J367">
        <v>175.9</v>
      </c>
      <c r="K367">
        <v>172.2</v>
      </c>
      <c r="L367">
        <v>121.9</v>
      </c>
      <c r="M367">
        <v>204.8</v>
      </c>
      <c r="N367">
        <v>164.9</v>
      </c>
      <c r="O367">
        <v>196.6</v>
      </c>
      <c r="P367">
        <v>180.8</v>
      </c>
      <c r="Q367">
        <v>202.7</v>
      </c>
      <c r="R367">
        <v>180.2</v>
      </c>
      <c r="S367">
        <v>167</v>
      </c>
      <c r="T367">
        <v>178.2</v>
      </c>
      <c r="U367">
        <v>173.5</v>
      </c>
      <c r="V367" s="5">
        <v>182.6</v>
      </c>
      <c r="W367">
        <v>169.2</v>
      </c>
      <c r="X367">
        <v>180.8</v>
      </c>
      <c r="Y367">
        <v>159.80000000000001</v>
      </c>
      <c r="Z367">
        <v>168.4</v>
      </c>
      <c r="AA367">
        <v>172.5</v>
      </c>
      <c r="AB367">
        <v>181.5</v>
      </c>
      <c r="AC367">
        <v>170</v>
      </c>
      <c r="AD367">
        <v>176.3</v>
      </c>
      <c r="AE367" s="72">
        <f t="shared" si="26"/>
        <v>2506.1</v>
      </c>
      <c r="AF367" s="4">
        <f t="shared" si="27"/>
        <v>706.9</v>
      </c>
      <c r="AG367" s="4">
        <f t="shared" si="28"/>
        <v>685.09999999999991</v>
      </c>
      <c r="AH367" s="4">
        <f t="shared" si="29"/>
        <v>691.7</v>
      </c>
      <c r="AI367" s="6">
        <f t="shared" si="30"/>
        <v>4589.8</v>
      </c>
      <c r="AJ367" s="70">
        <f t="shared" si="31"/>
        <v>342.7</v>
      </c>
    </row>
    <row r="368" spans="1:36" x14ac:dyDescent="0.3">
      <c r="A368" t="s">
        <v>33</v>
      </c>
      <c r="B368">
        <v>2023</v>
      </c>
      <c r="C368" t="s">
        <v>35</v>
      </c>
      <c r="D368">
        <v>174.4</v>
      </c>
      <c r="E368">
        <v>207.7</v>
      </c>
      <c r="F368">
        <v>175.2</v>
      </c>
      <c r="G368">
        <v>177.3</v>
      </c>
      <c r="H368">
        <v>179.2</v>
      </c>
      <c r="I368">
        <v>169.5</v>
      </c>
      <c r="J368">
        <v>152.80000000000001</v>
      </c>
      <c r="K368">
        <v>171.1</v>
      </c>
      <c r="L368">
        <v>120</v>
      </c>
      <c r="M368">
        <v>209.7</v>
      </c>
      <c r="N368">
        <v>172.3</v>
      </c>
      <c r="O368">
        <v>193</v>
      </c>
      <c r="P368">
        <v>177</v>
      </c>
      <c r="Q368">
        <v>199.5</v>
      </c>
      <c r="R368">
        <v>186.1</v>
      </c>
      <c r="S368">
        <v>178.7</v>
      </c>
      <c r="T368">
        <v>185.1</v>
      </c>
      <c r="U368">
        <v>173.5</v>
      </c>
      <c r="V368" s="5">
        <v>181.9</v>
      </c>
      <c r="W368">
        <v>174.2</v>
      </c>
      <c r="X368">
        <v>184.4</v>
      </c>
      <c r="Y368">
        <v>164.2</v>
      </c>
      <c r="Z368">
        <v>170.3</v>
      </c>
      <c r="AA368">
        <v>175</v>
      </c>
      <c r="AB368">
        <v>181</v>
      </c>
      <c r="AC368">
        <v>174.1</v>
      </c>
      <c r="AD368">
        <v>177.2</v>
      </c>
      <c r="AE368" s="72">
        <f t="shared" si="26"/>
        <v>2478.6999999999998</v>
      </c>
      <c r="AF368" s="4">
        <f t="shared" si="27"/>
        <v>730.9</v>
      </c>
      <c r="AG368" s="4">
        <f t="shared" si="28"/>
        <v>693.8</v>
      </c>
      <c r="AH368" s="4">
        <f t="shared" si="29"/>
        <v>703.80000000000007</v>
      </c>
      <c r="AI368" s="6">
        <f t="shared" si="30"/>
        <v>4607.2</v>
      </c>
      <c r="AJ368" s="70">
        <f t="shared" si="31"/>
        <v>347.7</v>
      </c>
    </row>
    <row r="369" spans="1:36" x14ac:dyDescent="0.3">
      <c r="A369" t="s">
        <v>30</v>
      </c>
      <c r="B369">
        <v>2023</v>
      </c>
      <c r="C369" t="s">
        <v>36</v>
      </c>
      <c r="D369">
        <v>173.3</v>
      </c>
      <c r="E369">
        <v>206.9</v>
      </c>
      <c r="F369">
        <v>167.9</v>
      </c>
      <c r="G369">
        <v>178.2</v>
      </c>
      <c r="H369">
        <v>178.5</v>
      </c>
      <c r="I369">
        <v>173.7</v>
      </c>
      <c r="J369">
        <v>142.80000000000001</v>
      </c>
      <c r="K369">
        <v>172.8</v>
      </c>
      <c r="L369">
        <v>120.4</v>
      </c>
      <c r="M369">
        <v>215.5</v>
      </c>
      <c r="N369">
        <v>178.2</v>
      </c>
      <c r="O369">
        <v>190.5</v>
      </c>
      <c r="P369">
        <v>175.5</v>
      </c>
      <c r="Q369">
        <v>199.5</v>
      </c>
      <c r="R369">
        <v>190.7</v>
      </c>
      <c r="S369">
        <v>187.3</v>
      </c>
      <c r="T369">
        <v>190.2</v>
      </c>
      <c r="U369">
        <v>0</v>
      </c>
      <c r="V369" s="5">
        <v>181.5</v>
      </c>
      <c r="W369">
        <v>179.1</v>
      </c>
      <c r="X369">
        <v>187.2</v>
      </c>
      <c r="Y369">
        <v>169.4</v>
      </c>
      <c r="Z369">
        <v>173.2</v>
      </c>
      <c r="AA369">
        <v>179.4</v>
      </c>
      <c r="AB369">
        <v>183.8</v>
      </c>
      <c r="AC369">
        <v>178.9</v>
      </c>
      <c r="AD369">
        <v>178.8</v>
      </c>
      <c r="AE369" s="72">
        <f t="shared" si="26"/>
        <v>2473.6999999999998</v>
      </c>
      <c r="AF369" s="4">
        <f t="shared" si="27"/>
        <v>752</v>
      </c>
      <c r="AG369" s="4">
        <f t="shared" si="28"/>
        <v>530</v>
      </c>
      <c r="AH369" s="4">
        <f t="shared" si="29"/>
        <v>718.69999999999993</v>
      </c>
      <c r="AI369" s="6">
        <f t="shared" si="30"/>
        <v>4474.3999999999996</v>
      </c>
      <c r="AJ369" s="70">
        <f t="shared" si="31"/>
        <v>179.1</v>
      </c>
    </row>
    <row r="370" spans="1:36" x14ac:dyDescent="0.3">
      <c r="A370" t="s">
        <v>32</v>
      </c>
      <c r="B370">
        <v>2023</v>
      </c>
      <c r="C370" t="s">
        <v>36</v>
      </c>
      <c r="D370">
        <v>174.8</v>
      </c>
      <c r="E370">
        <v>213.7</v>
      </c>
      <c r="F370">
        <v>172.4</v>
      </c>
      <c r="G370">
        <v>178.8</v>
      </c>
      <c r="H370">
        <v>168.7</v>
      </c>
      <c r="I370">
        <v>179.2</v>
      </c>
      <c r="J370">
        <v>179.9</v>
      </c>
      <c r="K370">
        <v>174.7</v>
      </c>
      <c r="L370">
        <v>123.1</v>
      </c>
      <c r="M370">
        <v>207.8</v>
      </c>
      <c r="N370">
        <v>165.5</v>
      </c>
      <c r="O370">
        <v>197</v>
      </c>
      <c r="P370">
        <v>182.1</v>
      </c>
      <c r="Q370">
        <v>203.5</v>
      </c>
      <c r="R370">
        <v>181</v>
      </c>
      <c r="S370">
        <v>167.7</v>
      </c>
      <c r="T370">
        <v>178.9</v>
      </c>
      <c r="U370">
        <v>175.2</v>
      </c>
      <c r="V370" s="5">
        <v>182.1</v>
      </c>
      <c r="W370">
        <v>169.6</v>
      </c>
      <c r="X370">
        <v>181.5</v>
      </c>
      <c r="Y370">
        <v>160.1</v>
      </c>
      <c r="Z370">
        <v>168.8</v>
      </c>
      <c r="AA370">
        <v>174.2</v>
      </c>
      <c r="AB370">
        <v>184.4</v>
      </c>
      <c r="AC370">
        <v>170.9</v>
      </c>
      <c r="AD370">
        <v>177.4</v>
      </c>
      <c r="AE370" s="72">
        <f t="shared" si="26"/>
        <v>2521.2000000000003</v>
      </c>
      <c r="AF370" s="4">
        <f t="shared" si="27"/>
        <v>712</v>
      </c>
      <c r="AG370" s="4">
        <f t="shared" si="28"/>
        <v>687</v>
      </c>
      <c r="AH370" s="4">
        <f t="shared" si="29"/>
        <v>695.4</v>
      </c>
      <c r="AI370" s="6">
        <f t="shared" si="30"/>
        <v>4615.6000000000004</v>
      </c>
      <c r="AJ370" s="70">
        <f t="shared" si="31"/>
        <v>344.79999999999995</v>
      </c>
    </row>
    <row r="371" spans="1:36" x14ac:dyDescent="0.3">
      <c r="A371" t="s">
        <v>33</v>
      </c>
      <c r="B371">
        <v>2023</v>
      </c>
      <c r="C371" t="s">
        <v>36</v>
      </c>
      <c r="D371">
        <v>173.8</v>
      </c>
      <c r="E371">
        <v>209.3</v>
      </c>
      <c r="F371">
        <v>169.6</v>
      </c>
      <c r="G371">
        <v>178.4</v>
      </c>
      <c r="H371">
        <v>174.9</v>
      </c>
      <c r="I371">
        <v>176.3</v>
      </c>
      <c r="J371">
        <v>155.4</v>
      </c>
      <c r="K371">
        <v>173.4</v>
      </c>
      <c r="L371">
        <v>121.3</v>
      </c>
      <c r="M371">
        <v>212.9</v>
      </c>
      <c r="N371">
        <v>172.9</v>
      </c>
      <c r="O371">
        <v>193.5</v>
      </c>
      <c r="P371">
        <v>177.9</v>
      </c>
      <c r="Q371">
        <v>200.6</v>
      </c>
      <c r="R371">
        <v>186.9</v>
      </c>
      <c r="S371">
        <v>179.2</v>
      </c>
      <c r="T371">
        <v>185.7</v>
      </c>
      <c r="U371">
        <v>175.2</v>
      </c>
      <c r="V371" s="5">
        <v>181.7</v>
      </c>
      <c r="W371">
        <v>174.6</v>
      </c>
      <c r="X371">
        <v>185</v>
      </c>
      <c r="Y371">
        <v>164.5</v>
      </c>
      <c r="Z371">
        <v>170.7</v>
      </c>
      <c r="AA371">
        <v>176.4</v>
      </c>
      <c r="AB371">
        <v>184</v>
      </c>
      <c r="AC371">
        <v>175</v>
      </c>
      <c r="AD371">
        <v>178.1</v>
      </c>
      <c r="AE371" s="72">
        <f t="shared" si="26"/>
        <v>2490.2000000000003</v>
      </c>
      <c r="AF371" s="4">
        <f t="shared" si="27"/>
        <v>735.8</v>
      </c>
      <c r="AG371" s="4">
        <f t="shared" si="28"/>
        <v>696</v>
      </c>
      <c r="AH371" s="4">
        <f t="shared" si="29"/>
        <v>707.1</v>
      </c>
      <c r="AI371" s="6">
        <f t="shared" si="30"/>
        <v>4629.1000000000004</v>
      </c>
      <c r="AJ371" s="70">
        <f t="shared" si="31"/>
        <v>349.79999999999995</v>
      </c>
    </row>
    <row r="372" spans="1:36" x14ac:dyDescent="0.3">
      <c r="A372" t="s">
        <v>30</v>
      </c>
      <c r="B372">
        <v>2023</v>
      </c>
      <c r="C372" t="s">
        <v>37</v>
      </c>
      <c r="D372">
        <v>173.2</v>
      </c>
      <c r="E372">
        <v>211.5</v>
      </c>
      <c r="F372">
        <v>171</v>
      </c>
      <c r="G372">
        <v>179.6</v>
      </c>
      <c r="H372">
        <v>173.3</v>
      </c>
      <c r="I372">
        <v>169</v>
      </c>
      <c r="J372">
        <v>148.69999999999999</v>
      </c>
      <c r="K372">
        <v>174.9</v>
      </c>
      <c r="L372">
        <v>121.9</v>
      </c>
      <c r="M372">
        <v>221</v>
      </c>
      <c r="N372">
        <v>178.7</v>
      </c>
      <c r="O372">
        <v>191.1</v>
      </c>
      <c r="P372">
        <v>176.8</v>
      </c>
      <c r="Q372">
        <v>199.9</v>
      </c>
      <c r="R372">
        <v>191.2</v>
      </c>
      <c r="S372">
        <v>187.9</v>
      </c>
      <c r="T372">
        <v>190.8</v>
      </c>
      <c r="U372">
        <v>0</v>
      </c>
      <c r="V372" s="5">
        <v>182.5</v>
      </c>
      <c r="W372">
        <v>179.8</v>
      </c>
      <c r="X372">
        <v>187.8</v>
      </c>
      <c r="Y372">
        <v>169.7</v>
      </c>
      <c r="Z372">
        <v>173.8</v>
      </c>
      <c r="AA372">
        <v>180.3</v>
      </c>
      <c r="AB372">
        <v>184.9</v>
      </c>
      <c r="AC372">
        <v>179.5</v>
      </c>
      <c r="AD372">
        <v>179.8</v>
      </c>
      <c r="AE372" s="72">
        <f t="shared" si="26"/>
        <v>2490.6000000000008</v>
      </c>
      <c r="AF372" s="4">
        <f t="shared" si="27"/>
        <v>754.80000000000007</v>
      </c>
      <c r="AG372" s="4">
        <f t="shared" si="28"/>
        <v>532</v>
      </c>
      <c r="AH372" s="4">
        <f t="shared" si="29"/>
        <v>721.40000000000009</v>
      </c>
      <c r="AI372" s="6">
        <f t="shared" si="30"/>
        <v>4498.8000000000011</v>
      </c>
      <c r="AJ372" s="70">
        <f t="shared" si="31"/>
        <v>179.8</v>
      </c>
    </row>
    <row r="373" spans="1:36" x14ac:dyDescent="0.3">
      <c r="A373" t="s">
        <v>32</v>
      </c>
      <c r="B373">
        <v>2023</v>
      </c>
      <c r="C373" t="s">
        <v>37</v>
      </c>
      <c r="D373">
        <v>174.7</v>
      </c>
      <c r="E373">
        <v>219.4</v>
      </c>
      <c r="F373">
        <v>176.7</v>
      </c>
      <c r="G373">
        <v>179.4</v>
      </c>
      <c r="H373">
        <v>164.4</v>
      </c>
      <c r="I373">
        <v>175.8</v>
      </c>
      <c r="J373">
        <v>185</v>
      </c>
      <c r="K373">
        <v>176.9</v>
      </c>
      <c r="L373">
        <v>124.2</v>
      </c>
      <c r="M373">
        <v>211.9</v>
      </c>
      <c r="N373">
        <v>165.9</v>
      </c>
      <c r="O373">
        <v>197.7</v>
      </c>
      <c r="P373">
        <v>183.1</v>
      </c>
      <c r="Q373">
        <v>204.2</v>
      </c>
      <c r="R373">
        <v>181.3</v>
      </c>
      <c r="S373">
        <v>168.1</v>
      </c>
      <c r="T373">
        <v>179.3</v>
      </c>
      <c r="U373">
        <v>175.6</v>
      </c>
      <c r="V373" s="5">
        <v>183.4</v>
      </c>
      <c r="W373">
        <v>170.1</v>
      </c>
      <c r="X373">
        <v>182.2</v>
      </c>
      <c r="Y373">
        <v>160.4</v>
      </c>
      <c r="Z373">
        <v>169.2</v>
      </c>
      <c r="AA373">
        <v>174.8</v>
      </c>
      <c r="AB373">
        <v>185.6</v>
      </c>
      <c r="AC373">
        <v>171.6</v>
      </c>
      <c r="AD373">
        <v>178.2</v>
      </c>
      <c r="AE373" s="72">
        <f t="shared" si="26"/>
        <v>2539.2999999999997</v>
      </c>
      <c r="AF373" s="4">
        <f t="shared" si="27"/>
        <v>714.30000000000007</v>
      </c>
      <c r="AG373" s="4">
        <f t="shared" si="28"/>
        <v>689.5</v>
      </c>
      <c r="AH373" s="4">
        <f t="shared" si="29"/>
        <v>697.80000000000007</v>
      </c>
      <c r="AI373" s="6">
        <f t="shared" si="30"/>
        <v>4640.8999999999996</v>
      </c>
      <c r="AJ373" s="70">
        <f t="shared" si="31"/>
        <v>345.7</v>
      </c>
    </row>
    <row r="374" spans="1:36" x14ac:dyDescent="0.3">
      <c r="A374" t="s">
        <v>33</v>
      </c>
      <c r="B374">
        <v>2023</v>
      </c>
      <c r="C374" t="s">
        <v>37</v>
      </c>
      <c r="D374">
        <v>173.7</v>
      </c>
      <c r="E374">
        <v>214.3</v>
      </c>
      <c r="F374">
        <v>173.2</v>
      </c>
      <c r="G374">
        <v>179.5</v>
      </c>
      <c r="H374">
        <v>170</v>
      </c>
      <c r="I374">
        <v>172.2</v>
      </c>
      <c r="J374">
        <v>161</v>
      </c>
      <c r="K374">
        <v>175.6</v>
      </c>
      <c r="L374">
        <v>122.7</v>
      </c>
      <c r="M374">
        <v>218</v>
      </c>
      <c r="N374">
        <v>173.4</v>
      </c>
      <c r="O374">
        <v>194.2</v>
      </c>
      <c r="P374">
        <v>179.1</v>
      </c>
      <c r="Q374">
        <v>201</v>
      </c>
      <c r="R374">
        <v>187.3</v>
      </c>
      <c r="S374">
        <v>179.7</v>
      </c>
      <c r="T374">
        <v>186.2</v>
      </c>
      <c r="U374">
        <v>175.6</v>
      </c>
      <c r="V374" s="5">
        <v>182.8</v>
      </c>
      <c r="W374">
        <v>175.2</v>
      </c>
      <c r="X374">
        <v>185.7</v>
      </c>
      <c r="Y374">
        <v>164.8</v>
      </c>
      <c r="Z374">
        <v>171.2</v>
      </c>
      <c r="AA374">
        <v>177.1</v>
      </c>
      <c r="AB374">
        <v>185.2</v>
      </c>
      <c r="AC374">
        <v>175.7</v>
      </c>
      <c r="AD374">
        <v>179.1</v>
      </c>
      <c r="AE374" s="72">
        <f t="shared" si="26"/>
        <v>2507.9</v>
      </c>
      <c r="AF374" s="4">
        <f t="shared" si="27"/>
        <v>738.40000000000009</v>
      </c>
      <c r="AG374" s="4">
        <f t="shared" si="28"/>
        <v>698.39999999999986</v>
      </c>
      <c r="AH374" s="4">
        <f t="shared" si="29"/>
        <v>709.7</v>
      </c>
      <c r="AI374" s="6">
        <f t="shared" si="30"/>
        <v>4654.3999999999996</v>
      </c>
      <c r="AJ374" s="70">
        <f t="shared" si="31"/>
        <v>350.79999999999995</v>
      </c>
    </row>
    <row r="375" spans="1:36" x14ac:dyDescent="0.3">
      <c r="AE375" s="73">
        <f t="shared" ref="AE375:AH375" si="32">SUM(AE3:AE374)</f>
        <v>737377.49999999977</v>
      </c>
      <c r="AF375" s="9">
        <f t="shared" si="32"/>
        <v>206159.69999999992</v>
      </c>
      <c r="AG375" s="9">
        <f t="shared" si="32"/>
        <v>183599.8</v>
      </c>
      <c r="AH375" s="9">
        <f t="shared" si="32"/>
        <v>204018.60000000003</v>
      </c>
      <c r="AI375" s="9">
        <f>SUM(AI3:AI374)</f>
        <v>1331155.6000000003</v>
      </c>
    </row>
  </sheetData>
  <autoFilter ref="A2:AI375" xr:uid="{D3A648CE-64B6-493C-88AE-A9CC8E37AF7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B7FBA4-4A96-4B7A-A727-FF441E0F657E}">
  <dimension ref="A1:O199"/>
  <sheetViews>
    <sheetView workbookViewId="0">
      <selection activeCell="I10" sqref="I10"/>
    </sheetView>
  </sheetViews>
  <sheetFormatPr defaultRowHeight="14.4" x14ac:dyDescent="0.3"/>
  <cols>
    <col min="1" max="1" width="13.77734375" bestFit="1" customWidth="1"/>
    <col min="2" max="3" width="18.88671875" bestFit="1" customWidth="1"/>
    <col min="4" max="5" width="33.44140625" bestFit="1" customWidth="1"/>
    <col min="6" max="6" width="20" bestFit="1" customWidth="1"/>
    <col min="7" max="7" width="9.109375" customWidth="1"/>
    <col min="8" max="9" width="9.33203125" customWidth="1"/>
    <col min="10" max="10" width="8.77734375" customWidth="1"/>
    <col min="11" max="12" width="8.33203125" customWidth="1"/>
    <col min="13" max="13" width="8.6640625" customWidth="1"/>
    <col min="14" max="14" width="8" customWidth="1"/>
    <col min="15" max="15" width="8.44140625" customWidth="1"/>
    <col min="16" max="16" width="7.77734375" customWidth="1"/>
    <col min="17" max="20" width="6" bestFit="1" customWidth="1"/>
    <col min="21" max="21" width="4" bestFit="1" customWidth="1"/>
    <col min="22" max="31" width="6" bestFit="1" customWidth="1"/>
    <col min="32" max="32" width="4" bestFit="1" customWidth="1"/>
    <col min="33" max="37" width="6" bestFit="1" customWidth="1"/>
    <col min="38" max="38" width="4" bestFit="1" customWidth="1"/>
    <col min="39" max="43" width="6" bestFit="1" customWidth="1"/>
    <col min="44" max="44" width="4" bestFit="1" customWidth="1"/>
    <col min="45" max="47" width="6" bestFit="1" customWidth="1"/>
    <col min="48" max="48" width="4" bestFit="1" customWidth="1"/>
    <col min="49" max="53" width="6" bestFit="1" customWidth="1"/>
    <col min="54" max="54" width="4" bestFit="1" customWidth="1"/>
    <col min="55" max="66" width="6" bestFit="1" customWidth="1"/>
    <col min="67" max="67" width="4" bestFit="1" customWidth="1"/>
    <col min="68" max="72" width="6" bestFit="1" customWidth="1"/>
    <col min="73" max="73" width="4" bestFit="1" customWidth="1"/>
    <col min="74" max="77" width="6" bestFit="1" customWidth="1"/>
    <col min="78" max="78" width="4" bestFit="1" customWidth="1"/>
    <col min="79" max="85" width="6" bestFit="1" customWidth="1"/>
    <col min="86" max="86" width="4" bestFit="1" customWidth="1"/>
    <col min="87" max="89" width="6" bestFit="1" customWidth="1"/>
    <col min="90" max="90" width="4" bestFit="1" customWidth="1"/>
    <col min="91" max="95" width="6" bestFit="1" customWidth="1"/>
    <col min="96" max="96" width="4" bestFit="1" customWidth="1"/>
    <col min="97" max="103" width="6" bestFit="1" customWidth="1"/>
    <col min="104" max="104" width="4" bestFit="1" customWidth="1"/>
    <col min="105" max="117" width="6" bestFit="1" customWidth="1"/>
    <col min="118" max="118" width="4" bestFit="1" customWidth="1"/>
    <col min="119" max="123" width="6" bestFit="1" customWidth="1"/>
    <col min="124" max="124" width="4" bestFit="1" customWidth="1"/>
    <col min="125" max="130" width="6" bestFit="1" customWidth="1"/>
    <col min="131" max="131" width="4" bestFit="1" customWidth="1"/>
    <col min="132" max="146" width="6" bestFit="1" customWidth="1"/>
    <col min="147" max="147" width="4" bestFit="1" customWidth="1"/>
    <col min="148" max="153" width="6" bestFit="1" customWidth="1"/>
    <col min="154" max="154" width="4" bestFit="1" customWidth="1"/>
    <col min="155" max="160" width="6" bestFit="1" customWidth="1"/>
    <col min="161" max="161" width="4" bestFit="1" customWidth="1"/>
    <col min="162" max="166" width="6" bestFit="1" customWidth="1"/>
    <col min="167" max="167" width="4" bestFit="1" customWidth="1"/>
    <col min="168" max="171" width="6" bestFit="1" customWidth="1"/>
    <col min="172" max="172" width="4" bestFit="1" customWidth="1"/>
    <col min="173" max="182" width="6" bestFit="1" customWidth="1"/>
    <col min="183" max="183" width="4" bestFit="1" customWidth="1"/>
    <col min="184" max="185" width="6" bestFit="1" customWidth="1"/>
    <col min="186" max="186" width="4" bestFit="1" customWidth="1"/>
    <col min="187" max="187" width="6" bestFit="1" customWidth="1"/>
    <col min="188" max="188" width="4" bestFit="1" customWidth="1"/>
    <col min="189" max="206" width="6" bestFit="1" customWidth="1"/>
    <col min="207" max="207" width="4" bestFit="1" customWidth="1"/>
    <col min="208" max="210" width="6" bestFit="1" customWidth="1"/>
    <col min="211" max="211" width="4" bestFit="1" customWidth="1"/>
    <col min="212" max="221" width="6" bestFit="1" customWidth="1"/>
    <col min="222" max="222" width="4" bestFit="1" customWidth="1"/>
    <col min="223" max="237" width="6" bestFit="1" customWidth="1"/>
    <col min="238" max="238" width="4" bestFit="1" customWidth="1"/>
    <col min="239" max="239" width="6" bestFit="1" customWidth="1"/>
    <col min="240" max="240" width="4" bestFit="1" customWidth="1"/>
    <col min="241" max="250" width="6" bestFit="1" customWidth="1"/>
    <col min="251" max="251" width="4" bestFit="1" customWidth="1"/>
    <col min="252" max="279" width="6" bestFit="1" customWidth="1"/>
    <col min="280" max="280" width="4" bestFit="1" customWidth="1"/>
    <col min="281" max="285" width="6" bestFit="1" customWidth="1"/>
    <col min="286" max="286" width="7" bestFit="1" customWidth="1"/>
    <col min="287" max="287" width="10.77734375" bestFit="1" customWidth="1"/>
  </cols>
  <sheetData>
    <row r="1" spans="1:9" ht="15.6" x14ac:dyDescent="0.3">
      <c r="B1" s="26" t="s">
        <v>67</v>
      </c>
    </row>
    <row r="3" spans="1:9" x14ac:dyDescent="0.3">
      <c r="A3" s="17" t="s">
        <v>0</v>
      </c>
      <c r="B3" t="s">
        <v>33</v>
      </c>
    </row>
    <row r="5" spans="1:9" x14ac:dyDescent="0.3">
      <c r="A5" s="17" t="s">
        <v>53</v>
      </c>
      <c r="B5" t="s">
        <v>60</v>
      </c>
      <c r="C5" t="s">
        <v>58</v>
      </c>
      <c r="D5" t="s">
        <v>57</v>
      </c>
      <c r="E5" t="s">
        <v>59</v>
      </c>
      <c r="F5" t="s">
        <v>61</v>
      </c>
      <c r="G5" t="s">
        <v>61</v>
      </c>
      <c r="H5" s="28" t="s">
        <v>1</v>
      </c>
      <c r="I5" s="29" t="s">
        <v>64</v>
      </c>
    </row>
    <row r="6" spans="1:9" x14ac:dyDescent="0.3">
      <c r="A6" s="18">
        <v>2013</v>
      </c>
      <c r="B6">
        <v>5147.0000000000009</v>
      </c>
      <c r="C6">
        <v>5207.4000000000005</v>
      </c>
      <c r="D6">
        <v>18672.8</v>
      </c>
      <c r="E6">
        <v>5125.5999999999995</v>
      </c>
      <c r="F6">
        <v>34152.800000000003</v>
      </c>
      <c r="G6">
        <v>34152.800000000003</v>
      </c>
      <c r="H6" s="14"/>
      <c r="I6" s="29"/>
    </row>
    <row r="7" spans="1:9" x14ac:dyDescent="0.3">
      <c r="A7" s="18">
        <v>2014</v>
      </c>
      <c r="B7">
        <v>5456.5999999999995</v>
      </c>
      <c r="C7">
        <v>5554.0999999999995</v>
      </c>
      <c r="D7">
        <v>19925.7</v>
      </c>
      <c r="E7">
        <v>5431.7000000000007</v>
      </c>
      <c r="F7">
        <v>36368.100000000006</v>
      </c>
      <c r="G7">
        <v>36368.100000000006</v>
      </c>
      <c r="H7" s="14"/>
      <c r="I7" s="29"/>
    </row>
    <row r="8" spans="1:9" x14ac:dyDescent="0.3">
      <c r="A8" s="18">
        <v>2015</v>
      </c>
      <c r="B8">
        <v>5663.5999999999995</v>
      </c>
      <c r="C8">
        <v>5841</v>
      </c>
      <c r="D8">
        <v>21046.3</v>
      </c>
      <c r="E8">
        <v>5703</v>
      </c>
      <c r="F8">
        <v>38253.9</v>
      </c>
      <c r="G8">
        <v>38253.9</v>
      </c>
      <c r="H8" s="14"/>
      <c r="I8" s="29"/>
    </row>
    <row r="9" spans="1:9" x14ac:dyDescent="0.3">
      <c r="A9" s="18">
        <v>2016</v>
      </c>
      <c r="B9">
        <v>5882.0999999999995</v>
      </c>
      <c r="C9">
        <v>6153.4</v>
      </c>
      <c r="D9">
        <v>22498.199999999997</v>
      </c>
      <c r="E9">
        <v>5972.5</v>
      </c>
      <c r="F9">
        <v>40506.199999999997</v>
      </c>
      <c r="G9">
        <v>40506.199999999997</v>
      </c>
      <c r="H9" s="14"/>
      <c r="I9" s="29"/>
    </row>
    <row r="10" spans="1:9" x14ac:dyDescent="0.3">
      <c r="A10" s="18">
        <v>2017</v>
      </c>
      <c r="B10">
        <v>6160.6</v>
      </c>
      <c r="C10">
        <v>6413.4999999999991</v>
      </c>
      <c r="D10">
        <v>22826.5</v>
      </c>
      <c r="E10">
        <v>6220.2</v>
      </c>
      <c r="F10">
        <v>41620.800000000003</v>
      </c>
      <c r="G10">
        <v>41620.800000000003</v>
      </c>
      <c r="H10" s="28">
        <v>2017</v>
      </c>
      <c r="I10" s="30">
        <f t="shared" ref="I10:I16" si="0">(G10-G9)/G9</f>
        <v>2.7516775209721126E-2</v>
      </c>
    </row>
    <row r="11" spans="1:9" x14ac:dyDescent="0.3">
      <c r="A11" s="18">
        <v>2018</v>
      </c>
      <c r="B11">
        <v>6543.7999999999993</v>
      </c>
      <c r="C11">
        <v>6708.8</v>
      </c>
      <c r="D11">
        <v>23177.3</v>
      </c>
      <c r="E11">
        <v>6570.6</v>
      </c>
      <c r="F11">
        <v>43000.499999999993</v>
      </c>
      <c r="G11">
        <v>43000.499999999993</v>
      </c>
      <c r="H11" s="28">
        <v>2018</v>
      </c>
      <c r="I11" s="30">
        <f t="shared" si="0"/>
        <v>3.3149290739245517E-2</v>
      </c>
    </row>
    <row r="12" spans="1:9" x14ac:dyDescent="0.3">
      <c r="A12" s="18">
        <v>2019</v>
      </c>
      <c r="B12">
        <v>6170.6</v>
      </c>
      <c r="C12">
        <v>6307.2</v>
      </c>
      <c r="D12">
        <v>21983.8</v>
      </c>
      <c r="E12">
        <v>6385</v>
      </c>
      <c r="F12">
        <v>40846.600000000006</v>
      </c>
      <c r="G12">
        <v>40846.600000000006</v>
      </c>
      <c r="H12" s="28">
        <v>2019</v>
      </c>
      <c r="I12" s="30">
        <f t="shared" si="0"/>
        <v>-5.0090115231217945E-2</v>
      </c>
    </row>
    <row r="13" spans="1:9" x14ac:dyDescent="0.3">
      <c r="A13" s="18">
        <v>2020</v>
      </c>
      <c r="B13">
        <v>6988.4</v>
      </c>
      <c r="C13">
        <v>7171.2000000000007</v>
      </c>
      <c r="D13">
        <v>25976.499999999996</v>
      </c>
      <c r="E13">
        <v>7247.1000000000013</v>
      </c>
      <c r="F13">
        <v>47383.199999999997</v>
      </c>
      <c r="G13">
        <v>47383.199999999997</v>
      </c>
      <c r="H13" s="28">
        <v>2020</v>
      </c>
      <c r="I13" s="30">
        <f t="shared" si="0"/>
        <v>0.16002800722703947</v>
      </c>
    </row>
    <row r="14" spans="1:9" x14ac:dyDescent="0.3">
      <c r="A14" s="18">
        <v>2021</v>
      </c>
      <c r="B14">
        <v>7515.2999999999993</v>
      </c>
      <c r="C14">
        <v>7611.2</v>
      </c>
      <c r="D14">
        <v>27728.200000000004</v>
      </c>
      <c r="E14">
        <v>7694</v>
      </c>
      <c r="F14">
        <v>50548.7</v>
      </c>
      <c r="G14">
        <v>50548.7</v>
      </c>
      <c r="H14" s="28">
        <v>2021</v>
      </c>
      <c r="I14" s="30">
        <f t="shared" si="0"/>
        <v>6.680637863208902E-2</v>
      </c>
    </row>
    <row r="15" spans="1:9" x14ac:dyDescent="0.3">
      <c r="A15" s="18">
        <v>2022</v>
      </c>
      <c r="B15">
        <v>8051.9</v>
      </c>
      <c r="C15">
        <v>8315.2999999999993</v>
      </c>
      <c r="D15">
        <v>29255.600000000006</v>
      </c>
      <c r="E15">
        <v>8150.7</v>
      </c>
      <c r="F15">
        <v>53773.5</v>
      </c>
      <c r="G15">
        <v>53773.5</v>
      </c>
      <c r="H15" s="28">
        <v>2022</v>
      </c>
      <c r="I15" s="30">
        <f t="shared" si="0"/>
        <v>6.379590375222316E-2</v>
      </c>
    </row>
    <row r="16" spans="1:9" x14ac:dyDescent="0.3">
      <c r="A16" s="18">
        <v>2023</v>
      </c>
      <c r="B16">
        <v>3472.7999999999997</v>
      </c>
      <c r="C16">
        <v>3661</v>
      </c>
      <c r="D16">
        <v>12446.3</v>
      </c>
      <c r="E16">
        <v>3523.3000000000006</v>
      </c>
      <c r="F16">
        <v>23103.399999999998</v>
      </c>
      <c r="G16">
        <v>23103.399999999998</v>
      </c>
      <c r="H16" s="28">
        <v>2023</v>
      </c>
      <c r="I16" s="30">
        <f t="shared" si="0"/>
        <v>-0.57035714617795019</v>
      </c>
    </row>
    <row r="17" spans="1:7" x14ac:dyDescent="0.3">
      <c r="A17" s="18" t="s">
        <v>55</v>
      </c>
      <c r="B17">
        <v>67052.7</v>
      </c>
      <c r="C17">
        <v>68944.100000000006</v>
      </c>
      <c r="D17">
        <v>245537.2</v>
      </c>
      <c r="E17">
        <v>68023.7</v>
      </c>
      <c r="F17">
        <v>449557.70000000007</v>
      </c>
      <c r="G17">
        <v>449557.70000000007</v>
      </c>
    </row>
    <row r="21" spans="1:7" x14ac:dyDescent="0.3">
      <c r="A21" s="17" t="s">
        <v>0</v>
      </c>
      <c r="B21" t="s">
        <v>56</v>
      </c>
    </row>
    <row r="23" spans="1:7" x14ac:dyDescent="0.3">
      <c r="A23" s="17" t="s">
        <v>53</v>
      </c>
      <c r="B23" t="s">
        <v>60</v>
      </c>
      <c r="C23" t="s">
        <v>58</v>
      </c>
      <c r="D23" t="s">
        <v>57</v>
      </c>
      <c r="E23" t="s">
        <v>59</v>
      </c>
      <c r="F23" t="s">
        <v>61</v>
      </c>
    </row>
    <row r="24" spans="1:7" x14ac:dyDescent="0.3">
      <c r="A24" s="18">
        <v>2013</v>
      </c>
      <c r="B24">
        <v>14170.4</v>
      </c>
      <c r="C24">
        <v>15614.899999999998</v>
      </c>
      <c r="D24">
        <v>56091.999999999985</v>
      </c>
      <c r="E24">
        <v>15376.900000000003</v>
      </c>
      <c r="F24">
        <v>101254.2</v>
      </c>
    </row>
    <row r="25" spans="1:7" x14ac:dyDescent="0.3">
      <c r="A25" s="18">
        <v>2014</v>
      </c>
      <c r="B25">
        <v>14983.999999999998</v>
      </c>
      <c r="C25">
        <v>16642.600000000002</v>
      </c>
      <c r="D25">
        <v>59832.3</v>
      </c>
      <c r="E25">
        <v>16285.7</v>
      </c>
      <c r="F25">
        <v>107744.59999999996</v>
      </c>
    </row>
    <row r="26" spans="1:7" x14ac:dyDescent="0.3">
      <c r="A26" s="18">
        <v>2015</v>
      </c>
      <c r="B26">
        <v>15526.800000000003</v>
      </c>
      <c r="C26">
        <v>17479.599999999995</v>
      </c>
      <c r="D26">
        <v>63234.69999999999</v>
      </c>
      <c r="E26">
        <v>17094.399999999994</v>
      </c>
      <c r="F26">
        <v>113335.5</v>
      </c>
    </row>
    <row r="27" spans="1:7" x14ac:dyDescent="0.3">
      <c r="A27" s="18">
        <v>2016</v>
      </c>
      <c r="B27">
        <v>16089.699999999999</v>
      </c>
      <c r="C27">
        <v>18389</v>
      </c>
      <c r="D27">
        <v>67580.000000000015</v>
      </c>
      <c r="E27">
        <v>17906.899999999998</v>
      </c>
      <c r="F27">
        <v>119965.6</v>
      </c>
    </row>
    <row r="28" spans="1:7" x14ac:dyDescent="0.3">
      <c r="A28" s="18">
        <v>2017</v>
      </c>
      <c r="B28">
        <v>16830.8</v>
      </c>
      <c r="C28">
        <v>19145.900000000001</v>
      </c>
      <c r="D28">
        <v>68461.900000000009</v>
      </c>
      <c r="E28">
        <v>18653.8</v>
      </c>
      <c r="F28">
        <v>123092.4</v>
      </c>
    </row>
    <row r="29" spans="1:7" x14ac:dyDescent="0.3">
      <c r="A29" s="18">
        <v>2018</v>
      </c>
      <c r="B29">
        <v>17851.300000000003</v>
      </c>
      <c r="C29">
        <v>20024.599999999995</v>
      </c>
      <c r="D29">
        <v>69416.800000000003</v>
      </c>
      <c r="E29">
        <v>19704.5</v>
      </c>
      <c r="F29">
        <v>126997.19999999998</v>
      </c>
    </row>
    <row r="30" spans="1:7" x14ac:dyDescent="0.3">
      <c r="A30" s="18">
        <v>2019</v>
      </c>
      <c r="B30">
        <v>16803.900000000001</v>
      </c>
      <c r="C30">
        <v>18858.400000000001</v>
      </c>
      <c r="D30">
        <v>66033.500000000015</v>
      </c>
      <c r="E30">
        <v>19155.3</v>
      </c>
      <c r="F30">
        <v>120851.09999999999</v>
      </c>
    </row>
    <row r="31" spans="1:7" x14ac:dyDescent="0.3">
      <c r="A31" s="18">
        <v>2020</v>
      </c>
      <c r="B31">
        <v>19067.2</v>
      </c>
      <c r="C31">
        <v>21455.599999999999</v>
      </c>
      <c r="D31">
        <v>78061.900000000009</v>
      </c>
      <c r="E31">
        <v>21742.000000000007</v>
      </c>
      <c r="F31">
        <v>140326.69999999998</v>
      </c>
    </row>
    <row r="32" spans="1:7" x14ac:dyDescent="0.3">
      <c r="A32" s="18">
        <v>2021</v>
      </c>
      <c r="B32">
        <v>20594.300000000003</v>
      </c>
      <c r="C32">
        <v>22753.899999999987</v>
      </c>
      <c r="D32">
        <v>83342.299999999988</v>
      </c>
      <c r="E32">
        <v>23080.399999999998</v>
      </c>
      <c r="F32">
        <v>149770.90000000005</v>
      </c>
    </row>
    <row r="33" spans="1:6" x14ac:dyDescent="0.3">
      <c r="A33" s="18">
        <v>2022</v>
      </c>
      <c r="B33">
        <v>22133.199999999997</v>
      </c>
      <c r="C33">
        <v>24851.000000000004</v>
      </c>
      <c r="D33">
        <v>87918.9</v>
      </c>
      <c r="E33">
        <v>24449.3</v>
      </c>
      <c r="F33">
        <v>159352.40000000002</v>
      </c>
    </row>
    <row r="34" spans="1:6" x14ac:dyDescent="0.3">
      <c r="A34" s="19" t="s">
        <v>31</v>
      </c>
      <c r="B34">
        <v>1773.4</v>
      </c>
      <c r="C34">
        <v>1978.7000000000003</v>
      </c>
      <c r="D34">
        <v>7083.1999999999989</v>
      </c>
      <c r="E34">
        <v>1980.2</v>
      </c>
      <c r="F34">
        <v>12815.5</v>
      </c>
    </row>
    <row r="35" spans="1:6" x14ac:dyDescent="0.3">
      <c r="A35" s="19" t="s">
        <v>34</v>
      </c>
      <c r="B35">
        <v>1783.1999999999998</v>
      </c>
      <c r="C35">
        <v>1994.2</v>
      </c>
      <c r="D35">
        <v>7075.9</v>
      </c>
      <c r="E35">
        <v>1989.6999999999998</v>
      </c>
      <c r="F35">
        <v>12843.000000000002</v>
      </c>
    </row>
    <row r="36" spans="1:6" x14ac:dyDescent="0.3">
      <c r="A36" s="19" t="s">
        <v>35</v>
      </c>
      <c r="B36">
        <v>1793.2</v>
      </c>
      <c r="C36">
        <v>2017.5</v>
      </c>
      <c r="D36">
        <v>7143.1</v>
      </c>
      <c r="E36">
        <v>2000.6999999999998</v>
      </c>
      <c r="F36">
        <v>12954.5</v>
      </c>
    </row>
    <row r="37" spans="1:6" x14ac:dyDescent="0.3">
      <c r="A37" s="19" t="s">
        <v>36</v>
      </c>
      <c r="B37">
        <v>1829.6</v>
      </c>
      <c r="C37">
        <v>2038.3000000000002</v>
      </c>
      <c r="D37">
        <v>7235.1</v>
      </c>
      <c r="E37">
        <v>2015.6999999999998</v>
      </c>
      <c r="F37">
        <v>13118.7</v>
      </c>
    </row>
    <row r="38" spans="1:6" x14ac:dyDescent="0.3">
      <c r="A38" s="19" t="s">
        <v>37</v>
      </c>
      <c r="B38">
        <v>1843.1000000000001</v>
      </c>
      <c r="C38">
        <v>2052.9</v>
      </c>
      <c r="D38">
        <v>7312.4000000000015</v>
      </c>
      <c r="E38">
        <v>2025.5999999999997</v>
      </c>
      <c r="F38">
        <v>13234.000000000002</v>
      </c>
    </row>
    <row r="39" spans="1:6" x14ac:dyDescent="0.3">
      <c r="A39" s="19" t="s">
        <v>38</v>
      </c>
      <c r="B39">
        <v>1843.8000000000002</v>
      </c>
      <c r="C39">
        <v>2069.2999999999997</v>
      </c>
      <c r="D39">
        <v>7383.2000000000007</v>
      </c>
      <c r="E39">
        <v>2032.8</v>
      </c>
      <c r="F39">
        <v>13329.1</v>
      </c>
    </row>
    <row r="40" spans="1:6" x14ac:dyDescent="0.3">
      <c r="A40" s="19" t="s">
        <v>39</v>
      </c>
      <c r="B40">
        <v>1861.4</v>
      </c>
      <c r="C40">
        <v>2082.1000000000004</v>
      </c>
      <c r="D40">
        <v>7396.7999999999993</v>
      </c>
      <c r="E40">
        <v>2046.1999999999998</v>
      </c>
      <c r="F40">
        <v>13386.499999999998</v>
      </c>
    </row>
    <row r="41" spans="1:6" x14ac:dyDescent="0.3">
      <c r="A41" s="19" t="s">
        <v>40</v>
      </c>
      <c r="B41">
        <v>1865.5</v>
      </c>
      <c r="C41">
        <v>2097.6</v>
      </c>
      <c r="D41">
        <v>7406.1</v>
      </c>
      <c r="E41">
        <v>2055.1</v>
      </c>
      <c r="F41">
        <v>13424.3</v>
      </c>
    </row>
    <row r="42" spans="1:6" x14ac:dyDescent="0.3">
      <c r="A42" s="19" t="s">
        <v>41</v>
      </c>
      <c r="B42">
        <v>1872.8999999999999</v>
      </c>
      <c r="C42">
        <v>2110.1</v>
      </c>
      <c r="D42">
        <v>7445.2</v>
      </c>
      <c r="E42">
        <v>2064.3000000000002</v>
      </c>
      <c r="F42">
        <v>13492.5</v>
      </c>
    </row>
    <row r="43" spans="1:6" x14ac:dyDescent="0.3">
      <c r="A43" s="19" t="s">
        <v>42</v>
      </c>
      <c r="B43">
        <v>1883.6</v>
      </c>
      <c r="C43">
        <v>2122.7000000000003</v>
      </c>
      <c r="D43">
        <v>7495.4000000000005</v>
      </c>
      <c r="E43">
        <v>2072</v>
      </c>
      <c r="F43">
        <v>13573.7</v>
      </c>
    </row>
    <row r="44" spans="1:6" x14ac:dyDescent="0.3">
      <c r="A44" s="19" t="s">
        <v>44</v>
      </c>
      <c r="B44">
        <v>1890.3</v>
      </c>
      <c r="C44">
        <v>2136.4</v>
      </c>
      <c r="D44">
        <v>7491.9</v>
      </c>
      <c r="E44">
        <v>2079.1</v>
      </c>
      <c r="F44">
        <v>13597.7</v>
      </c>
    </row>
    <row r="45" spans="1:6" x14ac:dyDescent="0.3">
      <c r="A45" s="19" t="s">
        <v>45</v>
      </c>
      <c r="B45">
        <v>1893.1999999999998</v>
      </c>
      <c r="C45">
        <v>2151.1999999999998</v>
      </c>
      <c r="D45">
        <v>7450.6</v>
      </c>
      <c r="E45">
        <v>2087.9</v>
      </c>
      <c r="F45">
        <v>13582.899999999998</v>
      </c>
    </row>
    <row r="46" spans="1:6" x14ac:dyDescent="0.3">
      <c r="A46" s="18">
        <v>2023</v>
      </c>
      <c r="B46">
        <v>9548.2000000000007</v>
      </c>
      <c r="C46">
        <v>10944.2</v>
      </c>
      <c r="D46">
        <v>37403.200000000004</v>
      </c>
      <c r="E46">
        <v>10569.400000000001</v>
      </c>
      <c r="F46">
        <v>68465</v>
      </c>
    </row>
    <row r="47" spans="1:6" x14ac:dyDescent="0.3">
      <c r="A47" s="19" t="s">
        <v>31</v>
      </c>
      <c r="B47">
        <v>1898.9</v>
      </c>
      <c r="C47">
        <v>2166.6</v>
      </c>
      <c r="D47">
        <v>7482.8</v>
      </c>
      <c r="E47">
        <v>2096.6999999999998</v>
      </c>
      <c r="F47">
        <v>13645</v>
      </c>
    </row>
    <row r="48" spans="1:6" x14ac:dyDescent="0.3">
      <c r="A48" s="19" t="s">
        <v>34</v>
      </c>
      <c r="B48">
        <v>1908.5</v>
      </c>
      <c r="C48">
        <v>2185.1999999999998</v>
      </c>
      <c r="D48">
        <v>7448.5</v>
      </c>
      <c r="E48">
        <v>2111.3000000000002</v>
      </c>
      <c r="F48">
        <v>13653.499999999998</v>
      </c>
    </row>
    <row r="49" spans="1:15" x14ac:dyDescent="0.3">
      <c r="A49" s="19" t="s">
        <v>35</v>
      </c>
      <c r="B49">
        <v>1907.8999999999999</v>
      </c>
      <c r="C49">
        <v>2185.1</v>
      </c>
      <c r="D49">
        <v>7449</v>
      </c>
      <c r="E49">
        <v>2111.3000000000002</v>
      </c>
      <c r="F49">
        <v>13653.3</v>
      </c>
    </row>
    <row r="50" spans="1:15" x14ac:dyDescent="0.3">
      <c r="A50" s="19" t="s">
        <v>36</v>
      </c>
      <c r="B50">
        <v>1913</v>
      </c>
      <c r="C50">
        <v>2199.8000000000002</v>
      </c>
      <c r="D50">
        <v>7485.1</v>
      </c>
      <c r="E50">
        <v>2121.1999999999998</v>
      </c>
      <c r="F50">
        <v>13719.1</v>
      </c>
    </row>
    <row r="51" spans="1:15" x14ac:dyDescent="0.3">
      <c r="A51" s="19" t="s">
        <v>37</v>
      </c>
      <c r="B51">
        <v>1919.8999999999999</v>
      </c>
      <c r="C51">
        <v>2207.5</v>
      </c>
      <c r="D51">
        <v>7537.8000000000011</v>
      </c>
      <c r="E51">
        <v>2128.9000000000005</v>
      </c>
      <c r="F51">
        <v>13794.1</v>
      </c>
    </row>
    <row r="52" spans="1:15" x14ac:dyDescent="0.3">
      <c r="A52" s="18" t="s">
        <v>54</v>
      </c>
    </row>
    <row r="53" spans="1:15" x14ac:dyDescent="0.3">
      <c r="A53" s="19" t="s">
        <v>54</v>
      </c>
    </row>
    <row r="54" spans="1:15" x14ac:dyDescent="0.3">
      <c r="A54" s="18" t="s">
        <v>55</v>
      </c>
      <c r="B54">
        <v>183599.80000000002</v>
      </c>
      <c r="C54">
        <v>206159.70000000004</v>
      </c>
      <c r="D54">
        <v>737377.49999999988</v>
      </c>
      <c r="E54">
        <v>204018.60000000003</v>
      </c>
      <c r="F54">
        <v>1331155.6000000001</v>
      </c>
    </row>
    <row r="57" spans="1:15" x14ac:dyDescent="0.3">
      <c r="A57" t="s">
        <v>90</v>
      </c>
    </row>
    <row r="59" spans="1:15" x14ac:dyDescent="0.3">
      <c r="A59" s="17" t="s">
        <v>53</v>
      </c>
      <c r="B59" t="s">
        <v>75</v>
      </c>
      <c r="C59" t="s">
        <v>88</v>
      </c>
      <c r="D59" t="s">
        <v>87</v>
      </c>
      <c r="E59" t="s">
        <v>86</v>
      </c>
      <c r="F59" t="s">
        <v>80</v>
      </c>
      <c r="G59" t="s">
        <v>85</v>
      </c>
      <c r="H59" t="s">
        <v>79</v>
      </c>
      <c r="I59" t="s">
        <v>83</v>
      </c>
      <c r="J59" t="s">
        <v>78</v>
      </c>
      <c r="K59" t="s">
        <v>76</v>
      </c>
      <c r="L59" t="s">
        <v>81</v>
      </c>
      <c r="M59" t="s">
        <v>82</v>
      </c>
      <c r="N59" t="s">
        <v>84</v>
      </c>
      <c r="O59" t="s">
        <v>77</v>
      </c>
    </row>
    <row r="60" spans="1:15" x14ac:dyDescent="0.3">
      <c r="A60" s="18">
        <v>2013</v>
      </c>
      <c r="B60">
        <v>4122.6000000000013</v>
      </c>
      <c r="C60">
        <v>3955.0999999999995</v>
      </c>
      <c r="D60">
        <v>4083.1</v>
      </c>
      <c r="E60">
        <v>4039.6</v>
      </c>
      <c r="F60">
        <v>3917.7999999999997</v>
      </c>
      <c r="G60">
        <v>3921.3999999999996</v>
      </c>
      <c r="H60">
        <v>3771.2000000000007</v>
      </c>
      <c r="I60">
        <v>3711.8999999999996</v>
      </c>
      <c r="J60">
        <v>3898.9000000000005</v>
      </c>
      <c r="K60">
        <v>4102.9000000000005</v>
      </c>
      <c r="L60">
        <v>4872.2000000000007</v>
      </c>
      <c r="M60">
        <v>3825.8999999999996</v>
      </c>
      <c r="N60">
        <v>3821.5000000000005</v>
      </c>
      <c r="O60">
        <v>4047.8999999999992</v>
      </c>
    </row>
    <row r="61" spans="1:15" x14ac:dyDescent="0.3">
      <c r="A61" s="18">
        <v>2014</v>
      </c>
      <c r="B61">
        <v>4393.8999999999996</v>
      </c>
      <c r="C61">
        <v>4279.6000000000013</v>
      </c>
      <c r="D61">
        <v>4369.7000000000007</v>
      </c>
      <c r="E61">
        <v>4390.1000000000004</v>
      </c>
      <c r="F61">
        <v>4491.6000000000004</v>
      </c>
      <c r="G61">
        <v>4118.800000000002</v>
      </c>
      <c r="H61">
        <v>3848.7</v>
      </c>
      <c r="I61">
        <v>3659.9</v>
      </c>
      <c r="J61">
        <v>4314.9999999999982</v>
      </c>
      <c r="K61">
        <v>4405.8</v>
      </c>
      <c r="L61">
        <v>5023.7</v>
      </c>
      <c r="M61">
        <v>4075.099999999999</v>
      </c>
      <c r="N61">
        <v>4166.6000000000004</v>
      </c>
      <c r="O61">
        <v>4293.8000000000011</v>
      </c>
    </row>
    <row r="62" spans="1:15" x14ac:dyDescent="0.3">
      <c r="A62" s="18">
        <v>2015</v>
      </c>
      <c r="B62">
        <v>4467.7999999999984</v>
      </c>
      <c r="C62">
        <v>4683.6000000000004</v>
      </c>
      <c r="D62">
        <v>4598.7999999999993</v>
      </c>
      <c r="E62">
        <v>4710.8999999999996</v>
      </c>
      <c r="F62">
        <v>4659.9000000000005</v>
      </c>
      <c r="G62">
        <v>4304.9000000000005</v>
      </c>
      <c r="H62">
        <v>3980.3000000000011</v>
      </c>
      <c r="I62">
        <v>3372.8</v>
      </c>
      <c r="J62">
        <v>4594.0999999999995</v>
      </c>
      <c r="K62">
        <v>4643.9000000000005</v>
      </c>
      <c r="L62">
        <v>5189.5999999999985</v>
      </c>
      <c r="M62">
        <v>5157.7000000000007</v>
      </c>
      <c r="N62">
        <v>4563.6000000000013</v>
      </c>
      <c r="O62">
        <v>4306.8</v>
      </c>
    </row>
    <row r="63" spans="1:15" x14ac:dyDescent="0.3">
      <c r="A63" s="18">
        <v>2016</v>
      </c>
      <c r="B63">
        <v>4616.0000000000009</v>
      </c>
      <c r="C63">
        <v>5032</v>
      </c>
      <c r="D63">
        <v>4839.8</v>
      </c>
      <c r="E63">
        <v>4988.3000000000011</v>
      </c>
      <c r="F63">
        <v>4787.1000000000004</v>
      </c>
      <c r="G63">
        <v>4479.0000000000009</v>
      </c>
      <c r="H63">
        <v>4156.8</v>
      </c>
      <c r="I63">
        <v>3916.2000000000003</v>
      </c>
      <c r="J63">
        <v>4770.5000000000009</v>
      </c>
      <c r="K63">
        <v>4963.0999999999995</v>
      </c>
      <c r="L63">
        <v>5225.5999999999995</v>
      </c>
      <c r="M63">
        <v>6201.2999999999993</v>
      </c>
      <c r="N63">
        <v>4956.8000000000011</v>
      </c>
      <c r="O63">
        <v>4647.5</v>
      </c>
    </row>
    <row r="64" spans="1:15" x14ac:dyDescent="0.3">
      <c r="A64" s="18">
        <v>2017</v>
      </c>
      <c r="B64">
        <v>4818.3</v>
      </c>
      <c r="C64">
        <v>5356.2000000000007</v>
      </c>
      <c r="D64">
        <v>4926.5</v>
      </c>
      <c r="E64">
        <v>5245.3</v>
      </c>
      <c r="F64">
        <v>5031.7999999999993</v>
      </c>
      <c r="G64">
        <v>4596.1000000000004</v>
      </c>
      <c r="H64">
        <v>4252.7</v>
      </c>
      <c r="I64">
        <v>4321.3</v>
      </c>
      <c r="J64">
        <v>4973.7999999999993</v>
      </c>
      <c r="K64">
        <v>5111.2</v>
      </c>
      <c r="L64">
        <v>5208.9999999999991</v>
      </c>
      <c r="M64">
        <v>4940.7999999999993</v>
      </c>
      <c r="N64">
        <v>4941.3000000000011</v>
      </c>
      <c r="O64">
        <v>4737.5999999999985</v>
      </c>
    </row>
    <row r="65" spans="1:15" x14ac:dyDescent="0.3">
      <c r="A65" s="18">
        <v>2018</v>
      </c>
      <c r="B65">
        <v>4930.1000000000013</v>
      </c>
      <c r="C65">
        <v>5725.3</v>
      </c>
      <c r="D65">
        <v>5003.7000000000007</v>
      </c>
      <c r="E65">
        <v>5474.9000000000015</v>
      </c>
      <c r="F65">
        <v>5285.4999999999991</v>
      </c>
      <c r="G65">
        <v>4692.4000000000015</v>
      </c>
      <c r="H65">
        <v>4344.3999999999996</v>
      </c>
      <c r="I65">
        <v>4079.1000000000013</v>
      </c>
      <c r="J65">
        <v>5103.4000000000005</v>
      </c>
      <c r="K65">
        <v>5277.9999999999991</v>
      </c>
      <c r="L65">
        <v>5186.9999999999991</v>
      </c>
      <c r="M65">
        <v>4358.9000000000005</v>
      </c>
      <c r="N65">
        <v>5011.7999999999993</v>
      </c>
      <c r="O65">
        <v>4942.3</v>
      </c>
    </row>
    <row r="66" spans="1:15" x14ac:dyDescent="0.3">
      <c r="A66" s="18">
        <v>2019</v>
      </c>
      <c r="B66">
        <v>4623.5999999999995</v>
      </c>
      <c r="C66">
        <v>5473.6999999999989</v>
      </c>
      <c r="D66">
        <v>4781.2</v>
      </c>
      <c r="E66">
        <v>5154</v>
      </c>
      <c r="F66">
        <v>4773.5999999999995</v>
      </c>
      <c r="G66">
        <v>4422.8</v>
      </c>
      <c r="H66">
        <v>4043.8999999999996</v>
      </c>
      <c r="I66">
        <v>3684.8999999999992</v>
      </c>
      <c r="J66">
        <v>4761.3999999999996</v>
      </c>
      <c r="K66">
        <v>5242.0999999999995</v>
      </c>
      <c r="L66">
        <v>5455.6999999999989</v>
      </c>
      <c r="M66">
        <v>4239.2</v>
      </c>
      <c r="N66">
        <v>4707.0999999999995</v>
      </c>
      <c r="O66">
        <v>4670.3</v>
      </c>
    </row>
    <row r="67" spans="1:15" x14ac:dyDescent="0.3">
      <c r="A67" s="18">
        <v>2020</v>
      </c>
      <c r="B67">
        <v>5321.6999999999989</v>
      </c>
      <c r="C67">
        <v>6448.8999999999987</v>
      </c>
      <c r="D67">
        <v>5621.7</v>
      </c>
      <c r="E67">
        <v>5811.8</v>
      </c>
      <c r="F67">
        <v>5315.4999999999991</v>
      </c>
      <c r="G67">
        <v>5037.2999999999993</v>
      </c>
      <c r="H67">
        <v>4900.5</v>
      </c>
      <c r="I67">
        <v>4174.8999999999996</v>
      </c>
      <c r="J67">
        <v>5515.6000000000022</v>
      </c>
      <c r="K67">
        <v>6528</v>
      </c>
      <c r="L67">
        <v>6704.5999999999995</v>
      </c>
      <c r="M67">
        <v>5382.4000000000005</v>
      </c>
      <c r="N67">
        <v>5679.7</v>
      </c>
      <c r="O67">
        <v>5619.3000000000011</v>
      </c>
    </row>
    <row r="68" spans="1:15" x14ac:dyDescent="0.3">
      <c r="A68" s="18">
        <v>2021</v>
      </c>
      <c r="B68">
        <v>5281.4999999999982</v>
      </c>
      <c r="C68">
        <v>6900.3999999999987</v>
      </c>
      <c r="D68">
        <v>5878.1999999999989</v>
      </c>
      <c r="E68">
        <v>6180.5000000000009</v>
      </c>
      <c r="F68">
        <v>5693.3</v>
      </c>
      <c r="G68">
        <v>5729.0999999999995</v>
      </c>
      <c r="H68">
        <v>6337.3000000000011</v>
      </c>
      <c r="I68">
        <v>4209.5999999999995</v>
      </c>
      <c r="J68">
        <v>5652.6999999999989</v>
      </c>
      <c r="K68">
        <v>7189.3</v>
      </c>
      <c r="L68">
        <v>6167.5999999999995</v>
      </c>
      <c r="M68">
        <v>5880.2</v>
      </c>
      <c r="N68">
        <v>6009.6</v>
      </c>
      <c r="O68">
        <v>6233</v>
      </c>
    </row>
    <row r="69" spans="1:15" x14ac:dyDescent="0.3">
      <c r="A69" s="18">
        <v>2022</v>
      </c>
      <c r="B69">
        <v>5698</v>
      </c>
      <c r="C69">
        <v>7039.9000000000005</v>
      </c>
      <c r="D69">
        <v>6267.7</v>
      </c>
      <c r="E69">
        <v>6630.9000000000015</v>
      </c>
      <c r="F69">
        <v>5925.3999999999987</v>
      </c>
      <c r="G69">
        <v>6011.7999999999993</v>
      </c>
      <c r="H69">
        <v>6865.3999999999987</v>
      </c>
      <c r="I69">
        <v>4342.3</v>
      </c>
      <c r="J69">
        <v>5998.9</v>
      </c>
      <c r="K69">
        <v>7571.7</v>
      </c>
      <c r="L69">
        <v>6564.9</v>
      </c>
      <c r="M69">
        <v>5989.4</v>
      </c>
      <c r="N69">
        <v>6776.9999999999991</v>
      </c>
      <c r="O69">
        <v>6235.6000000000013</v>
      </c>
    </row>
    <row r="70" spans="1:15" x14ac:dyDescent="0.3">
      <c r="A70" s="19" t="s">
        <v>31</v>
      </c>
      <c r="B70">
        <v>450</v>
      </c>
      <c r="C70">
        <v>579.29999999999995</v>
      </c>
      <c r="D70">
        <v>500.79999999999995</v>
      </c>
      <c r="E70">
        <v>532.1</v>
      </c>
      <c r="F70">
        <v>461.4</v>
      </c>
      <c r="G70">
        <v>490.7</v>
      </c>
      <c r="H70">
        <v>548.29999999999995</v>
      </c>
      <c r="I70">
        <v>360.6</v>
      </c>
      <c r="J70">
        <v>481.4</v>
      </c>
      <c r="K70">
        <v>597.70000000000005</v>
      </c>
      <c r="L70">
        <v>537.09999999999991</v>
      </c>
      <c r="M70">
        <v>491.70000000000005</v>
      </c>
      <c r="N70">
        <v>515.20000000000005</v>
      </c>
      <c r="O70">
        <v>536.90000000000009</v>
      </c>
    </row>
    <row r="71" spans="1:15" x14ac:dyDescent="0.3">
      <c r="A71" s="19" t="s">
        <v>34</v>
      </c>
      <c r="B71">
        <v>451.3</v>
      </c>
      <c r="C71">
        <v>580.79999999999995</v>
      </c>
      <c r="D71">
        <v>500.3</v>
      </c>
      <c r="E71">
        <v>534.29999999999995</v>
      </c>
      <c r="F71">
        <v>461.5</v>
      </c>
      <c r="G71">
        <v>491.9</v>
      </c>
      <c r="H71">
        <v>549</v>
      </c>
      <c r="I71">
        <v>357.6</v>
      </c>
      <c r="J71">
        <v>481.99999999999994</v>
      </c>
      <c r="K71">
        <v>603.9</v>
      </c>
      <c r="L71">
        <v>522.9</v>
      </c>
      <c r="M71">
        <v>490.8</v>
      </c>
      <c r="N71">
        <v>521.90000000000009</v>
      </c>
      <c r="O71">
        <v>527.70000000000005</v>
      </c>
    </row>
    <row r="72" spans="1:15" x14ac:dyDescent="0.3">
      <c r="A72" s="19" t="s">
        <v>35</v>
      </c>
      <c r="B72">
        <v>455.2</v>
      </c>
      <c r="C72">
        <v>583.5</v>
      </c>
      <c r="D72">
        <v>506.5</v>
      </c>
      <c r="E72">
        <v>538.20000000000005</v>
      </c>
      <c r="F72">
        <v>473.1</v>
      </c>
      <c r="G72">
        <v>493.59999999999997</v>
      </c>
      <c r="H72">
        <v>577.70000000000005</v>
      </c>
      <c r="I72">
        <v>357.2</v>
      </c>
      <c r="J72">
        <v>486.8</v>
      </c>
      <c r="K72">
        <v>634.5</v>
      </c>
      <c r="L72">
        <v>511.1</v>
      </c>
      <c r="M72">
        <v>491.5</v>
      </c>
      <c r="N72">
        <v>530.79999999999995</v>
      </c>
      <c r="O72">
        <v>503.40000000000003</v>
      </c>
    </row>
    <row r="73" spans="1:15" x14ac:dyDescent="0.3">
      <c r="A73" s="19" t="s">
        <v>36</v>
      </c>
      <c r="B73">
        <v>460.1</v>
      </c>
      <c r="C73">
        <v>583.79999999999995</v>
      </c>
      <c r="D73">
        <v>513.90000000000009</v>
      </c>
      <c r="E73">
        <v>543.1</v>
      </c>
      <c r="F73">
        <v>518.20000000000005</v>
      </c>
      <c r="G73">
        <v>496.09999999999997</v>
      </c>
      <c r="H73">
        <v>592.9</v>
      </c>
      <c r="I73">
        <v>357.7</v>
      </c>
      <c r="J73">
        <v>491.9</v>
      </c>
      <c r="K73">
        <v>637.29999999999995</v>
      </c>
      <c r="L73">
        <v>510.49999999999994</v>
      </c>
      <c r="M73">
        <v>493.8</v>
      </c>
      <c r="N73">
        <v>542.20000000000005</v>
      </c>
      <c r="O73">
        <v>493.6</v>
      </c>
    </row>
    <row r="74" spans="1:15" x14ac:dyDescent="0.3">
      <c r="A74" s="19" t="s">
        <v>37</v>
      </c>
      <c r="B74">
        <v>463.70000000000005</v>
      </c>
      <c r="C74">
        <v>584.5</v>
      </c>
      <c r="D74">
        <v>521.6</v>
      </c>
      <c r="E74">
        <v>547.79999999999995</v>
      </c>
      <c r="F74">
        <v>513.5</v>
      </c>
      <c r="G74">
        <v>498.79999999999995</v>
      </c>
      <c r="H74">
        <v>601.79999999999995</v>
      </c>
      <c r="I74">
        <v>359.8</v>
      </c>
      <c r="J74">
        <v>494.9</v>
      </c>
      <c r="K74">
        <v>652.9</v>
      </c>
      <c r="L74">
        <v>538.5</v>
      </c>
      <c r="M74">
        <v>493.8</v>
      </c>
      <c r="N74">
        <v>552.9</v>
      </c>
      <c r="O74">
        <v>487.9</v>
      </c>
    </row>
    <row r="75" spans="1:15" x14ac:dyDescent="0.3">
      <c r="A75" s="19" t="s">
        <v>38</v>
      </c>
      <c r="B75">
        <v>466.3</v>
      </c>
      <c r="C75">
        <v>585.5</v>
      </c>
      <c r="D75">
        <v>526.6</v>
      </c>
      <c r="E75">
        <v>552.1</v>
      </c>
      <c r="F75">
        <v>509.59999999999997</v>
      </c>
      <c r="G75">
        <v>501.19999999999993</v>
      </c>
      <c r="H75">
        <v>597.6</v>
      </c>
      <c r="I75">
        <v>360.4</v>
      </c>
      <c r="J75">
        <v>497.6</v>
      </c>
      <c r="K75">
        <v>660</v>
      </c>
      <c r="L75">
        <v>561.1</v>
      </c>
      <c r="M75">
        <v>492.5</v>
      </c>
      <c r="N75">
        <v>559.5</v>
      </c>
      <c r="O75">
        <v>513.20000000000005</v>
      </c>
    </row>
    <row r="76" spans="1:15" x14ac:dyDescent="0.3">
      <c r="A76" s="19" t="s">
        <v>39</v>
      </c>
      <c r="B76">
        <v>471</v>
      </c>
      <c r="C76">
        <v>586.4</v>
      </c>
      <c r="D76">
        <v>526.9</v>
      </c>
      <c r="E76">
        <v>556</v>
      </c>
      <c r="F76">
        <v>523.29999999999995</v>
      </c>
      <c r="G76">
        <v>502.70000000000005</v>
      </c>
      <c r="H76">
        <v>582.79999999999995</v>
      </c>
      <c r="I76">
        <v>360.7</v>
      </c>
      <c r="J76">
        <v>500</v>
      </c>
      <c r="K76">
        <v>640.9</v>
      </c>
      <c r="L76">
        <v>559.20000000000005</v>
      </c>
      <c r="M76">
        <v>492.7</v>
      </c>
      <c r="N76">
        <v>568.1</v>
      </c>
      <c r="O76">
        <v>526.09999999999991</v>
      </c>
    </row>
    <row r="77" spans="1:15" x14ac:dyDescent="0.3">
      <c r="A77" s="19" t="s">
        <v>40</v>
      </c>
      <c r="B77">
        <v>481.90000000000003</v>
      </c>
      <c r="C77">
        <v>587.4</v>
      </c>
      <c r="D77">
        <v>530.6</v>
      </c>
      <c r="E77">
        <v>559.20000000000005</v>
      </c>
      <c r="F77">
        <v>519.19999999999993</v>
      </c>
      <c r="G77">
        <v>504.1</v>
      </c>
      <c r="H77">
        <v>573</v>
      </c>
      <c r="I77">
        <v>363.3</v>
      </c>
      <c r="J77">
        <v>504.4</v>
      </c>
      <c r="K77">
        <v>621.5</v>
      </c>
      <c r="L77">
        <v>572.9</v>
      </c>
      <c r="M77">
        <v>501.59999999999997</v>
      </c>
      <c r="N77">
        <v>578.9</v>
      </c>
      <c r="O77">
        <v>508.09999999999997</v>
      </c>
    </row>
    <row r="78" spans="1:15" x14ac:dyDescent="0.3">
      <c r="A78" s="19" t="s">
        <v>41</v>
      </c>
      <c r="B78">
        <v>491.3</v>
      </c>
      <c r="C78">
        <v>590.1</v>
      </c>
      <c r="D78">
        <v>535.1</v>
      </c>
      <c r="E78">
        <v>562.6</v>
      </c>
      <c r="F78">
        <v>497.3</v>
      </c>
      <c r="G78">
        <v>505.9</v>
      </c>
      <c r="H78">
        <v>562.09999999999991</v>
      </c>
      <c r="I78">
        <v>365.5</v>
      </c>
      <c r="J78">
        <v>509.3</v>
      </c>
      <c r="K78">
        <v>629.59999999999991</v>
      </c>
      <c r="L78">
        <v>589.5</v>
      </c>
      <c r="M78">
        <v>507.29999999999995</v>
      </c>
      <c r="N78">
        <v>590</v>
      </c>
      <c r="O78">
        <v>509.59999999999997</v>
      </c>
    </row>
    <row r="79" spans="1:15" x14ac:dyDescent="0.3">
      <c r="A79" s="19" t="s">
        <v>42</v>
      </c>
      <c r="B79">
        <v>496.3</v>
      </c>
      <c r="C79">
        <v>591.29999999999995</v>
      </c>
      <c r="D79">
        <v>540.30000000000007</v>
      </c>
      <c r="E79">
        <v>565.40000000000009</v>
      </c>
      <c r="F79">
        <v>491.7</v>
      </c>
      <c r="G79">
        <v>507.29999999999995</v>
      </c>
      <c r="H79">
        <v>555.79999999999995</v>
      </c>
      <c r="I79">
        <v>366.4</v>
      </c>
      <c r="J79">
        <v>512.79999999999995</v>
      </c>
      <c r="K79">
        <v>634.6</v>
      </c>
      <c r="L79">
        <v>613.09999999999991</v>
      </c>
      <c r="M79">
        <v>509.40000000000003</v>
      </c>
      <c r="N79">
        <v>597.9</v>
      </c>
      <c r="O79">
        <v>513.1</v>
      </c>
    </row>
    <row r="80" spans="1:15" x14ac:dyDescent="0.3">
      <c r="A80" s="19" t="s">
        <v>44</v>
      </c>
      <c r="B80">
        <v>502.70000000000005</v>
      </c>
      <c r="C80">
        <v>593</v>
      </c>
      <c r="D80">
        <v>536.20000000000005</v>
      </c>
      <c r="E80">
        <v>568.79999999999995</v>
      </c>
      <c r="F80">
        <v>482.4</v>
      </c>
      <c r="G80">
        <v>508.9</v>
      </c>
      <c r="H80">
        <v>562.9</v>
      </c>
      <c r="I80">
        <v>367</v>
      </c>
      <c r="J80">
        <v>516.90000000000009</v>
      </c>
      <c r="K80">
        <v>630</v>
      </c>
      <c r="L80">
        <v>560.20000000000005</v>
      </c>
      <c r="M80">
        <v>511.7</v>
      </c>
      <c r="N80">
        <v>606.40000000000009</v>
      </c>
      <c r="O80">
        <v>544.79999999999995</v>
      </c>
    </row>
    <row r="81" spans="1:15" x14ac:dyDescent="0.3">
      <c r="A81" s="19" t="s">
        <v>45</v>
      </c>
      <c r="B81">
        <v>508.2</v>
      </c>
      <c r="C81">
        <v>594.29999999999995</v>
      </c>
      <c r="D81">
        <v>528.9</v>
      </c>
      <c r="E81">
        <v>571.29999999999995</v>
      </c>
      <c r="F81">
        <v>474.2</v>
      </c>
      <c r="G81">
        <v>510.6</v>
      </c>
      <c r="H81">
        <v>561.5</v>
      </c>
      <c r="I81">
        <v>366.1</v>
      </c>
      <c r="J81">
        <v>520.9</v>
      </c>
      <c r="K81">
        <v>628.79999999999995</v>
      </c>
      <c r="L81">
        <v>488.79999999999995</v>
      </c>
      <c r="M81">
        <v>512.6</v>
      </c>
      <c r="N81">
        <v>613.20000000000005</v>
      </c>
      <c r="O81">
        <v>571.20000000000005</v>
      </c>
    </row>
    <row r="82" spans="1:15" x14ac:dyDescent="0.3">
      <c r="A82" s="18">
        <v>2023</v>
      </c>
      <c r="B82">
        <v>2611.3000000000002</v>
      </c>
      <c r="C82">
        <v>3006.5</v>
      </c>
      <c r="D82">
        <v>2670.8</v>
      </c>
      <c r="E82">
        <v>2897</v>
      </c>
      <c r="F82">
        <v>2538.8999999999996</v>
      </c>
      <c r="G82">
        <v>2576.1999999999998</v>
      </c>
      <c r="H82">
        <v>2657.2</v>
      </c>
      <c r="I82">
        <v>1819.6999999999998</v>
      </c>
      <c r="J82">
        <v>2662.4</v>
      </c>
      <c r="K82">
        <v>3159.5</v>
      </c>
      <c r="L82">
        <v>2383.8999999999996</v>
      </c>
      <c r="M82">
        <v>2588.5</v>
      </c>
      <c r="N82">
        <v>3163.5</v>
      </c>
      <c r="O82">
        <v>2667.7999999999997</v>
      </c>
    </row>
    <row r="83" spans="1:15" x14ac:dyDescent="0.3">
      <c r="A83" s="19" t="s">
        <v>31</v>
      </c>
      <c r="B83">
        <v>521.1</v>
      </c>
      <c r="C83">
        <v>596.70000000000005</v>
      </c>
      <c r="D83">
        <v>531.20000000000005</v>
      </c>
      <c r="E83">
        <v>574</v>
      </c>
      <c r="F83">
        <v>475.1</v>
      </c>
      <c r="G83">
        <v>512</v>
      </c>
      <c r="H83">
        <v>557.79999999999995</v>
      </c>
      <c r="I83">
        <v>364.1</v>
      </c>
      <c r="J83">
        <v>524.1</v>
      </c>
      <c r="K83">
        <v>634.20000000000005</v>
      </c>
      <c r="L83">
        <v>472.1</v>
      </c>
      <c r="M83">
        <v>512.79999999999995</v>
      </c>
      <c r="N83">
        <v>623.20000000000005</v>
      </c>
      <c r="O83">
        <v>584.4</v>
      </c>
    </row>
    <row r="84" spans="1:15" x14ac:dyDescent="0.3">
      <c r="A84" s="19" t="s">
        <v>34</v>
      </c>
      <c r="B84">
        <v>523.29999999999995</v>
      </c>
      <c r="C84">
        <v>600.5</v>
      </c>
      <c r="D84">
        <v>532.5</v>
      </c>
      <c r="E84">
        <v>579.5</v>
      </c>
      <c r="F84">
        <v>508.79999999999995</v>
      </c>
      <c r="G84">
        <v>514.79999999999995</v>
      </c>
      <c r="H84">
        <v>534.90000000000009</v>
      </c>
      <c r="I84">
        <v>361</v>
      </c>
      <c r="J84">
        <v>532.20000000000005</v>
      </c>
      <c r="K84">
        <v>625.09999999999991</v>
      </c>
      <c r="L84">
        <v>469.40000000000003</v>
      </c>
      <c r="M84">
        <v>513.6</v>
      </c>
      <c r="N84">
        <v>626.59999999999991</v>
      </c>
      <c r="O84">
        <v>526.29999999999995</v>
      </c>
    </row>
    <row r="85" spans="1:15" x14ac:dyDescent="0.3">
      <c r="A85" s="19" t="s">
        <v>35</v>
      </c>
      <c r="B85">
        <v>523.4</v>
      </c>
      <c r="C85">
        <v>600.6</v>
      </c>
      <c r="D85">
        <v>532.6</v>
      </c>
      <c r="E85">
        <v>579.5</v>
      </c>
      <c r="F85">
        <v>508.79999999999995</v>
      </c>
      <c r="G85">
        <v>514.79999999999995</v>
      </c>
      <c r="H85">
        <v>534.70000000000005</v>
      </c>
      <c r="I85">
        <v>361</v>
      </c>
      <c r="J85">
        <v>532.20000000000005</v>
      </c>
      <c r="K85">
        <v>625.09999999999991</v>
      </c>
      <c r="L85">
        <v>469.6</v>
      </c>
      <c r="M85">
        <v>513.79999999999995</v>
      </c>
      <c r="N85">
        <v>626.59999999999991</v>
      </c>
      <c r="O85">
        <v>526.29999999999995</v>
      </c>
    </row>
    <row r="86" spans="1:15" x14ac:dyDescent="0.3">
      <c r="A86" s="19" t="s">
        <v>36</v>
      </c>
      <c r="B86">
        <v>521.90000000000009</v>
      </c>
      <c r="C86">
        <v>603.6</v>
      </c>
      <c r="D86">
        <v>535.5</v>
      </c>
      <c r="E86">
        <v>581</v>
      </c>
      <c r="F86">
        <v>529.20000000000005</v>
      </c>
      <c r="G86">
        <v>516.6</v>
      </c>
      <c r="H86">
        <v>522.1</v>
      </c>
      <c r="I86">
        <v>364.8</v>
      </c>
      <c r="J86">
        <v>535.4</v>
      </c>
      <c r="K86">
        <v>629.90000000000009</v>
      </c>
      <c r="L86">
        <v>478.1</v>
      </c>
      <c r="M86">
        <v>520.9</v>
      </c>
      <c r="N86">
        <v>636.20000000000005</v>
      </c>
      <c r="O86">
        <v>509.9</v>
      </c>
    </row>
    <row r="87" spans="1:15" x14ac:dyDescent="0.3">
      <c r="A87" s="19" t="s">
        <v>37</v>
      </c>
      <c r="B87">
        <v>521.59999999999991</v>
      </c>
      <c r="C87">
        <v>605.1</v>
      </c>
      <c r="D87">
        <v>539</v>
      </c>
      <c r="E87">
        <v>583</v>
      </c>
      <c r="F87">
        <v>517</v>
      </c>
      <c r="G87">
        <v>518</v>
      </c>
      <c r="H87">
        <v>507.70000000000005</v>
      </c>
      <c r="I87">
        <v>368.8</v>
      </c>
      <c r="J87">
        <v>538.5</v>
      </c>
      <c r="K87">
        <v>645.20000000000005</v>
      </c>
      <c r="L87">
        <v>494.7</v>
      </c>
      <c r="M87">
        <v>527.4</v>
      </c>
      <c r="N87">
        <v>650.9</v>
      </c>
      <c r="O87">
        <v>520.9</v>
      </c>
    </row>
    <row r="88" spans="1:15" x14ac:dyDescent="0.3">
      <c r="A88" s="18" t="s">
        <v>54</v>
      </c>
    </row>
    <row r="89" spans="1:15" x14ac:dyDescent="0.3">
      <c r="A89" s="19" t="s">
        <v>54</v>
      </c>
    </row>
    <row r="90" spans="1:15" x14ac:dyDescent="0.3">
      <c r="A90" s="18" t="s">
        <v>55</v>
      </c>
      <c r="B90">
        <v>50884.800000000003</v>
      </c>
      <c r="C90">
        <v>57901.200000000012</v>
      </c>
      <c r="D90">
        <v>53041.2</v>
      </c>
      <c r="E90">
        <v>55523.30000000001</v>
      </c>
      <c r="F90">
        <v>52420.4</v>
      </c>
      <c r="G90">
        <v>49889.8</v>
      </c>
      <c r="H90">
        <v>49158.400000000009</v>
      </c>
      <c r="I90">
        <v>41292.6</v>
      </c>
      <c r="J90">
        <v>52246.700000000004</v>
      </c>
      <c r="K90">
        <v>58195.5</v>
      </c>
      <c r="L90">
        <v>57983.799999999981</v>
      </c>
      <c r="M90">
        <v>52639.400000000009</v>
      </c>
      <c r="N90">
        <v>53798.499999999993</v>
      </c>
      <c r="O90">
        <v>52401.9</v>
      </c>
    </row>
    <row r="94" spans="1:15" x14ac:dyDescent="0.3">
      <c r="A94" s="17" t="s">
        <v>0</v>
      </c>
      <c r="B94" t="s">
        <v>56</v>
      </c>
    </row>
    <row r="96" spans="1:15" x14ac:dyDescent="0.3">
      <c r="A96" s="17" t="s">
        <v>53</v>
      </c>
      <c r="B96" t="s">
        <v>57</v>
      </c>
      <c r="C96" t="s">
        <v>94</v>
      </c>
      <c r="D96" t="s">
        <v>96</v>
      </c>
      <c r="E96" t="s">
        <v>95</v>
      </c>
    </row>
    <row r="97" spans="1:5" x14ac:dyDescent="0.3">
      <c r="A97" s="18">
        <v>2013</v>
      </c>
      <c r="B97">
        <v>56091.999999999985</v>
      </c>
      <c r="C97">
        <v>3843.6</v>
      </c>
      <c r="D97">
        <v>3907.6</v>
      </c>
      <c r="E97">
        <v>3840.0000000000005</v>
      </c>
    </row>
    <row r="98" spans="1:5" x14ac:dyDescent="0.3">
      <c r="A98" s="18">
        <v>2014</v>
      </c>
      <c r="B98">
        <v>59832.3</v>
      </c>
      <c r="C98">
        <v>4049.8999999999996</v>
      </c>
      <c r="D98">
        <v>4080.8000000000011</v>
      </c>
      <c r="E98">
        <v>4014.6000000000004</v>
      </c>
    </row>
    <row r="99" spans="1:5" x14ac:dyDescent="0.3">
      <c r="A99" s="18">
        <v>2015</v>
      </c>
      <c r="B99">
        <v>63234.69999999999</v>
      </c>
      <c r="C99">
        <v>4255.7</v>
      </c>
      <c r="D99">
        <v>4284.8</v>
      </c>
      <c r="E99">
        <v>4001.7000000000007</v>
      </c>
    </row>
    <row r="100" spans="1:5" x14ac:dyDescent="0.3">
      <c r="A100" s="18">
        <v>2016</v>
      </c>
      <c r="B100">
        <v>67580.000000000015</v>
      </c>
      <c r="C100">
        <v>4460.3999999999996</v>
      </c>
      <c r="D100">
        <v>4412.7</v>
      </c>
      <c r="E100">
        <v>4084.8999999999996</v>
      </c>
    </row>
    <row r="101" spans="1:5" x14ac:dyDescent="0.3">
      <c r="A101" s="18">
        <v>2017</v>
      </c>
      <c r="B101">
        <v>68461.900000000009</v>
      </c>
      <c r="C101">
        <v>4641.8</v>
      </c>
      <c r="D101">
        <v>4654.1000000000013</v>
      </c>
      <c r="E101">
        <v>4227.5</v>
      </c>
    </row>
    <row r="102" spans="1:5" x14ac:dyDescent="0.3">
      <c r="A102" s="18">
        <v>2018</v>
      </c>
      <c r="B102">
        <v>69416.800000000003</v>
      </c>
      <c r="C102">
        <v>4932.2</v>
      </c>
      <c r="D102">
        <v>4978.7</v>
      </c>
      <c r="E102">
        <v>4440.1000000000013</v>
      </c>
    </row>
    <row r="103" spans="1:5" x14ac:dyDescent="0.3">
      <c r="A103" s="18">
        <v>2019</v>
      </c>
      <c r="B103">
        <v>66033.5</v>
      </c>
      <c r="C103">
        <v>4848.5</v>
      </c>
      <c r="D103">
        <v>4579.5999999999995</v>
      </c>
      <c r="E103">
        <v>4151</v>
      </c>
    </row>
    <row r="104" spans="1:5" x14ac:dyDescent="0.3">
      <c r="A104" s="19" t="s">
        <v>31</v>
      </c>
      <c r="B104">
        <v>5747.9</v>
      </c>
      <c r="C104">
        <v>432.5</v>
      </c>
      <c r="D104">
        <v>414.29999999999995</v>
      </c>
      <c r="E104">
        <v>370.5</v>
      </c>
    </row>
    <row r="105" spans="1:5" x14ac:dyDescent="0.3">
      <c r="A105" s="19" t="s">
        <v>34</v>
      </c>
      <c r="B105">
        <v>5762.4000000000005</v>
      </c>
      <c r="C105">
        <v>434</v>
      </c>
      <c r="D105">
        <v>410.79999999999995</v>
      </c>
      <c r="E105">
        <v>372.29999999999995</v>
      </c>
    </row>
    <row r="106" spans="1:5" x14ac:dyDescent="0.3">
      <c r="A106" s="19" t="s">
        <v>35</v>
      </c>
      <c r="B106">
        <v>5784.2000000000007</v>
      </c>
      <c r="C106">
        <v>435.8</v>
      </c>
      <c r="D106">
        <v>414.90000000000003</v>
      </c>
      <c r="E106">
        <v>374.4</v>
      </c>
    </row>
    <row r="107" spans="1:5" x14ac:dyDescent="0.3">
      <c r="A107" s="19" t="s">
        <v>37</v>
      </c>
      <c r="B107">
        <v>5879.1</v>
      </c>
      <c r="C107">
        <v>438</v>
      </c>
      <c r="D107">
        <v>416.6</v>
      </c>
      <c r="E107">
        <v>375.2</v>
      </c>
    </row>
    <row r="108" spans="1:5" x14ac:dyDescent="0.3">
      <c r="A108" s="19" t="s">
        <v>38</v>
      </c>
      <c r="B108">
        <v>5947.4</v>
      </c>
      <c r="C108">
        <v>439.4</v>
      </c>
      <c r="D108">
        <v>419.5</v>
      </c>
      <c r="E108">
        <v>374.4</v>
      </c>
    </row>
    <row r="109" spans="1:5" x14ac:dyDescent="0.3">
      <c r="A109" s="19" t="s">
        <v>39</v>
      </c>
      <c r="B109">
        <v>6018.7</v>
      </c>
      <c r="C109">
        <v>440.9</v>
      </c>
      <c r="D109">
        <v>413.1</v>
      </c>
      <c r="E109">
        <v>377.4</v>
      </c>
    </row>
    <row r="110" spans="1:5" x14ac:dyDescent="0.3">
      <c r="A110" s="19" t="s">
        <v>40</v>
      </c>
      <c r="B110">
        <v>6048.9000000000005</v>
      </c>
      <c r="C110">
        <v>442.7</v>
      </c>
      <c r="D110">
        <v>410.4</v>
      </c>
      <c r="E110">
        <v>378</v>
      </c>
    </row>
    <row r="111" spans="1:5" x14ac:dyDescent="0.3">
      <c r="A111" s="19" t="s">
        <v>41</v>
      </c>
      <c r="B111">
        <v>6082.1</v>
      </c>
      <c r="C111">
        <v>444.3</v>
      </c>
      <c r="D111">
        <v>412.7</v>
      </c>
      <c r="E111">
        <v>378.9</v>
      </c>
    </row>
    <row r="112" spans="1:5" x14ac:dyDescent="0.3">
      <c r="A112" s="19" t="s">
        <v>42</v>
      </c>
      <c r="B112">
        <v>6167.7999999999993</v>
      </c>
      <c r="C112">
        <v>445.5</v>
      </c>
      <c r="D112">
        <v>417.20000000000005</v>
      </c>
      <c r="E112">
        <v>379.5</v>
      </c>
    </row>
    <row r="113" spans="1:5" x14ac:dyDescent="0.3">
      <c r="A113" s="19" t="s">
        <v>44</v>
      </c>
      <c r="B113">
        <v>6244.5</v>
      </c>
      <c r="C113">
        <v>447</v>
      </c>
      <c r="D113">
        <v>422.90000000000003</v>
      </c>
      <c r="E113">
        <v>380.4</v>
      </c>
    </row>
    <row r="114" spans="1:5" x14ac:dyDescent="0.3">
      <c r="A114" s="19" t="s">
        <v>45</v>
      </c>
      <c r="B114">
        <v>6350.5</v>
      </c>
      <c r="C114">
        <v>448.4</v>
      </c>
      <c r="D114">
        <v>427.2</v>
      </c>
      <c r="E114">
        <v>390</v>
      </c>
    </row>
    <row r="115" spans="1:5" x14ac:dyDescent="0.3">
      <c r="A115" s="18">
        <v>2020</v>
      </c>
      <c r="B115">
        <v>78061.900000000009</v>
      </c>
      <c r="C115">
        <v>5514.4000000000005</v>
      </c>
      <c r="D115">
        <v>5159.3999999999996</v>
      </c>
      <c r="E115">
        <v>4869.1000000000004</v>
      </c>
    </row>
    <row r="116" spans="1:5" x14ac:dyDescent="0.3">
      <c r="A116" s="19" t="s">
        <v>31</v>
      </c>
      <c r="B116">
        <v>6333</v>
      </c>
      <c r="C116">
        <v>450.7</v>
      </c>
      <c r="D116">
        <v>430.1</v>
      </c>
      <c r="E116">
        <v>393.29999999999995</v>
      </c>
    </row>
    <row r="117" spans="1:5" x14ac:dyDescent="0.3">
      <c r="A117" s="19" t="s">
        <v>34</v>
      </c>
      <c r="B117">
        <v>6249.4999999999991</v>
      </c>
      <c r="C117">
        <v>452.3</v>
      </c>
      <c r="D117">
        <v>438.40000000000003</v>
      </c>
      <c r="E117">
        <v>391.5</v>
      </c>
    </row>
    <row r="118" spans="1:5" x14ac:dyDescent="0.3">
      <c r="A118" s="19" t="s">
        <v>35</v>
      </c>
      <c r="B118">
        <v>6203.5</v>
      </c>
      <c r="C118">
        <v>454</v>
      </c>
      <c r="D118">
        <v>443.70000000000005</v>
      </c>
      <c r="E118">
        <v>390.29999999999995</v>
      </c>
    </row>
    <row r="119" spans="1:5" x14ac:dyDescent="0.3">
      <c r="A119" s="19" t="s">
        <v>36</v>
      </c>
      <c r="B119">
        <v>6369.2000000000007</v>
      </c>
      <c r="C119">
        <v>449.8</v>
      </c>
      <c r="D119">
        <v>429.6</v>
      </c>
      <c r="E119">
        <v>390.29999999999995</v>
      </c>
    </row>
    <row r="120" spans="1:5" x14ac:dyDescent="0.3">
      <c r="A120" s="19" t="s">
        <v>37</v>
      </c>
      <c r="B120">
        <v>6369.2000000000007</v>
      </c>
      <c r="C120">
        <v>449.8</v>
      </c>
      <c r="D120">
        <v>429.6</v>
      </c>
      <c r="E120">
        <v>390.29999999999995</v>
      </c>
    </row>
    <row r="121" spans="1:5" x14ac:dyDescent="0.3">
      <c r="A121" s="19" t="s">
        <v>38</v>
      </c>
      <c r="B121">
        <v>6465.4000000000005</v>
      </c>
      <c r="C121">
        <v>460.69999999999993</v>
      </c>
      <c r="D121">
        <v>423.9</v>
      </c>
      <c r="E121">
        <v>405.70000000000005</v>
      </c>
    </row>
    <row r="122" spans="1:5" x14ac:dyDescent="0.3">
      <c r="A122" s="19" t="s">
        <v>39</v>
      </c>
      <c r="B122">
        <v>6465.4000000000005</v>
      </c>
      <c r="C122">
        <v>460.69999999999993</v>
      </c>
      <c r="D122">
        <v>423.9</v>
      </c>
      <c r="E122">
        <v>405.70000000000005</v>
      </c>
    </row>
    <row r="123" spans="1:5" x14ac:dyDescent="0.3">
      <c r="A123" s="19" t="s">
        <v>40</v>
      </c>
      <c r="B123">
        <v>6549.4</v>
      </c>
      <c r="C123">
        <v>462.5</v>
      </c>
      <c r="D123">
        <v>427.1</v>
      </c>
      <c r="E123">
        <v>416</v>
      </c>
    </row>
    <row r="124" spans="1:5" x14ac:dyDescent="0.3">
      <c r="A124" s="19" t="s">
        <v>41</v>
      </c>
      <c r="B124">
        <v>6592</v>
      </c>
      <c r="C124">
        <v>464.70000000000005</v>
      </c>
      <c r="D124">
        <v>426.5</v>
      </c>
      <c r="E124">
        <v>419.29999999999995</v>
      </c>
    </row>
    <row r="125" spans="1:5" x14ac:dyDescent="0.3">
      <c r="A125" s="19" t="s">
        <v>42</v>
      </c>
      <c r="B125">
        <v>6715.4000000000005</v>
      </c>
      <c r="C125">
        <v>466.8</v>
      </c>
      <c r="D125">
        <v>427</v>
      </c>
      <c r="E125">
        <v>422.4</v>
      </c>
    </row>
    <row r="126" spans="1:5" x14ac:dyDescent="0.3">
      <c r="A126" s="19" t="s">
        <v>44</v>
      </c>
      <c r="B126">
        <v>6855.7000000000007</v>
      </c>
      <c r="C126">
        <v>469.59999999999997</v>
      </c>
      <c r="D126">
        <v>428.4</v>
      </c>
      <c r="E126">
        <v>421.69999999999993</v>
      </c>
    </row>
    <row r="127" spans="1:5" x14ac:dyDescent="0.3">
      <c r="A127" s="19" t="s">
        <v>45</v>
      </c>
      <c r="B127">
        <v>6894.2</v>
      </c>
      <c r="C127">
        <v>472.8</v>
      </c>
      <c r="D127">
        <v>431.20000000000005</v>
      </c>
      <c r="E127">
        <v>422.59999999999997</v>
      </c>
    </row>
    <row r="128" spans="1:5" x14ac:dyDescent="0.3">
      <c r="A128" s="18">
        <v>2021</v>
      </c>
      <c r="B128">
        <v>83342.299999999988</v>
      </c>
      <c r="C128">
        <v>5944.8</v>
      </c>
      <c r="D128">
        <v>5713.5</v>
      </c>
      <c r="E128">
        <v>5425.1999999999989</v>
      </c>
    </row>
    <row r="129" spans="1:5" x14ac:dyDescent="0.3">
      <c r="A129" s="18">
        <v>2022</v>
      </c>
      <c r="B129">
        <v>87918.9</v>
      </c>
      <c r="C129">
        <v>6312.7</v>
      </c>
      <c r="D129">
        <v>6298.9</v>
      </c>
      <c r="E129">
        <v>5804.7</v>
      </c>
    </row>
    <row r="130" spans="1:5" x14ac:dyDescent="0.3">
      <c r="A130" s="19" t="s">
        <v>31</v>
      </c>
      <c r="B130">
        <v>7083.1999999999989</v>
      </c>
      <c r="C130">
        <v>512.19999999999993</v>
      </c>
      <c r="D130">
        <v>491.59999999999997</v>
      </c>
      <c r="E130">
        <v>470</v>
      </c>
    </row>
    <row r="131" spans="1:5" x14ac:dyDescent="0.3">
      <c r="A131" s="19" t="s">
        <v>34</v>
      </c>
      <c r="B131">
        <v>7075.9</v>
      </c>
      <c r="C131">
        <v>514.70000000000005</v>
      </c>
      <c r="D131">
        <v>496.09999999999997</v>
      </c>
      <c r="E131">
        <v>471.19999999999993</v>
      </c>
    </row>
    <row r="132" spans="1:5" x14ac:dyDescent="0.3">
      <c r="A132" s="19" t="s">
        <v>35</v>
      </c>
      <c r="B132">
        <v>7143.1</v>
      </c>
      <c r="C132">
        <v>517.20000000000005</v>
      </c>
      <c r="D132">
        <v>500.59999999999997</v>
      </c>
      <c r="E132">
        <v>474.1</v>
      </c>
    </row>
    <row r="133" spans="1:5" x14ac:dyDescent="0.3">
      <c r="A133" s="19" t="s">
        <v>36</v>
      </c>
      <c r="B133">
        <v>7235.1</v>
      </c>
      <c r="C133">
        <v>520</v>
      </c>
      <c r="D133">
        <v>516</v>
      </c>
      <c r="E133">
        <v>488.1</v>
      </c>
    </row>
    <row r="134" spans="1:5" x14ac:dyDescent="0.3">
      <c r="A134" s="19" t="s">
        <v>37</v>
      </c>
      <c r="B134">
        <v>7312.4000000000015</v>
      </c>
      <c r="C134">
        <v>522.59999999999991</v>
      </c>
      <c r="D134">
        <v>523.4</v>
      </c>
      <c r="E134">
        <v>489.5</v>
      </c>
    </row>
    <row r="135" spans="1:5" x14ac:dyDescent="0.3">
      <c r="A135" s="19" t="s">
        <v>38</v>
      </c>
      <c r="B135">
        <v>7383.2000000000007</v>
      </c>
      <c r="C135">
        <v>524.5</v>
      </c>
      <c r="D135">
        <v>527.6</v>
      </c>
      <c r="E135">
        <v>483.79999999999995</v>
      </c>
    </row>
    <row r="136" spans="1:5" x14ac:dyDescent="0.3">
      <c r="A136" s="19" t="s">
        <v>39</v>
      </c>
      <c r="B136">
        <v>7396.7999999999993</v>
      </c>
      <c r="C136">
        <v>526.6</v>
      </c>
      <c r="D136">
        <v>538.70000000000005</v>
      </c>
      <c r="E136">
        <v>485.30000000000007</v>
      </c>
    </row>
    <row r="137" spans="1:5" x14ac:dyDescent="0.3">
      <c r="A137" s="19" t="s">
        <v>40</v>
      </c>
      <c r="B137">
        <v>7406.1</v>
      </c>
      <c r="C137">
        <v>528.79999999999995</v>
      </c>
      <c r="D137">
        <v>536.29999999999995</v>
      </c>
      <c r="E137">
        <v>486.19999999999993</v>
      </c>
    </row>
    <row r="138" spans="1:5" x14ac:dyDescent="0.3">
      <c r="A138" s="19" t="s">
        <v>41</v>
      </c>
      <c r="B138">
        <v>7445.2</v>
      </c>
      <c r="C138">
        <v>531.79999999999995</v>
      </c>
      <c r="D138">
        <v>538.4</v>
      </c>
      <c r="E138">
        <v>487.40000000000003</v>
      </c>
    </row>
    <row r="139" spans="1:5" x14ac:dyDescent="0.3">
      <c r="A139" s="19" t="s">
        <v>42</v>
      </c>
      <c r="B139">
        <v>7495.4000000000005</v>
      </c>
      <c r="C139">
        <v>534.59999999999991</v>
      </c>
      <c r="D139">
        <v>541.29999999999995</v>
      </c>
      <c r="E139">
        <v>489.1</v>
      </c>
    </row>
    <row r="140" spans="1:5" x14ac:dyDescent="0.3">
      <c r="A140" s="19" t="s">
        <v>44</v>
      </c>
      <c r="B140">
        <v>7491.9</v>
      </c>
      <c r="C140">
        <v>537.90000000000009</v>
      </c>
      <c r="D140">
        <v>543.5</v>
      </c>
      <c r="E140">
        <v>489.4</v>
      </c>
    </row>
    <row r="141" spans="1:5" x14ac:dyDescent="0.3">
      <c r="A141" s="19" t="s">
        <v>45</v>
      </c>
      <c r="B141">
        <v>7450.6</v>
      </c>
      <c r="C141">
        <v>541.79999999999995</v>
      </c>
      <c r="D141">
        <v>545.4</v>
      </c>
      <c r="E141">
        <v>490.6</v>
      </c>
    </row>
    <row r="142" spans="1:5" x14ac:dyDescent="0.3">
      <c r="A142" s="18">
        <v>2023</v>
      </c>
      <c r="B142">
        <v>37403.200000000004</v>
      </c>
      <c r="C142">
        <v>2758.5</v>
      </c>
      <c r="D142">
        <v>2731.7</v>
      </c>
      <c r="E142">
        <v>2466.1999999999998</v>
      </c>
    </row>
    <row r="143" spans="1:5" x14ac:dyDescent="0.3">
      <c r="A143" s="19" t="s">
        <v>31</v>
      </c>
      <c r="B143">
        <v>7482.8</v>
      </c>
      <c r="C143">
        <v>545.5</v>
      </c>
      <c r="D143">
        <v>545.29999999999995</v>
      </c>
      <c r="E143">
        <v>491.29999999999995</v>
      </c>
    </row>
    <row r="144" spans="1:5" x14ac:dyDescent="0.3">
      <c r="A144" s="19" t="s">
        <v>34</v>
      </c>
      <c r="B144">
        <v>7448.5</v>
      </c>
      <c r="C144">
        <v>551.79999999999995</v>
      </c>
      <c r="D144">
        <v>546.5</v>
      </c>
      <c r="E144">
        <v>493</v>
      </c>
    </row>
    <row r="145" spans="1:5" x14ac:dyDescent="0.3">
      <c r="A145" s="19" t="s">
        <v>35</v>
      </c>
      <c r="B145">
        <v>7449</v>
      </c>
      <c r="C145">
        <v>551.79999999999995</v>
      </c>
      <c r="D145">
        <v>545.9</v>
      </c>
      <c r="E145">
        <v>493</v>
      </c>
    </row>
    <row r="146" spans="1:5" x14ac:dyDescent="0.3">
      <c r="A146" s="19" t="s">
        <v>36</v>
      </c>
      <c r="B146">
        <v>7485.1</v>
      </c>
      <c r="C146">
        <v>553.70000000000005</v>
      </c>
      <c r="D146">
        <v>545.29999999999995</v>
      </c>
      <c r="E146">
        <v>494</v>
      </c>
    </row>
    <row r="147" spans="1:5" x14ac:dyDescent="0.3">
      <c r="A147" s="19" t="s">
        <v>37</v>
      </c>
      <c r="B147">
        <v>7537.8000000000011</v>
      </c>
      <c r="C147">
        <v>555.70000000000005</v>
      </c>
      <c r="D147">
        <v>548.70000000000005</v>
      </c>
      <c r="E147">
        <v>494.90000000000003</v>
      </c>
    </row>
    <row r="148" spans="1:5" x14ac:dyDescent="0.3">
      <c r="A148" s="18" t="s">
        <v>54</v>
      </c>
    </row>
    <row r="149" spans="1:5" x14ac:dyDescent="0.3">
      <c r="A149" s="19" t="s">
        <v>54</v>
      </c>
    </row>
    <row r="150" spans="1:5" x14ac:dyDescent="0.3">
      <c r="A150" s="18" t="s">
        <v>55</v>
      </c>
      <c r="B150">
        <v>737377.50000000012</v>
      </c>
      <c r="C150">
        <v>51562.5</v>
      </c>
      <c r="D150">
        <v>50801.80000000001</v>
      </c>
      <c r="E150">
        <v>47325</v>
      </c>
    </row>
    <row r="154" spans="1:5" x14ac:dyDescent="0.3">
      <c r="A154" s="17" t="s">
        <v>0</v>
      </c>
      <c r="B154" t="s">
        <v>56</v>
      </c>
    </row>
    <row r="156" spans="1:5" x14ac:dyDescent="0.3">
      <c r="A156" s="17" t="s">
        <v>53</v>
      </c>
      <c r="B156" t="s">
        <v>96</v>
      </c>
    </row>
    <row r="157" spans="1:5" x14ac:dyDescent="0.3">
      <c r="A157" s="18">
        <v>2013</v>
      </c>
      <c r="B157">
        <v>3907.6</v>
      </c>
    </row>
    <row r="158" spans="1:5" x14ac:dyDescent="0.3">
      <c r="A158" s="18">
        <v>2014</v>
      </c>
      <c r="B158">
        <v>4080.8000000000011</v>
      </c>
    </row>
    <row r="159" spans="1:5" x14ac:dyDescent="0.3">
      <c r="A159" s="18">
        <v>2015</v>
      </c>
      <c r="B159">
        <v>4284.8</v>
      </c>
    </row>
    <row r="160" spans="1:5" x14ac:dyDescent="0.3">
      <c r="A160" s="18">
        <v>2016</v>
      </c>
      <c r="B160">
        <v>4412.7</v>
      </c>
    </row>
    <row r="161" spans="1:2" x14ac:dyDescent="0.3">
      <c r="A161" s="18">
        <v>2017</v>
      </c>
      <c r="B161">
        <v>4654.1000000000013</v>
      </c>
    </row>
    <row r="162" spans="1:2" x14ac:dyDescent="0.3">
      <c r="A162" s="18">
        <v>2018</v>
      </c>
      <c r="B162">
        <v>4978.7</v>
      </c>
    </row>
    <row r="163" spans="1:2" x14ac:dyDescent="0.3">
      <c r="A163" s="18">
        <v>2019</v>
      </c>
      <c r="B163">
        <v>4579.5999999999995</v>
      </c>
    </row>
    <row r="164" spans="1:2" x14ac:dyDescent="0.3">
      <c r="A164" s="18">
        <v>2020</v>
      </c>
      <c r="B164">
        <v>5159.4000000000015</v>
      </c>
    </row>
    <row r="165" spans="1:2" x14ac:dyDescent="0.3">
      <c r="A165" s="18">
        <v>2021</v>
      </c>
      <c r="B165">
        <v>5713.5</v>
      </c>
    </row>
    <row r="166" spans="1:2" x14ac:dyDescent="0.3">
      <c r="A166" s="19" t="s">
        <v>31</v>
      </c>
      <c r="B166">
        <v>441.70000000000005</v>
      </c>
    </row>
    <row r="167" spans="1:2" x14ac:dyDescent="0.3">
      <c r="A167" s="19" t="s">
        <v>34</v>
      </c>
      <c r="B167">
        <v>455.9</v>
      </c>
    </row>
    <row r="168" spans="1:2" x14ac:dyDescent="0.3">
      <c r="A168" s="19" t="s">
        <v>35</v>
      </c>
      <c r="B168">
        <v>466.3</v>
      </c>
    </row>
    <row r="169" spans="1:2" x14ac:dyDescent="0.3">
      <c r="A169" s="19" t="s">
        <v>36</v>
      </c>
      <c r="B169">
        <v>466.5</v>
      </c>
    </row>
    <row r="170" spans="1:2" x14ac:dyDescent="0.3">
      <c r="A170" s="19" t="s">
        <v>37</v>
      </c>
      <c r="B170">
        <v>476.6</v>
      </c>
    </row>
    <row r="171" spans="1:2" x14ac:dyDescent="0.3">
      <c r="A171" s="19" t="s">
        <v>38</v>
      </c>
      <c r="B171">
        <v>478</v>
      </c>
    </row>
    <row r="172" spans="1:2" x14ac:dyDescent="0.3">
      <c r="A172" s="19" t="s">
        <v>39</v>
      </c>
      <c r="B172">
        <v>480.9</v>
      </c>
    </row>
    <row r="173" spans="1:2" x14ac:dyDescent="0.3">
      <c r="A173" s="19" t="s">
        <v>40</v>
      </c>
      <c r="B173">
        <v>486.4</v>
      </c>
    </row>
    <row r="174" spans="1:2" x14ac:dyDescent="0.3">
      <c r="A174" s="19" t="s">
        <v>41</v>
      </c>
      <c r="B174">
        <v>487.1</v>
      </c>
    </row>
    <row r="175" spans="1:2" x14ac:dyDescent="0.3">
      <c r="A175" s="19" t="s">
        <v>42</v>
      </c>
      <c r="B175">
        <v>491.9</v>
      </c>
    </row>
    <row r="176" spans="1:2" x14ac:dyDescent="0.3">
      <c r="A176" s="19" t="s">
        <v>44</v>
      </c>
      <c r="B176">
        <v>490.79999999999995</v>
      </c>
    </row>
    <row r="177" spans="1:2" x14ac:dyDescent="0.3">
      <c r="A177" s="19" t="s">
        <v>45</v>
      </c>
      <c r="B177">
        <v>491.4</v>
      </c>
    </row>
    <row r="178" spans="1:2" x14ac:dyDescent="0.3">
      <c r="A178" s="18">
        <v>2022</v>
      </c>
      <c r="B178">
        <v>6298.9</v>
      </c>
    </row>
    <row r="179" spans="1:2" x14ac:dyDescent="0.3">
      <c r="A179" s="19" t="s">
        <v>31</v>
      </c>
      <c r="B179">
        <v>491.59999999999997</v>
      </c>
    </row>
    <row r="180" spans="1:2" x14ac:dyDescent="0.3">
      <c r="A180" s="19" t="s">
        <v>34</v>
      </c>
      <c r="B180">
        <v>496.09999999999997</v>
      </c>
    </row>
    <row r="181" spans="1:2" x14ac:dyDescent="0.3">
      <c r="A181" s="19" t="s">
        <v>35</v>
      </c>
      <c r="B181">
        <v>500.59999999999997</v>
      </c>
    </row>
    <row r="182" spans="1:2" x14ac:dyDescent="0.3">
      <c r="A182" s="19" t="s">
        <v>36</v>
      </c>
      <c r="B182">
        <v>516</v>
      </c>
    </row>
    <row r="183" spans="1:2" x14ac:dyDescent="0.3">
      <c r="A183" s="19" t="s">
        <v>37</v>
      </c>
      <c r="B183">
        <v>523.4</v>
      </c>
    </row>
    <row r="184" spans="1:2" x14ac:dyDescent="0.3">
      <c r="A184" s="19" t="s">
        <v>38</v>
      </c>
      <c r="B184">
        <v>527.6</v>
      </c>
    </row>
    <row r="185" spans="1:2" x14ac:dyDescent="0.3">
      <c r="A185" s="19" t="s">
        <v>39</v>
      </c>
      <c r="B185">
        <v>538.70000000000005</v>
      </c>
    </row>
    <row r="186" spans="1:2" x14ac:dyDescent="0.3">
      <c r="A186" s="19" t="s">
        <v>40</v>
      </c>
      <c r="B186">
        <v>536.29999999999995</v>
      </c>
    </row>
    <row r="187" spans="1:2" x14ac:dyDescent="0.3">
      <c r="A187" s="19" t="s">
        <v>41</v>
      </c>
      <c r="B187">
        <v>538.4</v>
      </c>
    </row>
    <row r="188" spans="1:2" x14ac:dyDescent="0.3">
      <c r="A188" s="19" t="s">
        <v>42</v>
      </c>
      <c r="B188">
        <v>541.29999999999995</v>
      </c>
    </row>
    <row r="189" spans="1:2" x14ac:dyDescent="0.3">
      <c r="A189" s="19" t="s">
        <v>44</v>
      </c>
      <c r="B189">
        <v>543.5</v>
      </c>
    </row>
    <row r="190" spans="1:2" x14ac:dyDescent="0.3">
      <c r="A190" s="19" t="s">
        <v>45</v>
      </c>
      <c r="B190">
        <v>545.4</v>
      </c>
    </row>
    <row r="191" spans="1:2" x14ac:dyDescent="0.3">
      <c r="A191" s="18">
        <v>2023</v>
      </c>
      <c r="B191">
        <v>2731.7</v>
      </c>
    </row>
    <row r="192" spans="1:2" x14ac:dyDescent="0.3">
      <c r="A192" s="19" t="s">
        <v>31</v>
      </c>
      <c r="B192">
        <v>545.29999999999995</v>
      </c>
    </row>
    <row r="193" spans="1:2" x14ac:dyDescent="0.3">
      <c r="A193" s="19" t="s">
        <v>34</v>
      </c>
      <c r="B193">
        <v>546.5</v>
      </c>
    </row>
    <row r="194" spans="1:2" x14ac:dyDescent="0.3">
      <c r="A194" s="19" t="s">
        <v>35</v>
      </c>
      <c r="B194">
        <v>545.9</v>
      </c>
    </row>
    <row r="195" spans="1:2" x14ac:dyDescent="0.3">
      <c r="A195" s="19" t="s">
        <v>36</v>
      </c>
      <c r="B195">
        <v>545.29999999999995</v>
      </c>
    </row>
    <row r="196" spans="1:2" x14ac:dyDescent="0.3">
      <c r="A196" s="19" t="s">
        <v>37</v>
      </c>
      <c r="B196">
        <v>548.70000000000005</v>
      </c>
    </row>
    <row r="197" spans="1:2" x14ac:dyDescent="0.3">
      <c r="A197" s="18" t="s">
        <v>54</v>
      </c>
    </row>
    <row r="198" spans="1:2" x14ac:dyDescent="0.3">
      <c r="A198" s="19" t="s">
        <v>54</v>
      </c>
    </row>
    <row r="199" spans="1:2" x14ac:dyDescent="0.3">
      <c r="A199" s="18" t="s">
        <v>55</v>
      </c>
      <c r="B199">
        <v>50801.800000000017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742E6-F396-4863-8F4C-ECA2B9A48123}">
  <dimension ref="A1:O129"/>
  <sheetViews>
    <sheetView showGridLines="0" topLeftCell="A11" workbookViewId="0">
      <selection activeCell="P39" sqref="P39"/>
    </sheetView>
  </sheetViews>
  <sheetFormatPr defaultRowHeight="14.4" x14ac:dyDescent="0.3"/>
  <cols>
    <col min="1" max="1" width="14.44140625" customWidth="1"/>
    <col min="2" max="2" width="18.5546875" bestFit="1" customWidth="1"/>
    <col min="4" max="4" width="23.5546875" bestFit="1" customWidth="1"/>
    <col min="5" max="5" width="29.77734375" bestFit="1" customWidth="1"/>
    <col min="6" max="6" width="16.6640625" customWidth="1"/>
    <col min="7" max="7" width="10.33203125" customWidth="1"/>
    <col min="8" max="8" width="11.33203125" customWidth="1"/>
    <col min="9" max="9" width="8.77734375" customWidth="1"/>
    <col min="10" max="10" width="9.109375" customWidth="1"/>
    <col min="14" max="14" width="8.6640625" customWidth="1"/>
  </cols>
  <sheetData>
    <row r="1" spans="1:9" ht="18" x14ac:dyDescent="0.35">
      <c r="A1" s="79" t="s">
        <v>52</v>
      </c>
      <c r="B1" s="79"/>
      <c r="C1" s="79"/>
      <c r="D1" s="79"/>
      <c r="E1" s="79"/>
      <c r="F1" s="79"/>
      <c r="G1" s="79"/>
      <c r="H1" s="79"/>
      <c r="I1" s="79"/>
    </row>
    <row r="3" spans="1:9" ht="43.2" x14ac:dyDescent="0.3">
      <c r="A3" s="10" t="s">
        <v>0</v>
      </c>
      <c r="B3" s="10" t="s">
        <v>1</v>
      </c>
      <c r="C3" s="10" t="s">
        <v>2</v>
      </c>
      <c r="D3" s="10" t="s">
        <v>29</v>
      </c>
      <c r="E3" s="11" t="s">
        <v>47</v>
      </c>
      <c r="F3" s="11" t="s">
        <v>48</v>
      </c>
      <c r="G3" s="12" t="s">
        <v>49</v>
      </c>
      <c r="H3" s="12" t="s">
        <v>50</v>
      </c>
      <c r="I3" s="13" t="s">
        <v>51</v>
      </c>
    </row>
    <row r="4" spans="1:9" x14ac:dyDescent="0.3">
      <c r="A4" s="14" t="s">
        <v>30</v>
      </c>
      <c r="B4" s="14">
        <v>2023</v>
      </c>
      <c r="C4" s="14" t="s">
        <v>37</v>
      </c>
      <c r="D4" s="14">
        <v>179.8</v>
      </c>
      <c r="E4" s="15">
        <v>2490.6000000000008</v>
      </c>
      <c r="F4" s="15">
        <v>754.80000000000007</v>
      </c>
      <c r="G4" s="15">
        <v>532</v>
      </c>
      <c r="H4" s="15">
        <v>721.40000000000009</v>
      </c>
      <c r="I4" s="16">
        <v>4498.8000000000011</v>
      </c>
    </row>
    <row r="5" spans="1:9" x14ac:dyDescent="0.3">
      <c r="A5" s="14" t="s">
        <v>32</v>
      </c>
      <c r="B5" s="14">
        <v>2023</v>
      </c>
      <c r="C5" s="14" t="s">
        <v>37</v>
      </c>
      <c r="D5" s="14">
        <v>178.2</v>
      </c>
      <c r="E5" s="15">
        <v>2539.2999999999997</v>
      </c>
      <c r="F5" s="15">
        <v>714.30000000000007</v>
      </c>
      <c r="G5" s="15">
        <v>689.5</v>
      </c>
      <c r="H5" s="15">
        <v>697.80000000000007</v>
      </c>
      <c r="I5" s="16">
        <v>4640.8999999999996</v>
      </c>
    </row>
    <row r="6" spans="1:9" x14ac:dyDescent="0.3">
      <c r="A6" s="14" t="s">
        <v>33</v>
      </c>
      <c r="B6" s="14">
        <v>2023</v>
      </c>
      <c r="C6" s="14" t="s">
        <v>37</v>
      </c>
      <c r="D6" s="14">
        <v>179.1</v>
      </c>
      <c r="E6" s="15">
        <v>2507.9</v>
      </c>
      <c r="F6" s="15">
        <v>738.40000000000009</v>
      </c>
      <c r="G6" s="15">
        <v>698.39999999999986</v>
      </c>
      <c r="H6" s="15">
        <v>709.7</v>
      </c>
      <c r="I6" s="16">
        <v>4654.3999999999996</v>
      </c>
    </row>
    <row r="7" spans="1:9" s="25" customFormat="1" x14ac:dyDescent="0.3">
      <c r="I7" s="23"/>
    </row>
    <row r="8" spans="1:9" ht="18" x14ac:dyDescent="0.35">
      <c r="A8" s="79" t="s">
        <v>63</v>
      </c>
      <c r="B8" s="79"/>
      <c r="C8" s="79"/>
      <c r="D8" s="79"/>
      <c r="E8" s="79"/>
      <c r="F8" s="79"/>
      <c r="G8" s="79"/>
      <c r="H8" s="79"/>
      <c r="I8" s="79"/>
    </row>
    <row r="9" spans="1:9" ht="43.2" x14ac:dyDescent="0.3">
      <c r="A9" s="10" t="s">
        <v>0</v>
      </c>
      <c r="B9" s="10" t="s">
        <v>1</v>
      </c>
      <c r="C9" s="10" t="s">
        <v>2</v>
      </c>
      <c r="D9" s="10" t="s">
        <v>29</v>
      </c>
      <c r="E9" s="11" t="s">
        <v>47</v>
      </c>
      <c r="F9" s="11" t="s">
        <v>48</v>
      </c>
      <c r="G9" s="12" t="s">
        <v>49</v>
      </c>
      <c r="H9" s="12" t="s">
        <v>50</v>
      </c>
      <c r="I9" s="13" t="s">
        <v>51</v>
      </c>
    </row>
    <row r="10" spans="1:9" x14ac:dyDescent="0.3">
      <c r="A10" s="14" t="s">
        <v>30</v>
      </c>
      <c r="B10" s="14">
        <v>2023</v>
      </c>
      <c r="C10" s="14" t="s">
        <v>37</v>
      </c>
      <c r="D10" s="14">
        <v>179.8</v>
      </c>
      <c r="E10" s="24">
        <f t="shared" ref="E10:H10" si="0">E$4/$I$4*100</f>
        <v>55.361429714590557</v>
      </c>
      <c r="F10" s="24">
        <f t="shared" si="0"/>
        <v>16.777807415310747</v>
      </c>
      <c r="G10" s="24">
        <f t="shared" si="0"/>
        <v>11.825375655730413</v>
      </c>
      <c r="H10" s="24">
        <f t="shared" si="0"/>
        <v>16.035387214368274</v>
      </c>
      <c r="I10" s="24">
        <f>I$4/$I$4*100</f>
        <v>100</v>
      </c>
    </row>
    <row r="11" spans="1:9" x14ac:dyDescent="0.3">
      <c r="A11" s="14" t="s">
        <v>32</v>
      </c>
      <c r="B11" s="14">
        <v>2023</v>
      </c>
      <c r="C11" s="14" t="s">
        <v>37</v>
      </c>
      <c r="D11" s="14">
        <v>178.2</v>
      </c>
      <c r="E11" s="24">
        <f t="shared" ref="E11:I12" si="1">E$5/$I$5*100</f>
        <v>54.715680148247102</v>
      </c>
      <c r="F11" s="24">
        <f t="shared" si="1"/>
        <v>15.391411148699607</v>
      </c>
      <c r="G11" s="24">
        <f t="shared" si="1"/>
        <v>14.857032041198906</v>
      </c>
      <c r="H11" s="24">
        <f t="shared" si="1"/>
        <v>15.035876661854383</v>
      </c>
      <c r="I11" s="24">
        <f t="shared" si="1"/>
        <v>100</v>
      </c>
    </row>
    <row r="12" spans="1:9" x14ac:dyDescent="0.3">
      <c r="A12" s="14" t="s">
        <v>33</v>
      </c>
      <c r="B12" s="14">
        <v>2023</v>
      </c>
      <c r="C12" s="14" t="s">
        <v>37</v>
      </c>
      <c r="D12" s="14">
        <v>179.1</v>
      </c>
      <c r="E12" s="24">
        <f t="shared" si="1"/>
        <v>54.715680148247102</v>
      </c>
      <c r="F12" s="24">
        <f t="shared" si="1"/>
        <v>15.391411148699607</v>
      </c>
      <c r="G12" s="24">
        <f t="shared" si="1"/>
        <v>14.857032041198906</v>
      </c>
      <c r="H12" s="24">
        <f t="shared" si="1"/>
        <v>15.035876661854383</v>
      </c>
      <c r="I12" s="24">
        <f t="shared" si="1"/>
        <v>100</v>
      </c>
    </row>
    <row r="14" spans="1:9" ht="18" x14ac:dyDescent="0.35">
      <c r="A14" s="79" t="s">
        <v>65</v>
      </c>
      <c r="B14" s="79"/>
    </row>
    <row r="16" spans="1:9" x14ac:dyDescent="0.3">
      <c r="A16" s="29" t="s">
        <v>1</v>
      </c>
      <c r="B16" s="29" t="s">
        <v>64</v>
      </c>
    </row>
    <row r="17" spans="1:14" x14ac:dyDescent="0.3">
      <c r="A17" s="14">
        <v>2017</v>
      </c>
      <c r="B17" s="31">
        <v>2.7516775209721126E-2</v>
      </c>
    </row>
    <row r="18" spans="1:14" x14ac:dyDescent="0.3">
      <c r="A18" s="14">
        <v>2018</v>
      </c>
      <c r="B18" s="31">
        <v>3.3149290739245517E-2</v>
      </c>
    </row>
    <row r="19" spans="1:14" x14ac:dyDescent="0.3">
      <c r="A19" s="14">
        <v>2019</v>
      </c>
      <c r="B19" s="31">
        <v>-5.0090115231217945E-2</v>
      </c>
    </row>
    <row r="20" spans="1:14" x14ac:dyDescent="0.3">
      <c r="A20" s="14">
        <v>2020</v>
      </c>
      <c r="B20" s="31">
        <v>0.16002800722703947</v>
      </c>
    </row>
    <row r="21" spans="1:14" x14ac:dyDescent="0.3">
      <c r="A21" s="14">
        <v>2021</v>
      </c>
      <c r="B21" s="31">
        <v>6.680637863208902E-2</v>
      </c>
    </row>
    <row r="22" spans="1:14" x14ac:dyDescent="0.3">
      <c r="A22" s="14">
        <v>2022</v>
      </c>
      <c r="B22" s="31">
        <v>6.379590375222316E-2</v>
      </c>
    </row>
    <row r="23" spans="1:14" x14ac:dyDescent="0.3">
      <c r="A23" s="14">
        <v>2023</v>
      </c>
      <c r="B23" s="31">
        <v>-0.57035714617795019</v>
      </c>
    </row>
    <row r="24" spans="1:14" x14ac:dyDescent="0.3">
      <c r="B24" s="40"/>
    </row>
    <row r="25" spans="1:14" ht="18" x14ac:dyDescent="0.35">
      <c r="A25" s="61" t="s">
        <v>74</v>
      </c>
      <c r="B25" s="61"/>
    </row>
    <row r="26" spans="1:14" ht="15" thickBot="1" x14ac:dyDescent="0.35"/>
    <row r="27" spans="1:14" x14ac:dyDescent="0.3">
      <c r="A27" s="33"/>
      <c r="B27" s="34"/>
      <c r="C27" s="55"/>
      <c r="D27" s="56" t="s">
        <v>72</v>
      </c>
      <c r="E27" s="57" t="s">
        <v>73</v>
      </c>
      <c r="F27" s="53"/>
      <c r="G27" s="76"/>
      <c r="H27" s="76"/>
      <c r="I27" s="76"/>
      <c r="J27" s="76"/>
      <c r="K27" s="76"/>
      <c r="L27" s="76"/>
      <c r="M27" s="76"/>
      <c r="N27" s="76"/>
    </row>
    <row r="28" spans="1:14" ht="15" thickBot="1" x14ac:dyDescent="0.35">
      <c r="A28" s="50" t="s">
        <v>53</v>
      </c>
      <c r="B28" s="51" t="s">
        <v>57</v>
      </c>
      <c r="C28" s="51"/>
      <c r="D28" s="59"/>
      <c r="E28" s="60"/>
      <c r="F28" s="53"/>
      <c r="G28" s="53"/>
      <c r="H28" s="52"/>
      <c r="I28" s="52"/>
      <c r="J28" s="52"/>
      <c r="K28" s="52"/>
      <c r="L28" s="52"/>
      <c r="M28" s="52"/>
      <c r="N28" s="52"/>
    </row>
    <row r="29" spans="1:14" x14ac:dyDescent="0.3">
      <c r="A29" s="35" t="s">
        <v>37</v>
      </c>
      <c r="B29">
        <v>7312.4000000000015</v>
      </c>
      <c r="E29" s="58"/>
      <c r="K29" s="25"/>
      <c r="L29" s="25"/>
      <c r="M29" s="25"/>
      <c r="N29" s="25"/>
    </row>
    <row r="30" spans="1:14" s="37" customFormat="1" x14ac:dyDescent="0.3">
      <c r="A30" s="36" t="s">
        <v>38</v>
      </c>
      <c r="B30" s="37">
        <v>7383.2000000000007</v>
      </c>
      <c r="D30" s="38">
        <f t="shared" ref="D30:D41" si="2">(B30-B29)/B29</f>
        <v>9.6821836879819566E-3</v>
      </c>
      <c r="E30" s="39">
        <f t="shared" ref="E30:E41" si="3">B30-B29</f>
        <v>70.799999999999272</v>
      </c>
      <c r="G30" s="38"/>
      <c r="H30" s="38"/>
      <c r="J30" s="38"/>
    </row>
    <row r="31" spans="1:14" x14ac:dyDescent="0.3">
      <c r="A31" s="35" t="s">
        <v>39</v>
      </c>
      <c r="B31">
        <v>7396.7999999999993</v>
      </c>
      <c r="D31" s="40">
        <f t="shared" si="2"/>
        <v>1.8420197204462216E-3</v>
      </c>
      <c r="E31" s="41">
        <f t="shared" si="3"/>
        <v>13.599999999998545</v>
      </c>
      <c r="G31" s="40"/>
      <c r="H31" s="40"/>
      <c r="J31" s="40"/>
      <c r="K31" s="25"/>
      <c r="L31" s="25"/>
      <c r="M31" s="25"/>
      <c r="N31" s="25"/>
    </row>
    <row r="32" spans="1:14" x14ac:dyDescent="0.3">
      <c r="A32" s="35" t="s">
        <v>40</v>
      </c>
      <c r="B32">
        <v>7406.1</v>
      </c>
      <c r="D32" s="40">
        <f t="shared" si="2"/>
        <v>1.2573004542506343E-3</v>
      </c>
      <c r="E32" s="41">
        <f t="shared" si="3"/>
        <v>9.3000000000010914</v>
      </c>
      <c r="G32" s="40"/>
      <c r="H32" s="40"/>
      <c r="J32" s="40"/>
      <c r="K32" s="25"/>
      <c r="L32" s="25"/>
      <c r="M32" s="25"/>
      <c r="N32" s="25"/>
    </row>
    <row r="33" spans="1:15" x14ac:dyDescent="0.3">
      <c r="A33" s="35" t="s">
        <v>41</v>
      </c>
      <c r="B33">
        <v>7445.2</v>
      </c>
      <c r="D33" s="40">
        <f t="shared" si="2"/>
        <v>5.279431819716106E-3</v>
      </c>
      <c r="E33" s="41">
        <f t="shared" si="3"/>
        <v>39.099999999999454</v>
      </c>
      <c r="G33" s="40"/>
      <c r="H33" s="40"/>
      <c r="J33" s="40"/>
      <c r="K33" s="25"/>
      <c r="L33" s="25"/>
      <c r="M33" s="25"/>
      <c r="N33" s="25"/>
    </row>
    <row r="34" spans="1:15" x14ac:dyDescent="0.3">
      <c r="A34" s="35" t="s">
        <v>42</v>
      </c>
      <c r="B34">
        <v>7495.4000000000005</v>
      </c>
      <c r="D34" s="40">
        <f t="shared" si="2"/>
        <v>6.742599258582809E-3</v>
      </c>
      <c r="E34" s="41">
        <f t="shared" si="3"/>
        <v>50.200000000000728</v>
      </c>
      <c r="G34" s="40"/>
      <c r="H34" s="40"/>
      <c r="J34" s="40"/>
      <c r="K34" s="25"/>
      <c r="L34" s="25"/>
      <c r="M34" s="25"/>
      <c r="N34" s="25"/>
    </row>
    <row r="35" spans="1:15" x14ac:dyDescent="0.3">
      <c r="A35" s="35" t="s">
        <v>44</v>
      </c>
      <c r="B35">
        <v>7491.9</v>
      </c>
      <c r="D35" s="40">
        <f t="shared" si="2"/>
        <v>-4.6695306454637637E-4</v>
      </c>
      <c r="E35" s="41">
        <f t="shared" si="3"/>
        <v>-3.5000000000009095</v>
      </c>
      <c r="G35" s="40"/>
      <c r="H35" s="40"/>
      <c r="J35" s="40"/>
      <c r="K35" s="25"/>
      <c r="L35" s="25"/>
      <c r="M35" s="25"/>
      <c r="N35" s="25"/>
    </row>
    <row r="36" spans="1:15" s="43" customFormat="1" x14ac:dyDescent="0.3">
      <c r="A36" s="42" t="s">
        <v>45</v>
      </c>
      <c r="B36" s="43">
        <v>7450.6</v>
      </c>
      <c r="D36" s="44">
        <f t="shared" si="2"/>
        <v>-5.5126202965868837E-3</v>
      </c>
      <c r="E36" s="45">
        <f t="shared" si="3"/>
        <v>-41.299999999999272</v>
      </c>
      <c r="G36" s="44"/>
      <c r="H36" s="44"/>
      <c r="J36" s="44"/>
      <c r="K36" s="44"/>
      <c r="L36" s="44"/>
      <c r="M36" s="44"/>
      <c r="N36" s="44"/>
      <c r="O36" s="44"/>
    </row>
    <row r="37" spans="1:15" x14ac:dyDescent="0.3">
      <c r="A37" s="35" t="s">
        <v>31</v>
      </c>
      <c r="B37">
        <v>7482.8</v>
      </c>
      <c r="D37" s="40">
        <f t="shared" si="2"/>
        <v>4.3217995866104498E-3</v>
      </c>
      <c r="E37" s="41">
        <f t="shared" si="3"/>
        <v>32.199999999999818</v>
      </c>
      <c r="G37" s="40"/>
      <c r="H37" s="40"/>
      <c r="J37" s="40"/>
      <c r="K37" s="25"/>
      <c r="L37" s="25"/>
      <c r="M37" s="25"/>
      <c r="N37" s="25"/>
    </row>
    <row r="38" spans="1:15" x14ac:dyDescent="0.3">
      <c r="A38" s="35" t="s">
        <v>34</v>
      </c>
      <c r="B38">
        <v>7448.5</v>
      </c>
      <c r="D38" s="40">
        <f t="shared" si="2"/>
        <v>-4.5838456192869225E-3</v>
      </c>
      <c r="E38" s="41">
        <f t="shared" si="3"/>
        <v>-34.300000000000182</v>
      </c>
      <c r="G38" s="40"/>
      <c r="H38" s="40"/>
      <c r="J38" s="40"/>
      <c r="K38" s="25"/>
      <c r="L38" s="25"/>
      <c r="M38" s="25"/>
      <c r="N38" s="25"/>
    </row>
    <row r="39" spans="1:15" x14ac:dyDescent="0.3">
      <c r="A39" s="35" t="s">
        <v>35</v>
      </c>
      <c r="B39">
        <v>7449</v>
      </c>
      <c r="D39" s="40">
        <f t="shared" si="2"/>
        <v>6.7127609585822652E-5</v>
      </c>
      <c r="E39" s="41">
        <f t="shared" si="3"/>
        <v>0.5</v>
      </c>
      <c r="G39" s="40"/>
      <c r="H39" s="40"/>
      <c r="J39" s="40"/>
      <c r="K39" s="25"/>
      <c r="L39" s="25"/>
      <c r="M39" s="25"/>
      <c r="N39" s="25"/>
    </row>
    <row r="40" spans="1:15" x14ac:dyDescent="0.3">
      <c r="A40" s="35" t="s">
        <v>36</v>
      </c>
      <c r="B40">
        <v>7485.1</v>
      </c>
      <c r="D40" s="40">
        <f t="shared" si="2"/>
        <v>4.8462880923614395E-3</v>
      </c>
      <c r="E40" s="41">
        <f t="shared" si="3"/>
        <v>36.100000000000364</v>
      </c>
      <c r="G40" s="40"/>
      <c r="H40" s="40"/>
      <c r="J40" s="40"/>
      <c r="K40" s="25"/>
      <c r="L40" s="25"/>
      <c r="M40" s="25"/>
      <c r="N40" s="25"/>
    </row>
    <row r="41" spans="1:15" ht="15" thickBot="1" x14ac:dyDescent="0.35">
      <c r="A41" s="46" t="s">
        <v>37</v>
      </c>
      <c r="B41" s="47">
        <v>7537.8000000000011</v>
      </c>
      <c r="C41" s="47"/>
      <c r="D41" s="48">
        <f t="shared" si="2"/>
        <v>7.0406540994777259E-3</v>
      </c>
      <c r="E41" s="49">
        <f t="shared" si="3"/>
        <v>52.700000000000728</v>
      </c>
      <c r="G41" s="40"/>
      <c r="H41" s="40"/>
      <c r="J41" s="40"/>
      <c r="K41" s="25"/>
      <c r="L41" s="25"/>
      <c r="M41" s="25"/>
      <c r="N41" s="25"/>
    </row>
    <row r="43" spans="1:15" x14ac:dyDescent="0.3">
      <c r="D43" s="22">
        <f>MAX(D30:D41)</f>
        <v>9.6821836879819566E-3</v>
      </c>
      <c r="G43" s="22"/>
      <c r="H43" s="22"/>
      <c r="J43" s="22"/>
    </row>
    <row r="44" spans="1:15" x14ac:dyDescent="0.3">
      <c r="D44" s="22">
        <f>MIN(D30:D41)</f>
        <v>-5.5126202965868837E-3</v>
      </c>
    </row>
    <row r="45" spans="1:15" x14ac:dyDescent="0.3">
      <c r="D45" s="22"/>
    </row>
    <row r="46" spans="1:15" ht="18" x14ac:dyDescent="0.35">
      <c r="A46" s="61" t="s">
        <v>113</v>
      </c>
    </row>
    <row r="47" spans="1:15" x14ac:dyDescent="0.3">
      <c r="A47" s="19"/>
    </row>
    <row r="48" spans="1:15" x14ac:dyDescent="0.3">
      <c r="A48" s="20" t="s">
        <v>53</v>
      </c>
      <c r="B48" s="20" t="s">
        <v>75</v>
      </c>
      <c r="C48" s="20" t="s">
        <v>88</v>
      </c>
      <c r="D48" s="20" t="s">
        <v>87</v>
      </c>
      <c r="E48" s="20" t="s">
        <v>86</v>
      </c>
      <c r="F48" s="20" t="s">
        <v>80</v>
      </c>
      <c r="G48" s="20" t="s">
        <v>85</v>
      </c>
      <c r="H48" s="20" t="s">
        <v>79</v>
      </c>
      <c r="I48" s="20" t="s">
        <v>83</v>
      </c>
      <c r="J48" s="20" t="s">
        <v>78</v>
      </c>
      <c r="K48" s="20" t="s">
        <v>76</v>
      </c>
      <c r="L48" s="20" t="s">
        <v>81</v>
      </c>
      <c r="M48" s="20" t="s">
        <v>82</v>
      </c>
      <c r="N48" s="20" t="s">
        <v>84</v>
      </c>
      <c r="O48" s="20" t="s">
        <v>77</v>
      </c>
    </row>
    <row r="49" spans="1:15" x14ac:dyDescent="0.3">
      <c r="A49" s="18">
        <v>2022</v>
      </c>
    </row>
    <row r="50" spans="1:15" x14ac:dyDescent="0.3">
      <c r="A50" s="19" t="s">
        <v>38</v>
      </c>
      <c r="B50">
        <v>466.3</v>
      </c>
      <c r="C50">
        <v>585.5</v>
      </c>
      <c r="D50">
        <v>526.6</v>
      </c>
      <c r="E50">
        <v>552.1</v>
      </c>
      <c r="F50">
        <v>509.59999999999997</v>
      </c>
      <c r="G50">
        <v>501.19999999999993</v>
      </c>
      <c r="H50">
        <v>597.6</v>
      </c>
      <c r="I50">
        <v>360.4</v>
      </c>
      <c r="J50">
        <v>497.6</v>
      </c>
      <c r="K50">
        <v>660</v>
      </c>
      <c r="L50">
        <v>561.1</v>
      </c>
      <c r="M50">
        <v>492.5</v>
      </c>
      <c r="N50">
        <v>559.5</v>
      </c>
      <c r="O50">
        <v>513.20000000000005</v>
      </c>
    </row>
    <row r="51" spans="1:15" x14ac:dyDescent="0.3">
      <c r="A51" s="19" t="s">
        <v>39</v>
      </c>
      <c r="B51">
        <v>471</v>
      </c>
      <c r="C51">
        <v>586.4</v>
      </c>
      <c r="D51">
        <v>526.9</v>
      </c>
      <c r="E51">
        <v>556</v>
      </c>
      <c r="F51">
        <v>523.29999999999995</v>
      </c>
      <c r="G51">
        <v>502.70000000000005</v>
      </c>
      <c r="H51">
        <v>582.79999999999995</v>
      </c>
      <c r="I51">
        <v>360.7</v>
      </c>
      <c r="J51">
        <v>500</v>
      </c>
      <c r="K51">
        <v>640.9</v>
      </c>
      <c r="L51">
        <v>559.20000000000005</v>
      </c>
      <c r="M51">
        <v>492.7</v>
      </c>
      <c r="N51">
        <v>568.1</v>
      </c>
      <c r="O51">
        <v>526.09999999999991</v>
      </c>
    </row>
    <row r="52" spans="1:15" x14ac:dyDescent="0.3">
      <c r="A52" s="19" t="s">
        <v>40</v>
      </c>
      <c r="B52">
        <v>481.90000000000003</v>
      </c>
      <c r="C52">
        <v>587.4</v>
      </c>
      <c r="D52">
        <v>530.6</v>
      </c>
      <c r="E52">
        <v>559.20000000000005</v>
      </c>
      <c r="F52">
        <v>519.19999999999993</v>
      </c>
      <c r="G52">
        <v>504.1</v>
      </c>
      <c r="H52">
        <v>573</v>
      </c>
      <c r="I52">
        <v>363.3</v>
      </c>
      <c r="J52">
        <v>504.4</v>
      </c>
      <c r="K52">
        <v>621.5</v>
      </c>
      <c r="L52">
        <v>572.9</v>
      </c>
      <c r="M52">
        <v>501.59999999999997</v>
      </c>
      <c r="N52">
        <v>578.9</v>
      </c>
      <c r="O52">
        <v>508.09999999999997</v>
      </c>
    </row>
    <row r="53" spans="1:15" x14ac:dyDescent="0.3">
      <c r="A53" s="19" t="s">
        <v>41</v>
      </c>
      <c r="B53">
        <v>491.3</v>
      </c>
      <c r="C53">
        <v>590.1</v>
      </c>
      <c r="D53">
        <v>535.1</v>
      </c>
      <c r="E53">
        <v>562.6</v>
      </c>
      <c r="F53">
        <v>497.3</v>
      </c>
      <c r="G53">
        <v>505.9</v>
      </c>
      <c r="H53">
        <v>562.09999999999991</v>
      </c>
      <c r="I53">
        <v>365.5</v>
      </c>
      <c r="J53">
        <v>509.3</v>
      </c>
      <c r="K53">
        <v>629.59999999999991</v>
      </c>
      <c r="L53">
        <v>589.5</v>
      </c>
      <c r="M53">
        <v>507.29999999999995</v>
      </c>
      <c r="N53">
        <v>590</v>
      </c>
      <c r="O53">
        <v>509.59999999999997</v>
      </c>
    </row>
    <row r="54" spans="1:15" x14ac:dyDescent="0.3">
      <c r="A54" s="19" t="s">
        <v>42</v>
      </c>
      <c r="B54">
        <v>496.3</v>
      </c>
      <c r="C54">
        <v>591.29999999999995</v>
      </c>
      <c r="D54">
        <v>540.30000000000007</v>
      </c>
      <c r="E54">
        <v>565.40000000000009</v>
      </c>
      <c r="F54">
        <v>491.7</v>
      </c>
      <c r="G54">
        <v>507.29999999999995</v>
      </c>
      <c r="H54">
        <v>555.79999999999995</v>
      </c>
      <c r="I54">
        <v>366.4</v>
      </c>
      <c r="J54">
        <v>512.79999999999995</v>
      </c>
      <c r="K54">
        <v>634.6</v>
      </c>
      <c r="L54">
        <v>613.09999999999991</v>
      </c>
      <c r="M54">
        <v>509.40000000000003</v>
      </c>
      <c r="N54">
        <v>597.9</v>
      </c>
      <c r="O54">
        <v>513.1</v>
      </c>
    </row>
    <row r="55" spans="1:15" x14ac:dyDescent="0.3">
      <c r="A55" s="19" t="s">
        <v>44</v>
      </c>
      <c r="B55">
        <v>502.70000000000005</v>
      </c>
      <c r="C55">
        <v>593</v>
      </c>
      <c r="D55">
        <v>536.20000000000005</v>
      </c>
      <c r="E55">
        <v>568.79999999999995</v>
      </c>
      <c r="F55">
        <v>482.4</v>
      </c>
      <c r="G55">
        <v>508.9</v>
      </c>
      <c r="H55">
        <v>562.9</v>
      </c>
      <c r="I55">
        <v>367</v>
      </c>
      <c r="J55">
        <v>516.90000000000009</v>
      </c>
      <c r="K55">
        <v>630</v>
      </c>
      <c r="L55">
        <v>560.20000000000005</v>
      </c>
      <c r="M55">
        <v>511.7</v>
      </c>
      <c r="N55">
        <v>606.40000000000009</v>
      </c>
      <c r="O55">
        <v>544.79999999999995</v>
      </c>
    </row>
    <row r="56" spans="1:15" x14ac:dyDescent="0.3">
      <c r="A56" s="19" t="s">
        <v>45</v>
      </c>
      <c r="B56">
        <v>508.2</v>
      </c>
      <c r="C56">
        <v>594.29999999999995</v>
      </c>
      <c r="D56">
        <v>528.9</v>
      </c>
      <c r="E56">
        <v>571.29999999999995</v>
      </c>
      <c r="F56">
        <v>474.2</v>
      </c>
      <c r="G56">
        <v>510.6</v>
      </c>
      <c r="H56">
        <v>561.5</v>
      </c>
      <c r="I56">
        <v>366.1</v>
      </c>
      <c r="J56">
        <v>520.9</v>
      </c>
      <c r="K56">
        <v>628.79999999999995</v>
      </c>
      <c r="L56">
        <v>488.79999999999995</v>
      </c>
      <c r="M56">
        <v>512.6</v>
      </c>
      <c r="N56">
        <v>613.20000000000005</v>
      </c>
      <c r="O56">
        <v>571.20000000000005</v>
      </c>
    </row>
    <row r="57" spans="1:15" x14ac:dyDescent="0.3">
      <c r="A57" s="18">
        <v>2023</v>
      </c>
      <c r="B57">
        <v>2611.3000000000002</v>
      </c>
      <c r="C57">
        <v>3006.5</v>
      </c>
      <c r="D57">
        <v>2670.8</v>
      </c>
      <c r="E57">
        <v>2897</v>
      </c>
      <c r="F57">
        <v>2538.8999999999996</v>
      </c>
      <c r="G57">
        <v>2576.1999999999998</v>
      </c>
      <c r="H57">
        <v>2657.2</v>
      </c>
      <c r="I57">
        <v>1819.6999999999998</v>
      </c>
      <c r="J57">
        <v>2662.4</v>
      </c>
      <c r="K57">
        <v>3159.5</v>
      </c>
      <c r="L57">
        <v>2383.8999999999996</v>
      </c>
      <c r="M57">
        <v>2588.5</v>
      </c>
      <c r="N57">
        <v>3163.5</v>
      </c>
      <c r="O57">
        <v>2667.7999999999997</v>
      </c>
    </row>
    <row r="58" spans="1:15" x14ac:dyDescent="0.3">
      <c r="A58" s="19" t="s">
        <v>31</v>
      </c>
      <c r="B58">
        <v>521.1</v>
      </c>
      <c r="C58">
        <v>596.70000000000005</v>
      </c>
      <c r="D58">
        <v>531.20000000000005</v>
      </c>
      <c r="E58">
        <v>574</v>
      </c>
      <c r="F58">
        <v>475.1</v>
      </c>
      <c r="G58">
        <v>512</v>
      </c>
      <c r="H58">
        <v>557.79999999999995</v>
      </c>
      <c r="I58">
        <v>364.1</v>
      </c>
      <c r="J58">
        <v>524.1</v>
      </c>
      <c r="K58">
        <v>634.20000000000005</v>
      </c>
      <c r="L58">
        <v>472.1</v>
      </c>
      <c r="M58">
        <v>512.79999999999995</v>
      </c>
      <c r="N58">
        <v>623.20000000000005</v>
      </c>
      <c r="O58">
        <v>584.4</v>
      </c>
    </row>
    <row r="59" spans="1:15" x14ac:dyDescent="0.3">
      <c r="A59" s="19" t="s">
        <v>34</v>
      </c>
      <c r="B59">
        <v>523.29999999999995</v>
      </c>
      <c r="C59">
        <v>600.5</v>
      </c>
      <c r="D59">
        <v>532.5</v>
      </c>
      <c r="E59">
        <v>579.5</v>
      </c>
      <c r="F59">
        <v>508.79999999999995</v>
      </c>
      <c r="G59">
        <v>514.79999999999995</v>
      </c>
      <c r="H59">
        <v>534.90000000000009</v>
      </c>
      <c r="I59">
        <v>361</v>
      </c>
      <c r="J59">
        <v>532.20000000000005</v>
      </c>
      <c r="K59">
        <v>625.09999999999991</v>
      </c>
      <c r="L59">
        <v>469.40000000000003</v>
      </c>
      <c r="M59">
        <v>513.6</v>
      </c>
      <c r="N59">
        <v>626.59999999999991</v>
      </c>
      <c r="O59">
        <v>526.29999999999995</v>
      </c>
    </row>
    <row r="60" spans="1:15" x14ac:dyDescent="0.3">
      <c r="A60" s="19" t="s">
        <v>35</v>
      </c>
      <c r="B60">
        <v>523.4</v>
      </c>
      <c r="C60">
        <v>600.6</v>
      </c>
      <c r="D60">
        <v>532.6</v>
      </c>
      <c r="E60">
        <v>579.5</v>
      </c>
      <c r="F60">
        <v>508.79999999999995</v>
      </c>
      <c r="G60">
        <v>514.79999999999995</v>
      </c>
      <c r="H60">
        <v>534.70000000000005</v>
      </c>
      <c r="I60">
        <v>361</v>
      </c>
      <c r="J60">
        <v>532.20000000000005</v>
      </c>
      <c r="K60">
        <v>625.09999999999991</v>
      </c>
      <c r="L60">
        <v>469.6</v>
      </c>
      <c r="M60">
        <v>513.79999999999995</v>
      </c>
      <c r="N60">
        <v>626.59999999999991</v>
      </c>
      <c r="O60">
        <v>526.29999999999995</v>
      </c>
    </row>
    <row r="61" spans="1:15" x14ac:dyDescent="0.3">
      <c r="A61" s="19" t="s">
        <v>36</v>
      </c>
      <c r="B61">
        <v>521.90000000000009</v>
      </c>
      <c r="C61">
        <v>603.6</v>
      </c>
      <c r="D61">
        <v>535.5</v>
      </c>
      <c r="E61">
        <v>581</v>
      </c>
      <c r="F61">
        <v>529.20000000000005</v>
      </c>
      <c r="G61">
        <v>516.6</v>
      </c>
      <c r="H61">
        <v>522.1</v>
      </c>
      <c r="I61">
        <v>364.8</v>
      </c>
      <c r="J61">
        <v>535.4</v>
      </c>
      <c r="K61">
        <v>629.90000000000009</v>
      </c>
      <c r="L61">
        <v>478.1</v>
      </c>
      <c r="M61">
        <v>520.9</v>
      </c>
      <c r="N61">
        <v>636.20000000000005</v>
      </c>
      <c r="O61">
        <v>509.9</v>
      </c>
    </row>
    <row r="62" spans="1:15" x14ac:dyDescent="0.3">
      <c r="A62" s="19" t="s">
        <v>37</v>
      </c>
      <c r="B62">
        <v>521.59999999999991</v>
      </c>
      <c r="C62">
        <v>605.1</v>
      </c>
      <c r="D62">
        <v>539</v>
      </c>
      <c r="E62">
        <v>583</v>
      </c>
      <c r="F62">
        <v>517</v>
      </c>
      <c r="G62">
        <v>518</v>
      </c>
      <c r="H62">
        <v>507.70000000000005</v>
      </c>
      <c r="I62">
        <v>368.8</v>
      </c>
      <c r="J62">
        <v>538.5</v>
      </c>
      <c r="K62">
        <v>645.20000000000005</v>
      </c>
      <c r="L62">
        <v>494.7</v>
      </c>
      <c r="M62">
        <v>527.4</v>
      </c>
      <c r="N62">
        <v>650.9</v>
      </c>
      <c r="O62">
        <v>520.9</v>
      </c>
    </row>
    <row r="64" spans="1:15" s="65" customFormat="1" x14ac:dyDescent="0.3">
      <c r="A64" s="64" t="s">
        <v>89</v>
      </c>
      <c r="B64" s="65">
        <f>B62-B50</f>
        <v>55.299999999999898</v>
      </c>
      <c r="C64" s="65">
        <f t="shared" ref="C64:O64" si="4">C62-C50</f>
        <v>19.600000000000023</v>
      </c>
      <c r="D64" s="65">
        <f t="shared" si="4"/>
        <v>12.399999999999977</v>
      </c>
      <c r="E64" s="65">
        <f t="shared" si="4"/>
        <v>30.899999999999977</v>
      </c>
      <c r="F64" s="65">
        <f t="shared" si="4"/>
        <v>7.4000000000000341</v>
      </c>
      <c r="G64" s="65">
        <f t="shared" si="4"/>
        <v>16.800000000000068</v>
      </c>
      <c r="H64" s="65">
        <f t="shared" si="4"/>
        <v>-89.899999999999977</v>
      </c>
      <c r="I64" s="65">
        <f t="shared" si="4"/>
        <v>8.4000000000000341</v>
      </c>
      <c r="J64" s="65">
        <f t="shared" si="4"/>
        <v>40.899999999999977</v>
      </c>
      <c r="K64" s="65">
        <f t="shared" si="4"/>
        <v>-14.799999999999955</v>
      </c>
      <c r="L64" s="65">
        <f t="shared" si="4"/>
        <v>-66.400000000000034</v>
      </c>
      <c r="M64" s="65">
        <f t="shared" si="4"/>
        <v>34.899999999999977</v>
      </c>
      <c r="N64" s="65">
        <f t="shared" si="4"/>
        <v>91.399999999999977</v>
      </c>
      <c r="O64" s="65">
        <f t="shared" si="4"/>
        <v>7.6999999999999318</v>
      </c>
    </row>
    <row r="65" spans="1:15" x14ac:dyDescent="0.3">
      <c r="A65" s="19" t="s">
        <v>91</v>
      </c>
      <c r="B65">
        <f>B64/B50*100</f>
        <v>11.859318035599378</v>
      </c>
      <c r="C65">
        <f t="shared" ref="C65:O65" si="5">C64/C50*100</f>
        <v>3.3475661827497909</v>
      </c>
      <c r="D65">
        <f t="shared" si="5"/>
        <v>2.3547284466388105</v>
      </c>
      <c r="E65">
        <f t="shared" si="5"/>
        <v>5.5968121717080193</v>
      </c>
      <c r="F65">
        <f t="shared" si="5"/>
        <v>1.4521193092621731</v>
      </c>
      <c r="G65">
        <f t="shared" si="5"/>
        <v>3.3519553072625836</v>
      </c>
      <c r="H65">
        <f t="shared" si="5"/>
        <v>-15.043507362784467</v>
      </c>
      <c r="I65">
        <f t="shared" si="5"/>
        <v>2.3307436182020074</v>
      </c>
      <c r="J65">
        <f t="shared" si="5"/>
        <v>8.2194533762057826</v>
      </c>
      <c r="K65">
        <f t="shared" si="5"/>
        <v>-2.2424242424242355</v>
      </c>
      <c r="L65">
        <f t="shared" si="5"/>
        <v>-11.833897700944579</v>
      </c>
      <c r="M65">
        <f t="shared" si="5"/>
        <v>7.0862944162436508</v>
      </c>
      <c r="N65">
        <f t="shared" si="5"/>
        <v>16.336014298480784</v>
      </c>
      <c r="O65">
        <f t="shared" si="5"/>
        <v>1.5003897116133926</v>
      </c>
    </row>
    <row r="66" spans="1:15" x14ac:dyDescent="0.3">
      <c r="A66" s="19" t="s">
        <v>92</v>
      </c>
      <c r="B66">
        <f>MAX(B65:O65)</f>
        <v>16.336014298480784</v>
      </c>
    </row>
    <row r="68" spans="1:15" ht="15.6" x14ac:dyDescent="0.3">
      <c r="A68" s="63" t="s">
        <v>93</v>
      </c>
    </row>
    <row r="69" spans="1:15" ht="15.6" x14ac:dyDescent="0.3">
      <c r="A69" s="63"/>
    </row>
    <row r="70" spans="1:15" ht="18.600000000000001" thickBot="1" x14ac:dyDescent="0.4">
      <c r="A70" s="61" t="s">
        <v>97</v>
      </c>
    </row>
    <row r="71" spans="1:15" x14ac:dyDescent="0.3">
      <c r="B71" s="56" t="s">
        <v>72</v>
      </c>
    </row>
    <row r="72" spans="1:15" x14ac:dyDescent="0.3">
      <c r="A72" s="20" t="s">
        <v>53</v>
      </c>
      <c r="B72" s="20" t="s">
        <v>47</v>
      </c>
      <c r="C72" s="20" t="s">
        <v>23</v>
      </c>
      <c r="D72" s="20" t="s">
        <v>21</v>
      </c>
      <c r="E72" s="20" t="s">
        <v>24</v>
      </c>
    </row>
    <row r="73" spans="1:15" x14ac:dyDescent="0.3">
      <c r="A73" s="19" t="s">
        <v>40</v>
      </c>
    </row>
    <row r="74" spans="1:15" x14ac:dyDescent="0.3">
      <c r="A74" s="19" t="s">
        <v>41</v>
      </c>
      <c r="B74" s="27">
        <v>5.4886012332820535E-3</v>
      </c>
      <c r="C74" s="27">
        <v>3.6141856787892993E-3</v>
      </c>
      <c r="D74" s="27">
        <v>5.6042884990253694E-3</v>
      </c>
      <c r="E74" s="27">
        <v>2.3809523809523209E-3</v>
      </c>
    </row>
    <row r="75" spans="1:15" x14ac:dyDescent="0.3">
      <c r="A75" s="19" t="s">
        <v>42</v>
      </c>
      <c r="B75" s="27">
        <v>1.4090527942651207E-2</v>
      </c>
      <c r="C75" s="27">
        <v>2.7008777852801902E-3</v>
      </c>
      <c r="D75" s="27">
        <v>1.0903804216137769E-2</v>
      </c>
      <c r="E75" s="27">
        <v>1.5835312747427364E-3</v>
      </c>
    </row>
    <row r="76" spans="1:15" x14ac:dyDescent="0.3">
      <c r="A76" s="19" t="s">
        <v>44</v>
      </c>
      <c r="B76" s="27">
        <v>1.2435552384967206E-2</v>
      </c>
      <c r="C76" s="27">
        <v>3.3670033670033669E-3</v>
      </c>
      <c r="D76" s="27">
        <v>1.3662511984659608E-2</v>
      </c>
      <c r="E76" s="27">
        <v>2.3715415019762245E-3</v>
      </c>
    </row>
    <row r="77" spans="1:15" x14ac:dyDescent="0.3">
      <c r="A77" s="19" t="s">
        <v>45</v>
      </c>
      <c r="B77" s="27">
        <v>1.6974937945391944E-2</v>
      </c>
      <c r="C77" s="27">
        <v>3.1319910514540877E-3</v>
      </c>
      <c r="D77" s="27">
        <v>1.0167888389690126E-2</v>
      </c>
      <c r="E77" s="27">
        <v>2.523659305993697E-2</v>
      </c>
    </row>
    <row r="78" spans="1:15" x14ac:dyDescent="0.3">
      <c r="A78" s="32">
        <v>2020</v>
      </c>
      <c r="B78" s="27"/>
      <c r="C78" s="27"/>
      <c r="D78" s="27"/>
      <c r="E78" s="27"/>
    </row>
    <row r="79" spans="1:15" x14ac:dyDescent="0.3">
      <c r="A79" s="19" t="s">
        <v>31</v>
      </c>
      <c r="B79" s="27">
        <v>-2.7556885284623256E-3</v>
      </c>
      <c r="C79" s="27">
        <v>5.1293487957181343E-3</v>
      </c>
      <c r="D79" s="27">
        <v>6.7883895131086941E-3</v>
      </c>
      <c r="E79" s="27">
        <v>8.4615384615383451E-3</v>
      </c>
    </row>
    <row r="80" spans="1:15" x14ac:dyDescent="0.3">
      <c r="A80" s="19" t="s">
        <v>34</v>
      </c>
      <c r="B80" s="27">
        <v>-1.3184904468656389E-2</v>
      </c>
      <c r="C80" s="27">
        <v>3.5500332815620651E-3</v>
      </c>
      <c r="D80" s="27">
        <v>1.9297837712159989E-2</v>
      </c>
      <c r="E80" s="27">
        <v>-4.5766590389014865E-3</v>
      </c>
    </row>
    <row r="81" spans="1:5" s="69" customFormat="1" x14ac:dyDescent="0.3">
      <c r="A81" s="67" t="s">
        <v>35</v>
      </c>
      <c r="B81" s="68">
        <v>-7.360588847107624E-3</v>
      </c>
      <c r="C81" s="68">
        <v>3.7585673225734879E-3</v>
      </c>
      <c r="D81" s="68">
        <v>1.2089416058394186E-2</v>
      </c>
      <c r="E81" s="68">
        <v>-3.0651340996169746E-3</v>
      </c>
    </row>
    <row r="82" spans="1:5" x14ac:dyDescent="0.3">
      <c r="A82" s="19" t="s">
        <v>36</v>
      </c>
      <c r="B82" s="27">
        <v>2.6710727814943293E-2</v>
      </c>
      <c r="C82" s="27">
        <v>-9.2511013215858789E-3</v>
      </c>
      <c r="D82" s="27">
        <v>-3.1778228532792475E-2</v>
      </c>
      <c r="E82" s="27">
        <v>0</v>
      </c>
    </row>
    <row r="83" spans="1:5" x14ac:dyDescent="0.3">
      <c r="A83" s="19" t="s">
        <v>37</v>
      </c>
      <c r="B83" s="27">
        <v>0</v>
      </c>
      <c r="C83" s="27">
        <v>0</v>
      </c>
      <c r="D83" s="27">
        <v>0</v>
      </c>
      <c r="E83" s="27">
        <v>0</v>
      </c>
    </row>
    <row r="84" spans="1:5" x14ac:dyDescent="0.3">
      <c r="A84" s="19" t="s">
        <v>38</v>
      </c>
      <c r="B84" s="27">
        <v>1.5103937700182096E-2</v>
      </c>
      <c r="C84" s="27">
        <v>2.423299244108475E-2</v>
      </c>
      <c r="D84" s="27">
        <v>-1.3268156424581111E-2</v>
      </c>
      <c r="E84" s="27">
        <v>3.9456828080963596E-2</v>
      </c>
    </row>
    <row r="85" spans="1:5" x14ac:dyDescent="0.3">
      <c r="A85" s="19" t="s">
        <v>39</v>
      </c>
      <c r="B85" s="27">
        <v>0</v>
      </c>
      <c r="C85" s="27">
        <v>0</v>
      </c>
      <c r="D85" s="27">
        <v>0</v>
      </c>
      <c r="E85" s="27">
        <v>0</v>
      </c>
    </row>
    <row r="86" spans="1:5" x14ac:dyDescent="0.3">
      <c r="A86" s="19" t="s">
        <v>40</v>
      </c>
      <c r="B86" s="27">
        <v>1.2992235592538603E-2</v>
      </c>
      <c r="C86" s="27">
        <v>3.9070978945085055E-3</v>
      </c>
      <c r="D86" s="27">
        <v>7.5489502241095673E-3</v>
      </c>
      <c r="E86" s="27">
        <v>2.5388217894996189E-2</v>
      </c>
    </row>
    <row r="87" spans="1:5" x14ac:dyDescent="0.3">
      <c r="A87" s="19" t="s">
        <v>41</v>
      </c>
      <c r="B87" s="27">
        <v>6.5044126179497914E-3</v>
      </c>
      <c r="C87" s="27">
        <v>4.7567567567568551E-3</v>
      </c>
      <c r="D87" s="27">
        <v>-1.4048232264107297E-3</v>
      </c>
      <c r="E87" s="27">
        <v>7.932692307692198E-3</v>
      </c>
    </row>
    <row r="90" spans="1:5" ht="18" x14ac:dyDescent="0.35">
      <c r="A90" s="61" t="s">
        <v>102</v>
      </c>
    </row>
    <row r="92" spans="1:5" x14ac:dyDescent="0.3">
      <c r="A92" s="20" t="s">
        <v>1</v>
      </c>
      <c r="B92" s="20" t="s">
        <v>53</v>
      </c>
      <c r="C92" s="20" t="s">
        <v>96</v>
      </c>
      <c r="D92" s="54" t="s">
        <v>103</v>
      </c>
    </row>
    <row r="93" spans="1:5" x14ac:dyDescent="0.3">
      <c r="A93" s="32">
        <v>2021</v>
      </c>
      <c r="B93" s="19" t="s">
        <v>31</v>
      </c>
      <c r="C93">
        <v>441.70000000000005</v>
      </c>
      <c r="D93" s="27"/>
    </row>
    <row r="94" spans="1:5" x14ac:dyDescent="0.3">
      <c r="B94" s="19" t="s">
        <v>34</v>
      </c>
      <c r="C94">
        <v>455.9</v>
      </c>
      <c r="D94" s="27">
        <f>(C94-C93)/C93*100</f>
        <v>3.2148517093049422</v>
      </c>
    </row>
    <row r="95" spans="1:5" x14ac:dyDescent="0.3">
      <c r="B95" s="19" t="s">
        <v>35</v>
      </c>
      <c r="C95">
        <v>466.3</v>
      </c>
      <c r="D95" s="27">
        <f t="shared" ref="D95:D121" si="6">(C95-C94)/C94*100</f>
        <v>2.2812020179864079</v>
      </c>
    </row>
    <row r="96" spans="1:5" x14ac:dyDescent="0.3">
      <c r="B96" s="19" t="s">
        <v>36</v>
      </c>
      <c r="C96">
        <v>466.5</v>
      </c>
      <c r="D96" s="27">
        <f t="shared" si="6"/>
        <v>4.2890842805058685E-2</v>
      </c>
    </row>
    <row r="97" spans="1:4" x14ac:dyDescent="0.3">
      <c r="B97" s="19" t="s">
        <v>37</v>
      </c>
      <c r="C97">
        <v>476.6</v>
      </c>
      <c r="D97" s="27">
        <f t="shared" si="6"/>
        <v>2.1650589496248709</v>
      </c>
    </row>
    <row r="98" spans="1:4" x14ac:dyDescent="0.3">
      <c r="B98" s="19" t="s">
        <v>38</v>
      </c>
      <c r="C98">
        <v>478</v>
      </c>
      <c r="D98" s="27">
        <f t="shared" si="6"/>
        <v>0.29374737725555544</v>
      </c>
    </row>
    <row r="99" spans="1:4" x14ac:dyDescent="0.3">
      <c r="B99" s="19" t="s">
        <v>39</v>
      </c>
      <c r="C99">
        <v>480.9</v>
      </c>
      <c r="D99" s="27">
        <f t="shared" si="6"/>
        <v>0.60669456066945127</v>
      </c>
    </row>
    <row r="100" spans="1:4" x14ac:dyDescent="0.3">
      <c r="B100" s="19" t="s">
        <v>40</v>
      </c>
      <c r="C100">
        <v>486.4</v>
      </c>
      <c r="D100" s="27">
        <f t="shared" si="6"/>
        <v>1.1436889166146809</v>
      </c>
    </row>
    <row r="101" spans="1:4" x14ac:dyDescent="0.3">
      <c r="B101" s="19" t="s">
        <v>41</v>
      </c>
      <c r="C101">
        <v>487.1</v>
      </c>
      <c r="D101" s="27">
        <f t="shared" si="6"/>
        <v>0.14391447368421989</v>
      </c>
    </row>
    <row r="102" spans="1:4" x14ac:dyDescent="0.3">
      <c r="B102" s="19" t="s">
        <v>42</v>
      </c>
      <c r="C102">
        <v>491.9</v>
      </c>
      <c r="D102" s="27">
        <f t="shared" si="6"/>
        <v>0.98542393758980795</v>
      </c>
    </row>
    <row r="103" spans="1:4" x14ac:dyDescent="0.3">
      <c r="B103" s="19" t="s">
        <v>44</v>
      </c>
      <c r="C103">
        <v>490.79999999999995</v>
      </c>
      <c r="D103" s="27">
        <f t="shared" si="6"/>
        <v>-0.22362268753812214</v>
      </c>
    </row>
    <row r="104" spans="1:4" x14ac:dyDescent="0.3">
      <c r="B104" s="19" t="s">
        <v>45</v>
      </c>
      <c r="C104">
        <v>491.4</v>
      </c>
      <c r="D104" s="27">
        <f t="shared" si="6"/>
        <v>0.12224938875306088</v>
      </c>
    </row>
    <row r="105" spans="1:4" x14ac:dyDescent="0.3">
      <c r="A105" s="32">
        <v>2022</v>
      </c>
      <c r="B105" s="19" t="s">
        <v>31</v>
      </c>
      <c r="C105">
        <v>491.59999999999997</v>
      </c>
      <c r="D105" s="27">
        <f>(C105-C104)/C104*100</f>
        <v>4.0700040700038388E-2</v>
      </c>
    </row>
    <row r="106" spans="1:4" x14ac:dyDescent="0.3">
      <c r="B106" s="19" t="s">
        <v>34</v>
      </c>
      <c r="C106">
        <v>496.09999999999997</v>
      </c>
      <c r="D106" s="27">
        <f t="shared" si="6"/>
        <v>0.9153783563873068</v>
      </c>
    </row>
    <row r="107" spans="1:4" x14ac:dyDescent="0.3">
      <c r="B107" s="19" t="s">
        <v>35</v>
      </c>
      <c r="C107">
        <v>500.59999999999997</v>
      </c>
      <c r="D107" s="27">
        <f t="shared" si="6"/>
        <v>0.90707518645434382</v>
      </c>
    </row>
    <row r="108" spans="1:4" x14ac:dyDescent="0.3">
      <c r="B108" s="19" t="s">
        <v>36</v>
      </c>
      <c r="C108">
        <v>516</v>
      </c>
      <c r="D108" s="27">
        <f t="shared" si="6"/>
        <v>3.0763084298841461</v>
      </c>
    </row>
    <row r="109" spans="1:4" x14ac:dyDescent="0.3">
      <c r="B109" s="19" t="s">
        <v>37</v>
      </c>
      <c r="C109">
        <v>523.4</v>
      </c>
      <c r="D109" s="27">
        <f t="shared" si="6"/>
        <v>1.4341085271317786</v>
      </c>
    </row>
    <row r="110" spans="1:4" x14ac:dyDescent="0.3">
      <c r="B110" s="19" t="s">
        <v>38</v>
      </c>
      <c r="C110">
        <v>527.6</v>
      </c>
      <c r="D110" s="27">
        <f t="shared" si="6"/>
        <v>0.80244554833780002</v>
      </c>
    </row>
    <row r="111" spans="1:4" x14ac:dyDescent="0.3">
      <c r="B111" s="19" t="s">
        <v>39</v>
      </c>
      <c r="C111">
        <v>538.70000000000005</v>
      </c>
      <c r="D111" s="27">
        <f t="shared" si="6"/>
        <v>2.1038665655799891</v>
      </c>
    </row>
    <row r="112" spans="1:4" x14ac:dyDescent="0.3">
      <c r="B112" s="19" t="s">
        <v>40</v>
      </c>
      <c r="C112">
        <v>536.29999999999995</v>
      </c>
      <c r="D112" s="27">
        <f t="shared" si="6"/>
        <v>-0.44551698533508277</v>
      </c>
    </row>
    <row r="113" spans="1:5" x14ac:dyDescent="0.3">
      <c r="B113" s="19" t="s">
        <v>41</v>
      </c>
      <c r="C113">
        <v>538.4</v>
      </c>
      <c r="D113" s="27">
        <f t="shared" si="6"/>
        <v>0.39157188140966309</v>
      </c>
    </row>
    <row r="114" spans="1:5" x14ac:dyDescent="0.3">
      <c r="B114" s="19" t="s">
        <v>42</v>
      </c>
      <c r="C114">
        <v>541.29999999999995</v>
      </c>
      <c r="D114" s="27">
        <f t="shared" si="6"/>
        <v>0.53863298662703896</v>
      </c>
    </row>
    <row r="115" spans="1:5" x14ac:dyDescent="0.3">
      <c r="B115" s="19" t="s">
        <v>44</v>
      </c>
      <c r="C115">
        <v>543.5</v>
      </c>
      <c r="D115" s="27">
        <f t="shared" si="6"/>
        <v>0.40642896730095063</v>
      </c>
    </row>
    <row r="116" spans="1:5" x14ac:dyDescent="0.3">
      <c r="B116" s="19" t="s">
        <v>45</v>
      </c>
      <c r="C116">
        <v>545.4</v>
      </c>
      <c r="D116" s="27">
        <f t="shared" si="6"/>
        <v>0.34958601655933347</v>
      </c>
    </row>
    <row r="117" spans="1:5" x14ac:dyDescent="0.3">
      <c r="A117" s="32">
        <v>2023</v>
      </c>
      <c r="B117" s="19" t="s">
        <v>31</v>
      </c>
      <c r="C117">
        <v>545.29999999999995</v>
      </c>
      <c r="D117" s="27">
        <f>(C117-C116)/C116*100</f>
        <v>-1.8335166850022504E-2</v>
      </c>
    </row>
    <row r="118" spans="1:5" x14ac:dyDescent="0.3">
      <c r="B118" s="19" t="s">
        <v>34</v>
      </c>
      <c r="C118">
        <v>546.5</v>
      </c>
      <c r="D118" s="27">
        <f t="shared" si="6"/>
        <v>0.22006235099945823</v>
      </c>
    </row>
    <row r="119" spans="1:5" x14ac:dyDescent="0.3">
      <c r="B119" s="19" t="s">
        <v>35</v>
      </c>
      <c r="C119">
        <v>545.9</v>
      </c>
      <c r="D119" s="27">
        <f t="shared" si="6"/>
        <v>-0.10978956999085504</v>
      </c>
    </row>
    <row r="120" spans="1:5" x14ac:dyDescent="0.3">
      <c r="B120" s="19" t="s">
        <v>36</v>
      </c>
      <c r="C120">
        <v>545.29999999999995</v>
      </c>
      <c r="D120" s="27">
        <f t="shared" si="6"/>
        <v>-0.10991023997069477</v>
      </c>
    </row>
    <row r="121" spans="1:5" x14ac:dyDescent="0.3">
      <c r="B121" s="19" t="s">
        <v>37</v>
      </c>
      <c r="C121">
        <v>548.70000000000005</v>
      </c>
      <c r="D121" s="27">
        <f t="shared" si="6"/>
        <v>0.6235099944984579</v>
      </c>
    </row>
    <row r="124" spans="1:5" ht="18" x14ac:dyDescent="0.35">
      <c r="A124" s="61" t="s">
        <v>110</v>
      </c>
    </row>
    <row r="125" spans="1:5" x14ac:dyDescent="0.3">
      <c r="A125" s="21" t="s">
        <v>106</v>
      </c>
      <c r="B125" s="21" t="s">
        <v>107</v>
      </c>
      <c r="C125" s="21" t="s">
        <v>20</v>
      </c>
      <c r="D125" s="21" t="s">
        <v>108</v>
      </c>
      <c r="E125" s="21" t="s">
        <v>50</v>
      </c>
    </row>
    <row r="126" spans="1:5" x14ac:dyDescent="0.3">
      <c r="A126">
        <v>0.93079080171827877</v>
      </c>
      <c r="B126">
        <v>0.93414931776230359</v>
      </c>
      <c r="C126">
        <v>7.0327544687990684E-2</v>
      </c>
      <c r="D126">
        <v>0.89217062133422786</v>
      </c>
      <c r="E126">
        <v>0.93332028919278087</v>
      </c>
    </row>
    <row r="128" spans="1:5" ht="52.2" customHeight="1" x14ac:dyDescent="0.3">
      <c r="A128" s="77" t="s">
        <v>111</v>
      </c>
      <c r="B128" s="77"/>
      <c r="C128" s="77"/>
      <c r="D128" s="77"/>
      <c r="E128" s="77"/>
    </row>
    <row r="129" spans="1:5" ht="15.6" x14ac:dyDescent="0.3">
      <c r="A129" s="78" t="s">
        <v>112</v>
      </c>
      <c r="B129" s="78"/>
      <c r="C129" s="78"/>
      <c r="D129" s="78"/>
      <c r="E129" s="78"/>
    </row>
  </sheetData>
  <mergeCells count="7">
    <mergeCell ref="K27:N27"/>
    <mergeCell ref="A128:E128"/>
    <mergeCell ref="A129:E129"/>
    <mergeCell ref="A1:I1"/>
    <mergeCell ref="A8:I8"/>
    <mergeCell ref="A14:B14"/>
    <mergeCell ref="G27:J27"/>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13425D-F740-4E6C-8D8D-0D52CCF1F6CB}">
  <dimension ref="A21:U64"/>
  <sheetViews>
    <sheetView showGridLines="0" workbookViewId="0">
      <selection activeCell="B65" sqref="B65"/>
    </sheetView>
  </sheetViews>
  <sheetFormatPr defaultRowHeight="14.4" x14ac:dyDescent="0.3"/>
  <sheetData>
    <row r="21" spans="2:12" ht="15.6" x14ac:dyDescent="0.3">
      <c r="B21" s="63" t="s">
        <v>62</v>
      </c>
      <c r="L21" s="63" t="s">
        <v>66</v>
      </c>
    </row>
    <row r="41" spans="1:21" ht="71.400000000000006" customHeight="1" x14ac:dyDescent="0.3">
      <c r="A41" s="63">
        <v>1</v>
      </c>
      <c r="B41" s="63" t="s">
        <v>68</v>
      </c>
      <c r="C41" s="62"/>
      <c r="D41" s="62"/>
      <c r="E41" s="62"/>
      <c r="F41" s="62"/>
      <c r="G41" s="62"/>
      <c r="H41" s="62"/>
      <c r="I41" s="62"/>
      <c r="J41" s="62"/>
      <c r="K41" s="62"/>
      <c r="L41" s="62">
        <v>1</v>
      </c>
      <c r="M41" s="80" t="s">
        <v>101</v>
      </c>
      <c r="N41" s="80"/>
      <c r="O41" s="80"/>
      <c r="P41" s="80"/>
      <c r="Q41" s="80"/>
      <c r="R41" s="80"/>
      <c r="S41" s="80"/>
      <c r="T41" s="80"/>
      <c r="U41" s="80"/>
    </row>
    <row r="42" spans="1:21" ht="31.2" customHeight="1" x14ac:dyDescent="0.3">
      <c r="A42" s="63">
        <v>2</v>
      </c>
      <c r="B42" s="80" t="s">
        <v>69</v>
      </c>
      <c r="C42" s="80"/>
      <c r="D42" s="80"/>
      <c r="E42" s="80"/>
      <c r="F42" s="80"/>
      <c r="G42" s="80"/>
      <c r="H42" s="80"/>
      <c r="I42" s="80"/>
      <c r="J42" s="80"/>
      <c r="K42" s="62"/>
      <c r="L42" s="62">
        <v>2</v>
      </c>
      <c r="M42" s="80" t="s">
        <v>98</v>
      </c>
      <c r="N42" s="80"/>
      <c r="O42" s="80"/>
      <c r="P42" s="80"/>
      <c r="Q42" s="80"/>
      <c r="R42" s="80"/>
      <c r="S42" s="80"/>
      <c r="T42" s="80"/>
      <c r="U42" s="80"/>
    </row>
    <row r="43" spans="1:21" ht="43.2" customHeight="1" x14ac:dyDescent="0.3">
      <c r="A43" s="63">
        <v>3</v>
      </c>
      <c r="B43" s="80" t="s">
        <v>70</v>
      </c>
      <c r="C43" s="80"/>
      <c r="D43" s="80"/>
      <c r="E43" s="80"/>
      <c r="F43" s="80"/>
      <c r="G43" s="80"/>
      <c r="H43" s="80"/>
      <c r="I43" s="80"/>
      <c r="J43" s="80"/>
      <c r="K43" s="66"/>
      <c r="L43" s="66">
        <v>3</v>
      </c>
      <c r="M43" s="80" t="s">
        <v>99</v>
      </c>
      <c r="N43" s="80"/>
      <c r="O43" s="80"/>
      <c r="P43" s="80"/>
      <c r="Q43" s="80"/>
      <c r="R43" s="80"/>
      <c r="S43" s="80"/>
      <c r="T43" s="80"/>
      <c r="U43" s="80"/>
    </row>
    <row r="44" spans="1:21" ht="104.4" customHeight="1" x14ac:dyDescent="0.3">
      <c r="A44" s="63">
        <v>4</v>
      </c>
      <c r="B44" s="81" t="s">
        <v>71</v>
      </c>
      <c r="C44" s="81"/>
      <c r="D44" s="81"/>
      <c r="E44" s="81"/>
      <c r="F44" s="81"/>
      <c r="G44" s="81"/>
      <c r="H44" s="81"/>
      <c r="I44" s="81"/>
      <c r="J44" s="81"/>
      <c r="K44" s="81">
        <v>4</v>
      </c>
      <c r="L44" s="81"/>
      <c r="M44" s="80" t="s">
        <v>100</v>
      </c>
      <c r="N44" s="80"/>
      <c r="O44" s="80"/>
      <c r="P44" s="80"/>
      <c r="Q44" s="80"/>
      <c r="R44" s="80"/>
      <c r="S44" s="80"/>
      <c r="T44" s="80"/>
      <c r="U44" s="80"/>
    </row>
    <row r="64" spans="2:10" ht="31.8" customHeight="1" x14ac:dyDescent="0.3">
      <c r="B64" s="81" t="s">
        <v>104</v>
      </c>
      <c r="C64" s="81"/>
      <c r="D64" s="81"/>
      <c r="E64" s="81"/>
      <c r="F64" s="81"/>
      <c r="G64" s="81"/>
      <c r="H64" s="81"/>
      <c r="I64" s="81"/>
      <c r="J64" s="81"/>
    </row>
  </sheetData>
  <mergeCells count="9">
    <mergeCell ref="M41:U41"/>
    <mergeCell ref="M42:U42"/>
    <mergeCell ref="M43:U43"/>
    <mergeCell ref="M44:U44"/>
    <mergeCell ref="B64:J64"/>
    <mergeCell ref="B43:J43"/>
    <mergeCell ref="B42:J42"/>
    <mergeCell ref="B44:J44"/>
    <mergeCell ref="K44:L44"/>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8F31F94-4040-426D-B363-A2CECFCE03A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All_India_Index_Upto_April23 (1</vt:lpstr>
      <vt:lpstr>EDA</vt:lpstr>
      <vt:lpstr>Pivots - workings</vt:lpstr>
      <vt:lpstr>Final Analysis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Jyothi R</dc:creator>
  <cp:lastModifiedBy>Jyothi R</cp:lastModifiedBy>
  <dcterms:created xsi:type="dcterms:W3CDTF">2025-08-21T04:21:07Z</dcterms:created>
  <dcterms:modified xsi:type="dcterms:W3CDTF">2025-08-23T02:17:56Z</dcterms:modified>
</cp:coreProperties>
</file>