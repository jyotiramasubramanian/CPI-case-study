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9853ffbb35266630/Documents/Excel/Power query files/Exercises/CPI/"/>
    </mc:Choice>
  </mc:AlternateContent>
  <xr:revisionPtr revIDLastSave="1345" documentId="8_{D9935036-AC8A-4A2A-8729-04D4250429E2}" xr6:coauthVersionLast="47" xr6:coauthVersionMax="47" xr10:uidLastSave="{8ED3F957-0B67-4B8C-8589-11CCD0B7B063}"/>
  <bookViews>
    <workbookView xWindow="-108" yWindow="-108" windowWidth="23256" windowHeight="12456" firstSheet="5" activeTab="9" xr2:uid="{B05CE7AA-00B8-419F-B4A7-A8CDAE74AEE9}"/>
  </bookViews>
  <sheets>
    <sheet name="All_India_Index_Upto_April23 (1" sheetId="2" r:id="rId1"/>
    <sheet name="Sheet1" sheetId="1" r:id="rId2"/>
    <sheet name="Rural + Urban" sheetId="5" r:id="rId3"/>
    <sheet name="Rural" sheetId="3" r:id="rId4"/>
    <sheet name="Urban" sheetId="4" r:id="rId5"/>
    <sheet name="Pivots" sheetId="7" r:id="rId6"/>
    <sheet name="3a" sheetId="10" r:id="rId7"/>
    <sheet name="4 covid effect" sheetId="11" r:id="rId8"/>
    <sheet name="5. Oil Price fluct mom" sheetId="12" r:id="rId9"/>
    <sheet name="Dashboard" sheetId="8" r:id="rId10"/>
  </sheets>
  <definedNames>
    <definedName name="_xlnm._FilterDatabase" localSheetId="7" hidden="1">'4 covid effect'!$A$1:$AG$145</definedName>
    <definedName name="_xlnm._FilterDatabase" localSheetId="0" hidden="1">'All_India_Index_Upto_April23 (1'!$AI$2:$BL$374</definedName>
    <definedName name="_xlnm._FilterDatabase" localSheetId="3" hidden="1">Rural!$A$2:$AD$128</definedName>
    <definedName name="_xlnm._FilterDatabase" localSheetId="2" hidden="1">'Rural + Urban'!$A$1:$AD$127</definedName>
    <definedName name="_xlnm._FilterDatabase" localSheetId="4" hidden="1">Urban!$A$1:$AD$127</definedName>
    <definedName name="ExternalData_1" localSheetId="0" hidden="1">'All_India_Index_Upto_April23 (1'!$A$2:$AD$374</definedName>
    <definedName name="Slicer_Sector">#N/A</definedName>
    <definedName name="Slicer_Sector1">#N/A</definedName>
    <definedName name="Slicer_Sector2">#N/A</definedName>
  </definedNames>
  <calcPr calcId="191029"/>
  <pivotCaches>
    <pivotCache cacheId="264" r:id="rId11"/>
    <pivotCache cacheId="270" r:id="rId12"/>
    <pivotCache cacheId="276"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2" l="1"/>
  <c r="B85" i="12"/>
  <c r="B84" i="12"/>
  <c r="B83" i="12"/>
  <c r="B82" i="12"/>
  <c r="B81" i="12"/>
  <c r="B80" i="12"/>
  <c r="B79" i="12"/>
  <c r="B78" i="12"/>
  <c r="B77" i="12"/>
  <c r="B76" i="12"/>
  <c r="B75" i="12"/>
  <c r="B74" i="12"/>
  <c r="B73" i="12"/>
  <c r="B72" i="12"/>
  <c r="B71" i="12"/>
  <c r="B70" i="12"/>
  <c r="B69" i="12"/>
  <c r="B68" i="12"/>
  <c r="B67" i="12"/>
  <c r="B66" i="12"/>
  <c r="B65" i="12"/>
  <c r="B64" i="12"/>
  <c r="B63" i="12"/>
  <c r="B62" i="12"/>
  <c r="B61" i="12"/>
  <c r="C61" i="12" a="1"/>
  <c r="C61" i="12" s="1"/>
  <c r="B47" i="12"/>
  <c r="B46" i="12"/>
  <c r="B45" i="12"/>
  <c r="B44" i="12"/>
  <c r="B43" i="12"/>
  <c r="C33" i="12" a="1"/>
  <c r="C33" i="12" s="1"/>
  <c r="B33" i="12" s="1"/>
  <c r="B30" i="12"/>
  <c r="B29" i="12"/>
  <c r="B28" i="12"/>
  <c r="B27" i="12"/>
  <c r="B26" i="12"/>
  <c r="B25" i="12"/>
  <c r="B24" i="12"/>
  <c r="B23" i="12"/>
  <c r="B21" i="12"/>
  <c r="B20" i="12"/>
  <c r="B19" i="12"/>
  <c r="B18" i="12"/>
  <c r="B17" i="12"/>
  <c r="B16" i="12"/>
  <c r="B15" i="12"/>
  <c r="B14" i="12"/>
  <c r="B13" i="12"/>
  <c r="B12" i="12"/>
  <c r="B11" i="12"/>
  <c r="B6" i="12"/>
  <c r="B7" i="12"/>
  <c r="B8" i="12"/>
  <c r="B9" i="12"/>
  <c r="B10" i="12"/>
  <c r="B5" i="12"/>
  <c r="I151" i="11"/>
  <c r="J151" i="11"/>
  <c r="I152" i="11"/>
  <c r="J152" i="11"/>
  <c r="H152" i="11"/>
  <c r="H151" i="11"/>
  <c r="I150" i="11"/>
  <c r="J150" i="11"/>
  <c r="H150" i="11"/>
  <c r="I149" i="11"/>
  <c r="J149" i="11"/>
  <c r="H149" i="11"/>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5" i="11"/>
  <c r="AG6" i="11"/>
  <c r="AG7" i="11"/>
  <c r="AG8" i="11"/>
  <c r="AG9" i="11"/>
  <c r="AG10" i="11"/>
  <c r="AG11" i="11"/>
  <c r="AG12" i="11"/>
  <c r="AG13" i="11"/>
  <c r="AG14" i="11"/>
  <c r="AG15" i="11"/>
  <c r="AG16" i="11"/>
  <c r="AG17" i="11"/>
  <c r="AG18" i="11"/>
  <c r="AG19" i="11"/>
  <c r="AG20" i="11"/>
  <c r="AG21" i="11"/>
  <c r="AG22" i="11"/>
  <c r="AG23" i="11"/>
  <c r="AG24" i="11"/>
  <c r="AG25" i="11"/>
  <c r="AG26" i="11"/>
  <c r="AG27" i="11"/>
  <c r="AG28" i="11"/>
  <c r="AG29" i="11"/>
  <c r="AG30" i="11"/>
  <c r="AG31" i="11"/>
  <c r="AG32" i="11"/>
  <c r="AG33" i="11"/>
  <c r="AG34" i="11"/>
  <c r="AG142" i="11"/>
  <c r="AG141" i="11"/>
  <c r="AG140" i="11"/>
  <c r="AG139" i="11"/>
  <c r="AG138" i="11"/>
  <c r="AG137" i="11"/>
  <c r="AG136" i="11"/>
  <c r="AG135" i="11"/>
  <c r="AG134" i="11"/>
  <c r="AG133" i="11"/>
  <c r="AG132" i="11"/>
  <c r="AG131" i="11"/>
  <c r="AG130" i="11"/>
  <c r="AG129" i="11"/>
  <c r="AG128" i="11"/>
  <c r="AG127" i="11"/>
  <c r="AG126" i="11"/>
  <c r="AG125" i="11"/>
  <c r="AG124" i="11"/>
  <c r="AG123" i="11"/>
  <c r="AG122" i="11"/>
  <c r="AG121" i="11"/>
  <c r="AG120" i="11"/>
  <c r="AG119" i="11"/>
  <c r="AG118" i="11"/>
  <c r="AG117" i="11"/>
  <c r="AG116" i="11"/>
  <c r="AG115" i="11"/>
  <c r="AG114" i="11"/>
  <c r="AG113" i="11"/>
  <c r="AG112" i="11"/>
  <c r="AG111" i="11"/>
  <c r="AG110" i="11"/>
  <c r="AG109" i="11"/>
  <c r="AG108" i="11"/>
  <c r="AG107" i="11"/>
  <c r="AG106" i="11"/>
  <c r="AG105" i="11"/>
  <c r="AG104" i="11"/>
  <c r="AG103" i="11"/>
  <c r="AG102" i="11"/>
  <c r="AG101" i="11"/>
  <c r="AG100" i="11"/>
  <c r="AG99" i="11"/>
  <c r="AG98" i="11"/>
  <c r="AG97" i="11"/>
  <c r="AG96" i="11"/>
  <c r="AG95" i="11"/>
  <c r="AG94" i="11"/>
  <c r="AG93" i="11"/>
  <c r="AG92" i="11"/>
  <c r="AG91" i="11"/>
  <c r="AG90" i="11"/>
  <c r="AG89" i="11"/>
  <c r="AG88" i="11"/>
  <c r="AG87" i="11"/>
  <c r="AG86" i="11"/>
  <c r="AG85" i="11"/>
  <c r="AG84" i="11"/>
  <c r="AG83" i="11"/>
  <c r="AG82" i="11"/>
  <c r="AG81" i="11"/>
  <c r="AG80" i="11"/>
  <c r="AG79" i="11"/>
  <c r="AG78" i="11"/>
  <c r="AG77" i="11"/>
  <c r="AG70" i="11"/>
  <c r="AG69" i="11"/>
  <c r="AG68" i="11"/>
  <c r="AG67" i="11"/>
  <c r="AG66" i="11"/>
  <c r="AG65" i="11"/>
  <c r="AG64" i="11"/>
  <c r="AG63" i="11"/>
  <c r="AG62" i="11"/>
  <c r="AG61" i="11"/>
  <c r="AG60" i="11"/>
  <c r="AG59" i="11"/>
  <c r="AG58" i="11"/>
  <c r="AG57" i="11"/>
  <c r="AG56" i="11"/>
  <c r="AG55" i="11"/>
  <c r="AG54" i="11"/>
  <c r="AG53" i="11"/>
  <c r="AG52" i="11"/>
  <c r="AG51" i="11"/>
  <c r="AG50" i="11"/>
  <c r="AG49" i="11"/>
  <c r="AG48" i="11"/>
  <c r="AG47" i="11"/>
  <c r="AG46" i="11"/>
  <c r="AG45" i="11"/>
  <c r="AG44" i="11"/>
  <c r="AG43" i="11"/>
  <c r="AG42" i="11"/>
  <c r="AG41" i="11"/>
  <c r="AG40" i="11"/>
  <c r="AG39" i="11"/>
  <c r="AG38" i="11"/>
  <c r="AG37" i="11"/>
  <c r="AG36" i="11"/>
  <c r="AG35" i="11"/>
  <c r="AG4" i="11"/>
  <c r="AG3" i="11"/>
  <c r="AG2" i="11"/>
  <c r="E87" i="7"/>
  <c r="E86" i="7"/>
  <c r="E85" i="7"/>
  <c r="E84" i="7"/>
  <c r="E83" i="7"/>
  <c r="E82" i="7"/>
  <c r="E81" i="7"/>
  <c r="E80" i="7"/>
  <c r="E79" i="7"/>
  <c r="E78" i="7"/>
  <c r="E77" i="7"/>
  <c r="E76" i="7"/>
  <c r="E71" i="7"/>
  <c r="E70" i="7"/>
  <c r="E69" i="7"/>
  <c r="E68" i="7"/>
  <c r="E67" i="7"/>
  <c r="E66" i="7"/>
  <c r="E65" i="7"/>
  <c r="E64" i="7"/>
  <c r="E63" i="7"/>
  <c r="E62" i="7"/>
  <c r="E61" i="7"/>
  <c r="E60" i="7"/>
  <c r="E55" i="7"/>
  <c r="E54" i="7"/>
  <c r="E53" i="7"/>
  <c r="E52" i="7"/>
  <c r="E51" i="7"/>
  <c r="E50" i="7"/>
  <c r="E49" i="7"/>
  <c r="E48" i="7"/>
  <c r="E47" i="7"/>
  <c r="E46" i="7"/>
  <c r="E45" i="7"/>
  <c r="E44" i="7"/>
  <c r="E126" i="4"/>
  <c r="F126" i="4"/>
  <c r="G126" i="4"/>
  <c r="H126" i="4"/>
  <c r="I126" i="4"/>
  <c r="J126" i="4"/>
  <c r="K126" i="4"/>
  <c r="L126" i="4"/>
  <c r="M126" i="4"/>
  <c r="N126" i="4"/>
  <c r="O126" i="4"/>
  <c r="P126" i="4"/>
  <c r="D126" i="4"/>
  <c r="E126" i="5"/>
  <c r="F126" i="5"/>
  <c r="G126" i="5"/>
  <c r="H126" i="5"/>
  <c r="I126" i="5"/>
  <c r="J126" i="5"/>
  <c r="K126" i="5"/>
  <c r="L126" i="5"/>
  <c r="M126" i="5"/>
  <c r="N126" i="5"/>
  <c r="O126" i="5"/>
  <c r="P126" i="5"/>
  <c r="D126" i="5"/>
  <c r="E127" i="3"/>
  <c r="F127" i="3"/>
  <c r="G127" i="3"/>
  <c r="H127" i="3"/>
  <c r="I127" i="3"/>
  <c r="J127" i="3"/>
  <c r="K127" i="3"/>
  <c r="L127" i="3"/>
  <c r="M127" i="3"/>
  <c r="N127" i="3"/>
  <c r="O127" i="3"/>
  <c r="P127" i="3"/>
  <c r="D127" i="3"/>
  <c r="A8" i="7" a="1"/>
  <c r="A8" i="7" s="1"/>
  <c r="BL263" i="2"/>
  <c r="BK266" i="2"/>
  <c r="BJ266" i="2"/>
  <c r="BI266" i="2"/>
  <c r="BH266" i="2"/>
  <c r="BG266" i="2"/>
  <c r="BL265" i="2"/>
  <c r="BK265" i="2"/>
  <c r="BJ265" i="2"/>
  <c r="BI265" i="2"/>
  <c r="BH262" i="2"/>
  <c r="BG262" i="2"/>
  <c r="BE263" i="2"/>
  <c r="BE262" i="2"/>
  <c r="BB263" i="2"/>
  <c r="BA266" i="2"/>
  <c r="AZ266" i="2"/>
  <c r="AY266" i="2"/>
  <c r="BB265" i="2"/>
  <c r="BA265" i="2"/>
  <c r="AZ262" i="2"/>
  <c r="AY262" i="2"/>
  <c r="AW266" i="2"/>
  <c r="AW265" i="2"/>
  <c r="AM263" i="2"/>
  <c r="AM265" i="2"/>
  <c r="BF266" i="2"/>
  <c r="BD266" i="2"/>
  <c r="BF265" i="2"/>
  <c r="BD265" i="2"/>
  <c r="AX266" i="2"/>
  <c r="AV266" i="2"/>
  <c r="AU266" i="2"/>
  <c r="AT266" i="2"/>
  <c r="AS266" i="2"/>
  <c r="AR266" i="2"/>
  <c r="AQ266" i="2"/>
  <c r="AP266" i="2"/>
  <c r="AO266" i="2"/>
  <c r="AN266" i="2"/>
  <c r="AX265" i="2"/>
  <c r="AV265" i="2"/>
  <c r="AU265" i="2"/>
  <c r="AT265" i="2"/>
  <c r="AS265" i="2"/>
  <c r="AR265" i="2"/>
  <c r="AQ265" i="2"/>
  <c r="AP265" i="2"/>
  <c r="AO265" i="2"/>
  <c r="AN265" i="2"/>
  <c r="AL266" i="2"/>
  <c r="AL265" i="2"/>
  <c r="BL261" i="2"/>
  <c r="BK264" i="2"/>
  <c r="BJ264" i="2"/>
  <c r="BI264" i="2"/>
  <c r="BH264" i="2"/>
  <c r="BG264" i="2"/>
  <c r="BE261" i="2"/>
  <c r="BB261" i="2"/>
  <c r="BA264" i="2"/>
  <c r="AZ264" i="2"/>
  <c r="AY264" i="2"/>
  <c r="AW264" i="2"/>
  <c r="BF264" i="2"/>
  <c r="BD264" i="2"/>
  <c r="AX264" i="2"/>
  <c r="AV264" i="2"/>
  <c r="AU264" i="2"/>
  <c r="AT264" i="2"/>
  <c r="AS264" i="2"/>
  <c r="AR264" i="2"/>
  <c r="AQ264" i="2"/>
  <c r="AP264" i="2"/>
  <c r="AO264" i="2"/>
  <c r="AN264" i="2"/>
  <c r="AL264" i="2"/>
  <c r="AI3" i="2"/>
  <c r="AJ3" i="2"/>
  <c r="AK3" i="2"/>
  <c r="AL3" i="2"/>
  <c r="AM3" i="2"/>
  <c r="AN3" i="2"/>
  <c r="AO3" i="2"/>
  <c r="AP3" i="2"/>
  <c r="AQ3" i="2"/>
  <c r="AR3" i="2"/>
  <c r="AS3" i="2"/>
  <c r="AT3" i="2"/>
  <c r="AU3" i="2"/>
  <c r="AV3" i="2"/>
  <c r="AW3" i="2"/>
  <c r="AX3" i="2"/>
  <c r="AY3" i="2"/>
  <c r="AZ3" i="2"/>
  <c r="BA3" i="2"/>
  <c r="BB3" i="2"/>
  <c r="BC3" i="2"/>
  <c r="BD3" i="2"/>
  <c r="BE3" i="2"/>
  <c r="BF3" i="2"/>
  <c r="BG3" i="2"/>
  <c r="BH3" i="2"/>
  <c r="BI3" i="2"/>
  <c r="BJ3" i="2"/>
  <c r="BK3" i="2"/>
  <c r="BL3" i="2"/>
  <c r="AI4" i="2"/>
  <c r="AJ4" i="2"/>
  <c r="AK4" i="2"/>
  <c r="AL4" i="2"/>
  <c r="AM4" i="2"/>
  <c r="AN4" i="2"/>
  <c r="AO4" i="2"/>
  <c r="AP4" i="2"/>
  <c r="AQ4" i="2"/>
  <c r="AR4" i="2"/>
  <c r="AS4" i="2"/>
  <c r="AT4" i="2"/>
  <c r="AU4" i="2"/>
  <c r="AV4" i="2"/>
  <c r="AW4" i="2"/>
  <c r="AX4" i="2"/>
  <c r="AY4" i="2"/>
  <c r="AZ4" i="2"/>
  <c r="BA4" i="2"/>
  <c r="BB4" i="2"/>
  <c r="BC4" i="2"/>
  <c r="BD4" i="2"/>
  <c r="BE4" i="2"/>
  <c r="BF4" i="2"/>
  <c r="BG4" i="2"/>
  <c r="BH4" i="2"/>
  <c r="BI4" i="2"/>
  <c r="BJ4" i="2"/>
  <c r="BK4" i="2"/>
  <c r="BL4" i="2"/>
  <c r="AI5" i="2"/>
  <c r="AJ5" i="2"/>
  <c r="AK5" i="2"/>
  <c r="AL5" i="2"/>
  <c r="AM5" i="2"/>
  <c r="AN5" i="2"/>
  <c r="AO5" i="2"/>
  <c r="AP5" i="2"/>
  <c r="AQ5" i="2"/>
  <c r="AR5" i="2"/>
  <c r="AS5" i="2"/>
  <c r="AT5" i="2"/>
  <c r="AU5" i="2"/>
  <c r="AV5" i="2"/>
  <c r="AW5" i="2"/>
  <c r="AX5" i="2"/>
  <c r="AY5" i="2"/>
  <c r="AZ5" i="2"/>
  <c r="BA5" i="2"/>
  <c r="BB5" i="2"/>
  <c r="BC5" i="2"/>
  <c r="BD5" i="2"/>
  <c r="BE5" i="2"/>
  <c r="BF5" i="2"/>
  <c r="BG5" i="2"/>
  <c r="BH5" i="2"/>
  <c r="BI5" i="2"/>
  <c r="BJ5" i="2"/>
  <c r="BK5" i="2"/>
  <c r="BL5" i="2"/>
  <c r="AI6" i="2"/>
  <c r="AJ6" i="2"/>
  <c r="AK6" i="2"/>
  <c r="AL6" i="2"/>
  <c r="AM6" i="2"/>
  <c r="AN6" i="2"/>
  <c r="AO6" i="2"/>
  <c r="AP6" i="2"/>
  <c r="AQ6" i="2"/>
  <c r="AR6" i="2"/>
  <c r="AS6" i="2"/>
  <c r="AT6" i="2"/>
  <c r="AU6" i="2"/>
  <c r="AV6" i="2"/>
  <c r="AW6" i="2"/>
  <c r="AX6" i="2"/>
  <c r="AY6" i="2"/>
  <c r="AZ6" i="2"/>
  <c r="BA6" i="2"/>
  <c r="BB6" i="2"/>
  <c r="BC6" i="2"/>
  <c r="BD6" i="2"/>
  <c r="BE6" i="2"/>
  <c r="BF6" i="2"/>
  <c r="BG6" i="2"/>
  <c r="BH6" i="2"/>
  <c r="BI6" i="2"/>
  <c r="BJ6" i="2"/>
  <c r="BK6" i="2"/>
  <c r="BL6" i="2"/>
  <c r="AI7" i="2"/>
  <c r="AJ7" i="2"/>
  <c r="AK7" i="2"/>
  <c r="AL7" i="2"/>
  <c r="AM7" i="2"/>
  <c r="AN7" i="2"/>
  <c r="AO7" i="2"/>
  <c r="AP7" i="2"/>
  <c r="AQ7" i="2"/>
  <c r="AR7" i="2"/>
  <c r="AS7" i="2"/>
  <c r="AT7" i="2"/>
  <c r="AU7" i="2"/>
  <c r="AV7" i="2"/>
  <c r="AW7" i="2"/>
  <c r="AX7" i="2"/>
  <c r="AY7" i="2"/>
  <c r="AZ7" i="2"/>
  <c r="BA7" i="2"/>
  <c r="BB7" i="2"/>
  <c r="BC7" i="2"/>
  <c r="BD7" i="2"/>
  <c r="BE7" i="2"/>
  <c r="BF7" i="2"/>
  <c r="BG7" i="2"/>
  <c r="BH7" i="2"/>
  <c r="BI7" i="2"/>
  <c r="BJ7" i="2"/>
  <c r="BK7" i="2"/>
  <c r="BL7" i="2"/>
  <c r="AI8" i="2"/>
  <c r="AJ8" i="2"/>
  <c r="AK8" i="2"/>
  <c r="AL8" i="2"/>
  <c r="AM8" i="2"/>
  <c r="AN8" i="2"/>
  <c r="AO8" i="2"/>
  <c r="AP8" i="2"/>
  <c r="AQ8" i="2"/>
  <c r="AR8" i="2"/>
  <c r="AS8" i="2"/>
  <c r="AT8" i="2"/>
  <c r="AU8" i="2"/>
  <c r="AV8" i="2"/>
  <c r="AW8" i="2"/>
  <c r="AX8" i="2"/>
  <c r="AY8" i="2"/>
  <c r="AZ8" i="2"/>
  <c r="BA8" i="2"/>
  <c r="BB8" i="2"/>
  <c r="BC8" i="2"/>
  <c r="BD8" i="2"/>
  <c r="BE8" i="2"/>
  <c r="BF8" i="2"/>
  <c r="BG8" i="2"/>
  <c r="BH8" i="2"/>
  <c r="BI8" i="2"/>
  <c r="BJ8" i="2"/>
  <c r="BK8" i="2"/>
  <c r="BL8" i="2"/>
  <c r="AI9" i="2"/>
  <c r="AJ9" i="2"/>
  <c r="AK9" i="2"/>
  <c r="AL9" i="2"/>
  <c r="AM9" i="2"/>
  <c r="AN9" i="2"/>
  <c r="AO9" i="2"/>
  <c r="AP9" i="2"/>
  <c r="AQ9" i="2"/>
  <c r="AR9" i="2"/>
  <c r="AS9" i="2"/>
  <c r="AT9" i="2"/>
  <c r="AU9" i="2"/>
  <c r="AV9" i="2"/>
  <c r="AW9" i="2"/>
  <c r="AX9" i="2"/>
  <c r="AY9" i="2"/>
  <c r="AZ9" i="2"/>
  <c r="BA9" i="2"/>
  <c r="BB9" i="2"/>
  <c r="BC9" i="2"/>
  <c r="BD9" i="2"/>
  <c r="BE9" i="2"/>
  <c r="BF9" i="2"/>
  <c r="BG9" i="2"/>
  <c r="BH9" i="2"/>
  <c r="BI9" i="2"/>
  <c r="BJ9" i="2"/>
  <c r="BK9" i="2"/>
  <c r="BL9" i="2"/>
  <c r="AI10" i="2"/>
  <c r="AJ10" i="2"/>
  <c r="AK10" i="2"/>
  <c r="AL10" i="2"/>
  <c r="AM10" i="2"/>
  <c r="AN10" i="2"/>
  <c r="AO10" i="2"/>
  <c r="AP10" i="2"/>
  <c r="AQ10" i="2"/>
  <c r="AR10" i="2"/>
  <c r="AS10" i="2"/>
  <c r="AT10" i="2"/>
  <c r="AU10" i="2"/>
  <c r="AV10" i="2"/>
  <c r="AW10" i="2"/>
  <c r="AX10" i="2"/>
  <c r="AY10" i="2"/>
  <c r="AZ10" i="2"/>
  <c r="BA10" i="2"/>
  <c r="BB10" i="2"/>
  <c r="BC10" i="2"/>
  <c r="BD10" i="2"/>
  <c r="BE10" i="2"/>
  <c r="BF10" i="2"/>
  <c r="BG10" i="2"/>
  <c r="BH10" i="2"/>
  <c r="BI10" i="2"/>
  <c r="BJ10" i="2"/>
  <c r="BK10" i="2"/>
  <c r="BL10" i="2"/>
  <c r="AI11" i="2"/>
  <c r="AJ11" i="2"/>
  <c r="AK11" i="2"/>
  <c r="AL11" i="2"/>
  <c r="AM11" i="2"/>
  <c r="AN11" i="2"/>
  <c r="AO11" i="2"/>
  <c r="AP11" i="2"/>
  <c r="AQ11" i="2"/>
  <c r="AR11" i="2"/>
  <c r="AS11" i="2"/>
  <c r="AT11" i="2"/>
  <c r="AU11" i="2"/>
  <c r="AV11" i="2"/>
  <c r="AW11" i="2"/>
  <c r="AX11" i="2"/>
  <c r="AY11" i="2"/>
  <c r="AZ11" i="2"/>
  <c r="BA11" i="2"/>
  <c r="BB11" i="2"/>
  <c r="BC11" i="2"/>
  <c r="BD11" i="2"/>
  <c r="BE11" i="2"/>
  <c r="BF11" i="2"/>
  <c r="BG11" i="2"/>
  <c r="BH11" i="2"/>
  <c r="BI11" i="2"/>
  <c r="BJ11" i="2"/>
  <c r="BK11" i="2"/>
  <c r="BL11" i="2"/>
  <c r="AI12" i="2"/>
  <c r="AJ12" i="2"/>
  <c r="AK12" i="2"/>
  <c r="AL12" i="2"/>
  <c r="AM12" i="2"/>
  <c r="AN12" i="2"/>
  <c r="AO12" i="2"/>
  <c r="AP12" i="2"/>
  <c r="AQ12" i="2"/>
  <c r="AR12" i="2"/>
  <c r="AS12" i="2"/>
  <c r="AT12" i="2"/>
  <c r="AU12" i="2"/>
  <c r="AV12" i="2"/>
  <c r="AW12" i="2"/>
  <c r="AX12" i="2"/>
  <c r="AY12" i="2"/>
  <c r="AZ12" i="2"/>
  <c r="BA12" i="2"/>
  <c r="BB12" i="2"/>
  <c r="BC12" i="2"/>
  <c r="BD12" i="2"/>
  <c r="BE12" i="2"/>
  <c r="BF12" i="2"/>
  <c r="BG12" i="2"/>
  <c r="BH12" i="2"/>
  <c r="BI12" i="2"/>
  <c r="BJ12" i="2"/>
  <c r="BK12" i="2"/>
  <c r="BL12" i="2"/>
  <c r="AI13" i="2"/>
  <c r="AJ13" i="2"/>
  <c r="AK13" i="2"/>
  <c r="AL13" i="2"/>
  <c r="AM13" i="2"/>
  <c r="AN13" i="2"/>
  <c r="AO13" i="2"/>
  <c r="AP13" i="2"/>
  <c r="AQ13" i="2"/>
  <c r="AR13" i="2"/>
  <c r="AS13" i="2"/>
  <c r="AT13" i="2"/>
  <c r="AU13" i="2"/>
  <c r="AV13" i="2"/>
  <c r="AW13" i="2"/>
  <c r="AX13" i="2"/>
  <c r="AY13" i="2"/>
  <c r="AZ13" i="2"/>
  <c r="BA13" i="2"/>
  <c r="BB13" i="2"/>
  <c r="BC13" i="2"/>
  <c r="BD13" i="2"/>
  <c r="BE13" i="2"/>
  <c r="BF13" i="2"/>
  <c r="BG13" i="2"/>
  <c r="BH13" i="2"/>
  <c r="BI13" i="2"/>
  <c r="BJ13" i="2"/>
  <c r="BK13" i="2"/>
  <c r="BL13" i="2"/>
  <c r="AI14" i="2"/>
  <c r="AJ14" i="2"/>
  <c r="AK14" i="2"/>
  <c r="AL14" i="2"/>
  <c r="AM14" i="2"/>
  <c r="AN14" i="2"/>
  <c r="AO14" i="2"/>
  <c r="AP14" i="2"/>
  <c r="AQ14" i="2"/>
  <c r="AR14" i="2"/>
  <c r="AS14" i="2"/>
  <c r="AT14" i="2"/>
  <c r="AU14" i="2"/>
  <c r="AV14" i="2"/>
  <c r="AW14" i="2"/>
  <c r="AX14" i="2"/>
  <c r="AY14" i="2"/>
  <c r="AZ14" i="2"/>
  <c r="BA14" i="2"/>
  <c r="BB14" i="2"/>
  <c r="BC14" i="2"/>
  <c r="BD14" i="2"/>
  <c r="BE14" i="2"/>
  <c r="BF14" i="2"/>
  <c r="BG14" i="2"/>
  <c r="BH14" i="2"/>
  <c r="BI14" i="2"/>
  <c r="BJ14" i="2"/>
  <c r="BK14" i="2"/>
  <c r="BL14" i="2"/>
  <c r="AI15" i="2"/>
  <c r="AJ15" i="2"/>
  <c r="AK15" i="2"/>
  <c r="AL15" i="2"/>
  <c r="AM15" i="2"/>
  <c r="AN15" i="2"/>
  <c r="AO15" i="2"/>
  <c r="AP15" i="2"/>
  <c r="AQ15" i="2"/>
  <c r="AR15" i="2"/>
  <c r="AS15" i="2"/>
  <c r="AT15" i="2"/>
  <c r="AU15" i="2"/>
  <c r="AV15" i="2"/>
  <c r="AW15" i="2"/>
  <c r="AX15" i="2"/>
  <c r="AY15" i="2"/>
  <c r="AZ15" i="2"/>
  <c r="BA15" i="2"/>
  <c r="BB15" i="2"/>
  <c r="BC15" i="2"/>
  <c r="BD15" i="2"/>
  <c r="BE15" i="2"/>
  <c r="BF15" i="2"/>
  <c r="BG15" i="2"/>
  <c r="BH15" i="2"/>
  <c r="BI15" i="2"/>
  <c r="BJ15" i="2"/>
  <c r="BK15" i="2"/>
  <c r="BL15" i="2"/>
  <c r="AI16" i="2"/>
  <c r="AJ16" i="2"/>
  <c r="AK16" i="2"/>
  <c r="AL16" i="2"/>
  <c r="AM16" i="2"/>
  <c r="AN16" i="2"/>
  <c r="AO16" i="2"/>
  <c r="AP16" i="2"/>
  <c r="AQ16" i="2"/>
  <c r="AR16" i="2"/>
  <c r="AS16" i="2"/>
  <c r="AT16" i="2"/>
  <c r="AU16" i="2"/>
  <c r="AV16" i="2"/>
  <c r="AW16" i="2"/>
  <c r="AX16" i="2"/>
  <c r="AY16" i="2"/>
  <c r="AZ16" i="2"/>
  <c r="BA16" i="2"/>
  <c r="BB16" i="2"/>
  <c r="BC16" i="2"/>
  <c r="BD16" i="2"/>
  <c r="BE16" i="2"/>
  <c r="BF16" i="2"/>
  <c r="BG16" i="2"/>
  <c r="BH16" i="2"/>
  <c r="BI16" i="2"/>
  <c r="BJ16" i="2"/>
  <c r="BK16" i="2"/>
  <c r="BL16" i="2"/>
  <c r="AI17" i="2"/>
  <c r="AJ17" i="2"/>
  <c r="AK17" i="2"/>
  <c r="AL17" i="2"/>
  <c r="AM17" i="2"/>
  <c r="AN17" i="2"/>
  <c r="AO17" i="2"/>
  <c r="AP17" i="2"/>
  <c r="AQ17" i="2"/>
  <c r="AR17" i="2"/>
  <c r="AS17" i="2"/>
  <c r="AT17" i="2"/>
  <c r="AU17" i="2"/>
  <c r="AV17" i="2"/>
  <c r="AW17" i="2"/>
  <c r="AX17" i="2"/>
  <c r="AY17" i="2"/>
  <c r="AZ17" i="2"/>
  <c r="BA17" i="2"/>
  <c r="BB17" i="2"/>
  <c r="BC17" i="2"/>
  <c r="BD17" i="2"/>
  <c r="BE17" i="2"/>
  <c r="BF17" i="2"/>
  <c r="BG17" i="2"/>
  <c r="BH17" i="2"/>
  <c r="BI17" i="2"/>
  <c r="BJ17" i="2"/>
  <c r="BK17" i="2"/>
  <c r="BL17" i="2"/>
  <c r="AI18" i="2"/>
  <c r="AJ18" i="2"/>
  <c r="AK18" i="2"/>
  <c r="AL18" i="2"/>
  <c r="AM18" i="2"/>
  <c r="AN18" i="2"/>
  <c r="AO18" i="2"/>
  <c r="AP18" i="2"/>
  <c r="AQ18" i="2"/>
  <c r="AR18" i="2"/>
  <c r="AS18" i="2"/>
  <c r="AT18" i="2"/>
  <c r="AU18" i="2"/>
  <c r="AV18" i="2"/>
  <c r="AW18" i="2"/>
  <c r="AX18" i="2"/>
  <c r="AY18" i="2"/>
  <c r="AZ18" i="2"/>
  <c r="BA18" i="2"/>
  <c r="BB18" i="2"/>
  <c r="BC18" i="2"/>
  <c r="BD18" i="2"/>
  <c r="BE18" i="2"/>
  <c r="BF18" i="2"/>
  <c r="BG18" i="2"/>
  <c r="BH18" i="2"/>
  <c r="BI18" i="2"/>
  <c r="BJ18" i="2"/>
  <c r="BK18" i="2"/>
  <c r="BL18" i="2"/>
  <c r="AI19" i="2"/>
  <c r="AJ19" i="2"/>
  <c r="AK19" i="2"/>
  <c r="AL19" i="2"/>
  <c r="AM19" i="2"/>
  <c r="AN19" i="2"/>
  <c r="AO19" i="2"/>
  <c r="AP19" i="2"/>
  <c r="AQ19" i="2"/>
  <c r="AR19" i="2"/>
  <c r="AS19" i="2"/>
  <c r="AT19" i="2"/>
  <c r="AU19" i="2"/>
  <c r="AV19" i="2"/>
  <c r="AW19" i="2"/>
  <c r="AX19" i="2"/>
  <c r="AY19" i="2"/>
  <c r="AZ19" i="2"/>
  <c r="BA19" i="2"/>
  <c r="BB19" i="2"/>
  <c r="BC19" i="2"/>
  <c r="BD19" i="2"/>
  <c r="BE19" i="2"/>
  <c r="BF19" i="2"/>
  <c r="BG19" i="2"/>
  <c r="BH19" i="2"/>
  <c r="BI19" i="2"/>
  <c r="BJ19" i="2"/>
  <c r="BK19" i="2"/>
  <c r="BL19" i="2"/>
  <c r="AI20" i="2"/>
  <c r="AJ20" i="2"/>
  <c r="AK20" i="2"/>
  <c r="AL20" i="2"/>
  <c r="AM20" i="2"/>
  <c r="AN20" i="2"/>
  <c r="AO20" i="2"/>
  <c r="AP20" i="2"/>
  <c r="AQ20" i="2"/>
  <c r="AR20" i="2"/>
  <c r="AS20" i="2"/>
  <c r="AT20" i="2"/>
  <c r="AU20" i="2"/>
  <c r="AV20" i="2"/>
  <c r="AW20" i="2"/>
  <c r="AX20" i="2"/>
  <c r="AY20" i="2"/>
  <c r="AZ20" i="2"/>
  <c r="BA20" i="2"/>
  <c r="BB20" i="2"/>
  <c r="BC20" i="2"/>
  <c r="BD20" i="2"/>
  <c r="BE20" i="2"/>
  <c r="BF20" i="2"/>
  <c r="BG20" i="2"/>
  <c r="BH20" i="2"/>
  <c r="BI20" i="2"/>
  <c r="BJ20" i="2"/>
  <c r="BK20" i="2"/>
  <c r="BL20" i="2"/>
  <c r="AI21" i="2"/>
  <c r="AJ21" i="2"/>
  <c r="AK21" i="2"/>
  <c r="AL21" i="2"/>
  <c r="AM21" i="2"/>
  <c r="AN21" i="2"/>
  <c r="AO21" i="2"/>
  <c r="AP21" i="2"/>
  <c r="AQ21" i="2"/>
  <c r="AR21" i="2"/>
  <c r="AS21" i="2"/>
  <c r="AT21" i="2"/>
  <c r="AU21" i="2"/>
  <c r="AV21" i="2"/>
  <c r="AW21" i="2"/>
  <c r="AX21" i="2"/>
  <c r="AY21" i="2"/>
  <c r="AZ21" i="2"/>
  <c r="BA21" i="2"/>
  <c r="BB21" i="2"/>
  <c r="BC21" i="2"/>
  <c r="BD21" i="2"/>
  <c r="BE21" i="2"/>
  <c r="BF21" i="2"/>
  <c r="BG21" i="2"/>
  <c r="BH21" i="2"/>
  <c r="BI21" i="2"/>
  <c r="BJ21" i="2"/>
  <c r="BK21" i="2"/>
  <c r="BL21" i="2"/>
  <c r="AI22" i="2"/>
  <c r="AJ22" i="2"/>
  <c r="AK22" i="2"/>
  <c r="AL22" i="2"/>
  <c r="AM22" i="2"/>
  <c r="AN22" i="2"/>
  <c r="AO22" i="2"/>
  <c r="AP22" i="2"/>
  <c r="AQ22" i="2"/>
  <c r="AR22" i="2"/>
  <c r="AS22" i="2"/>
  <c r="AT22" i="2"/>
  <c r="AU22" i="2"/>
  <c r="AV22" i="2"/>
  <c r="AW22" i="2"/>
  <c r="AX22" i="2"/>
  <c r="AY22" i="2"/>
  <c r="AZ22" i="2"/>
  <c r="BA22" i="2"/>
  <c r="BB22" i="2"/>
  <c r="BC22" i="2"/>
  <c r="BD22" i="2"/>
  <c r="BE22" i="2"/>
  <c r="BF22" i="2"/>
  <c r="BG22" i="2"/>
  <c r="BH22" i="2"/>
  <c r="BI22" i="2"/>
  <c r="BJ22" i="2"/>
  <c r="BK22" i="2"/>
  <c r="BL22" i="2"/>
  <c r="AI23" i="2"/>
  <c r="AJ23" i="2"/>
  <c r="AK23" i="2"/>
  <c r="AL23" i="2"/>
  <c r="AM23" i="2"/>
  <c r="AN23" i="2"/>
  <c r="AO23" i="2"/>
  <c r="AP23" i="2"/>
  <c r="AQ23" i="2"/>
  <c r="AR23" i="2"/>
  <c r="AS23" i="2"/>
  <c r="AT23" i="2"/>
  <c r="AU23" i="2"/>
  <c r="AV23" i="2"/>
  <c r="AW23" i="2"/>
  <c r="AX23" i="2"/>
  <c r="AY23" i="2"/>
  <c r="AZ23" i="2"/>
  <c r="BA23" i="2"/>
  <c r="BB23" i="2"/>
  <c r="BC23" i="2"/>
  <c r="BD23" i="2"/>
  <c r="BE23" i="2"/>
  <c r="BF23" i="2"/>
  <c r="BG23" i="2"/>
  <c r="BH23" i="2"/>
  <c r="BI23" i="2"/>
  <c r="BJ23" i="2"/>
  <c r="BK23" i="2"/>
  <c r="BL23" i="2"/>
  <c r="AI24" i="2"/>
  <c r="AJ24" i="2"/>
  <c r="AK24" i="2"/>
  <c r="AL24" i="2"/>
  <c r="AM24" i="2"/>
  <c r="AN24" i="2"/>
  <c r="AO24" i="2"/>
  <c r="AP24" i="2"/>
  <c r="AQ24" i="2"/>
  <c r="AR24" i="2"/>
  <c r="AS24" i="2"/>
  <c r="AT24" i="2"/>
  <c r="AU24" i="2"/>
  <c r="AV24" i="2"/>
  <c r="AW24" i="2"/>
  <c r="AX24" i="2"/>
  <c r="AY24" i="2"/>
  <c r="AZ24" i="2"/>
  <c r="BA24" i="2"/>
  <c r="BB24" i="2"/>
  <c r="BC24" i="2"/>
  <c r="BD24" i="2"/>
  <c r="BE24" i="2"/>
  <c r="BF24" i="2"/>
  <c r="BG24" i="2"/>
  <c r="BH24" i="2"/>
  <c r="BI24" i="2"/>
  <c r="BJ24" i="2"/>
  <c r="BK24" i="2"/>
  <c r="BL24" i="2"/>
  <c r="AI25" i="2"/>
  <c r="AJ25" i="2"/>
  <c r="AK25" i="2"/>
  <c r="AL25" i="2"/>
  <c r="AM25" i="2"/>
  <c r="AN25" i="2"/>
  <c r="AO25" i="2"/>
  <c r="AP25" i="2"/>
  <c r="AQ25" i="2"/>
  <c r="AR25" i="2"/>
  <c r="AS25" i="2"/>
  <c r="AT25" i="2"/>
  <c r="AU25" i="2"/>
  <c r="AV25" i="2"/>
  <c r="AW25" i="2"/>
  <c r="AX25" i="2"/>
  <c r="AY25" i="2"/>
  <c r="AZ25" i="2"/>
  <c r="BA25" i="2"/>
  <c r="BB25" i="2"/>
  <c r="BC25" i="2"/>
  <c r="BD25" i="2"/>
  <c r="BE25" i="2"/>
  <c r="BF25" i="2"/>
  <c r="BG25" i="2"/>
  <c r="BH25" i="2"/>
  <c r="BI25" i="2"/>
  <c r="BJ25" i="2"/>
  <c r="BK25" i="2"/>
  <c r="BL25" i="2"/>
  <c r="AI26" i="2"/>
  <c r="AJ26" i="2"/>
  <c r="AK26" i="2"/>
  <c r="AL26" i="2"/>
  <c r="AM26" i="2"/>
  <c r="AN26" i="2"/>
  <c r="AO26" i="2"/>
  <c r="AP26" i="2"/>
  <c r="AQ26" i="2"/>
  <c r="AR26" i="2"/>
  <c r="AS26" i="2"/>
  <c r="AT26" i="2"/>
  <c r="AU26" i="2"/>
  <c r="AV26" i="2"/>
  <c r="AW26" i="2"/>
  <c r="AX26" i="2"/>
  <c r="AY26" i="2"/>
  <c r="AZ26" i="2"/>
  <c r="BA26" i="2"/>
  <c r="BB26" i="2"/>
  <c r="BC26" i="2"/>
  <c r="BD26" i="2"/>
  <c r="BE26" i="2"/>
  <c r="BF26" i="2"/>
  <c r="BG26" i="2"/>
  <c r="BH26" i="2"/>
  <c r="BI26" i="2"/>
  <c r="BJ26" i="2"/>
  <c r="BK26" i="2"/>
  <c r="BL26" i="2"/>
  <c r="AI27" i="2"/>
  <c r="AJ27" i="2"/>
  <c r="AK27" i="2"/>
  <c r="AL27" i="2"/>
  <c r="AM27" i="2"/>
  <c r="AN27" i="2"/>
  <c r="AO27" i="2"/>
  <c r="AP27" i="2"/>
  <c r="AQ27" i="2"/>
  <c r="AR27" i="2"/>
  <c r="AS27" i="2"/>
  <c r="AT27" i="2"/>
  <c r="AU27" i="2"/>
  <c r="AV27" i="2"/>
  <c r="AW27" i="2"/>
  <c r="AX27" i="2"/>
  <c r="AY27" i="2"/>
  <c r="AZ27" i="2"/>
  <c r="BA27" i="2"/>
  <c r="BB27" i="2"/>
  <c r="BC27" i="2"/>
  <c r="BD27" i="2"/>
  <c r="BE27" i="2"/>
  <c r="BF27" i="2"/>
  <c r="BG27" i="2"/>
  <c r="BH27" i="2"/>
  <c r="BI27" i="2"/>
  <c r="BJ27" i="2"/>
  <c r="BK27" i="2"/>
  <c r="BL27" i="2"/>
  <c r="AI28" i="2"/>
  <c r="AJ28" i="2"/>
  <c r="AK28" i="2"/>
  <c r="AL28" i="2"/>
  <c r="AM28" i="2"/>
  <c r="AN28" i="2"/>
  <c r="AO28" i="2"/>
  <c r="AP28" i="2"/>
  <c r="AQ28" i="2"/>
  <c r="AR28" i="2"/>
  <c r="AS28" i="2"/>
  <c r="AT28" i="2"/>
  <c r="AU28" i="2"/>
  <c r="AV28" i="2"/>
  <c r="AW28" i="2"/>
  <c r="AX28" i="2"/>
  <c r="AY28" i="2"/>
  <c r="AZ28" i="2"/>
  <c r="BA28" i="2"/>
  <c r="BB28" i="2"/>
  <c r="BC28" i="2"/>
  <c r="BD28" i="2"/>
  <c r="BE28" i="2"/>
  <c r="BF28" i="2"/>
  <c r="BG28" i="2"/>
  <c r="BH28" i="2"/>
  <c r="BI28" i="2"/>
  <c r="BJ28" i="2"/>
  <c r="BK28" i="2"/>
  <c r="BL28" i="2"/>
  <c r="AI29" i="2"/>
  <c r="AJ29" i="2"/>
  <c r="AK29" i="2"/>
  <c r="AL29" i="2"/>
  <c r="AM29" i="2"/>
  <c r="AN29" i="2"/>
  <c r="AO29" i="2"/>
  <c r="AP29" i="2"/>
  <c r="AQ29" i="2"/>
  <c r="AR29" i="2"/>
  <c r="AS29" i="2"/>
  <c r="AT29" i="2"/>
  <c r="AU29" i="2"/>
  <c r="AV29" i="2"/>
  <c r="AW29" i="2"/>
  <c r="AX29" i="2"/>
  <c r="AY29" i="2"/>
  <c r="AZ29" i="2"/>
  <c r="BA29" i="2"/>
  <c r="BB29" i="2"/>
  <c r="BC29" i="2"/>
  <c r="BD29" i="2"/>
  <c r="BE29" i="2"/>
  <c r="BF29" i="2"/>
  <c r="BG29" i="2"/>
  <c r="BH29" i="2"/>
  <c r="BI29" i="2"/>
  <c r="BJ29" i="2"/>
  <c r="BK29" i="2"/>
  <c r="BL29" i="2"/>
  <c r="AI30" i="2"/>
  <c r="AJ30" i="2"/>
  <c r="AK30" i="2"/>
  <c r="AL30" i="2"/>
  <c r="AM30" i="2"/>
  <c r="AN30" i="2"/>
  <c r="AO30" i="2"/>
  <c r="AP30" i="2"/>
  <c r="AQ30" i="2"/>
  <c r="AR30" i="2"/>
  <c r="AS30" i="2"/>
  <c r="AT30" i="2"/>
  <c r="AU30" i="2"/>
  <c r="AV30" i="2"/>
  <c r="AW30" i="2"/>
  <c r="AX30" i="2"/>
  <c r="AY30" i="2"/>
  <c r="AZ30" i="2"/>
  <c r="BA30" i="2"/>
  <c r="BB30" i="2"/>
  <c r="BC30" i="2"/>
  <c r="BD30" i="2"/>
  <c r="BE30" i="2"/>
  <c r="BF30" i="2"/>
  <c r="BG30" i="2"/>
  <c r="BH30" i="2"/>
  <c r="BI30" i="2"/>
  <c r="BJ30" i="2"/>
  <c r="BK30" i="2"/>
  <c r="BL30" i="2"/>
  <c r="AI31" i="2"/>
  <c r="AJ31" i="2"/>
  <c r="AK31" i="2"/>
  <c r="AL31" i="2"/>
  <c r="AM31" i="2"/>
  <c r="AN31" i="2"/>
  <c r="AO31" i="2"/>
  <c r="AP31" i="2"/>
  <c r="AQ31" i="2"/>
  <c r="AR31" i="2"/>
  <c r="AS31" i="2"/>
  <c r="AT31" i="2"/>
  <c r="AU31" i="2"/>
  <c r="AV31" i="2"/>
  <c r="AW31" i="2"/>
  <c r="AX31" i="2"/>
  <c r="AY31" i="2"/>
  <c r="AZ31" i="2"/>
  <c r="BA31" i="2"/>
  <c r="BB31" i="2"/>
  <c r="BC31" i="2"/>
  <c r="BD31" i="2"/>
  <c r="BE31" i="2"/>
  <c r="BF31" i="2"/>
  <c r="BG31" i="2"/>
  <c r="BH31" i="2"/>
  <c r="BI31" i="2"/>
  <c r="BJ31" i="2"/>
  <c r="BK31" i="2"/>
  <c r="BL31" i="2"/>
  <c r="AI32" i="2"/>
  <c r="AJ32" i="2"/>
  <c r="AK32" i="2"/>
  <c r="AL32" i="2"/>
  <c r="AM32" i="2"/>
  <c r="AN32" i="2"/>
  <c r="AO32" i="2"/>
  <c r="AP32" i="2"/>
  <c r="AQ32" i="2"/>
  <c r="AR32" i="2"/>
  <c r="AS32" i="2"/>
  <c r="AT32" i="2"/>
  <c r="AU32" i="2"/>
  <c r="AV32" i="2"/>
  <c r="AW32" i="2"/>
  <c r="AX32" i="2"/>
  <c r="AY32" i="2"/>
  <c r="AZ32" i="2"/>
  <c r="BA32" i="2"/>
  <c r="BB32" i="2"/>
  <c r="BC32" i="2"/>
  <c r="BD32" i="2"/>
  <c r="BE32" i="2"/>
  <c r="BF32" i="2"/>
  <c r="BG32" i="2"/>
  <c r="BH32" i="2"/>
  <c r="BI32" i="2"/>
  <c r="BJ32" i="2"/>
  <c r="BK32" i="2"/>
  <c r="BL32" i="2"/>
  <c r="AI33" i="2"/>
  <c r="AJ33" i="2"/>
  <c r="AK33" i="2"/>
  <c r="AL33" i="2"/>
  <c r="AM33" i="2"/>
  <c r="AN33" i="2"/>
  <c r="AO33" i="2"/>
  <c r="AP33" i="2"/>
  <c r="AQ33" i="2"/>
  <c r="AR33" i="2"/>
  <c r="AS33" i="2"/>
  <c r="AT33" i="2"/>
  <c r="AU33" i="2"/>
  <c r="AV33" i="2"/>
  <c r="AW33" i="2"/>
  <c r="AX33" i="2"/>
  <c r="AY33" i="2"/>
  <c r="AZ33" i="2"/>
  <c r="BA33" i="2"/>
  <c r="BB33" i="2"/>
  <c r="BC33" i="2"/>
  <c r="BD33" i="2"/>
  <c r="BE33" i="2"/>
  <c r="BF33" i="2"/>
  <c r="BG33" i="2"/>
  <c r="BH33" i="2"/>
  <c r="BI33" i="2"/>
  <c r="BJ33" i="2"/>
  <c r="BK33" i="2"/>
  <c r="BL33" i="2"/>
  <c r="AI34" i="2"/>
  <c r="AJ34" i="2"/>
  <c r="AK34" i="2"/>
  <c r="AL34" i="2"/>
  <c r="AM34" i="2"/>
  <c r="AN34" i="2"/>
  <c r="AO34" i="2"/>
  <c r="AP34" i="2"/>
  <c r="AQ34" i="2"/>
  <c r="AR34" i="2"/>
  <c r="AS34" i="2"/>
  <c r="AT34" i="2"/>
  <c r="AU34" i="2"/>
  <c r="AV34" i="2"/>
  <c r="AW34" i="2"/>
  <c r="AX34" i="2"/>
  <c r="AY34" i="2"/>
  <c r="AZ34" i="2"/>
  <c r="BA34" i="2"/>
  <c r="BB34" i="2"/>
  <c r="BC34" i="2"/>
  <c r="BD34" i="2"/>
  <c r="BE34" i="2"/>
  <c r="BF34" i="2"/>
  <c r="BG34" i="2"/>
  <c r="BH34" i="2"/>
  <c r="BI34" i="2"/>
  <c r="BJ34" i="2"/>
  <c r="BK34" i="2"/>
  <c r="BL34" i="2"/>
  <c r="AI35" i="2"/>
  <c r="AJ35" i="2"/>
  <c r="AK35" i="2"/>
  <c r="AL35" i="2"/>
  <c r="AM35" i="2"/>
  <c r="AN35" i="2"/>
  <c r="AO35" i="2"/>
  <c r="AP35" i="2"/>
  <c r="AQ35" i="2"/>
  <c r="AR35" i="2"/>
  <c r="AS35" i="2"/>
  <c r="AT35" i="2"/>
  <c r="AU35" i="2"/>
  <c r="AV35" i="2"/>
  <c r="AW35" i="2"/>
  <c r="AX35" i="2"/>
  <c r="AY35" i="2"/>
  <c r="AZ35" i="2"/>
  <c r="BA35" i="2"/>
  <c r="BB35" i="2"/>
  <c r="BC35" i="2"/>
  <c r="BD35" i="2"/>
  <c r="BE35" i="2"/>
  <c r="BF35" i="2"/>
  <c r="BG35" i="2"/>
  <c r="BH35" i="2"/>
  <c r="BI35" i="2"/>
  <c r="BJ35" i="2"/>
  <c r="BK35" i="2"/>
  <c r="BL35" i="2"/>
  <c r="AI36" i="2"/>
  <c r="AJ36" i="2"/>
  <c r="AK36" i="2"/>
  <c r="AL36" i="2"/>
  <c r="AM36" i="2"/>
  <c r="AN36" i="2"/>
  <c r="AO36" i="2"/>
  <c r="AP36" i="2"/>
  <c r="AQ36" i="2"/>
  <c r="AR36" i="2"/>
  <c r="AS36" i="2"/>
  <c r="AT36" i="2"/>
  <c r="AU36" i="2"/>
  <c r="AV36" i="2"/>
  <c r="AW36" i="2"/>
  <c r="AX36" i="2"/>
  <c r="AY36" i="2"/>
  <c r="AZ36" i="2"/>
  <c r="BA36" i="2"/>
  <c r="BB36" i="2"/>
  <c r="BC36" i="2"/>
  <c r="BD36" i="2"/>
  <c r="BE36" i="2"/>
  <c r="BF36" i="2"/>
  <c r="BG36" i="2"/>
  <c r="BH36" i="2"/>
  <c r="BI36" i="2"/>
  <c r="BJ36" i="2"/>
  <c r="BK36" i="2"/>
  <c r="BL36" i="2"/>
  <c r="AI37" i="2"/>
  <c r="AJ37" i="2"/>
  <c r="AK37" i="2"/>
  <c r="AL37" i="2"/>
  <c r="AM37" i="2"/>
  <c r="AN37" i="2"/>
  <c r="AO37" i="2"/>
  <c r="AP37" i="2"/>
  <c r="AQ37" i="2"/>
  <c r="AR37" i="2"/>
  <c r="AS37" i="2"/>
  <c r="AT37" i="2"/>
  <c r="AU37" i="2"/>
  <c r="AV37" i="2"/>
  <c r="AW37" i="2"/>
  <c r="AX37" i="2"/>
  <c r="AY37" i="2"/>
  <c r="AZ37" i="2"/>
  <c r="BA37" i="2"/>
  <c r="BB37" i="2"/>
  <c r="BC37" i="2"/>
  <c r="BD37" i="2"/>
  <c r="BE37" i="2"/>
  <c r="BF37" i="2"/>
  <c r="BG37" i="2"/>
  <c r="BH37" i="2"/>
  <c r="BI37" i="2"/>
  <c r="BJ37" i="2"/>
  <c r="BK37" i="2"/>
  <c r="BL37" i="2"/>
  <c r="AI38" i="2"/>
  <c r="AJ38" i="2"/>
  <c r="AK38" i="2"/>
  <c r="AL38" i="2"/>
  <c r="AM38" i="2"/>
  <c r="AN38" i="2"/>
  <c r="AO38" i="2"/>
  <c r="AP38" i="2"/>
  <c r="AQ38" i="2"/>
  <c r="AR38" i="2"/>
  <c r="AS38" i="2"/>
  <c r="AT38" i="2"/>
  <c r="AU38" i="2"/>
  <c r="AV38" i="2"/>
  <c r="AW38" i="2"/>
  <c r="AX38" i="2"/>
  <c r="AY38" i="2"/>
  <c r="AZ38" i="2"/>
  <c r="BA38" i="2"/>
  <c r="BB38" i="2"/>
  <c r="BC38" i="2"/>
  <c r="BD38" i="2"/>
  <c r="BE38" i="2"/>
  <c r="BF38" i="2"/>
  <c r="BG38" i="2"/>
  <c r="BH38" i="2"/>
  <c r="BI38" i="2"/>
  <c r="BJ38" i="2"/>
  <c r="BK38" i="2"/>
  <c r="BL38" i="2"/>
  <c r="AI39" i="2"/>
  <c r="AJ39" i="2"/>
  <c r="AK39" i="2"/>
  <c r="AL39" i="2"/>
  <c r="AM39" i="2"/>
  <c r="AN39" i="2"/>
  <c r="AO39" i="2"/>
  <c r="AP39" i="2"/>
  <c r="AQ39" i="2"/>
  <c r="AR39" i="2"/>
  <c r="AS39" i="2"/>
  <c r="AT39" i="2"/>
  <c r="AU39" i="2"/>
  <c r="AV39" i="2"/>
  <c r="AW39" i="2"/>
  <c r="AX39" i="2"/>
  <c r="AY39" i="2"/>
  <c r="AZ39" i="2"/>
  <c r="BA39" i="2"/>
  <c r="BB39" i="2"/>
  <c r="BC39" i="2"/>
  <c r="BD39" i="2"/>
  <c r="BE39" i="2"/>
  <c r="BF39" i="2"/>
  <c r="BG39" i="2"/>
  <c r="BH39" i="2"/>
  <c r="BI39" i="2"/>
  <c r="BJ39" i="2"/>
  <c r="BK39" i="2"/>
  <c r="BL39" i="2"/>
  <c r="AI40" i="2"/>
  <c r="AJ40" i="2"/>
  <c r="AK40" i="2"/>
  <c r="AL40" i="2"/>
  <c r="AM40" i="2"/>
  <c r="AN40" i="2"/>
  <c r="AO40" i="2"/>
  <c r="AP40" i="2"/>
  <c r="AQ40" i="2"/>
  <c r="AR40" i="2"/>
  <c r="AS40" i="2"/>
  <c r="AT40" i="2"/>
  <c r="AU40" i="2"/>
  <c r="AV40" i="2"/>
  <c r="AW40" i="2"/>
  <c r="AX40" i="2"/>
  <c r="AY40" i="2"/>
  <c r="AZ40" i="2"/>
  <c r="BA40" i="2"/>
  <c r="BB40" i="2"/>
  <c r="BC40" i="2"/>
  <c r="BD40" i="2"/>
  <c r="BE40" i="2"/>
  <c r="BF40" i="2"/>
  <c r="BG40" i="2"/>
  <c r="BH40" i="2"/>
  <c r="BI40" i="2"/>
  <c r="BJ40" i="2"/>
  <c r="BK40" i="2"/>
  <c r="BL40" i="2"/>
  <c r="AI41" i="2"/>
  <c r="AJ41" i="2"/>
  <c r="AK41" i="2"/>
  <c r="AL41" i="2"/>
  <c r="AM41" i="2"/>
  <c r="AN41" i="2"/>
  <c r="AO41" i="2"/>
  <c r="AP41" i="2"/>
  <c r="AQ41" i="2"/>
  <c r="AR41" i="2"/>
  <c r="AS41" i="2"/>
  <c r="AT41" i="2"/>
  <c r="AU41" i="2"/>
  <c r="AV41" i="2"/>
  <c r="AW41" i="2"/>
  <c r="AX41" i="2"/>
  <c r="AY41" i="2"/>
  <c r="AZ41" i="2"/>
  <c r="BA41" i="2"/>
  <c r="BB41" i="2"/>
  <c r="BC41" i="2"/>
  <c r="BD41" i="2"/>
  <c r="BE41" i="2"/>
  <c r="BF41" i="2"/>
  <c r="BG41" i="2"/>
  <c r="BH41" i="2"/>
  <c r="BI41" i="2"/>
  <c r="BJ41" i="2"/>
  <c r="BK41" i="2"/>
  <c r="BL41" i="2"/>
  <c r="AI42" i="2"/>
  <c r="AJ42" i="2"/>
  <c r="AK42" i="2"/>
  <c r="AL42" i="2"/>
  <c r="AM42" i="2"/>
  <c r="AN42" i="2"/>
  <c r="AO42" i="2"/>
  <c r="AP42" i="2"/>
  <c r="AQ42" i="2"/>
  <c r="AR42" i="2"/>
  <c r="AS42" i="2"/>
  <c r="AT42" i="2"/>
  <c r="AU42" i="2"/>
  <c r="AV42" i="2"/>
  <c r="AW42" i="2"/>
  <c r="AX42" i="2"/>
  <c r="AY42" i="2"/>
  <c r="AZ42" i="2"/>
  <c r="BA42" i="2"/>
  <c r="BB42" i="2"/>
  <c r="BC42" i="2"/>
  <c r="BD42" i="2"/>
  <c r="BE42" i="2"/>
  <c r="BF42" i="2"/>
  <c r="BG42" i="2"/>
  <c r="BH42" i="2"/>
  <c r="BI42" i="2"/>
  <c r="BJ42" i="2"/>
  <c r="BK42" i="2"/>
  <c r="BL42" i="2"/>
  <c r="AI43" i="2"/>
  <c r="AJ43" i="2"/>
  <c r="AK43" i="2"/>
  <c r="AL43" i="2"/>
  <c r="AM43" i="2"/>
  <c r="AN43" i="2"/>
  <c r="AO43" i="2"/>
  <c r="AP43" i="2"/>
  <c r="AQ43" i="2"/>
  <c r="AR43" i="2"/>
  <c r="AS43" i="2"/>
  <c r="AT43" i="2"/>
  <c r="AU43" i="2"/>
  <c r="AV43" i="2"/>
  <c r="AW43" i="2"/>
  <c r="AX43" i="2"/>
  <c r="AY43" i="2"/>
  <c r="AZ43" i="2"/>
  <c r="BA43" i="2"/>
  <c r="BB43" i="2"/>
  <c r="BC43" i="2"/>
  <c r="BD43" i="2"/>
  <c r="BE43" i="2"/>
  <c r="BF43" i="2"/>
  <c r="BG43" i="2"/>
  <c r="BH43" i="2"/>
  <c r="BI43" i="2"/>
  <c r="BJ43" i="2"/>
  <c r="BK43" i="2"/>
  <c r="BL43" i="2"/>
  <c r="AI44" i="2"/>
  <c r="AJ44" i="2"/>
  <c r="AK44" i="2"/>
  <c r="AL44" i="2"/>
  <c r="AM44" i="2"/>
  <c r="AN44" i="2"/>
  <c r="AO44" i="2"/>
  <c r="AP44" i="2"/>
  <c r="AQ44" i="2"/>
  <c r="AR44" i="2"/>
  <c r="AS44" i="2"/>
  <c r="AT44" i="2"/>
  <c r="AU44" i="2"/>
  <c r="AV44" i="2"/>
  <c r="AW44" i="2"/>
  <c r="AX44" i="2"/>
  <c r="AY44" i="2"/>
  <c r="AZ44" i="2"/>
  <c r="BA44" i="2"/>
  <c r="BB44" i="2"/>
  <c r="BC44" i="2"/>
  <c r="BD44" i="2"/>
  <c r="BE44" i="2"/>
  <c r="BF44" i="2"/>
  <c r="BG44" i="2"/>
  <c r="BH44" i="2"/>
  <c r="BI44" i="2"/>
  <c r="BJ44" i="2"/>
  <c r="BK44" i="2"/>
  <c r="BL44" i="2"/>
  <c r="AI45" i="2"/>
  <c r="AJ45" i="2"/>
  <c r="AK45" i="2"/>
  <c r="AL45" i="2"/>
  <c r="AM45" i="2"/>
  <c r="AN45" i="2"/>
  <c r="AO45" i="2"/>
  <c r="AP45" i="2"/>
  <c r="AQ45" i="2"/>
  <c r="AR45" i="2"/>
  <c r="AS45" i="2"/>
  <c r="AT45" i="2"/>
  <c r="AU45" i="2"/>
  <c r="AV45" i="2"/>
  <c r="AW45" i="2"/>
  <c r="AX45" i="2"/>
  <c r="AY45" i="2"/>
  <c r="AZ45" i="2"/>
  <c r="BA45" i="2"/>
  <c r="BB45" i="2"/>
  <c r="BC45" i="2"/>
  <c r="BD45" i="2"/>
  <c r="BE45" i="2"/>
  <c r="BF45" i="2"/>
  <c r="BG45" i="2"/>
  <c r="BH45" i="2"/>
  <c r="BI45" i="2"/>
  <c r="BJ45" i="2"/>
  <c r="BK45" i="2"/>
  <c r="BL45" i="2"/>
  <c r="AI46" i="2"/>
  <c r="AJ46" i="2"/>
  <c r="AK46" i="2"/>
  <c r="AL46" i="2"/>
  <c r="AM46" i="2"/>
  <c r="AN46" i="2"/>
  <c r="AO46" i="2"/>
  <c r="AP46" i="2"/>
  <c r="AQ46" i="2"/>
  <c r="AR46" i="2"/>
  <c r="AS46" i="2"/>
  <c r="AT46" i="2"/>
  <c r="AU46" i="2"/>
  <c r="AV46" i="2"/>
  <c r="AW46" i="2"/>
  <c r="AX46" i="2"/>
  <c r="AY46" i="2"/>
  <c r="AZ46" i="2"/>
  <c r="BA46" i="2"/>
  <c r="BB46" i="2"/>
  <c r="BC46" i="2"/>
  <c r="BD46" i="2"/>
  <c r="BE46" i="2"/>
  <c r="BF46" i="2"/>
  <c r="BG46" i="2"/>
  <c r="BH46" i="2"/>
  <c r="BI46" i="2"/>
  <c r="BJ46" i="2"/>
  <c r="BK46" i="2"/>
  <c r="BL46" i="2"/>
  <c r="AI47" i="2"/>
  <c r="AJ47" i="2"/>
  <c r="AK47" i="2"/>
  <c r="AL47" i="2"/>
  <c r="AM47" i="2"/>
  <c r="AN47" i="2"/>
  <c r="AO47" i="2"/>
  <c r="AP47" i="2"/>
  <c r="AQ47" i="2"/>
  <c r="AR47" i="2"/>
  <c r="AS47" i="2"/>
  <c r="AT47" i="2"/>
  <c r="AU47" i="2"/>
  <c r="AV47" i="2"/>
  <c r="AW47" i="2"/>
  <c r="AX47" i="2"/>
  <c r="AY47" i="2"/>
  <c r="AZ47" i="2"/>
  <c r="BA47" i="2"/>
  <c r="BB47" i="2"/>
  <c r="BC47" i="2"/>
  <c r="BD47" i="2"/>
  <c r="BE47" i="2"/>
  <c r="BF47" i="2"/>
  <c r="BG47" i="2"/>
  <c r="BH47" i="2"/>
  <c r="BI47" i="2"/>
  <c r="BJ47" i="2"/>
  <c r="BK47" i="2"/>
  <c r="BL47" i="2"/>
  <c r="AI48" i="2"/>
  <c r="AJ48" i="2"/>
  <c r="AK48" i="2"/>
  <c r="AL48" i="2"/>
  <c r="AM48" i="2"/>
  <c r="AN48" i="2"/>
  <c r="AO48" i="2"/>
  <c r="AP48" i="2"/>
  <c r="AQ48" i="2"/>
  <c r="AR48" i="2"/>
  <c r="AS48" i="2"/>
  <c r="AT48" i="2"/>
  <c r="AU48" i="2"/>
  <c r="AV48" i="2"/>
  <c r="AW48" i="2"/>
  <c r="AX48" i="2"/>
  <c r="AY48" i="2"/>
  <c r="AZ48" i="2"/>
  <c r="BA48" i="2"/>
  <c r="BB48" i="2"/>
  <c r="BC48" i="2"/>
  <c r="BD48" i="2"/>
  <c r="BE48" i="2"/>
  <c r="BF48" i="2"/>
  <c r="BG48" i="2"/>
  <c r="BH48" i="2"/>
  <c r="BI48" i="2"/>
  <c r="BJ48" i="2"/>
  <c r="BK48" i="2"/>
  <c r="BL48" i="2"/>
  <c r="AI49" i="2"/>
  <c r="AJ49" i="2"/>
  <c r="AK49" i="2"/>
  <c r="AL49" i="2"/>
  <c r="AM49" i="2"/>
  <c r="AN49" i="2"/>
  <c r="AO49" i="2"/>
  <c r="AP49" i="2"/>
  <c r="AQ49" i="2"/>
  <c r="AR49" i="2"/>
  <c r="AS49" i="2"/>
  <c r="AT49" i="2"/>
  <c r="AU49" i="2"/>
  <c r="AV49" i="2"/>
  <c r="AW49" i="2"/>
  <c r="AX49" i="2"/>
  <c r="AY49" i="2"/>
  <c r="AZ49" i="2"/>
  <c r="BA49" i="2"/>
  <c r="BB49" i="2"/>
  <c r="BC49" i="2"/>
  <c r="BD49" i="2"/>
  <c r="BE49" i="2"/>
  <c r="BF49" i="2"/>
  <c r="BG49" i="2"/>
  <c r="BH49" i="2"/>
  <c r="BI49" i="2"/>
  <c r="BJ49" i="2"/>
  <c r="BK49" i="2"/>
  <c r="BL49" i="2"/>
  <c r="AI50" i="2"/>
  <c r="AJ50" i="2"/>
  <c r="AK50" i="2"/>
  <c r="AL50" i="2"/>
  <c r="AM50" i="2"/>
  <c r="AN50" i="2"/>
  <c r="AO50" i="2"/>
  <c r="AP50" i="2"/>
  <c r="AQ50" i="2"/>
  <c r="AR50" i="2"/>
  <c r="AS50" i="2"/>
  <c r="AT50" i="2"/>
  <c r="AU50" i="2"/>
  <c r="AV50" i="2"/>
  <c r="AW50" i="2"/>
  <c r="AX50" i="2"/>
  <c r="AY50" i="2"/>
  <c r="AZ50" i="2"/>
  <c r="BA50" i="2"/>
  <c r="BB50" i="2"/>
  <c r="BC50" i="2"/>
  <c r="BD50" i="2"/>
  <c r="BE50" i="2"/>
  <c r="BF50" i="2"/>
  <c r="BG50" i="2"/>
  <c r="BH50" i="2"/>
  <c r="BI50" i="2"/>
  <c r="BJ50" i="2"/>
  <c r="BK50" i="2"/>
  <c r="BL50" i="2"/>
  <c r="AI51" i="2"/>
  <c r="AJ51" i="2"/>
  <c r="AK51" i="2"/>
  <c r="AL51" i="2"/>
  <c r="AM51" i="2"/>
  <c r="AN51" i="2"/>
  <c r="AO51" i="2"/>
  <c r="AP51" i="2"/>
  <c r="AQ51" i="2"/>
  <c r="AR51" i="2"/>
  <c r="AS51" i="2"/>
  <c r="AT51" i="2"/>
  <c r="AU51" i="2"/>
  <c r="AV51" i="2"/>
  <c r="AW51" i="2"/>
  <c r="AX51" i="2"/>
  <c r="AY51" i="2"/>
  <c r="AZ51" i="2"/>
  <c r="BA51" i="2"/>
  <c r="BB51" i="2"/>
  <c r="BC51" i="2"/>
  <c r="BD51" i="2"/>
  <c r="BE51" i="2"/>
  <c r="BF51" i="2"/>
  <c r="BG51" i="2"/>
  <c r="BH51" i="2"/>
  <c r="BI51" i="2"/>
  <c r="BJ51" i="2"/>
  <c r="BK51" i="2"/>
  <c r="BL51" i="2"/>
  <c r="AI52" i="2"/>
  <c r="AJ52" i="2"/>
  <c r="AK52" i="2"/>
  <c r="AL52" i="2"/>
  <c r="AM52" i="2"/>
  <c r="AN52" i="2"/>
  <c r="AO52" i="2"/>
  <c r="AP52" i="2"/>
  <c r="AQ52" i="2"/>
  <c r="AR52" i="2"/>
  <c r="AS52" i="2"/>
  <c r="AT52" i="2"/>
  <c r="AU52" i="2"/>
  <c r="AV52" i="2"/>
  <c r="AW52" i="2"/>
  <c r="AX52" i="2"/>
  <c r="AY52" i="2"/>
  <c r="AZ52" i="2"/>
  <c r="BA52" i="2"/>
  <c r="BB52" i="2"/>
  <c r="BC52" i="2"/>
  <c r="BD52" i="2"/>
  <c r="BE52" i="2"/>
  <c r="BF52" i="2"/>
  <c r="BG52" i="2"/>
  <c r="BH52" i="2"/>
  <c r="BI52" i="2"/>
  <c r="BJ52" i="2"/>
  <c r="BK52" i="2"/>
  <c r="BL52" i="2"/>
  <c r="AI53" i="2"/>
  <c r="AJ53" i="2"/>
  <c r="AK53" i="2"/>
  <c r="AL53" i="2"/>
  <c r="AM53" i="2"/>
  <c r="AN53" i="2"/>
  <c r="AO53" i="2"/>
  <c r="AP53" i="2"/>
  <c r="AQ53" i="2"/>
  <c r="AR53" i="2"/>
  <c r="AS53" i="2"/>
  <c r="AT53" i="2"/>
  <c r="AU53" i="2"/>
  <c r="AV53" i="2"/>
  <c r="AW53" i="2"/>
  <c r="AX53" i="2"/>
  <c r="AY53" i="2"/>
  <c r="AZ53" i="2"/>
  <c r="BA53" i="2"/>
  <c r="BB53" i="2"/>
  <c r="BC53" i="2"/>
  <c r="BD53" i="2"/>
  <c r="BE53" i="2"/>
  <c r="BF53" i="2"/>
  <c r="BG53" i="2"/>
  <c r="BH53" i="2"/>
  <c r="BI53" i="2"/>
  <c r="BJ53" i="2"/>
  <c r="BK53" i="2"/>
  <c r="BL53" i="2"/>
  <c r="AI54" i="2"/>
  <c r="AJ54" i="2"/>
  <c r="AK54" i="2"/>
  <c r="AL54" i="2"/>
  <c r="AM54" i="2"/>
  <c r="AN54" i="2"/>
  <c r="AO54" i="2"/>
  <c r="AP54" i="2"/>
  <c r="AQ54" i="2"/>
  <c r="AR54" i="2"/>
  <c r="AS54" i="2"/>
  <c r="AT54" i="2"/>
  <c r="AU54" i="2"/>
  <c r="AV54" i="2"/>
  <c r="AW54" i="2"/>
  <c r="AX54" i="2"/>
  <c r="AY54" i="2"/>
  <c r="AZ54" i="2"/>
  <c r="BA54" i="2"/>
  <c r="BB54" i="2"/>
  <c r="BC54" i="2"/>
  <c r="BD54" i="2"/>
  <c r="BE54" i="2"/>
  <c r="BF54" i="2"/>
  <c r="BG54" i="2"/>
  <c r="BH54" i="2"/>
  <c r="BI54" i="2"/>
  <c r="BJ54" i="2"/>
  <c r="BK54" i="2"/>
  <c r="BL54" i="2"/>
  <c r="AI55" i="2"/>
  <c r="AJ55" i="2"/>
  <c r="AK55" i="2"/>
  <c r="AL55" i="2"/>
  <c r="AM55" i="2"/>
  <c r="AN55" i="2"/>
  <c r="AO55" i="2"/>
  <c r="AP55" i="2"/>
  <c r="AQ55" i="2"/>
  <c r="AR55" i="2"/>
  <c r="AS55" i="2"/>
  <c r="AT55" i="2"/>
  <c r="AU55" i="2"/>
  <c r="AV55" i="2"/>
  <c r="AW55" i="2"/>
  <c r="AX55" i="2"/>
  <c r="AY55" i="2"/>
  <c r="AZ55" i="2"/>
  <c r="BA55" i="2"/>
  <c r="BB55" i="2"/>
  <c r="BC55" i="2"/>
  <c r="BD55" i="2"/>
  <c r="BE55" i="2"/>
  <c r="BF55" i="2"/>
  <c r="BG55" i="2"/>
  <c r="BH55" i="2"/>
  <c r="BI55" i="2"/>
  <c r="BJ55" i="2"/>
  <c r="BK55" i="2"/>
  <c r="BL55" i="2"/>
  <c r="AI56" i="2"/>
  <c r="AJ56" i="2"/>
  <c r="AK56" i="2"/>
  <c r="AL56" i="2"/>
  <c r="AM56" i="2"/>
  <c r="AN56" i="2"/>
  <c r="AO56" i="2"/>
  <c r="AP56" i="2"/>
  <c r="AQ56" i="2"/>
  <c r="AR56" i="2"/>
  <c r="AS56" i="2"/>
  <c r="AT56" i="2"/>
  <c r="AU56" i="2"/>
  <c r="AV56" i="2"/>
  <c r="AW56" i="2"/>
  <c r="AX56" i="2"/>
  <c r="AY56" i="2"/>
  <c r="AZ56" i="2"/>
  <c r="BA56" i="2"/>
  <c r="BB56" i="2"/>
  <c r="BC56" i="2"/>
  <c r="BD56" i="2"/>
  <c r="BE56" i="2"/>
  <c r="BF56" i="2"/>
  <c r="BG56" i="2"/>
  <c r="BH56" i="2"/>
  <c r="BI56" i="2"/>
  <c r="BJ56" i="2"/>
  <c r="BK56" i="2"/>
  <c r="BL56" i="2"/>
  <c r="AI57" i="2"/>
  <c r="AJ57" i="2"/>
  <c r="AK57" i="2"/>
  <c r="AL57" i="2"/>
  <c r="AM57" i="2"/>
  <c r="AN57" i="2"/>
  <c r="AO57" i="2"/>
  <c r="AP57" i="2"/>
  <c r="AQ57" i="2"/>
  <c r="AR57" i="2"/>
  <c r="AS57" i="2"/>
  <c r="AT57" i="2"/>
  <c r="AU57" i="2"/>
  <c r="AV57" i="2"/>
  <c r="AW57" i="2"/>
  <c r="AX57" i="2"/>
  <c r="AY57" i="2"/>
  <c r="AZ57" i="2"/>
  <c r="BA57" i="2"/>
  <c r="BB57" i="2"/>
  <c r="BC57" i="2"/>
  <c r="BD57" i="2"/>
  <c r="BE57" i="2"/>
  <c r="BF57" i="2"/>
  <c r="BG57" i="2"/>
  <c r="BH57" i="2"/>
  <c r="BI57" i="2"/>
  <c r="BJ57" i="2"/>
  <c r="BK57" i="2"/>
  <c r="BL57" i="2"/>
  <c r="AI58" i="2"/>
  <c r="AJ58" i="2"/>
  <c r="AK58" i="2"/>
  <c r="AL58" i="2"/>
  <c r="AM58" i="2"/>
  <c r="AN58" i="2"/>
  <c r="AO58" i="2"/>
  <c r="AP58" i="2"/>
  <c r="AQ58" i="2"/>
  <c r="AR58" i="2"/>
  <c r="AS58" i="2"/>
  <c r="AT58" i="2"/>
  <c r="AU58" i="2"/>
  <c r="AV58" i="2"/>
  <c r="AW58" i="2"/>
  <c r="AX58" i="2"/>
  <c r="AY58" i="2"/>
  <c r="AZ58" i="2"/>
  <c r="BA58" i="2"/>
  <c r="BB58" i="2"/>
  <c r="BC58" i="2"/>
  <c r="BD58" i="2"/>
  <c r="BE58" i="2"/>
  <c r="BF58" i="2"/>
  <c r="BG58" i="2"/>
  <c r="BH58" i="2"/>
  <c r="BI58" i="2"/>
  <c r="BJ58" i="2"/>
  <c r="BK58" i="2"/>
  <c r="BL58" i="2"/>
  <c r="AI59" i="2"/>
  <c r="AJ59" i="2"/>
  <c r="AK59" i="2"/>
  <c r="AL59" i="2"/>
  <c r="AM59" i="2"/>
  <c r="AN59" i="2"/>
  <c r="AO59" i="2"/>
  <c r="AP59" i="2"/>
  <c r="AQ59" i="2"/>
  <c r="AR59" i="2"/>
  <c r="AS59" i="2"/>
  <c r="AT59" i="2"/>
  <c r="AU59" i="2"/>
  <c r="AV59" i="2"/>
  <c r="AW59" i="2"/>
  <c r="AX59" i="2"/>
  <c r="AY59" i="2"/>
  <c r="AZ59" i="2"/>
  <c r="BA59" i="2"/>
  <c r="BB59" i="2"/>
  <c r="BC59" i="2"/>
  <c r="BD59" i="2"/>
  <c r="BE59" i="2"/>
  <c r="BF59" i="2"/>
  <c r="BG59" i="2"/>
  <c r="BH59" i="2"/>
  <c r="BI59" i="2"/>
  <c r="BJ59" i="2"/>
  <c r="BK59" i="2"/>
  <c r="BL59" i="2"/>
  <c r="AI60" i="2"/>
  <c r="AJ60" i="2"/>
  <c r="AK60" i="2"/>
  <c r="AL60" i="2"/>
  <c r="AM60" i="2"/>
  <c r="AN60" i="2"/>
  <c r="AO60" i="2"/>
  <c r="AP60" i="2"/>
  <c r="AQ60" i="2"/>
  <c r="AR60" i="2"/>
  <c r="AS60" i="2"/>
  <c r="AT60" i="2"/>
  <c r="AU60" i="2"/>
  <c r="AV60" i="2"/>
  <c r="AW60" i="2"/>
  <c r="AX60" i="2"/>
  <c r="AY60" i="2"/>
  <c r="AZ60" i="2"/>
  <c r="BA60" i="2"/>
  <c r="BB60" i="2"/>
  <c r="BC60" i="2"/>
  <c r="BD60" i="2"/>
  <c r="BE60" i="2"/>
  <c r="BF60" i="2"/>
  <c r="BG60" i="2"/>
  <c r="BH60" i="2"/>
  <c r="BI60" i="2"/>
  <c r="BJ60" i="2"/>
  <c r="BK60" i="2"/>
  <c r="BL60" i="2"/>
  <c r="AI61" i="2"/>
  <c r="AJ61" i="2"/>
  <c r="AK61" i="2"/>
  <c r="AL61" i="2"/>
  <c r="AM61" i="2"/>
  <c r="AN61" i="2"/>
  <c r="AO61" i="2"/>
  <c r="AP61" i="2"/>
  <c r="AQ61" i="2"/>
  <c r="AR61" i="2"/>
  <c r="AS61" i="2"/>
  <c r="AT61" i="2"/>
  <c r="AU61" i="2"/>
  <c r="AV61" i="2"/>
  <c r="AW61" i="2"/>
  <c r="AX61" i="2"/>
  <c r="AY61" i="2"/>
  <c r="AZ61" i="2"/>
  <c r="BA61" i="2"/>
  <c r="BB61" i="2"/>
  <c r="BC61" i="2"/>
  <c r="BD61" i="2"/>
  <c r="BE61" i="2"/>
  <c r="BF61" i="2"/>
  <c r="BG61" i="2"/>
  <c r="BH61" i="2"/>
  <c r="BI61" i="2"/>
  <c r="BJ61" i="2"/>
  <c r="BK61" i="2"/>
  <c r="BL61" i="2"/>
  <c r="AI62" i="2"/>
  <c r="AJ62" i="2"/>
  <c r="AK62" i="2"/>
  <c r="AL62" i="2"/>
  <c r="AM62" i="2"/>
  <c r="AN62" i="2"/>
  <c r="AO62" i="2"/>
  <c r="AP62" i="2"/>
  <c r="AQ62" i="2"/>
  <c r="AR62" i="2"/>
  <c r="AS62" i="2"/>
  <c r="AT62" i="2"/>
  <c r="AU62" i="2"/>
  <c r="AV62" i="2"/>
  <c r="AW62" i="2"/>
  <c r="AX62" i="2"/>
  <c r="AY62" i="2"/>
  <c r="AZ62" i="2"/>
  <c r="BA62" i="2"/>
  <c r="BB62" i="2"/>
  <c r="BC62" i="2"/>
  <c r="BD62" i="2"/>
  <c r="BE62" i="2"/>
  <c r="BF62" i="2"/>
  <c r="BG62" i="2"/>
  <c r="BH62" i="2"/>
  <c r="BI62" i="2"/>
  <c r="BJ62" i="2"/>
  <c r="BK62" i="2"/>
  <c r="BL62" i="2"/>
  <c r="AI63" i="2"/>
  <c r="AJ63" i="2"/>
  <c r="AK63" i="2"/>
  <c r="AL63" i="2"/>
  <c r="AM63" i="2"/>
  <c r="AN63" i="2"/>
  <c r="AO63" i="2"/>
  <c r="AP63" i="2"/>
  <c r="AQ63" i="2"/>
  <c r="AR63" i="2"/>
  <c r="AS63" i="2"/>
  <c r="AT63" i="2"/>
  <c r="AU63" i="2"/>
  <c r="AV63" i="2"/>
  <c r="AW63" i="2"/>
  <c r="AX63" i="2"/>
  <c r="AY63" i="2"/>
  <c r="AZ63" i="2"/>
  <c r="BA63" i="2"/>
  <c r="BB63" i="2"/>
  <c r="BC63" i="2"/>
  <c r="BD63" i="2"/>
  <c r="BE63" i="2"/>
  <c r="BF63" i="2"/>
  <c r="BG63" i="2"/>
  <c r="BH63" i="2"/>
  <c r="BI63" i="2"/>
  <c r="BJ63" i="2"/>
  <c r="BK63" i="2"/>
  <c r="BL63" i="2"/>
  <c r="AI64" i="2"/>
  <c r="AJ64" i="2"/>
  <c r="AK64" i="2"/>
  <c r="AL64" i="2"/>
  <c r="AM64" i="2"/>
  <c r="AN64" i="2"/>
  <c r="AO64" i="2"/>
  <c r="AP64" i="2"/>
  <c r="AQ64" i="2"/>
  <c r="AR64" i="2"/>
  <c r="AS64" i="2"/>
  <c r="AT64" i="2"/>
  <c r="AU64" i="2"/>
  <c r="AV64" i="2"/>
  <c r="AW64" i="2"/>
  <c r="AX64" i="2"/>
  <c r="AY64" i="2"/>
  <c r="AZ64" i="2"/>
  <c r="BA64" i="2"/>
  <c r="BB64" i="2"/>
  <c r="BC64" i="2"/>
  <c r="BD64" i="2"/>
  <c r="BE64" i="2"/>
  <c r="BF64" i="2"/>
  <c r="BG64" i="2"/>
  <c r="BH64" i="2"/>
  <c r="BI64" i="2"/>
  <c r="BJ64" i="2"/>
  <c r="BK64" i="2"/>
  <c r="BL64" i="2"/>
  <c r="AI65" i="2"/>
  <c r="AJ65" i="2"/>
  <c r="AK65" i="2"/>
  <c r="AL65" i="2"/>
  <c r="AM65" i="2"/>
  <c r="AN65" i="2"/>
  <c r="AO65" i="2"/>
  <c r="AP65" i="2"/>
  <c r="AQ65" i="2"/>
  <c r="AR65" i="2"/>
  <c r="AS65" i="2"/>
  <c r="AT65" i="2"/>
  <c r="AU65" i="2"/>
  <c r="AV65" i="2"/>
  <c r="AW65" i="2"/>
  <c r="AX65" i="2"/>
  <c r="AY65" i="2"/>
  <c r="AZ65" i="2"/>
  <c r="BA65" i="2"/>
  <c r="BB65" i="2"/>
  <c r="BC65" i="2"/>
  <c r="BD65" i="2"/>
  <c r="BE65" i="2"/>
  <c r="BF65" i="2"/>
  <c r="BG65" i="2"/>
  <c r="BH65" i="2"/>
  <c r="BI65" i="2"/>
  <c r="BJ65" i="2"/>
  <c r="BK65" i="2"/>
  <c r="BL65" i="2"/>
  <c r="AI66" i="2"/>
  <c r="AJ66" i="2"/>
  <c r="AK66" i="2"/>
  <c r="AL66" i="2"/>
  <c r="AM66" i="2"/>
  <c r="AN66" i="2"/>
  <c r="AO66" i="2"/>
  <c r="AP66" i="2"/>
  <c r="AQ66" i="2"/>
  <c r="AR66" i="2"/>
  <c r="AS66" i="2"/>
  <c r="AT66" i="2"/>
  <c r="AU66" i="2"/>
  <c r="AV66" i="2"/>
  <c r="AW66" i="2"/>
  <c r="AX66" i="2"/>
  <c r="AY66" i="2"/>
  <c r="AZ66" i="2"/>
  <c r="BA66" i="2"/>
  <c r="BB66" i="2"/>
  <c r="BC66" i="2"/>
  <c r="BD66" i="2"/>
  <c r="BE66" i="2"/>
  <c r="BF66" i="2"/>
  <c r="BG66" i="2"/>
  <c r="BH66" i="2"/>
  <c r="BI66" i="2"/>
  <c r="BJ66" i="2"/>
  <c r="BK66" i="2"/>
  <c r="BL66" i="2"/>
  <c r="AI67" i="2"/>
  <c r="AJ67" i="2"/>
  <c r="AK67" i="2"/>
  <c r="AL67" i="2"/>
  <c r="AM67" i="2"/>
  <c r="AN67" i="2"/>
  <c r="AO67" i="2"/>
  <c r="AP67" i="2"/>
  <c r="AQ67" i="2"/>
  <c r="AR67" i="2"/>
  <c r="AS67" i="2"/>
  <c r="AT67" i="2"/>
  <c r="AU67" i="2"/>
  <c r="AV67" i="2"/>
  <c r="AW67" i="2"/>
  <c r="AX67" i="2"/>
  <c r="AY67" i="2"/>
  <c r="AZ67" i="2"/>
  <c r="BA67" i="2"/>
  <c r="BB67" i="2"/>
  <c r="BC67" i="2"/>
  <c r="BD67" i="2"/>
  <c r="BE67" i="2"/>
  <c r="BF67" i="2"/>
  <c r="BG67" i="2"/>
  <c r="BH67" i="2"/>
  <c r="BI67" i="2"/>
  <c r="BJ67" i="2"/>
  <c r="BK67" i="2"/>
  <c r="BL67" i="2"/>
  <c r="AI68" i="2"/>
  <c r="AJ68" i="2"/>
  <c r="AK68" i="2"/>
  <c r="AL68" i="2"/>
  <c r="AM68" i="2"/>
  <c r="AN68" i="2"/>
  <c r="AO68" i="2"/>
  <c r="AP68" i="2"/>
  <c r="AQ68" i="2"/>
  <c r="AR68" i="2"/>
  <c r="AS68" i="2"/>
  <c r="AT68" i="2"/>
  <c r="AU68" i="2"/>
  <c r="AV68" i="2"/>
  <c r="AW68" i="2"/>
  <c r="AX68" i="2"/>
  <c r="AY68" i="2"/>
  <c r="AZ68" i="2"/>
  <c r="BA68" i="2"/>
  <c r="BB68" i="2"/>
  <c r="BC68" i="2"/>
  <c r="BD68" i="2"/>
  <c r="BE68" i="2"/>
  <c r="BF68" i="2"/>
  <c r="BG68" i="2"/>
  <c r="BH68" i="2"/>
  <c r="BI68" i="2"/>
  <c r="BJ68" i="2"/>
  <c r="BK68" i="2"/>
  <c r="BL68" i="2"/>
  <c r="AI69" i="2"/>
  <c r="AJ69" i="2"/>
  <c r="AK69" i="2"/>
  <c r="AL69" i="2"/>
  <c r="AM69" i="2"/>
  <c r="AN69" i="2"/>
  <c r="AO69" i="2"/>
  <c r="AP69" i="2"/>
  <c r="AQ69" i="2"/>
  <c r="AR69" i="2"/>
  <c r="AS69" i="2"/>
  <c r="AT69" i="2"/>
  <c r="AU69" i="2"/>
  <c r="AV69" i="2"/>
  <c r="AW69" i="2"/>
  <c r="AX69" i="2"/>
  <c r="AY69" i="2"/>
  <c r="AZ69" i="2"/>
  <c r="BA69" i="2"/>
  <c r="BB69" i="2"/>
  <c r="BC69" i="2"/>
  <c r="BD69" i="2"/>
  <c r="BE69" i="2"/>
  <c r="BF69" i="2"/>
  <c r="BG69" i="2"/>
  <c r="BH69" i="2"/>
  <c r="BI69" i="2"/>
  <c r="BJ69" i="2"/>
  <c r="BK69" i="2"/>
  <c r="BL69" i="2"/>
  <c r="AI70" i="2"/>
  <c r="AJ70" i="2"/>
  <c r="AK70" i="2"/>
  <c r="AL70" i="2"/>
  <c r="AM70" i="2"/>
  <c r="AN70" i="2"/>
  <c r="AO70" i="2"/>
  <c r="AP70" i="2"/>
  <c r="AQ70" i="2"/>
  <c r="AR70" i="2"/>
  <c r="AS70" i="2"/>
  <c r="AT70" i="2"/>
  <c r="AU70" i="2"/>
  <c r="AV70" i="2"/>
  <c r="AW70" i="2"/>
  <c r="AX70" i="2"/>
  <c r="AY70" i="2"/>
  <c r="AZ70" i="2"/>
  <c r="BA70" i="2"/>
  <c r="BB70" i="2"/>
  <c r="BC70" i="2"/>
  <c r="BD70" i="2"/>
  <c r="BE70" i="2"/>
  <c r="BF70" i="2"/>
  <c r="BG70" i="2"/>
  <c r="BH70" i="2"/>
  <c r="BI70" i="2"/>
  <c r="BJ70" i="2"/>
  <c r="BK70" i="2"/>
  <c r="BL70" i="2"/>
  <c r="AI71" i="2"/>
  <c r="AJ71" i="2"/>
  <c r="AK71" i="2"/>
  <c r="AL71" i="2"/>
  <c r="AM71" i="2"/>
  <c r="AN71" i="2"/>
  <c r="AO71" i="2"/>
  <c r="AP71" i="2"/>
  <c r="AQ71" i="2"/>
  <c r="AR71" i="2"/>
  <c r="AS71" i="2"/>
  <c r="AT71" i="2"/>
  <c r="AU71" i="2"/>
  <c r="AV71" i="2"/>
  <c r="AW71" i="2"/>
  <c r="AX71" i="2"/>
  <c r="AY71" i="2"/>
  <c r="AZ71" i="2"/>
  <c r="BA71" i="2"/>
  <c r="BB71" i="2"/>
  <c r="BC71" i="2"/>
  <c r="BD71" i="2"/>
  <c r="BE71" i="2"/>
  <c r="BF71" i="2"/>
  <c r="BG71" i="2"/>
  <c r="BH71" i="2"/>
  <c r="BI71" i="2"/>
  <c r="BJ71" i="2"/>
  <c r="BK71" i="2"/>
  <c r="BL71" i="2"/>
  <c r="AI72" i="2"/>
  <c r="AJ72" i="2"/>
  <c r="AK72" i="2"/>
  <c r="AL72" i="2"/>
  <c r="AM72" i="2"/>
  <c r="AN72" i="2"/>
  <c r="AO72" i="2"/>
  <c r="AP72" i="2"/>
  <c r="AQ72" i="2"/>
  <c r="AR72" i="2"/>
  <c r="AS72" i="2"/>
  <c r="AT72" i="2"/>
  <c r="AU72" i="2"/>
  <c r="AV72" i="2"/>
  <c r="AW72" i="2"/>
  <c r="AX72" i="2"/>
  <c r="AY72" i="2"/>
  <c r="AZ72" i="2"/>
  <c r="BA72" i="2"/>
  <c r="BB72" i="2"/>
  <c r="BC72" i="2"/>
  <c r="BD72" i="2"/>
  <c r="BE72" i="2"/>
  <c r="BF72" i="2"/>
  <c r="BG72" i="2"/>
  <c r="BH72" i="2"/>
  <c r="BI72" i="2"/>
  <c r="BJ72" i="2"/>
  <c r="BK72" i="2"/>
  <c r="BL72" i="2"/>
  <c r="AI73" i="2"/>
  <c r="AJ73" i="2"/>
  <c r="AK73" i="2"/>
  <c r="AL73" i="2"/>
  <c r="AM73" i="2"/>
  <c r="AN73" i="2"/>
  <c r="AO73" i="2"/>
  <c r="AP73" i="2"/>
  <c r="AQ73" i="2"/>
  <c r="AR73" i="2"/>
  <c r="AS73" i="2"/>
  <c r="AT73" i="2"/>
  <c r="AU73" i="2"/>
  <c r="AV73" i="2"/>
  <c r="AW73" i="2"/>
  <c r="AX73" i="2"/>
  <c r="AY73" i="2"/>
  <c r="AZ73" i="2"/>
  <c r="BA73" i="2"/>
  <c r="BB73" i="2"/>
  <c r="BC73" i="2"/>
  <c r="BD73" i="2"/>
  <c r="BE73" i="2"/>
  <c r="BF73" i="2"/>
  <c r="BG73" i="2"/>
  <c r="BH73" i="2"/>
  <c r="BI73" i="2"/>
  <c r="BJ73" i="2"/>
  <c r="BK73" i="2"/>
  <c r="BL73" i="2"/>
  <c r="AI74" i="2"/>
  <c r="AJ74" i="2"/>
  <c r="AK74" i="2"/>
  <c r="AL74" i="2"/>
  <c r="AM74" i="2"/>
  <c r="AN74" i="2"/>
  <c r="AO74" i="2"/>
  <c r="AP74" i="2"/>
  <c r="AQ74" i="2"/>
  <c r="AR74" i="2"/>
  <c r="AS74" i="2"/>
  <c r="AT74" i="2"/>
  <c r="AU74" i="2"/>
  <c r="AV74" i="2"/>
  <c r="AW74" i="2"/>
  <c r="AX74" i="2"/>
  <c r="AY74" i="2"/>
  <c r="AZ74" i="2"/>
  <c r="BA74" i="2"/>
  <c r="BB74" i="2"/>
  <c r="BC74" i="2"/>
  <c r="BD74" i="2"/>
  <c r="BE74" i="2"/>
  <c r="BF74" i="2"/>
  <c r="BG74" i="2"/>
  <c r="BH74" i="2"/>
  <c r="BI74" i="2"/>
  <c r="BJ74" i="2"/>
  <c r="BK74" i="2"/>
  <c r="BL74" i="2"/>
  <c r="AI75" i="2"/>
  <c r="AJ75" i="2"/>
  <c r="AK75" i="2"/>
  <c r="AL75" i="2"/>
  <c r="AM75" i="2"/>
  <c r="AN75" i="2"/>
  <c r="AO75" i="2"/>
  <c r="AP75" i="2"/>
  <c r="AQ75" i="2"/>
  <c r="AR75" i="2"/>
  <c r="AS75" i="2"/>
  <c r="AT75" i="2"/>
  <c r="AU75" i="2"/>
  <c r="AV75" i="2"/>
  <c r="AW75" i="2"/>
  <c r="AX75" i="2"/>
  <c r="AY75" i="2"/>
  <c r="AZ75" i="2"/>
  <c r="BA75" i="2"/>
  <c r="BB75" i="2"/>
  <c r="BC75" i="2"/>
  <c r="BD75" i="2"/>
  <c r="BE75" i="2"/>
  <c r="BF75" i="2"/>
  <c r="BG75" i="2"/>
  <c r="BH75" i="2"/>
  <c r="BI75" i="2"/>
  <c r="BJ75" i="2"/>
  <c r="BK75" i="2"/>
  <c r="BL75" i="2"/>
  <c r="AI76" i="2"/>
  <c r="AJ76" i="2"/>
  <c r="AK76" i="2"/>
  <c r="AL76" i="2"/>
  <c r="AM76" i="2"/>
  <c r="AN76" i="2"/>
  <c r="AO76" i="2"/>
  <c r="AP76" i="2"/>
  <c r="AQ76" i="2"/>
  <c r="AR76" i="2"/>
  <c r="AS76" i="2"/>
  <c r="AT76" i="2"/>
  <c r="AU76" i="2"/>
  <c r="AV76" i="2"/>
  <c r="AW76" i="2"/>
  <c r="AX76" i="2"/>
  <c r="AY76" i="2"/>
  <c r="AZ76" i="2"/>
  <c r="BA76" i="2"/>
  <c r="BB76" i="2"/>
  <c r="BC76" i="2"/>
  <c r="BD76" i="2"/>
  <c r="BE76" i="2"/>
  <c r="BF76" i="2"/>
  <c r="BG76" i="2"/>
  <c r="BH76" i="2"/>
  <c r="BI76" i="2"/>
  <c r="BJ76" i="2"/>
  <c r="BK76" i="2"/>
  <c r="BL76" i="2"/>
  <c r="AI77" i="2"/>
  <c r="AJ77" i="2"/>
  <c r="AK77" i="2"/>
  <c r="AL77" i="2"/>
  <c r="AM77" i="2"/>
  <c r="AN77" i="2"/>
  <c r="AO77" i="2"/>
  <c r="AP77" i="2"/>
  <c r="AQ77" i="2"/>
  <c r="AR77" i="2"/>
  <c r="AS77" i="2"/>
  <c r="AT77" i="2"/>
  <c r="AU77" i="2"/>
  <c r="AV77" i="2"/>
  <c r="AW77" i="2"/>
  <c r="AX77" i="2"/>
  <c r="AY77" i="2"/>
  <c r="AZ77" i="2"/>
  <c r="BA77" i="2"/>
  <c r="BB77" i="2"/>
  <c r="BC77" i="2"/>
  <c r="BD77" i="2"/>
  <c r="BE77" i="2"/>
  <c r="BF77" i="2"/>
  <c r="BG77" i="2"/>
  <c r="BH77" i="2"/>
  <c r="BI77" i="2"/>
  <c r="BJ77" i="2"/>
  <c r="BK77" i="2"/>
  <c r="BL77" i="2"/>
  <c r="AI78" i="2"/>
  <c r="AJ78" i="2"/>
  <c r="AK78" i="2"/>
  <c r="AL78" i="2"/>
  <c r="AM78" i="2"/>
  <c r="AN78" i="2"/>
  <c r="AO78" i="2"/>
  <c r="AP78" i="2"/>
  <c r="AQ78" i="2"/>
  <c r="AR78" i="2"/>
  <c r="AS78" i="2"/>
  <c r="AT78" i="2"/>
  <c r="AU78" i="2"/>
  <c r="AV78" i="2"/>
  <c r="AW78" i="2"/>
  <c r="AX78" i="2"/>
  <c r="AY78" i="2"/>
  <c r="AZ78" i="2"/>
  <c r="BA78" i="2"/>
  <c r="BB78" i="2"/>
  <c r="BC78" i="2"/>
  <c r="BD78" i="2"/>
  <c r="BE78" i="2"/>
  <c r="BF78" i="2"/>
  <c r="BG78" i="2"/>
  <c r="BH78" i="2"/>
  <c r="BI78" i="2"/>
  <c r="BJ78" i="2"/>
  <c r="BK78" i="2"/>
  <c r="BL78" i="2"/>
  <c r="AI79" i="2"/>
  <c r="AJ79" i="2"/>
  <c r="AK79" i="2"/>
  <c r="AL79" i="2"/>
  <c r="AM79" i="2"/>
  <c r="AN79" i="2"/>
  <c r="AO79" i="2"/>
  <c r="AP79" i="2"/>
  <c r="AQ79" i="2"/>
  <c r="AR79" i="2"/>
  <c r="AS79" i="2"/>
  <c r="AT79" i="2"/>
  <c r="AU79" i="2"/>
  <c r="AV79" i="2"/>
  <c r="AW79" i="2"/>
  <c r="AX79" i="2"/>
  <c r="AY79" i="2"/>
  <c r="AZ79" i="2"/>
  <c r="BA79" i="2"/>
  <c r="BB79" i="2"/>
  <c r="BC79" i="2"/>
  <c r="BD79" i="2"/>
  <c r="BE79" i="2"/>
  <c r="BF79" i="2"/>
  <c r="BG79" i="2"/>
  <c r="BH79" i="2"/>
  <c r="BI79" i="2"/>
  <c r="BJ79" i="2"/>
  <c r="BK79" i="2"/>
  <c r="BL79" i="2"/>
  <c r="AI80" i="2"/>
  <c r="AJ80" i="2"/>
  <c r="AK80" i="2"/>
  <c r="AL80" i="2"/>
  <c r="AM80" i="2"/>
  <c r="AN80" i="2"/>
  <c r="AO80" i="2"/>
  <c r="AP80" i="2"/>
  <c r="AQ80" i="2"/>
  <c r="AR80" i="2"/>
  <c r="AS80" i="2"/>
  <c r="AT80" i="2"/>
  <c r="AU80" i="2"/>
  <c r="AV80" i="2"/>
  <c r="AW80" i="2"/>
  <c r="AX80" i="2"/>
  <c r="AY80" i="2"/>
  <c r="AZ80" i="2"/>
  <c r="BA80" i="2"/>
  <c r="BB80" i="2"/>
  <c r="BC80" i="2"/>
  <c r="BD80" i="2"/>
  <c r="BE80" i="2"/>
  <c r="BF80" i="2"/>
  <c r="BG80" i="2"/>
  <c r="BH80" i="2"/>
  <c r="BI80" i="2"/>
  <c r="BJ80" i="2"/>
  <c r="BK80" i="2"/>
  <c r="BL80" i="2"/>
  <c r="AI81" i="2"/>
  <c r="AJ81" i="2"/>
  <c r="AK81" i="2"/>
  <c r="AL81" i="2"/>
  <c r="AM81" i="2"/>
  <c r="AN81" i="2"/>
  <c r="AO81" i="2"/>
  <c r="AP81" i="2"/>
  <c r="AQ81" i="2"/>
  <c r="AR81" i="2"/>
  <c r="AS81" i="2"/>
  <c r="AT81" i="2"/>
  <c r="AU81" i="2"/>
  <c r="AV81" i="2"/>
  <c r="AW81" i="2"/>
  <c r="AX81" i="2"/>
  <c r="AY81" i="2"/>
  <c r="AZ81" i="2"/>
  <c r="BA81" i="2"/>
  <c r="BB81" i="2"/>
  <c r="BC81" i="2"/>
  <c r="BD81" i="2"/>
  <c r="BE81" i="2"/>
  <c r="BF81" i="2"/>
  <c r="BG81" i="2"/>
  <c r="BH81" i="2"/>
  <c r="BI81" i="2"/>
  <c r="BJ81" i="2"/>
  <c r="BK81" i="2"/>
  <c r="BL81" i="2"/>
  <c r="AI82" i="2"/>
  <c r="AJ82" i="2"/>
  <c r="AK82" i="2"/>
  <c r="AL82" i="2"/>
  <c r="AM82" i="2"/>
  <c r="AN82" i="2"/>
  <c r="AO82" i="2"/>
  <c r="AP82" i="2"/>
  <c r="AQ82" i="2"/>
  <c r="AR82" i="2"/>
  <c r="AS82" i="2"/>
  <c r="AT82" i="2"/>
  <c r="AU82" i="2"/>
  <c r="AV82" i="2"/>
  <c r="AW82" i="2"/>
  <c r="AX82" i="2"/>
  <c r="AY82" i="2"/>
  <c r="AZ82" i="2"/>
  <c r="BA82" i="2"/>
  <c r="BB82" i="2"/>
  <c r="BC82" i="2"/>
  <c r="BD82" i="2"/>
  <c r="BE82" i="2"/>
  <c r="BF82" i="2"/>
  <c r="BG82" i="2"/>
  <c r="BH82" i="2"/>
  <c r="BI82" i="2"/>
  <c r="BJ82" i="2"/>
  <c r="BK82" i="2"/>
  <c r="BL82" i="2"/>
  <c r="AI83" i="2"/>
  <c r="AJ83" i="2"/>
  <c r="AK83" i="2"/>
  <c r="AL83" i="2"/>
  <c r="AM83" i="2"/>
  <c r="AN83" i="2"/>
  <c r="AO83" i="2"/>
  <c r="AP83" i="2"/>
  <c r="AQ83" i="2"/>
  <c r="AR83" i="2"/>
  <c r="AS83" i="2"/>
  <c r="AT83" i="2"/>
  <c r="AU83" i="2"/>
  <c r="AV83" i="2"/>
  <c r="AW83" i="2"/>
  <c r="AX83" i="2"/>
  <c r="AY83" i="2"/>
  <c r="AZ83" i="2"/>
  <c r="BA83" i="2"/>
  <c r="BB83" i="2"/>
  <c r="BC83" i="2"/>
  <c r="BD83" i="2"/>
  <c r="BE83" i="2"/>
  <c r="BF83" i="2"/>
  <c r="BG83" i="2"/>
  <c r="BH83" i="2"/>
  <c r="BI83" i="2"/>
  <c r="BJ83" i="2"/>
  <c r="BK83" i="2"/>
  <c r="BL83" i="2"/>
  <c r="AI84" i="2"/>
  <c r="AJ84" i="2"/>
  <c r="AK84" i="2"/>
  <c r="AL84" i="2"/>
  <c r="AM84" i="2"/>
  <c r="AN84" i="2"/>
  <c r="AO84" i="2"/>
  <c r="AP84" i="2"/>
  <c r="AQ84" i="2"/>
  <c r="AR84" i="2"/>
  <c r="AS84" i="2"/>
  <c r="AT84" i="2"/>
  <c r="AU84" i="2"/>
  <c r="AV84" i="2"/>
  <c r="AW84" i="2"/>
  <c r="AX84" i="2"/>
  <c r="AY84" i="2"/>
  <c r="AZ84" i="2"/>
  <c r="BA84" i="2"/>
  <c r="BB84" i="2"/>
  <c r="BC84" i="2"/>
  <c r="BD84" i="2"/>
  <c r="BE84" i="2"/>
  <c r="BF84" i="2"/>
  <c r="BG84" i="2"/>
  <c r="BH84" i="2"/>
  <c r="BI84" i="2"/>
  <c r="BJ84" i="2"/>
  <c r="BK84" i="2"/>
  <c r="BL84" i="2"/>
  <c r="AI85" i="2"/>
  <c r="AJ85" i="2"/>
  <c r="AK85" i="2"/>
  <c r="AL85" i="2"/>
  <c r="AM85" i="2"/>
  <c r="AN85" i="2"/>
  <c r="AO85" i="2"/>
  <c r="AP85" i="2"/>
  <c r="AQ85" i="2"/>
  <c r="AR85" i="2"/>
  <c r="AS85" i="2"/>
  <c r="AT85" i="2"/>
  <c r="AU85" i="2"/>
  <c r="AV85" i="2"/>
  <c r="AW85" i="2"/>
  <c r="AX85" i="2"/>
  <c r="AY85" i="2"/>
  <c r="AZ85" i="2"/>
  <c r="BA85" i="2"/>
  <c r="BB85" i="2"/>
  <c r="BC85" i="2"/>
  <c r="BD85" i="2"/>
  <c r="BE85" i="2"/>
  <c r="BF85" i="2"/>
  <c r="BG85" i="2"/>
  <c r="BH85" i="2"/>
  <c r="BI85" i="2"/>
  <c r="BJ85" i="2"/>
  <c r="BK85" i="2"/>
  <c r="BL85" i="2"/>
  <c r="AI86" i="2"/>
  <c r="AJ86" i="2"/>
  <c r="AK86" i="2"/>
  <c r="AL86" i="2"/>
  <c r="AM86" i="2"/>
  <c r="AN86" i="2"/>
  <c r="AO86" i="2"/>
  <c r="AP86" i="2"/>
  <c r="AQ86" i="2"/>
  <c r="AR86" i="2"/>
  <c r="AS86" i="2"/>
  <c r="AT86" i="2"/>
  <c r="AU86" i="2"/>
  <c r="AV86" i="2"/>
  <c r="AW86" i="2"/>
  <c r="AX86" i="2"/>
  <c r="AY86" i="2"/>
  <c r="AZ86" i="2"/>
  <c r="BA86" i="2"/>
  <c r="BB86" i="2"/>
  <c r="BC86" i="2"/>
  <c r="BD86" i="2"/>
  <c r="BE86" i="2"/>
  <c r="BF86" i="2"/>
  <c r="BG86" i="2"/>
  <c r="BH86" i="2"/>
  <c r="BI86" i="2"/>
  <c r="BJ86" i="2"/>
  <c r="BK86" i="2"/>
  <c r="BL86" i="2"/>
  <c r="AI87" i="2"/>
  <c r="AJ87" i="2"/>
  <c r="AK87" i="2"/>
  <c r="AL87" i="2"/>
  <c r="AM87" i="2"/>
  <c r="AN87" i="2"/>
  <c r="AO87" i="2"/>
  <c r="AP87" i="2"/>
  <c r="AQ87" i="2"/>
  <c r="AR87" i="2"/>
  <c r="AS87" i="2"/>
  <c r="AT87" i="2"/>
  <c r="AU87" i="2"/>
  <c r="AV87" i="2"/>
  <c r="AW87" i="2"/>
  <c r="AX87" i="2"/>
  <c r="AY87" i="2"/>
  <c r="AZ87" i="2"/>
  <c r="BA87" i="2"/>
  <c r="BB87" i="2"/>
  <c r="BC87" i="2"/>
  <c r="BD87" i="2"/>
  <c r="BE87" i="2"/>
  <c r="BF87" i="2"/>
  <c r="BG87" i="2"/>
  <c r="BH87" i="2"/>
  <c r="BI87" i="2"/>
  <c r="BJ87" i="2"/>
  <c r="BK87" i="2"/>
  <c r="BL87" i="2"/>
  <c r="AI88" i="2"/>
  <c r="AJ88" i="2"/>
  <c r="AK88" i="2"/>
  <c r="AL88" i="2"/>
  <c r="AM88" i="2"/>
  <c r="AN88" i="2"/>
  <c r="AO88" i="2"/>
  <c r="AP88" i="2"/>
  <c r="AQ88" i="2"/>
  <c r="AR88" i="2"/>
  <c r="AS88" i="2"/>
  <c r="AT88" i="2"/>
  <c r="AU88" i="2"/>
  <c r="AV88" i="2"/>
  <c r="AW88" i="2"/>
  <c r="AX88" i="2"/>
  <c r="AY88" i="2"/>
  <c r="AZ88" i="2"/>
  <c r="BA88" i="2"/>
  <c r="BB88" i="2"/>
  <c r="BC88" i="2"/>
  <c r="BD88" i="2"/>
  <c r="BE88" i="2"/>
  <c r="BF88" i="2"/>
  <c r="BG88" i="2"/>
  <c r="BH88" i="2"/>
  <c r="BI88" i="2"/>
  <c r="BJ88" i="2"/>
  <c r="BK88" i="2"/>
  <c r="BL88" i="2"/>
  <c r="AI89" i="2"/>
  <c r="AJ89" i="2"/>
  <c r="AK89" i="2"/>
  <c r="AL89" i="2"/>
  <c r="AM89" i="2"/>
  <c r="AN89" i="2"/>
  <c r="AO89" i="2"/>
  <c r="AP89" i="2"/>
  <c r="AQ89" i="2"/>
  <c r="AR89" i="2"/>
  <c r="AS89" i="2"/>
  <c r="AT89" i="2"/>
  <c r="AU89" i="2"/>
  <c r="AV89" i="2"/>
  <c r="AW89" i="2"/>
  <c r="AX89" i="2"/>
  <c r="AY89" i="2"/>
  <c r="AZ89" i="2"/>
  <c r="BA89" i="2"/>
  <c r="BB89" i="2"/>
  <c r="BC89" i="2"/>
  <c r="BD89" i="2"/>
  <c r="BE89" i="2"/>
  <c r="BF89" i="2"/>
  <c r="BG89" i="2"/>
  <c r="BH89" i="2"/>
  <c r="BI89" i="2"/>
  <c r="BJ89" i="2"/>
  <c r="BK89" i="2"/>
  <c r="BL89" i="2"/>
  <c r="AI90" i="2"/>
  <c r="AJ90" i="2"/>
  <c r="AK90" i="2"/>
  <c r="AL90" i="2"/>
  <c r="AM90" i="2"/>
  <c r="AN90" i="2"/>
  <c r="AO90" i="2"/>
  <c r="AP90" i="2"/>
  <c r="AQ90" i="2"/>
  <c r="AR90" i="2"/>
  <c r="AS90" i="2"/>
  <c r="AT90" i="2"/>
  <c r="AU90" i="2"/>
  <c r="AV90" i="2"/>
  <c r="AW90" i="2"/>
  <c r="AX90" i="2"/>
  <c r="AY90" i="2"/>
  <c r="AZ90" i="2"/>
  <c r="BA90" i="2"/>
  <c r="BB90" i="2"/>
  <c r="BC90" i="2"/>
  <c r="BD90" i="2"/>
  <c r="BE90" i="2"/>
  <c r="BF90" i="2"/>
  <c r="BG90" i="2"/>
  <c r="BH90" i="2"/>
  <c r="BI90" i="2"/>
  <c r="BJ90" i="2"/>
  <c r="BK90" i="2"/>
  <c r="BL90" i="2"/>
  <c r="AI91" i="2"/>
  <c r="AJ91" i="2"/>
  <c r="AK91" i="2"/>
  <c r="AL91" i="2"/>
  <c r="AM91" i="2"/>
  <c r="AN91" i="2"/>
  <c r="AO91" i="2"/>
  <c r="AP91" i="2"/>
  <c r="AQ91" i="2"/>
  <c r="AR91" i="2"/>
  <c r="AS91" i="2"/>
  <c r="AT91" i="2"/>
  <c r="AU91" i="2"/>
  <c r="AV91" i="2"/>
  <c r="AW91" i="2"/>
  <c r="AX91" i="2"/>
  <c r="AY91" i="2"/>
  <c r="AZ91" i="2"/>
  <c r="BA91" i="2"/>
  <c r="BB91" i="2"/>
  <c r="BC91" i="2"/>
  <c r="BD91" i="2"/>
  <c r="BE91" i="2"/>
  <c r="BF91" i="2"/>
  <c r="BG91" i="2"/>
  <c r="BH91" i="2"/>
  <c r="BI91" i="2"/>
  <c r="BJ91" i="2"/>
  <c r="BK91" i="2"/>
  <c r="BL91" i="2"/>
  <c r="AI92" i="2"/>
  <c r="AJ92" i="2"/>
  <c r="AK92" i="2"/>
  <c r="AL92" i="2"/>
  <c r="AM92" i="2"/>
  <c r="AN92" i="2"/>
  <c r="AO92" i="2"/>
  <c r="AP92" i="2"/>
  <c r="AQ92" i="2"/>
  <c r="AR92" i="2"/>
  <c r="AS92" i="2"/>
  <c r="AT92" i="2"/>
  <c r="AU92" i="2"/>
  <c r="AV92" i="2"/>
  <c r="AW92" i="2"/>
  <c r="AX92" i="2"/>
  <c r="AY92" i="2"/>
  <c r="AZ92" i="2"/>
  <c r="BA92" i="2"/>
  <c r="BB92" i="2"/>
  <c r="BC92" i="2"/>
  <c r="BD92" i="2"/>
  <c r="BE92" i="2"/>
  <c r="BF92" i="2"/>
  <c r="BG92" i="2"/>
  <c r="BH92" i="2"/>
  <c r="BI92" i="2"/>
  <c r="BJ92" i="2"/>
  <c r="BK92" i="2"/>
  <c r="BL92" i="2"/>
  <c r="AI93" i="2"/>
  <c r="AJ93" i="2"/>
  <c r="AK93" i="2"/>
  <c r="AL93" i="2"/>
  <c r="AM93" i="2"/>
  <c r="AN93" i="2"/>
  <c r="AO93" i="2"/>
  <c r="AP93" i="2"/>
  <c r="AQ93" i="2"/>
  <c r="AR93" i="2"/>
  <c r="AS93" i="2"/>
  <c r="AT93" i="2"/>
  <c r="AU93" i="2"/>
  <c r="AV93" i="2"/>
  <c r="AW93" i="2"/>
  <c r="AX93" i="2"/>
  <c r="AY93" i="2"/>
  <c r="AZ93" i="2"/>
  <c r="BA93" i="2"/>
  <c r="BB93" i="2"/>
  <c r="BC93" i="2"/>
  <c r="BD93" i="2"/>
  <c r="BE93" i="2"/>
  <c r="BF93" i="2"/>
  <c r="BG93" i="2"/>
  <c r="BH93" i="2"/>
  <c r="BI93" i="2"/>
  <c r="BJ93" i="2"/>
  <c r="BK93" i="2"/>
  <c r="BL93" i="2"/>
  <c r="AI94" i="2"/>
  <c r="AJ94" i="2"/>
  <c r="AK94" i="2"/>
  <c r="AL94" i="2"/>
  <c r="AM94" i="2"/>
  <c r="AN94" i="2"/>
  <c r="AO94" i="2"/>
  <c r="AP94" i="2"/>
  <c r="AQ94" i="2"/>
  <c r="AR94" i="2"/>
  <c r="AS94" i="2"/>
  <c r="AT94" i="2"/>
  <c r="AU94" i="2"/>
  <c r="AV94" i="2"/>
  <c r="AW94" i="2"/>
  <c r="AX94" i="2"/>
  <c r="AY94" i="2"/>
  <c r="AZ94" i="2"/>
  <c r="BA94" i="2"/>
  <c r="BB94" i="2"/>
  <c r="BC94" i="2"/>
  <c r="BD94" i="2"/>
  <c r="BE94" i="2"/>
  <c r="BF94" i="2"/>
  <c r="BG94" i="2"/>
  <c r="BH94" i="2"/>
  <c r="BI94" i="2"/>
  <c r="BJ94" i="2"/>
  <c r="BK94" i="2"/>
  <c r="BL94" i="2"/>
  <c r="AI95" i="2"/>
  <c r="AJ95" i="2"/>
  <c r="AK95" i="2"/>
  <c r="AL95" i="2"/>
  <c r="AM95" i="2"/>
  <c r="AN95" i="2"/>
  <c r="AO95" i="2"/>
  <c r="AP95" i="2"/>
  <c r="AQ95" i="2"/>
  <c r="AR95" i="2"/>
  <c r="AS95" i="2"/>
  <c r="AT95" i="2"/>
  <c r="AU95" i="2"/>
  <c r="AV95" i="2"/>
  <c r="AW95" i="2"/>
  <c r="AX95" i="2"/>
  <c r="AY95" i="2"/>
  <c r="AZ95" i="2"/>
  <c r="BA95" i="2"/>
  <c r="BB95" i="2"/>
  <c r="BC95" i="2"/>
  <c r="BD95" i="2"/>
  <c r="BE95" i="2"/>
  <c r="BF95" i="2"/>
  <c r="BG95" i="2"/>
  <c r="BH95" i="2"/>
  <c r="BI95" i="2"/>
  <c r="BJ95" i="2"/>
  <c r="BK95" i="2"/>
  <c r="BL95" i="2"/>
  <c r="AI96" i="2"/>
  <c r="AJ96" i="2"/>
  <c r="AK96" i="2"/>
  <c r="AL96" i="2"/>
  <c r="AM96" i="2"/>
  <c r="AN96" i="2"/>
  <c r="AO96" i="2"/>
  <c r="AP96" i="2"/>
  <c r="AQ96" i="2"/>
  <c r="AR96" i="2"/>
  <c r="AS96" i="2"/>
  <c r="AT96" i="2"/>
  <c r="AU96" i="2"/>
  <c r="AV96" i="2"/>
  <c r="AW96" i="2"/>
  <c r="AX96" i="2"/>
  <c r="AY96" i="2"/>
  <c r="AZ96" i="2"/>
  <c r="BA96" i="2"/>
  <c r="BB96" i="2"/>
  <c r="BC96" i="2"/>
  <c r="BD96" i="2"/>
  <c r="BE96" i="2"/>
  <c r="BF96" i="2"/>
  <c r="BG96" i="2"/>
  <c r="BH96" i="2"/>
  <c r="BI96" i="2"/>
  <c r="BJ96" i="2"/>
  <c r="BK96" i="2"/>
  <c r="BL96" i="2"/>
  <c r="AI97" i="2"/>
  <c r="AJ97" i="2"/>
  <c r="AK97" i="2"/>
  <c r="AL97" i="2"/>
  <c r="AM97" i="2"/>
  <c r="AN97" i="2"/>
  <c r="AO97" i="2"/>
  <c r="AP97" i="2"/>
  <c r="AQ97" i="2"/>
  <c r="AR97" i="2"/>
  <c r="AS97" i="2"/>
  <c r="AT97" i="2"/>
  <c r="AU97" i="2"/>
  <c r="AV97" i="2"/>
  <c r="AW97" i="2"/>
  <c r="AX97" i="2"/>
  <c r="AY97" i="2"/>
  <c r="AZ97" i="2"/>
  <c r="BA97" i="2"/>
  <c r="BB97" i="2"/>
  <c r="BC97" i="2"/>
  <c r="BD97" i="2"/>
  <c r="BE97" i="2"/>
  <c r="BF97" i="2"/>
  <c r="BG97" i="2"/>
  <c r="BH97" i="2"/>
  <c r="BI97" i="2"/>
  <c r="BJ97" i="2"/>
  <c r="BK97" i="2"/>
  <c r="BL97" i="2"/>
  <c r="AI98" i="2"/>
  <c r="AJ98" i="2"/>
  <c r="AK98" i="2"/>
  <c r="AL98" i="2"/>
  <c r="AM98" i="2"/>
  <c r="AN98" i="2"/>
  <c r="AO98" i="2"/>
  <c r="AP98" i="2"/>
  <c r="AQ98" i="2"/>
  <c r="AR98" i="2"/>
  <c r="AS98" i="2"/>
  <c r="AT98" i="2"/>
  <c r="AU98" i="2"/>
  <c r="AV98" i="2"/>
  <c r="AW98" i="2"/>
  <c r="AX98" i="2"/>
  <c r="AY98" i="2"/>
  <c r="AZ98" i="2"/>
  <c r="BA98" i="2"/>
  <c r="BB98" i="2"/>
  <c r="BC98" i="2"/>
  <c r="BD98" i="2"/>
  <c r="BE98" i="2"/>
  <c r="BF98" i="2"/>
  <c r="BG98" i="2"/>
  <c r="BH98" i="2"/>
  <c r="BI98" i="2"/>
  <c r="BJ98" i="2"/>
  <c r="BK98" i="2"/>
  <c r="BL98" i="2"/>
  <c r="AI99" i="2"/>
  <c r="AJ99" i="2"/>
  <c r="AK99" i="2"/>
  <c r="AL99" i="2"/>
  <c r="AM99" i="2"/>
  <c r="AN99" i="2"/>
  <c r="AO99" i="2"/>
  <c r="AP99" i="2"/>
  <c r="AQ99" i="2"/>
  <c r="AR99" i="2"/>
  <c r="AS99" i="2"/>
  <c r="AT99" i="2"/>
  <c r="AU99" i="2"/>
  <c r="AV99" i="2"/>
  <c r="AW99" i="2"/>
  <c r="AX99" i="2"/>
  <c r="AY99" i="2"/>
  <c r="AZ99" i="2"/>
  <c r="BA99" i="2"/>
  <c r="BB99" i="2"/>
  <c r="BC99" i="2"/>
  <c r="BD99" i="2"/>
  <c r="BE99" i="2"/>
  <c r="BF99" i="2"/>
  <c r="BG99" i="2"/>
  <c r="BH99" i="2"/>
  <c r="BI99" i="2"/>
  <c r="BJ99" i="2"/>
  <c r="BK99" i="2"/>
  <c r="BL99" i="2"/>
  <c r="AI100" i="2"/>
  <c r="AJ100" i="2"/>
  <c r="AK100" i="2"/>
  <c r="AL100" i="2"/>
  <c r="AM100" i="2"/>
  <c r="AN100" i="2"/>
  <c r="AO100" i="2"/>
  <c r="AP100" i="2"/>
  <c r="AQ100" i="2"/>
  <c r="AR100" i="2"/>
  <c r="AS100" i="2"/>
  <c r="AT100" i="2"/>
  <c r="AU100" i="2"/>
  <c r="AV100" i="2"/>
  <c r="AW100" i="2"/>
  <c r="AX100" i="2"/>
  <c r="AY100" i="2"/>
  <c r="AZ100" i="2"/>
  <c r="BA100" i="2"/>
  <c r="BB100" i="2"/>
  <c r="BC100" i="2"/>
  <c r="BD100" i="2"/>
  <c r="BE100" i="2"/>
  <c r="BF100" i="2"/>
  <c r="BG100" i="2"/>
  <c r="BH100" i="2"/>
  <c r="BI100" i="2"/>
  <c r="BJ100" i="2"/>
  <c r="BK100" i="2"/>
  <c r="BL100" i="2"/>
  <c r="AI101" i="2"/>
  <c r="AJ101" i="2"/>
  <c r="AK101" i="2"/>
  <c r="AL101" i="2"/>
  <c r="AM101" i="2"/>
  <c r="AN101" i="2"/>
  <c r="AO101" i="2"/>
  <c r="AP101" i="2"/>
  <c r="AQ101" i="2"/>
  <c r="AR101" i="2"/>
  <c r="AS101" i="2"/>
  <c r="AT101" i="2"/>
  <c r="AU101" i="2"/>
  <c r="AV101" i="2"/>
  <c r="AW101" i="2"/>
  <c r="AX101" i="2"/>
  <c r="AY101" i="2"/>
  <c r="AZ101" i="2"/>
  <c r="BA101" i="2"/>
  <c r="BB101" i="2"/>
  <c r="BC101" i="2"/>
  <c r="BD101" i="2"/>
  <c r="BE101" i="2"/>
  <c r="BF101" i="2"/>
  <c r="BG101" i="2"/>
  <c r="BH101" i="2"/>
  <c r="BI101" i="2"/>
  <c r="BJ101" i="2"/>
  <c r="BK101" i="2"/>
  <c r="BL101" i="2"/>
  <c r="AI102" i="2"/>
  <c r="AJ102" i="2"/>
  <c r="AK102" i="2"/>
  <c r="AL102" i="2"/>
  <c r="AM102" i="2"/>
  <c r="AN102" i="2"/>
  <c r="AO102" i="2"/>
  <c r="AP102" i="2"/>
  <c r="AQ102" i="2"/>
  <c r="AR102" i="2"/>
  <c r="AS102" i="2"/>
  <c r="AT102" i="2"/>
  <c r="AU102" i="2"/>
  <c r="AV102" i="2"/>
  <c r="AW102" i="2"/>
  <c r="AX102" i="2"/>
  <c r="AY102" i="2"/>
  <c r="AZ102" i="2"/>
  <c r="BA102" i="2"/>
  <c r="BB102" i="2"/>
  <c r="BC102" i="2"/>
  <c r="BD102" i="2"/>
  <c r="BE102" i="2"/>
  <c r="BF102" i="2"/>
  <c r="BG102" i="2"/>
  <c r="BH102" i="2"/>
  <c r="BI102" i="2"/>
  <c r="BJ102" i="2"/>
  <c r="BK102" i="2"/>
  <c r="BL102" i="2"/>
  <c r="AI103" i="2"/>
  <c r="AJ103" i="2"/>
  <c r="AK103" i="2"/>
  <c r="AL103" i="2"/>
  <c r="AM103" i="2"/>
  <c r="AN103" i="2"/>
  <c r="AO103" i="2"/>
  <c r="AP103" i="2"/>
  <c r="AQ103" i="2"/>
  <c r="AR103" i="2"/>
  <c r="AS103" i="2"/>
  <c r="AT103" i="2"/>
  <c r="AU103" i="2"/>
  <c r="AV103" i="2"/>
  <c r="AW103" i="2"/>
  <c r="AX103" i="2"/>
  <c r="AY103" i="2"/>
  <c r="AZ103" i="2"/>
  <c r="BA103" i="2"/>
  <c r="BB103" i="2"/>
  <c r="BC103" i="2"/>
  <c r="BD103" i="2"/>
  <c r="BE103" i="2"/>
  <c r="BF103" i="2"/>
  <c r="BG103" i="2"/>
  <c r="BH103" i="2"/>
  <c r="BI103" i="2"/>
  <c r="BJ103" i="2"/>
  <c r="BK103" i="2"/>
  <c r="BL103" i="2"/>
  <c r="AI104" i="2"/>
  <c r="AJ104" i="2"/>
  <c r="AK104" i="2"/>
  <c r="AL104" i="2"/>
  <c r="AM104" i="2"/>
  <c r="AN104" i="2"/>
  <c r="AO104" i="2"/>
  <c r="AP104" i="2"/>
  <c r="AQ104" i="2"/>
  <c r="AR104" i="2"/>
  <c r="AS104" i="2"/>
  <c r="AT104" i="2"/>
  <c r="AU104" i="2"/>
  <c r="AV104" i="2"/>
  <c r="AW104" i="2"/>
  <c r="AX104" i="2"/>
  <c r="AY104" i="2"/>
  <c r="AZ104" i="2"/>
  <c r="BA104" i="2"/>
  <c r="BB104" i="2"/>
  <c r="BC104" i="2"/>
  <c r="BD104" i="2"/>
  <c r="BE104" i="2"/>
  <c r="BF104" i="2"/>
  <c r="BG104" i="2"/>
  <c r="BH104" i="2"/>
  <c r="BI104" i="2"/>
  <c r="BJ104" i="2"/>
  <c r="BK104" i="2"/>
  <c r="BL104" i="2"/>
  <c r="AI105" i="2"/>
  <c r="AJ105" i="2"/>
  <c r="AK105" i="2"/>
  <c r="AL105" i="2"/>
  <c r="AM105" i="2"/>
  <c r="AN105" i="2"/>
  <c r="AO105" i="2"/>
  <c r="AP105" i="2"/>
  <c r="AQ105" i="2"/>
  <c r="AR105" i="2"/>
  <c r="AS105" i="2"/>
  <c r="AT105" i="2"/>
  <c r="AU105" i="2"/>
  <c r="AV105" i="2"/>
  <c r="AW105" i="2"/>
  <c r="AX105" i="2"/>
  <c r="AY105" i="2"/>
  <c r="AZ105" i="2"/>
  <c r="BA105" i="2"/>
  <c r="BB105" i="2"/>
  <c r="BC105" i="2"/>
  <c r="BD105" i="2"/>
  <c r="BE105" i="2"/>
  <c r="BF105" i="2"/>
  <c r="BG105" i="2"/>
  <c r="BH105" i="2"/>
  <c r="BI105" i="2"/>
  <c r="BJ105" i="2"/>
  <c r="BK105" i="2"/>
  <c r="BL105" i="2"/>
  <c r="AI106" i="2"/>
  <c r="AJ106" i="2"/>
  <c r="AK106" i="2"/>
  <c r="AL106" i="2"/>
  <c r="AM106" i="2"/>
  <c r="AN106" i="2"/>
  <c r="AO106" i="2"/>
  <c r="AP106" i="2"/>
  <c r="AQ106" i="2"/>
  <c r="AR106" i="2"/>
  <c r="AS106" i="2"/>
  <c r="AT106" i="2"/>
  <c r="AU106" i="2"/>
  <c r="AV106" i="2"/>
  <c r="AW106" i="2"/>
  <c r="AX106" i="2"/>
  <c r="AY106" i="2"/>
  <c r="AZ106" i="2"/>
  <c r="BA106" i="2"/>
  <c r="BB106" i="2"/>
  <c r="BC106" i="2"/>
  <c r="BD106" i="2"/>
  <c r="BE106" i="2"/>
  <c r="BF106" i="2"/>
  <c r="BG106" i="2"/>
  <c r="BH106" i="2"/>
  <c r="BI106" i="2"/>
  <c r="BJ106" i="2"/>
  <c r="BK106" i="2"/>
  <c r="BL106" i="2"/>
  <c r="AI107" i="2"/>
  <c r="AJ107" i="2"/>
  <c r="AK107" i="2"/>
  <c r="AL107" i="2"/>
  <c r="AM107" i="2"/>
  <c r="AN107" i="2"/>
  <c r="AO107" i="2"/>
  <c r="AP107" i="2"/>
  <c r="AQ107" i="2"/>
  <c r="AR107" i="2"/>
  <c r="AS107" i="2"/>
  <c r="AT107" i="2"/>
  <c r="AU107" i="2"/>
  <c r="AV107" i="2"/>
  <c r="AW107" i="2"/>
  <c r="AX107" i="2"/>
  <c r="AY107" i="2"/>
  <c r="AZ107" i="2"/>
  <c r="BA107" i="2"/>
  <c r="BB107" i="2"/>
  <c r="BC107" i="2"/>
  <c r="BD107" i="2"/>
  <c r="BE107" i="2"/>
  <c r="BF107" i="2"/>
  <c r="BG107" i="2"/>
  <c r="BH107" i="2"/>
  <c r="BI107" i="2"/>
  <c r="BJ107" i="2"/>
  <c r="BK107" i="2"/>
  <c r="BL107" i="2"/>
  <c r="AI108" i="2"/>
  <c r="AJ108" i="2"/>
  <c r="AK108" i="2"/>
  <c r="AL108" i="2"/>
  <c r="AM108" i="2"/>
  <c r="AN108" i="2"/>
  <c r="AO108" i="2"/>
  <c r="AP108" i="2"/>
  <c r="AQ108" i="2"/>
  <c r="AR108" i="2"/>
  <c r="AS108" i="2"/>
  <c r="AT108" i="2"/>
  <c r="AU108" i="2"/>
  <c r="AV108" i="2"/>
  <c r="AW108" i="2"/>
  <c r="AX108" i="2"/>
  <c r="AY108" i="2"/>
  <c r="AZ108" i="2"/>
  <c r="BA108" i="2"/>
  <c r="BB108" i="2"/>
  <c r="BC108" i="2"/>
  <c r="BD108" i="2"/>
  <c r="BE108" i="2"/>
  <c r="BF108" i="2"/>
  <c r="BG108" i="2"/>
  <c r="BH108" i="2"/>
  <c r="BI108" i="2"/>
  <c r="BJ108" i="2"/>
  <c r="BK108" i="2"/>
  <c r="BL108" i="2"/>
  <c r="AI109" i="2"/>
  <c r="AJ109" i="2"/>
  <c r="AK109" i="2"/>
  <c r="AL109" i="2"/>
  <c r="AM109" i="2"/>
  <c r="AN109" i="2"/>
  <c r="AO109" i="2"/>
  <c r="AP109" i="2"/>
  <c r="AQ109" i="2"/>
  <c r="AR109" i="2"/>
  <c r="AS109" i="2"/>
  <c r="AT109" i="2"/>
  <c r="AU109" i="2"/>
  <c r="AV109" i="2"/>
  <c r="AW109" i="2"/>
  <c r="AX109" i="2"/>
  <c r="AY109" i="2"/>
  <c r="AZ109" i="2"/>
  <c r="BA109" i="2"/>
  <c r="BB109" i="2"/>
  <c r="BC109" i="2"/>
  <c r="BD109" i="2"/>
  <c r="BE109" i="2"/>
  <c r="BF109" i="2"/>
  <c r="BG109" i="2"/>
  <c r="BH109" i="2"/>
  <c r="BI109" i="2"/>
  <c r="BJ109" i="2"/>
  <c r="BK109" i="2"/>
  <c r="BL109" i="2"/>
  <c r="AI110" i="2"/>
  <c r="AJ110" i="2"/>
  <c r="AK110" i="2"/>
  <c r="AL110" i="2"/>
  <c r="AM110" i="2"/>
  <c r="AN110" i="2"/>
  <c r="AO110" i="2"/>
  <c r="AP110" i="2"/>
  <c r="AQ110" i="2"/>
  <c r="AR110" i="2"/>
  <c r="AS110" i="2"/>
  <c r="AT110" i="2"/>
  <c r="AU110" i="2"/>
  <c r="AV110" i="2"/>
  <c r="AW110" i="2"/>
  <c r="AX110" i="2"/>
  <c r="AY110" i="2"/>
  <c r="AZ110" i="2"/>
  <c r="BA110" i="2"/>
  <c r="BB110" i="2"/>
  <c r="BC110" i="2"/>
  <c r="BD110" i="2"/>
  <c r="BE110" i="2"/>
  <c r="BF110" i="2"/>
  <c r="BG110" i="2"/>
  <c r="BH110" i="2"/>
  <c r="BI110" i="2"/>
  <c r="BJ110" i="2"/>
  <c r="BK110" i="2"/>
  <c r="BL110" i="2"/>
  <c r="AI111" i="2"/>
  <c r="AJ111" i="2"/>
  <c r="AK111" i="2"/>
  <c r="AL111" i="2"/>
  <c r="AM111" i="2"/>
  <c r="AN111" i="2"/>
  <c r="AO111" i="2"/>
  <c r="AP111" i="2"/>
  <c r="AQ111" i="2"/>
  <c r="AR111" i="2"/>
  <c r="AS111" i="2"/>
  <c r="AT111" i="2"/>
  <c r="AU111" i="2"/>
  <c r="AV111" i="2"/>
  <c r="AW111" i="2"/>
  <c r="AX111" i="2"/>
  <c r="AY111" i="2"/>
  <c r="AZ111" i="2"/>
  <c r="BA111" i="2"/>
  <c r="BB111" i="2"/>
  <c r="BC111" i="2"/>
  <c r="BD111" i="2"/>
  <c r="BE111" i="2"/>
  <c r="BF111" i="2"/>
  <c r="BG111" i="2"/>
  <c r="BH111" i="2"/>
  <c r="BI111" i="2"/>
  <c r="BJ111" i="2"/>
  <c r="BK111" i="2"/>
  <c r="BL111" i="2"/>
  <c r="AI112" i="2"/>
  <c r="AJ112" i="2"/>
  <c r="AK112" i="2"/>
  <c r="AL112" i="2"/>
  <c r="AM112" i="2"/>
  <c r="AN112" i="2"/>
  <c r="AO112" i="2"/>
  <c r="AP112" i="2"/>
  <c r="AQ112" i="2"/>
  <c r="AR112" i="2"/>
  <c r="AS112" i="2"/>
  <c r="AT112" i="2"/>
  <c r="AU112" i="2"/>
  <c r="AV112" i="2"/>
  <c r="AW112" i="2"/>
  <c r="AX112" i="2"/>
  <c r="AY112" i="2"/>
  <c r="AZ112" i="2"/>
  <c r="BA112" i="2"/>
  <c r="BB112" i="2"/>
  <c r="BC112" i="2"/>
  <c r="BD112" i="2"/>
  <c r="BE112" i="2"/>
  <c r="BF112" i="2"/>
  <c r="BG112" i="2"/>
  <c r="BH112" i="2"/>
  <c r="BI112" i="2"/>
  <c r="BJ112" i="2"/>
  <c r="BK112" i="2"/>
  <c r="BL112" i="2"/>
  <c r="AI113" i="2"/>
  <c r="AJ113" i="2"/>
  <c r="AK113" i="2"/>
  <c r="AL113" i="2"/>
  <c r="AM113" i="2"/>
  <c r="AN113" i="2"/>
  <c r="AO113" i="2"/>
  <c r="AP113" i="2"/>
  <c r="AQ113" i="2"/>
  <c r="AR113" i="2"/>
  <c r="AS113" i="2"/>
  <c r="AT113" i="2"/>
  <c r="AU113" i="2"/>
  <c r="AV113" i="2"/>
  <c r="AW113" i="2"/>
  <c r="AX113" i="2"/>
  <c r="AY113" i="2"/>
  <c r="AZ113" i="2"/>
  <c r="BA113" i="2"/>
  <c r="BB113" i="2"/>
  <c r="BC113" i="2"/>
  <c r="BD113" i="2"/>
  <c r="BE113" i="2"/>
  <c r="BF113" i="2"/>
  <c r="BG113" i="2"/>
  <c r="BH113" i="2"/>
  <c r="BI113" i="2"/>
  <c r="BJ113" i="2"/>
  <c r="BK113" i="2"/>
  <c r="BL113" i="2"/>
  <c r="AI114" i="2"/>
  <c r="AJ114" i="2"/>
  <c r="AK114" i="2"/>
  <c r="AL114" i="2"/>
  <c r="AM114" i="2"/>
  <c r="AN114" i="2"/>
  <c r="AO114" i="2"/>
  <c r="AP114" i="2"/>
  <c r="AQ114" i="2"/>
  <c r="AR114" i="2"/>
  <c r="AS114" i="2"/>
  <c r="AT114" i="2"/>
  <c r="AU114" i="2"/>
  <c r="AV114" i="2"/>
  <c r="AW114" i="2"/>
  <c r="AX114" i="2"/>
  <c r="AY114" i="2"/>
  <c r="AZ114" i="2"/>
  <c r="BA114" i="2"/>
  <c r="BB114" i="2"/>
  <c r="BC114" i="2"/>
  <c r="BD114" i="2"/>
  <c r="BE114" i="2"/>
  <c r="BF114" i="2"/>
  <c r="BG114" i="2"/>
  <c r="BH114" i="2"/>
  <c r="BI114" i="2"/>
  <c r="BJ114" i="2"/>
  <c r="BK114" i="2"/>
  <c r="BL114" i="2"/>
  <c r="AI115" i="2"/>
  <c r="AJ115" i="2"/>
  <c r="AK115" i="2"/>
  <c r="AL115" i="2"/>
  <c r="AM115" i="2"/>
  <c r="AN115" i="2"/>
  <c r="AO115" i="2"/>
  <c r="AP115" i="2"/>
  <c r="AQ115" i="2"/>
  <c r="AR115" i="2"/>
  <c r="AS115" i="2"/>
  <c r="AT115" i="2"/>
  <c r="AU115" i="2"/>
  <c r="AV115" i="2"/>
  <c r="AW115" i="2"/>
  <c r="AX115" i="2"/>
  <c r="AY115" i="2"/>
  <c r="AZ115" i="2"/>
  <c r="BA115" i="2"/>
  <c r="BB115" i="2"/>
  <c r="BC115" i="2"/>
  <c r="BD115" i="2"/>
  <c r="BE115" i="2"/>
  <c r="BF115" i="2"/>
  <c r="BG115" i="2"/>
  <c r="BH115" i="2"/>
  <c r="BI115" i="2"/>
  <c r="BJ115" i="2"/>
  <c r="BK115" i="2"/>
  <c r="BL115" i="2"/>
  <c r="AI116" i="2"/>
  <c r="AJ116" i="2"/>
  <c r="AK116" i="2"/>
  <c r="AL116" i="2"/>
  <c r="AM116" i="2"/>
  <c r="AN116" i="2"/>
  <c r="AO116" i="2"/>
  <c r="AP116" i="2"/>
  <c r="AQ116" i="2"/>
  <c r="AR116" i="2"/>
  <c r="AS116" i="2"/>
  <c r="AT116" i="2"/>
  <c r="AU116" i="2"/>
  <c r="AV116" i="2"/>
  <c r="AW116" i="2"/>
  <c r="AX116" i="2"/>
  <c r="AY116" i="2"/>
  <c r="AZ116" i="2"/>
  <c r="BA116" i="2"/>
  <c r="BB116" i="2"/>
  <c r="BC116" i="2"/>
  <c r="BD116" i="2"/>
  <c r="BE116" i="2"/>
  <c r="BF116" i="2"/>
  <c r="BG116" i="2"/>
  <c r="BH116" i="2"/>
  <c r="BI116" i="2"/>
  <c r="BJ116" i="2"/>
  <c r="BK116" i="2"/>
  <c r="BL116" i="2"/>
  <c r="AI117" i="2"/>
  <c r="AJ117" i="2"/>
  <c r="AK117" i="2"/>
  <c r="AL117" i="2"/>
  <c r="AM117" i="2"/>
  <c r="AN117" i="2"/>
  <c r="AO117" i="2"/>
  <c r="AP117" i="2"/>
  <c r="AQ117" i="2"/>
  <c r="AR117" i="2"/>
  <c r="AS117" i="2"/>
  <c r="AT117" i="2"/>
  <c r="AU117" i="2"/>
  <c r="AV117" i="2"/>
  <c r="AW117" i="2"/>
  <c r="AX117" i="2"/>
  <c r="AY117" i="2"/>
  <c r="AZ117" i="2"/>
  <c r="BA117" i="2"/>
  <c r="BB117" i="2"/>
  <c r="BC117" i="2"/>
  <c r="BD117" i="2"/>
  <c r="BE117" i="2"/>
  <c r="BF117" i="2"/>
  <c r="BG117" i="2"/>
  <c r="BH117" i="2"/>
  <c r="BI117" i="2"/>
  <c r="BJ117" i="2"/>
  <c r="BK117" i="2"/>
  <c r="BL117" i="2"/>
  <c r="AI118" i="2"/>
  <c r="AJ118" i="2"/>
  <c r="AK118" i="2"/>
  <c r="AL118" i="2"/>
  <c r="AM118" i="2"/>
  <c r="AN118" i="2"/>
  <c r="AO118" i="2"/>
  <c r="AP118" i="2"/>
  <c r="AQ118" i="2"/>
  <c r="AR118" i="2"/>
  <c r="AS118" i="2"/>
  <c r="AT118" i="2"/>
  <c r="AU118" i="2"/>
  <c r="AV118" i="2"/>
  <c r="AW118" i="2"/>
  <c r="AX118" i="2"/>
  <c r="AY118" i="2"/>
  <c r="AZ118" i="2"/>
  <c r="BA118" i="2"/>
  <c r="BB118" i="2"/>
  <c r="BC118" i="2"/>
  <c r="BD118" i="2"/>
  <c r="BE118" i="2"/>
  <c r="BF118" i="2"/>
  <c r="BG118" i="2"/>
  <c r="BH118" i="2"/>
  <c r="BI118" i="2"/>
  <c r="BJ118" i="2"/>
  <c r="BK118" i="2"/>
  <c r="BL118" i="2"/>
  <c r="AI119" i="2"/>
  <c r="AJ119" i="2"/>
  <c r="AK119" i="2"/>
  <c r="AL119" i="2"/>
  <c r="AM119" i="2"/>
  <c r="AN119" i="2"/>
  <c r="AO119" i="2"/>
  <c r="AP119" i="2"/>
  <c r="AQ119" i="2"/>
  <c r="AR119" i="2"/>
  <c r="AS119" i="2"/>
  <c r="AT119" i="2"/>
  <c r="AU119" i="2"/>
  <c r="AV119" i="2"/>
  <c r="AW119" i="2"/>
  <c r="AX119" i="2"/>
  <c r="AY119" i="2"/>
  <c r="AZ119" i="2"/>
  <c r="BA119" i="2"/>
  <c r="BB119" i="2"/>
  <c r="BC119" i="2"/>
  <c r="BD119" i="2"/>
  <c r="BE119" i="2"/>
  <c r="BF119" i="2"/>
  <c r="BG119" i="2"/>
  <c r="BH119" i="2"/>
  <c r="BI119" i="2"/>
  <c r="BJ119" i="2"/>
  <c r="BK119" i="2"/>
  <c r="BL119" i="2"/>
  <c r="AI120" i="2"/>
  <c r="AJ120" i="2"/>
  <c r="AK120" i="2"/>
  <c r="AL120" i="2"/>
  <c r="AM120" i="2"/>
  <c r="AN120" i="2"/>
  <c r="AO120" i="2"/>
  <c r="AP120" i="2"/>
  <c r="AQ120" i="2"/>
  <c r="AR120" i="2"/>
  <c r="AS120" i="2"/>
  <c r="AT120" i="2"/>
  <c r="AU120" i="2"/>
  <c r="AV120" i="2"/>
  <c r="AW120" i="2"/>
  <c r="AX120" i="2"/>
  <c r="AY120" i="2"/>
  <c r="AZ120" i="2"/>
  <c r="BA120" i="2"/>
  <c r="BB120" i="2"/>
  <c r="BC120" i="2"/>
  <c r="BD120" i="2"/>
  <c r="BE120" i="2"/>
  <c r="BF120" i="2"/>
  <c r="BG120" i="2"/>
  <c r="BH120" i="2"/>
  <c r="BI120" i="2"/>
  <c r="BJ120" i="2"/>
  <c r="BK120" i="2"/>
  <c r="BL120" i="2"/>
  <c r="AI121" i="2"/>
  <c r="AJ121" i="2"/>
  <c r="AK121" i="2"/>
  <c r="AL121" i="2"/>
  <c r="AM121" i="2"/>
  <c r="AN121" i="2"/>
  <c r="AO121" i="2"/>
  <c r="AP121" i="2"/>
  <c r="AQ121" i="2"/>
  <c r="AR121" i="2"/>
  <c r="AS121" i="2"/>
  <c r="AT121" i="2"/>
  <c r="AU121" i="2"/>
  <c r="AV121" i="2"/>
  <c r="AW121" i="2"/>
  <c r="AX121" i="2"/>
  <c r="AY121" i="2"/>
  <c r="AZ121" i="2"/>
  <c r="BA121" i="2"/>
  <c r="BB121" i="2"/>
  <c r="BC121" i="2"/>
  <c r="BD121" i="2"/>
  <c r="BE121" i="2"/>
  <c r="BF121" i="2"/>
  <c r="BG121" i="2"/>
  <c r="BH121" i="2"/>
  <c r="BI121" i="2"/>
  <c r="BJ121" i="2"/>
  <c r="BK121" i="2"/>
  <c r="BL121" i="2"/>
  <c r="AI122" i="2"/>
  <c r="AJ122" i="2"/>
  <c r="AK122" i="2"/>
  <c r="AL122" i="2"/>
  <c r="AM122" i="2"/>
  <c r="AN122" i="2"/>
  <c r="AO122" i="2"/>
  <c r="AP122" i="2"/>
  <c r="AQ122" i="2"/>
  <c r="AR122" i="2"/>
  <c r="AS122" i="2"/>
  <c r="AT122" i="2"/>
  <c r="AU122" i="2"/>
  <c r="AV122" i="2"/>
  <c r="AW122" i="2"/>
  <c r="AX122" i="2"/>
  <c r="AY122" i="2"/>
  <c r="AZ122" i="2"/>
  <c r="BA122" i="2"/>
  <c r="BB122" i="2"/>
  <c r="BC122" i="2"/>
  <c r="BD122" i="2"/>
  <c r="BE122" i="2"/>
  <c r="BF122" i="2"/>
  <c r="BG122" i="2"/>
  <c r="BH122" i="2"/>
  <c r="BI122" i="2"/>
  <c r="BJ122" i="2"/>
  <c r="BK122" i="2"/>
  <c r="BL122" i="2"/>
  <c r="AI123" i="2"/>
  <c r="AJ123" i="2"/>
  <c r="AK123" i="2"/>
  <c r="AL123" i="2"/>
  <c r="AM123" i="2"/>
  <c r="AN123" i="2"/>
  <c r="AO123" i="2"/>
  <c r="AP123" i="2"/>
  <c r="AQ123" i="2"/>
  <c r="AR123" i="2"/>
  <c r="AS123" i="2"/>
  <c r="AT123" i="2"/>
  <c r="AU123" i="2"/>
  <c r="AV123" i="2"/>
  <c r="AW123" i="2"/>
  <c r="AX123" i="2"/>
  <c r="AY123" i="2"/>
  <c r="AZ123" i="2"/>
  <c r="BA123" i="2"/>
  <c r="BB123" i="2"/>
  <c r="BC123" i="2"/>
  <c r="BD123" i="2"/>
  <c r="BE123" i="2"/>
  <c r="BF123" i="2"/>
  <c r="BG123" i="2"/>
  <c r="BH123" i="2"/>
  <c r="BI123" i="2"/>
  <c r="BJ123" i="2"/>
  <c r="BK123" i="2"/>
  <c r="BL123" i="2"/>
  <c r="AI124" i="2"/>
  <c r="AJ124" i="2"/>
  <c r="AK124" i="2"/>
  <c r="AL124" i="2"/>
  <c r="AM124" i="2"/>
  <c r="AN124" i="2"/>
  <c r="AO124" i="2"/>
  <c r="AP124" i="2"/>
  <c r="AQ124" i="2"/>
  <c r="AR124" i="2"/>
  <c r="AS124" i="2"/>
  <c r="AT124" i="2"/>
  <c r="AU124" i="2"/>
  <c r="AV124" i="2"/>
  <c r="AW124" i="2"/>
  <c r="AX124" i="2"/>
  <c r="AY124" i="2"/>
  <c r="AZ124" i="2"/>
  <c r="BA124" i="2"/>
  <c r="BB124" i="2"/>
  <c r="BC124" i="2"/>
  <c r="BD124" i="2"/>
  <c r="BE124" i="2"/>
  <c r="BF124" i="2"/>
  <c r="BG124" i="2"/>
  <c r="BH124" i="2"/>
  <c r="BI124" i="2"/>
  <c r="BJ124" i="2"/>
  <c r="BK124" i="2"/>
  <c r="BL124" i="2"/>
  <c r="AI125" i="2"/>
  <c r="AJ125" i="2"/>
  <c r="AK125" i="2"/>
  <c r="AL125" i="2"/>
  <c r="AM125" i="2"/>
  <c r="AN125" i="2"/>
  <c r="AO125" i="2"/>
  <c r="AP125" i="2"/>
  <c r="AQ125" i="2"/>
  <c r="AR125" i="2"/>
  <c r="AS125" i="2"/>
  <c r="AT125" i="2"/>
  <c r="AU125" i="2"/>
  <c r="AV125" i="2"/>
  <c r="AW125" i="2"/>
  <c r="AX125" i="2"/>
  <c r="AY125" i="2"/>
  <c r="AZ125" i="2"/>
  <c r="BA125" i="2"/>
  <c r="BB125" i="2"/>
  <c r="BC125" i="2"/>
  <c r="BD125" i="2"/>
  <c r="BE125" i="2"/>
  <c r="BF125" i="2"/>
  <c r="BG125" i="2"/>
  <c r="BH125" i="2"/>
  <c r="BI125" i="2"/>
  <c r="BJ125" i="2"/>
  <c r="BK125" i="2"/>
  <c r="BL125" i="2"/>
  <c r="AI126" i="2"/>
  <c r="AJ126" i="2"/>
  <c r="AK126" i="2"/>
  <c r="AL126" i="2"/>
  <c r="AM126" i="2"/>
  <c r="AN126" i="2"/>
  <c r="AO126" i="2"/>
  <c r="AP126" i="2"/>
  <c r="AQ126" i="2"/>
  <c r="AR126" i="2"/>
  <c r="AS126" i="2"/>
  <c r="AT126" i="2"/>
  <c r="AU126" i="2"/>
  <c r="AV126" i="2"/>
  <c r="AW126" i="2"/>
  <c r="AX126" i="2"/>
  <c r="AY126" i="2"/>
  <c r="AZ126" i="2"/>
  <c r="BA126" i="2"/>
  <c r="BB126" i="2"/>
  <c r="BC126" i="2"/>
  <c r="BD126" i="2"/>
  <c r="BE126" i="2"/>
  <c r="BF126" i="2"/>
  <c r="BG126" i="2"/>
  <c r="BH126" i="2"/>
  <c r="BI126" i="2"/>
  <c r="BJ126" i="2"/>
  <c r="BK126" i="2"/>
  <c r="BL126" i="2"/>
  <c r="AI127" i="2"/>
  <c r="AJ127" i="2"/>
  <c r="AK127" i="2"/>
  <c r="AL127" i="2"/>
  <c r="AM127" i="2"/>
  <c r="AN127" i="2"/>
  <c r="AO127" i="2"/>
  <c r="AP127" i="2"/>
  <c r="AQ127" i="2"/>
  <c r="AR127" i="2"/>
  <c r="AS127" i="2"/>
  <c r="AT127" i="2"/>
  <c r="AU127" i="2"/>
  <c r="AV127" i="2"/>
  <c r="AW127" i="2"/>
  <c r="AX127" i="2"/>
  <c r="AY127" i="2"/>
  <c r="AZ127" i="2"/>
  <c r="BA127" i="2"/>
  <c r="BB127" i="2"/>
  <c r="BC127" i="2"/>
  <c r="BD127" i="2"/>
  <c r="BE127" i="2"/>
  <c r="BF127" i="2"/>
  <c r="BG127" i="2"/>
  <c r="BH127" i="2"/>
  <c r="BI127" i="2"/>
  <c r="BJ127" i="2"/>
  <c r="BK127" i="2"/>
  <c r="BL127" i="2"/>
  <c r="AI128" i="2"/>
  <c r="AJ128" i="2"/>
  <c r="AK128" i="2"/>
  <c r="AL128" i="2"/>
  <c r="AM128" i="2"/>
  <c r="AN128" i="2"/>
  <c r="AO128" i="2"/>
  <c r="AP128" i="2"/>
  <c r="AQ128" i="2"/>
  <c r="AR128" i="2"/>
  <c r="AS128" i="2"/>
  <c r="AT128" i="2"/>
  <c r="AU128" i="2"/>
  <c r="AV128" i="2"/>
  <c r="AW128" i="2"/>
  <c r="AX128" i="2"/>
  <c r="AY128" i="2"/>
  <c r="AZ128" i="2"/>
  <c r="BA128" i="2"/>
  <c r="BB128" i="2"/>
  <c r="BC128" i="2"/>
  <c r="BD128" i="2"/>
  <c r="BE128" i="2"/>
  <c r="BF128" i="2"/>
  <c r="BG128" i="2"/>
  <c r="BH128" i="2"/>
  <c r="BI128" i="2"/>
  <c r="BJ128" i="2"/>
  <c r="BK128" i="2"/>
  <c r="BL128" i="2"/>
  <c r="AI129" i="2"/>
  <c r="AJ129" i="2"/>
  <c r="AK129" i="2"/>
  <c r="AL129" i="2"/>
  <c r="AM129" i="2"/>
  <c r="AN129" i="2"/>
  <c r="AO129" i="2"/>
  <c r="AP129" i="2"/>
  <c r="AQ129" i="2"/>
  <c r="AR129" i="2"/>
  <c r="AS129" i="2"/>
  <c r="AT129" i="2"/>
  <c r="AU129" i="2"/>
  <c r="AV129" i="2"/>
  <c r="AW129" i="2"/>
  <c r="AX129" i="2"/>
  <c r="AY129" i="2"/>
  <c r="AZ129" i="2"/>
  <c r="BA129" i="2"/>
  <c r="BB129" i="2"/>
  <c r="BC129" i="2"/>
  <c r="BD129" i="2"/>
  <c r="BE129" i="2"/>
  <c r="BF129" i="2"/>
  <c r="BG129" i="2"/>
  <c r="BH129" i="2"/>
  <c r="BI129" i="2"/>
  <c r="BJ129" i="2"/>
  <c r="BK129" i="2"/>
  <c r="BL129" i="2"/>
  <c r="AI130" i="2"/>
  <c r="AJ130" i="2"/>
  <c r="AK130" i="2"/>
  <c r="AL130" i="2"/>
  <c r="AM130" i="2"/>
  <c r="AN130" i="2"/>
  <c r="AO130" i="2"/>
  <c r="AP130" i="2"/>
  <c r="AQ130" i="2"/>
  <c r="AR130" i="2"/>
  <c r="AS130" i="2"/>
  <c r="AT130" i="2"/>
  <c r="AU130" i="2"/>
  <c r="AV130" i="2"/>
  <c r="AW130" i="2"/>
  <c r="AX130" i="2"/>
  <c r="AY130" i="2"/>
  <c r="AZ130" i="2"/>
  <c r="BA130" i="2"/>
  <c r="BB130" i="2"/>
  <c r="BC130" i="2"/>
  <c r="BD130" i="2"/>
  <c r="BE130" i="2"/>
  <c r="BF130" i="2"/>
  <c r="BG130" i="2"/>
  <c r="BH130" i="2"/>
  <c r="BI130" i="2"/>
  <c r="BJ130" i="2"/>
  <c r="BK130" i="2"/>
  <c r="BL130" i="2"/>
  <c r="AI131" i="2"/>
  <c r="AJ131" i="2"/>
  <c r="AK131" i="2"/>
  <c r="AL131" i="2"/>
  <c r="AM131" i="2"/>
  <c r="AN131" i="2"/>
  <c r="AO131" i="2"/>
  <c r="AP131" i="2"/>
  <c r="AQ131" i="2"/>
  <c r="AR131" i="2"/>
  <c r="AS131" i="2"/>
  <c r="AT131" i="2"/>
  <c r="AU131" i="2"/>
  <c r="AV131" i="2"/>
  <c r="AW131" i="2"/>
  <c r="AX131" i="2"/>
  <c r="AY131" i="2"/>
  <c r="AZ131" i="2"/>
  <c r="BA131" i="2"/>
  <c r="BB131" i="2"/>
  <c r="BC131" i="2"/>
  <c r="BD131" i="2"/>
  <c r="BE131" i="2"/>
  <c r="BF131" i="2"/>
  <c r="BG131" i="2"/>
  <c r="BH131" i="2"/>
  <c r="BI131" i="2"/>
  <c r="BJ131" i="2"/>
  <c r="BK131" i="2"/>
  <c r="BL131" i="2"/>
  <c r="AI132" i="2"/>
  <c r="AJ132" i="2"/>
  <c r="AK132" i="2"/>
  <c r="AL132" i="2"/>
  <c r="AM132" i="2"/>
  <c r="AN132" i="2"/>
  <c r="AO132" i="2"/>
  <c r="AP132" i="2"/>
  <c r="AQ132" i="2"/>
  <c r="AR132" i="2"/>
  <c r="AS132" i="2"/>
  <c r="AT132" i="2"/>
  <c r="AU132" i="2"/>
  <c r="AV132" i="2"/>
  <c r="AW132" i="2"/>
  <c r="AX132" i="2"/>
  <c r="AY132" i="2"/>
  <c r="AZ132" i="2"/>
  <c r="BA132" i="2"/>
  <c r="BB132" i="2"/>
  <c r="BC132" i="2"/>
  <c r="BD132" i="2"/>
  <c r="BE132" i="2"/>
  <c r="BF132" i="2"/>
  <c r="BG132" i="2"/>
  <c r="BH132" i="2"/>
  <c r="BI132" i="2"/>
  <c r="BJ132" i="2"/>
  <c r="BK132" i="2"/>
  <c r="BL132" i="2"/>
  <c r="AI133" i="2"/>
  <c r="AJ133" i="2"/>
  <c r="AK133" i="2"/>
  <c r="AL133" i="2"/>
  <c r="AM133" i="2"/>
  <c r="AN133" i="2"/>
  <c r="AO133" i="2"/>
  <c r="AP133" i="2"/>
  <c r="AQ133" i="2"/>
  <c r="AR133" i="2"/>
  <c r="AS133" i="2"/>
  <c r="AT133" i="2"/>
  <c r="AU133" i="2"/>
  <c r="AV133" i="2"/>
  <c r="AW133" i="2"/>
  <c r="AX133" i="2"/>
  <c r="AY133" i="2"/>
  <c r="AZ133" i="2"/>
  <c r="BA133" i="2"/>
  <c r="BB133" i="2"/>
  <c r="BC133" i="2"/>
  <c r="BD133" i="2"/>
  <c r="BE133" i="2"/>
  <c r="BF133" i="2"/>
  <c r="BG133" i="2"/>
  <c r="BH133" i="2"/>
  <c r="BI133" i="2"/>
  <c r="BJ133" i="2"/>
  <c r="BK133" i="2"/>
  <c r="BL133" i="2"/>
  <c r="AI134" i="2"/>
  <c r="AJ134" i="2"/>
  <c r="AK134" i="2"/>
  <c r="AL134" i="2"/>
  <c r="AM134" i="2"/>
  <c r="AN134" i="2"/>
  <c r="AO134" i="2"/>
  <c r="AP134" i="2"/>
  <c r="AQ134" i="2"/>
  <c r="AR134" i="2"/>
  <c r="AS134" i="2"/>
  <c r="AT134" i="2"/>
  <c r="AU134" i="2"/>
  <c r="AV134" i="2"/>
  <c r="AW134" i="2"/>
  <c r="AX134" i="2"/>
  <c r="AY134" i="2"/>
  <c r="AZ134" i="2"/>
  <c r="BA134" i="2"/>
  <c r="BB134" i="2"/>
  <c r="BC134" i="2"/>
  <c r="BD134" i="2"/>
  <c r="BE134" i="2"/>
  <c r="BF134" i="2"/>
  <c r="BG134" i="2"/>
  <c r="BH134" i="2"/>
  <c r="BI134" i="2"/>
  <c r="BJ134" i="2"/>
  <c r="BK134" i="2"/>
  <c r="BL134" i="2"/>
  <c r="AI135" i="2"/>
  <c r="AJ135" i="2"/>
  <c r="AK135" i="2"/>
  <c r="AL135" i="2"/>
  <c r="AM135" i="2"/>
  <c r="AN135" i="2"/>
  <c r="AO135" i="2"/>
  <c r="AP135" i="2"/>
  <c r="AQ135" i="2"/>
  <c r="AR135" i="2"/>
  <c r="AS135" i="2"/>
  <c r="AT135" i="2"/>
  <c r="AU135" i="2"/>
  <c r="AV135" i="2"/>
  <c r="AW135" i="2"/>
  <c r="AX135" i="2"/>
  <c r="AY135" i="2"/>
  <c r="AZ135" i="2"/>
  <c r="BA135" i="2"/>
  <c r="BB135" i="2"/>
  <c r="BC135" i="2"/>
  <c r="BD135" i="2"/>
  <c r="BE135" i="2"/>
  <c r="BF135" i="2"/>
  <c r="BG135" i="2"/>
  <c r="BH135" i="2"/>
  <c r="BI135" i="2"/>
  <c r="BJ135" i="2"/>
  <c r="BK135" i="2"/>
  <c r="BL135" i="2"/>
  <c r="AI136" i="2"/>
  <c r="AJ136" i="2"/>
  <c r="AK136" i="2"/>
  <c r="AL136" i="2"/>
  <c r="AM136" i="2"/>
  <c r="AN136" i="2"/>
  <c r="AO136" i="2"/>
  <c r="AP136" i="2"/>
  <c r="AQ136" i="2"/>
  <c r="AR136" i="2"/>
  <c r="AS136" i="2"/>
  <c r="AT136" i="2"/>
  <c r="AU136" i="2"/>
  <c r="AV136" i="2"/>
  <c r="AW136" i="2"/>
  <c r="AX136" i="2"/>
  <c r="AY136" i="2"/>
  <c r="AZ136" i="2"/>
  <c r="BA136" i="2"/>
  <c r="BB136" i="2"/>
  <c r="BC136" i="2"/>
  <c r="BD136" i="2"/>
  <c r="BE136" i="2"/>
  <c r="BF136" i="2"/>
  <c r="BG136" i="2"/>
  <c r="BH136" i="2"/>
  <c r="BI136" i="2"/>
  <c r="BJ136" i="2"/>
  <c r="BK136" i="2"/>
  <c r="BL136" i="2"/>
  <c r="AI137" i="2"/>
  <c r="AJ137" i="2"/>
  <c r="AK137" i="2"/>
  <c r="AL137" i="2"/>
  <c r="AM137" i="2"/>
  <c r="AN137" i="2"/>
  <c r="AO137" i="2"/>
  <c r="AP137" i="2"/>
  <c r="AQ137" i="2"/>
  <c r="AR137" i="2"/>
  <c r="AS137" i="2"/>
  <c r="AT137" i="2"/>
  <c r="AU137" i="2"/>
  <c r="AV137" i="2"/>
  <c r="AW137" i="2"/>
  <c r="AX137" i="2"/>
  <c r="AY137" i="2"/>
  <c r="AZ137" i="2"/>
  <c r="BA137" i="2"/>
  <c r="BB137" i="2"/>
  <c r="BC137" i="2"/>
  <c r="BD137" i="2"/>
  <c r="BE137" i="2"/>
  <c r="BF137" i="2"/>
  <c r="BG137" i="2"/>
  <c r="BH137" i="2"/>
  <c r="BI137" i="2"/>
  <c r="BJ137" i="2"/>
  <c r="BK137" i="2"/>
  <c r="BL137" i="2"/>
  <c r="AI138" i="2"/>
  <c r="AJ138" i="2"/>
  <c r="AK138" i="2"/>
  <c r="AL138" i="2"/>
  <c r="AM138" i="2"/>
  <c r="AN138" i="2"/>
  <c r="AO138" i="2"/>
  <c r="AP138" i="2"/>
  <c r="AQ138" i="2"/>
  <c r="AR138" i="2"/>
  <c r="AS138" i="2"/>
  <c r="AT138" i="2"/>
  <c r="AU138" i="2"/>
  <c r="AV138" i="2"/>
  <c r="AW138" i="2"/>
  <c r="AX138" i="2"/>
  <c r="AY138" i="2"/>
  <c r="AZ138" i="2"/>
  <c r="BA138" i="2"/>
  <c r="BB138" i="2"/>
  <c r="BC138" i="2"/>
  <c r="BD138" i="2"/>
  <c r="BE138" i="2"/>
  <c r="BF138" i="2"/>
  <c r="BG138" i="2"/>
  <c r="BH138" i="2"/>
  <c r="BI138" i="2"/>
  <c r="BJ138" i="2"/>
  <c r="BK138" i="2"/>
  <c r="BL138" i="2"/>
  <c r="AI139" i="2"/>
  <c r="AJ139" i="2"/>
  <c r="AK139" i="2"/>
  <c r="AL139" i="2"/>
  <c r="AM139" i="2"/>
  <c r="AN139" i="2"/>
  <c r="AO139" i="2"/>
  <c r="AP139" i="2"/>
  <c r="AQ139" i="2"/>
  <c r="AR139" i="2"/>
  <c r="AS139" i="2"/>
  <c r="AT139" i="2"/>
  <c r="AU139" i="2"/>
  <c r="AV139" i="2"/>
  <c r="AW139" i="2"/>
  <c r="AX139" i="2"/>
  <c r="AY139" i="2"/>
  <c r="AZ139" i="2"/>
  <c r="BA139" i="2"/>
  <c r="BB139" i="2"/>
  <c r="BC139" i="2"/>
  <c r="BD139" i="2"/>
  <c r="BE139" i="2"/>
  <c r="BF139" i="2"/>
  <c r="BG139" i="2"/>
  <c r="BH139" i="2"/>
  <c r="BI139" i="2"/>
  <c r="BJ139" i="2"/>
  <c r="BK139" i="2"/>
  <c r="BL139" i="2"/>
  <c r="AI140" i="2"/>
  <c r="AJ140" i="2"/>
  <c r="AK140" i="2"/>
  <c r="AL140" i="2"/>
  <c r="AM140" i="2"/>
  <c r="AN140" i="2"/>
  <c r="AO140" i="2"/>
  <c r="AP140" i="2"/>
  <c r="AQ140" i="2"/>
  <c r="AR140" i="2"/>
  <c r="AS140" i="2"/>
  <c r="AT140" i="2"/>
  <c r="AU140" i="2"/>
  <c r="AV140" i="2"/>
  <c r="AW140" i="2"/>
  <c r="AX140" i="2"/>
  <c r="AY140" i="2"/>
  <c r="AZ140" i="2"/>
  <c r="BA140" i="2"/>
  <c r="BB140" i="2"/>
  <c r="BC140" i="2"/>
  <c r="BD140" i="2"/>
  <c r="BE140" i="2"/>
  <c r="BF140" i="2"/>
  <c r="BG140" i="2"/>
  <c r="BH140" i="2"/>
  <c r="BI140" i="2"/>
  <c r="BJ140" i="2"/>
  <c r="BK140" i="2"/>
  <c r="BL140" i="2"/>
  <c r="AI141" i="2"/>
  <c r="AJ141" i="2"/>
  <c r="AK141" i="2"/>
  <c r="AL141" i="2"/>
  <c r="AM141" i="2"/>
  <c r="AN141" i="2"/>
  <c r="AO141" i="2"/>
  <c r="AP141" i="2"/>
  <c r="AQ141" i="2"/>
  <c r="AR141" i="2"/>
  <c r="AS141" i="2"/>
  <c r="AT141" i="2"/>
  <c r="AU141" i="2"/>
  <c r="AV141" i="2"/>
  <c r="AW141" i="2"/>
  <c r="AX141" i="2"/>
  <c r="AY141" i="2"/>
  <c r="AZ141" i="2"/>
  <c r="BA141" i="2"/>
  <c r="BB141" i="2"/>
  <c r="BC141" i="2"/>
  <c r="BD141" i="2"/>
  <c r="BE141" i="2"/>
  <c r="BF141" i="2"/>
  <c r="BG141" i="2"/>
  <c r="BH141" i="2"/>
  <c r="BI141" i="2"/>
  <c r="BJ141" i="2"/>
  <c r="BK141" i="2"/>
  <c r="BL141" i="2"/>
  <c r="AI142" i="2"/>
  <c r="AJ142" i="2"/>
  <c r="AK142" i="2"/>
  <c r="AL142" i="2"/>
  <c r="AM142" i="2"/>
  <c r="AN142" i="2"/>
  <c r="AO142" i="2"/>
  <c r="AP142" i="2"/>
  <c r="AQ142" i="2"/>
  <c r="AR142" i="2"/>
  <c r="AS142" i="2"/>
  <c r="AT142" i="2"/>
  <c r="AU142" i="2"/>
  <c r="AV142" i="2"/>
  <c r="AW142" i="2"/>
  <c r="AX142" i="2"/>
  <c r="AY142" i="2"/>
  <c r="AZ142" i="2"/>
  <c r="BA142" i="2"/>
  <c r="BB142" i="2"/>
  <c r="BC142" i="2"/>
  <c r="BD142" i="2"/>
  <c r="BE142" i="2"/>
  <c r="BF142" i="2"/>
  <c r="BG142" i="2"/>
  <c r="BH142" i="2"/>
  <c r="BI142" i="2"/>
  <c r="BJ142" i="2"/>
  <c r="BK142" i="2"/>
  <c r="BL142" i="2"/>
  <c r="AI143" i="2"/>
  <c r="AJ143" i="2"/>
  <c r="AK143" i="2"/>
  <c r="AL143" i="2"/>
  <c r="AM143" i="2"/>
  <c r="AN143" i="2"/>
  <c r="AO143" i="2"/>
  <c r="AP143" i="2"/>
  <c r="AQ143" i="2"/>
  <c r="AR143" i="2"/>
  <c r="AS143" i="2"/>
  <c r="AT143" i="2"/>
  <c r="AU143" i="2"/>
  <c r="AV143" i="2"/>
  <c r="AW143" i="2"/>
  <c r="AX143" i="2"/>
  <c r="AY143" i="2"/>
  <c r="AZ143" i="2"/>
  <c r="BA143" i="2"/>
  <c r="BB143" i="2"/>
  <c r="BC143" i="2"/>
  <c r="BD143" i="2"/>
  <c r="BE143" i="2"/>
  <c r="BF143" i="2"/>
  <c r="BG143" i="2"/>
  <c r="BH143" i="2"/>
  <c r="BI143" i="2"/>
  <c r="BJ143" i="2"/>
  <c r="BK143" i="2"/>
  <c r="BL143" i="2"/>
  <c r="AI144" i="2"/>
  <c r="AJ144" i="2"/>
  <c r="AK144" i="2"/>
  <c r="AL144" i="2"/>
  <c r="AM144" i="2"/>
  <c r="AN144" i="2"/>
  <c r="AO144" i="2"/>
  <c r="AP144" i="2"/>
  <c r="AQ144" i="2"/>
  <c r="AR144" i="2"/>
  <c r="AS144" i="2"/>
  <c r="AT144" i="2"/>
  <c r="AU144" i="2"/>
  <c r="AV144" i="2"/>
  <c r="AW144" i="2"/>
  <c r="AX144" i="2"/>
  <c r="AY144" i="2"/>
  <c r="AZ144" i="2"/>
  <c r="BA144" i="2"/>
  <c r="BB144" i="2"/>
  <c r="BC144" i="2"/>
  <c r="BD144" i="2"/>
  <c r="BE144" i="2"/>
  <c r="BF144" i="2"/>
  <c r="BG144" i="2"/>
  <c r="BH144" i="2"/>
  <c r="BI144" i="2"/>
  <c r="BJ144" i="2"/>
  <c r="BK144" i="2"/>
  <c r="BL144" i="2"/>
  <c r="AI145" i="2"/>
  <c r="AJ145" i="2"/>
  <c r="AK145" i="2"/>
  <c r="AL145" i="2"/>
  <c r="AM145" i="2"/>
  <c r="AN145" i="2"/>
  <c r="AO145" i="2"/>
  <c r="AP145" i="2"/>
  <c r="AQ145" i="2"/>
  <c r="AR145" i="2"/>
  <c r="AS145" i="2"/>
  <c r="AT145" i="2"/>
  <c r="AU145" i="2"/>
  <c r="AV145" i="2"/>
  <c r="AW145" i="2"/>
  <c r="AX145" i="2"/>
  <c r="AY145" i="2"/>
  <c r="AZ145" i="2"/>
  <c r="BA145" i="2"/>
  <c r="BB145" i="2"/>
  <c r="BC145" i="2"/>
  <c r="BD145" i="2"/>
  <c r="BE145" i="2"/>
  <c r="BF145" i="2"/>
  <c r="BG145" i="2"/>
  <c r="BH145" i="2"/>
  <c r="BI145" i="2"/>
  <c r="BJ145" i="2"/>
  <c r="BK145" i="2"/>
  <c r="BL145" i="2"/>
  <c r="AI146" i="2"/>
  <c r="AJ146" i="2"/>
  <c r="AK146" i="2"/>
  <c r="AL146" i="2"/>
  <c r="AM146" i="2"/>
  <c r="AN146" i="2"/>
  <c r="AO146" i="2"/>
  <c r="AP146" i="2"/>
  <c r="AQ146" i="2"/>
  <c r="AR146" i="2"/>
  <c r="AS146" i="2"/>
  <c r="AT146" i="2"/>
  <c r="AU146" i="2"/>
  <c r="AV146" i="2"/>
  <c r="AW146" i="2"/>
  <c r="AX146" i="2"/>
  <c r="AY146" i="2"/>
  <c r="AZ146" i="2"/>
  <c r="BA146" i="2"/>
  <c r="BB146" i="2"/>
  <c r="BC146" i="2"/>
  <c r="BD146" i="2"/>
  <c r="BE146" i="2"/>
  <c r="BF146" i="2"/>
  <c r="BG146" i="2"/>
  <c r="BH146" i="2"/>
  <c r="BI146" i="2"/>
  <c r="BJ146" i="2"/>
  <c r="BK146" i="2"/>
  <c r="BL146" i="2"/>
  <c r="AI147" i="2"/>
  <c r="AJ147" i="2"/>
  <c r="AK147" i="2"/>
  <c r="AL147" i="2"/>
  <c r="AM147" i="2"/>
  <c r="AN147" i="2"/>
  <c r="AO147" i="2"/>
  <c r="AP147" i="2"/>
  <c r="AQ147" i="2"/>
  <c r="AR147" i="2"/>
  <c r="AS147" i="2"/>
  <c r="AT147" i="2"/>
  <c r="AU147" i="2"/>
  <c r="AV147" i="2"/>
  <c r="AW147" i="2"/>
  <c r="AX147" i="2"/>
  <c r="AY147" i="2"/>
  <c r="AZ147" i="2"/>
  <c r="BA147" i="2"/>
  <c r="BB147" i="2"/>
  <c r="BC147" i="2"/>
  <c r="BD147" i="2"/>
  <c r="BE147" i="2"/>
  <c r="BF147" i="2"/>
  <c r="BG147" i="2"/>
  <c r="BH147" i="2"/>
  <c r="BI147" i="2"/>
  <c r="BJ147" i="2"/>
  <c r="BK147" i="2"/>
  <c r="BL147" i="2"/>
  <c r="AI148" i="2"/>
  <c r="AJ148" i="2"/>
  <c r="AK148" i="2"/>
  <c r="AL148" i="2"/>
  <c r="AM148" i="2"/>
  <c r="AN148" i="2"/>
  <c r="AO148" i="2"/>
  <c r="AP148" i="2"/>
  <c r="AQ148" i="2"/>
  <c r="AR148" i="2"/>
  <c r="AS148" i="2"/>
  <c r="AT148" i="2"/>
  <c r="AU148" i="2"/>
  <c r="AV148" i="2"/>
  <c r="AW148" i="2"/>
  <c r="AX148" i="2"/>
  <c r="AY148" i="2"/>
  <c r="AZ148" i="2"/>
  <c r="BA148" i="2"/>
  <c r="BB148" i="2"/>
  <c r="BC148" i="2"/>
  <c r="BD148" i="2"/>
  <c r="BE148" i="2"/>
  <c r="BF148" i="2"/>
  <c r="BG148" i="2"/>
  <c r="BH148" i="2"/>
  <c r="BI148" i="2"/>
  <c r="BJ148" i="2"/>
  <c r="BK148" i="2"/>
  <c r="BL148" i="2"/>
  <c r="AI149" i="2"/>
  <c r="AJ149" i="2"/>
  <c r="AK149" i="2"/>
  <c r="AL149" i="2"/>
  <c r="AM149" i="2"/>
  <c r="AN149" i="2"/>
  <c r="AO149" i="2"/>
  <c r="AP149" i="2"/>
  <c r="AQ149" i="2"/>
  <c r="AR149" i="2"/>
  <c r="AS149" i="2"/>
  <c r="AT149" i="2"/>
  <c r="AU149" i="2"/>
  <c r="AV149" i="2"/>
  <c r="AW149" i="2"/>
  <c r="AX149" i="2"/>
  <c r="AY149" i="2"/>
  <c r="AZ149" i="2"/>
  <c r="BA149" i="2"/>
  <c r="BB149" i="2"/>
  <c r="BC149" i="2"/>
  <c r="BD149" i="2"/>
  <c r="BE149" i="2"/>
  <c r="BF149" i="2"/>
  <c r="BG149" i="2"/>
  <c r="BH149" i="2"/>
  <c r="BI149" i="2"/>
  <c r="BJ149" i="2"/>
  <c r="BK149" i="2"/>
  <c r="BL149" i="2"/>
  <c r="AI150" i="2"/>
  <c r="AJ150" i="2"/>
  <c r="AK150" i="2"/>
  <c r="AL150" i="2"/>
  <c r="AM150" i="2"/>
  <c r="AN150" i="2"/>
  <c r="AO150" i="2"/>
  <c r="AP150" i="2"/>
  <c r="AQ150" i="2"/>
  <c r="AR150" i="2"/>
  <c r="AS150" i="2"/>
  <c r="AT150" i="2"/>
  <c r="AU150" i="2"/>
  <c r="AV150" i="2"/>
  <c r="AW150" i="2"/>
  <c r="AX150" i="2"/>
  <c r="AY150" i="2"/>
  <c r="AZ150" i="2"/>
  <c r="BA150" i="2"/>
  <c r="BB150" i="2"/>
  <c r="BC150" i="2"/>
  <c r="BD150" i="2"/>
  <c r="BE150" i="2"/>
  <c r="BF150" i="2"/>
  <c r="BG150" i="2"/>
  <c r="BH150" i="2"/>
  <c r="BI150" i="2"/>
  <c r="BJ150" i="2"/>
  <c r="BK150" i="2"/>
  <c r="BL150" i="2"/>
  <c r="AI151" i="2"/>
  <c r="AJ151" i="2"/>
  <c r="AK151" i="2"/>
  <c r="AL151" i="2"/>
  <c r="AM151" i="2"/>
  <c r="AN151" i="2"/>
  <c r="AO151" i="2"/>
  <c r="AP151" i="2"/>
  <c r="AQ151" i="2"/>
  <c r="AR151" i="2"/>
  <c r="AS151" i="2"/>
  <c r="AT151" i="2"/>
  <c r="AU151" i="2"/>
  <c r="AV151" i="2"/>
  <c r="AW151" i="2"/>
  <c r="AX151" i="2"/>
  <c r="AY151" i="2"/>
  <c r="AZ151" i="2"/>
  <c r="BA151" i="2"/>
  <c r="BB151" i="2"/>
  <c r="BC151" i="2"/>
  <c r="BD151" i="2"/>
  <c r="BE151" i="2"/>
  <c r="BF151" i="2"/>
  <c r="BG151" i="2"/>
  <c r="BH151" i="2"/>
  <c r="BI151" i="2"/>
  <c r="BJ151" i="2"/>
  <c r="BK151" i="2"/>
  <c r="BL151" i="2"/>
  <c r="AI152" i="2"/>
  <c r="AJ152" i="2"/>
  <c r="AK152" i="2"/>
  <c r="AL152" i="2"/>
  <c r="AM152" i="2"/>
  <c r="AN152" i="2"/>
  <c r="AO152" i="2"/>
  <c r="AP152" i="2"/>
  <c r="AQ152" i="2"/>
  <c r="AR152" i="2"/>
  <c r="AS152" i="2"/>
  <c r="AT152" i="2"/>
  <c r="AU152" i="2"/>
  <c r="AV152" i="2"/>
  <c r="AW152" i="2"/>
  <c r="AX152" i="2"/>
  <c r="AY152" i="2"/>
  <c r="AZ152" i="2"/>
  <c r="BA152" i="2"/>
  <c r="BB152" i="2"/>
  <c r="BC152" i="2"/>
  <c r="BD152" i="2"/>
  <c r="BE152" i="2"/>
  <c r="BF152" i="2"/>
  <c r="BG152" i="2"/>
  <c r="BH152" i="2"/>
  <c r="BI152" i="2"/>
  <c r="BJ152" i="2"/>
  <c r="BK152" i="2"/>
  <c r="BL152" i="2"/>
  <c r="AI153" i="2"/>
  <c r="AJ153" i="2"/>
  <c r="AK153" i="2"/>
  <c r="AL153" i="2"/>
  <c r="AM153" i="2"/>
  <c r="AN153" i="2"/>
  <c r="AO153" i="2"/>
  <c r="AP153" i="2"/>
  <c r="AQ153" i="2"/>
  <c r="AR153" i="2"/>
  <c r="AS153" i="2"/>
  <c r="AT153" i="2"/>
  <c r="AU153" i="2"/>
  <c r="AV153" i="2"/>
  <c r="AW153" i="2"/>
  <c r="AX153" i="2"/>
  <c r="AY153" i="2"/>
  <c r="AZ153" i="2"/>
  <c r="BA153" i="2"/>
  <c r="BB153" i="2"/>
  <c r="BC153" i="2"/>
  <c r="BD153" i="2"/>
  <c r="BE153" i="2"/>
  <c r="BF153" i="2"/>
  <c r="BG153" i="2"/>
  <c r="BH153" i="2"/>
  <c r="BI153" i="2"/>
  <c r="BJ153" i="2"/>
  <c r="BK153" i="2"/>
  <c r="BL153" i="2"/>
  <c r="AI154" i="2"/>
  <c r="AJ154" i="2"/>
  <c r="AK154" i="2"/>
  <c r="AL154" i="2"/>
  <c r="AM154" i="2"/>
  <c r="AN154" i="2"/>
  <c r="AO154" i="2"/>
  <c r="AP154" i="2"/>
  <c r="AQ154" i="2"/>
  <c r="AR154" i="2"/>
  <c r="AS154" i="2"/>
  <c r="AT154" i="2"/>
  <c r="AU154" i="2"/>
  <c r="AV154" i="2"/>
  <c r="AW154" i="2"/>
  <c r="AX154" i="2"/>
  <c r="AY154" i="2"/>
  <c r="AZ154" i="2"/>
  <c r="BA154" i="2"/>
  <c r="BB154" i="2"/>
  <c r="BC154" i="2"/>
  <c r="BD154" i="2"/>
  <c r="BE154" i="2"/>
  <c r="BF154" i="2"/>
  <c r="BG154" i="2"/>
  <c r="BH154" i="2"/>
  <c r="BI154" i="2"/>
  <c r="BJ154" i="2"/>
  <c r="BK154" i="2"/>
  <c r="BL154" i="2"/>
  <c r="AI155" i="2"/>
  <c r="AJ155" i="2"/>
  <c r="AK155" i="2"/>
  <c r="AL155" i="2"/>
  <c r="AM155" i="2"/>
  <c r="AN155" i="2"/>
  <c r="AO155" i="2"/>
  <c r="AP155" i="2"/>
  <c r="AQ155" i="2"/>
  <c r="AR155" i="2"/>
  <c r="AS155" i="2"/>
  <c r="AT155" i="2"/>
  <c r="AU155" i="2"/>
  <c r="AV155" i="2"/>
  <c r="AW155" i="2"/>
  <c r="AX155" i="2"/>
  <c r="AY155" i="2"/>
  <c r="AZ155" i="2"/>
  <c r="BA155" i="2"/>
  <c r="BB155" i="2"/>
  <c r="BC155" i="2"/>
  <c r="BD155" i="2"/>
  <c r="BE155" i="2"/>
  <c r="BF155" i="2"/>
  <c r="BG155" i="2"/>
  <c r="BH155" i="2"/>
  <c r="BI155" i="2"/>
  <c r="BJ155" i="2"/>
  <c r="BK155" i="2"/>
  <c r="BL155" i="2"/>
  <c r="AI156" i="2"/>
  <c r="AJ156" i="2"/>
  <c r="AK156" i="2"/>
  <c r="AL156" i="2"/>
  <c r="AM156" i="2"/>
  <c r="AN156" i="2"/>
  <c r="AO156" i="2"/>
  <c r="AP156" i="2"/>
  <c r="AQ156" i="2"/>
  <c r="AR156" i="2"/>
  <c r="AS156" i="2"/>
  <c r="AT156" i="2"/>
  <c r="AU156" i="2"/>
  <c r="AV156" i="2"/>
  <c r="AW156" i="2"/>
  <c r="AX156" i="2"/>
  <c r="AY156" i="2"/>
  <c r="AZ156" i="2"/>
  <c r="BA156" i="2"/>
  <c r="BB156" i="2"/>
  <c r="BC156" i="2"/>
  <c r="BD156" i="2"/>
  <c r="BE156" i="2"/>
  <c r="BF156" i="2"/>
  <c r="BG156" i="2"/>
  <c r="BH156" i="2"/>
  <c r="BI156" i="2"/>
  <c r="BJ156" i="2"/>
  <c r="BK156" i="2"/>
  <c r="BL156" i="2"/>
  <c r="AI157" i="2"/>
  <c r="AJ157" i="2"/>
  <c r="AK157" i="2"/>
  <c r="AL157" i="2"/>
  <c r="AM157" i="2"/>
  <c r="AN157" i="2"/>
  <c r="AO157" i="2"/>
  <c r="AP157" i="2"/>
  <c r="AQ157" i="2"/>
  <c r="AR157" i="2"/>
  <c r="AS157" i="2"/>
  <c r="AT157" i="2"/>
  <c r="AU157" i="2"/>
  <c r="AV157" i="2"/>
  <c r="AW157" i="2"/>
  <c r="AX157" i="2"/>
  <c r="AY157" i="2"/>
  <c r="AZ157" i="2"/>
  <c r="BA157" i="2"/>
  <c r="BB157" i="2"/>
  <c r="BC157" i="2"/>
  <c r="BD157" i="2"/>
  <c r="BE157" i="2"/>
  <c r="BF157" i="2"/>
  <c r="BG157" i="2"/>
  <c r="BH157" i="2"/>
  <c r="BI157" i="2"/>
  <c r="BJ157" i="2"/>
  <c r="BK157" i="2"/>
  <c r="BL157" i="2"/>
  <c r="AI158" i="2"/>
  <c r="AJ158" i="2"/>
  <c r="AK158" i="2"/>
  <c r="AL158" i="2"/>
  <c r="AM158" i="2"/>
  <c r="AN158" i="2"/>
  <c r="AO158" i="2"/>
  <c r="AP158" i="2"/>
  <c r="AQ158" i="2"/>
  <c r="AR158" i="2"/>
  <c r="AS158" i="2"/>
  <c r="AT158" i="2"/>
  <c r="AU158" i="2"/>
  <c r="AV158" i="2"/>
  <c r="AW158" i="2"/>
  <c r="AX158" i="2"/>
  <c r="AY158" i="2"/>
  <c r="AZ158" i="2"/>
  <c r="BA158" i="2"/>
  <c r="BB158" i="2"/>
  <c r="BC158" i="2"/>
  <c r="BD158" i="2"/>
  <c r="BE158" i="2"/>
  <c r="BF158" i="2"/>
  <c r="BG158" i="2"/>
  <c r="BH158" i="2"/>
  <c r="BI158" i="2"/>
  <c r="BJ158" i="2"/>
  <c r="BK158" i="2"/>
  <c r="BL158" i="2"/>
  <c r="AI159" i="2"/>
  <c r="AJ159" i="2"/>
  <c r="AK159" i="2"/>
  <c r="AL159" i="2"/>
  <c r="AM159" i="2"/>
  <c r="AN159" i="2"/>
  <c r="AO159" i="2"/>
  <c r="AP159" i="2"/>
  <c r="AQ159" i="2"/>
  <c r="AR159" i="2"/>
  <c r="AS159" i="2"/>
  <c r="AT159" i="2"/>
  <c r="AU159" i="2"/>
  <c r="AV159" i="2"/>
  <c r="AW159" i="2"/>
  <c r="AX159" i="2"/>
  <c r="AY159" i="2"/>
  <c r="AZ159" i="2"/>
  <c r="BA159" i="2"/>
  <c r="BB159" i="2"/>
  <c r="BC159" i="2"/>
  <c r="BD159" i="2"/>
  <c r="BE159" i="2"/>
  <c r="BF159" i="2"/>
  <c r="BG159" i="2"/>
  <c r="BH159" i="2"/>
  <c r="BI159" i="2"/>
  <c r="BJ159" i="2"/>
  <c r="BK159" i="2"/>
  <c r="BL159" i="2"/>
  <c r="AI160" i="2"/>
  <c r="AJ160" i="2"/>
  <c r="AK160" i="2"/>
  <c r="AL160" i="2"/>
  <c r="AM160" i="2"/>
  <c r="AN160" i="2"/>
  <c r="AO160" i="2"/>
  <c r="AP160" i="2"/>
  <c r="AQ160" i="2"/>
  <c r="AR160" i="2"/>
  <c r="AS160" i="2"/>
  <c r="AT160" i="2"/>
  <c r="AU160" i="2"/>
  <c r="AV160" i="2"/>
  <c r="AW160" i="2"/>
  <c r="AX160" i="2"/>
  <c r="AY160" i="2"/>
  <c r="AZ160" i="2"/>
  <c r="BA160" i="2"/>
  <c r="BB160" i="2"/>
  <c r="BC160" i="2"/>
  <c r="BD160" i="2"/>
  <c r="BE160" i="2"/>
  <c r="BF160" i="2"/>
  <c r="BG160" i="2"/>
  <c r="BH160" i="2"/>
  <c r="BI160" i="2"/>
  <c r="BJ160" i="2"/>
  <c r="BK160" i="2"/>
  <c r="BL160" i="2"/>
  <c r="AI161" i="2"/>
  <c r="AJ161" i="2"/>
  <c r="AK161" i="2"/>
  <c r="AL161" i="2"/>
  <c r="AM161" i="2"/>
  <c r="AN161" i="2"/>
  <c r="AO161" i="2"/>
  <c r="AP161" i="2"/>
  <c r="AQ161" i="2"/>
  <c r="AR161" i="2"/>
  <c r="AS161" i="2"/>
  <c r="AT161" i="2"/>
  <c r="AU161" i="2"/>
  <c r="AV161" i="2"/>
  <c r="AW161" i="2"/>
  <c r="AX161" i="2"/>
  <c r="AY161" i="2"/>
  <c r="AZ161" i="2"/>
  <c r="BA161" i="2"/>
  <c r="BB161" i="2"/>
  <c r="BC161" i="2"/>
  <c r="BD161" i="2"/>
  <c r="BE161" i="2"/>
  <c r="BF161" i="2"/>
  <c r="BG161" i="2"/>
  <c r="BH161" i="2"/>
  <c r="BI161" i="2"/>
  <c r="BJ161" i="2"/>
  <c r="BK161" i="2"/>
  <c r="BL161" i="2"/>
  <c r="AI162" i="2"/>
  <c r="AJ162" i="2"/>
  <c r="AK162" i="2"/>
  <c r="AL162" i="2"/>
  <c r="AM162" i="2"/>
  <c r="AN162" i="2"/>
  <c r="AO162" i="2"/>
  <c r="AP162" i="2"/>
  <c r="AQ162" i="2"/>
  <c r="AR162" i="2"/>
  <c r="AS162" i="2"/>
  <c r="AT162" i="2"/>
  <c r="AU162" i="2"/>
  <c r="AV162" i="2"/>
  <c r="AW162" i="2"/>
  <c r="AX162" i="2"/>
  <c r="AY162" i="2"/>
  <c r="AZ162" i="2"/>
  <c r="BA162" i="2"/>
  <c r="BB162" i="2"/>
  <c r="BC162" i="2"/>
  <c r="BD162" i="2"/>
  <c r="BE162" i="2"/>
  <c r="BF162" i="2"/>
  <c r="BG162" i="2"/>
  <c r="BH162" i="2"/>
  <c r="BI162" i="2"/>
  <c r="BJ162" i="2"/>
  <c r="BK162" i="2"/>
  <c r="BL162" i="2"/>
  <c r="AI163" i="2"/>
  <c r="AJ163" i="2"/>
  <c r="AK163" i="2"/>
  <c r="AL163" i="2"/>
  <c r="AM163" i="2"/>
  <c r="AN163" i="2"/>
  <c r="AO163" i="2"/>
  <c r="AP163" i="2"/>
  <c r="AQ163" i="2"/>
  <c r="AR163" i="2"/>
  <c r="AS163" i="2"/>
  <c r="AT163" i="2"/>
  <c r="AU163" i="2"/>
  <c r="AV163" i="2"/>
  <c r="AW163" i="2"/>
  <c r="AX163" i="2"/>
  <c r="AY163" i="2"/>
  <c r="AZ163" i="2"/>
  <c r="BA163" i="2"/>
  <c r="BB163" i="2"/>
  <c r="BC163" i="2"/>
  <c r="BD163" i="2"/>
  <c r="BE163" i="2"/>
  <c r="BF163" i="2"/>
  <c r="BG163" i="2"/>
  <c r="BH163" i="2"/>
  <c r="BI163" i="2"/>
  <c r="BJ163" i="2"/>
  <c r="BK163" i="2"/>
  <c r="BL163" i="2"/>
  <c r="AI164" i="2"/>
  <c r="AJ164" i="2"/>
  <c r="AK164" i="2"/>
  <c r="AL164" i="2"/>
  <c r="AM164" i="2"/>
  <c r="AN164" i="2"/>
  <c r="AO164" i="2"/>
  <c r="AP164" i="2"/>
  <c r="AQ164" i="2"/>
  <c r="AR164" i="2"/>
  <c r="AS164" i="2"/>
  <c r="AT164" i="2"/>
  <c r="AU164" i="2"/>
  <c r="AV164" i="2"/>
  <c r="AW164" i="2"/>
  <c r="AX164" i="2"/>
  <c r="AY164" i="2"/>
  <c r="AZ164" i="2"/>
  <c r="BA164" i="2"/>
  <c r="BB164" i="2"/>
  <c r="BC164" i="2"/>
  <c r="BD164" i="2"/>
  <c r="BE164" i="2"/>
  <c r="BF164" i="2"/>
  <c r="BG164" i="2"/>
  <c r="BH164" i="2"/>
  <c r="BI164" i="2"/>
  <c r="BJ164" i="2"/>
  <c r="BK164" i="2"/>
  <c r="BL164" i="2"/>
  <c r="AI165" i="2"/>
  <c r="AJ165" i="2"/>
  <c r="AK165" i="2"/>
  <c r="AL165" i="2"/>
  <c r="AM165" i="2"/>
  <c r="AN165" i="2"/>
  <c r="AO165" i="2"/>
  <c r="AP165" i="2"/>
  <c r="AQ165" i="2"/>
  <c r="AR165" i="2"/>
  <c r="AS165" i="2"/>
  <c r="AT165" i="2"/>
  <c r="AU165" i="2"/>
  <c r="AV165" i="2"/>
  <c r="AW165" i="2"/>
  <c r="AX165" i="2"/>
  <c r="AY165" i="2"/>
  <c r="AZ165" i="2"/>
  <c r="BA165" i="2"/>
  <c r="BB165" i="2"/>
  <c r="BC165" i="2"/>
  <c r="BD165" i="2"/>
  <c r="BE165" i="2"/>
  <c r="BF165" i="2"/>
  <c r="BG165" i="2"/>
  <c r="BH165" i="2"/>
  <c r="BI165" i="2"/>
  <c r="BJ165" i="2"/>
  <c r="BK165" i="2"/>
  <c r="BL165" i="2"/>
  <c r="AI166" i="2"/>
  <c r="AJ166" i="2"/>
  <c r="AK166" i="2"/>
  <c r="AL166" i="2"/>
  <c r="AM166" i="2"/>
  <c r="AN166" i="2"/>
  <c r="AO166" i="2"/>
  <c r="AP166" i="2"/>
  <c r="AQ166" i="2"/>
  <c r="AR166" i="2"/>
  <c r="AS166" i="2"/>
  <c r="AT166" i="2"/>
  <c r="AU166" i="2"/>
  <c r="AV166" i="2"/>
  <c r="AW166" i="2"/>
  <c r="AX166" i="2"/>
  <c r="AY166" i="2"/>
  <c r="AZ166" i="2"/>
  <c r="BA166" i="2"/>
  <c r="BB166" i="2"/>
  <c r="BC166" i="2"/>
  <c r="BD166" i="2"/>
  <c r="BE166" i="2"/>
  <c r="BF166" i="2"/>
  <c r="BG166" i="2"/>
  <c r="BH166" i="2"/>
  <c r="BI166" i="2"/>
  <c r="BJ166" i="2"/>
  <c r="BK166" i="2"/>
  <c r="BL166" i="2"/>
  <c r="AI167" i="2"/>
  <c r="AJ167" i="2"/>
  <c r="AK167" i="2"/>
  <c r="AL167" i="2"/>
  <c r="AM167" i="2"/>
  <c r="AN167" i="2"/>
  <c r="AO167" i="2"/>
  <c r="AP167" i="2"/>
  <c r="AQ167" i="2"/>
  <c r="AR167" i="2"/>
  <c r="AS167" i="2"/>
  <c r="AT167" i="2"/>
  <c r="AU167" i="2"/>
  <c r="AV167" i="2"/>
  <c r="AW167" i="2"/>
  <c r="AX167" i="2"/>
  <c r="AY167" i="2"/>
  <c r="AZ167" i="2"/>
  <c r="BA167" i="2"/>
  <c r="BB167" i="2"/>
  <c r="BC167" i="2"/>
  <c r="BD167" i="2"/>
  <c r="BE167" i="2"/>
  <c r="BF167" i="2"/>
  <c r="BG167" i="2"/>
  <c r="BH167" i="2"/>
  <c r="BI167" i="2"/>
  <c r="BJ167" i="2"/>
  <c r="BK167" i="2"/>
  <c r="BL167" i="2"/>
  <c r="AI168" i="2"/>
  <c r="AJ168" i="2"/>
  <c r="AK168" i="2"/>
  <c r="AL168" i="2"/>
  <c r="AM168" i="2"/>
  <c r="AN168" i="2"/>
  <c r="AO168" i="2"/>
  <c r="AP168" i="2"/>
  <c r="AQ168" i="2"/>
  <c r="AR168" i="2"/>
  <c r="AS168" i="2"/>
  <c r="AT168" i="2"/>
  <c r="AU168" i="2"/>
  <c r="AV168" i="2"/>
  <c r="AW168" i="2"/>
  <c r="AX168" i="2"/>
  <c r="AY168" i="2"/>
  <c r="AZ168" i="2"/>
  <c r="BA168" i="2"/>
  <c r="BB168" i="2"/>
  <c r="BC168" i="2"/>
  <c r="BD168" i="2"/>
  <c r="BE168" i="2"/>
  <c r="BF168" i="2"/>
  <c r="BG168" i="2"/>
  <c r="BH168" i="2"/>
  <c r="BI168" i="2"/>
  <c r="BJ168" i="2"/>
  <c r="BK168" i="2"/>
  <c r="BL168" i="2"/>
  <c r="AI169" i="2"/>
  <c r="AJ169" i="2"/>
  <c r="AK169" i="2"/>
  <c r="AL169" i="2"/>
  <c r="AM169" i="2"/>
  <c r="AN169" i="2"/>
  <c r="AO169" i="2"/>
  <c r="AP169" i="2"/>
  <c r="AQ169" i="2"/>
  <c r="AR169" i="2"/>
  <c r="AS169" i="2"/>
  <c r="AT169" i="2"/>
  <c r="AU169" i="2"/>
  <c r="AV169" i="2"/>
  <c r="AW169" i="2"/>
  <c r="AX169" i="2"/>
  <c r="AY169" i="2"/>
  <c r="AZ169" i="2"/>
  <c r="BA169" i="2"/>
  <c r="BB169" i="2"/>
  <c r="BC169" i="2"/>
  <c r="BD169" i="2"/>
  <c r="BE169" i="2"/>
  <c r="BF169" i="2"/>
  <c r="BG169" i="2"/>
  <c r="BH169" i="2"/>
  <c r="BI169" i="2"/>
  <c r="BJ169" i="2"/>
  <c r="BK169" i="2"/>
  <c r="BL169" i="2"/>
  <c r="AI170" i="2"/>
  <c r="AJ170" i="2"/>
  <c r="AK170" i="2"/>
  <c r="AL170" i="2"/>
  <c r="AM170" i="2"/>
  <c r="AN170" i="2"/>
  <c r="AO170" i="2"/>
  <c r="AP170" i="2"/>
  <c r="AQ170" i="2"/>
  <c r="AR170" i="2"/>
  <c r="AS170" i="2"/>
  <c r="AT170" i="2"/>
  <c r="AU170" i="2"/>
  <c r="AV170" i="2"/>
  <c r="AW170" i="2"/>
  <c r="AX170" i="2"/>
  <c r="AY170" i="2"/>
  <c r="AZ170" i="2"/>
  <c r="BA170" i="2"/>
  <c r="BB170" i="2"/>
  <c r="BC170" i="2"/>
  <c r="BD170" i="2"/>
  <c r="BE170" i="2"/>
  <c r="BF170" i="2"/>
  <c r="BG170" i="2"/>
  <c r="BH170" i="2"/>
  <c r="BI170" i="2"/>
  <c r="BJ170" i="2"/>
  <c r="BK170" i="2"/>
  <c r="BL170" i="2"/>
  <c r="AI171" i="2"/>
  <c r="AJ171" i="2"/>
  <c r="AK171" i="2"/>
  <c r="AL171" i="2"/>
  <c r="AM171" i="2"/>
  <c r="AN171" i="2"/>
  <c r="AO171" i="2"/>
  <c r="AP171" i="2"/>
  <c r="AQ171" i="2"/>
  <c r="AR171" i="2"/>
  <c r="AS171" i="2"/>
  <c r="AT171" i="2"/>
  <c r="AU171" i="2"/>
  <c r="AV171" i="2"/>
  <c r="AW171" i="2"/>
  <c r="AX171" i="2"/>
  <c r="AY171" i="2"/>
  <c r="AZ171" i="2"/>
  <c r="BA171" i="2"/>
  <c r="BB171" i="2"/>
  <c r="BC171" i="2"/>
  <c r="BD171" i="2"/>
  <c r="BE171" i="2"/>
  <c r="BF171" i="2"/>
  <c r="BG171" i="2"/>
  <c r="BH171" i="2"/>
  <c r="BI171" i="2"/>
  <c r="BJ171" i="2"/>
  <c r="BK171" i="2"/>
  <c r="BL171" i="2"/>
  <c r="AI172" i="2"/>
  <c r="AJ172" i="2"/>
  <c r="AK172" i="2"/>
  <c r="AL172" i="2"/>
  <c r="AM172" i="2"/>
  <c r="AN172" i="2"/>
  <c r="AO172" i="2"/>
  <c r="AP172" i="2"/>
  <c r="AQ172" i="2"/>
  <c r="AR172" i="2"/>
  <c r="AS172" i="2"/>
  <c r="AT172" i="2"/>
  <c r="AU172" i="2"/>
  <c r="AV172" i="2"/>
  <c r="AW172" i="2"/>
  <c r="AX172" i="2"/>
  <c r="AY172" i="2"/>
  <c r="AZ172" i="2"/>
  <c r="BA172" i="2"/>
  <c r="BB172" i="2"/>
  <c r="BC172" i="2"/>
  <c r="BD172" i="2"/>
  <c r="BE172" i="2"/>
  <c r="BF172" i="2"/>
  <c r="BG172" i="2"/>
  <c r="BH172" i="2"/>
  <c r="BI172" i="2"/>
  <c r="BJ172" i="2"/>
  <c r="BK172" i="2"/>
  <c r="BL172" i="2"/>
  <c r="AI173" i="2"/>
  <c r="AJ173" i="2"/>
  <c r="AK173" i="2"/>
  <c r="AL173" i="2"/>
  <c r="AM173" i="2"/>
  <c r="AN173" i="2"/>
  <c r="AO173" i="2"/>
  <c r="AP173" i="2"/>
  <c r="AQ173" i="2"/>
  <c r="AR173" i="2"/>
  <c r="AS173" i="2"/>
  <c r="AT173" i="2"/>
  <c r="AU173" i="2"/>
  <c r="AV173" i="2"/>
  <c r="AW173" i="2"/>
  <c r="AX173" i="2"/>
  <c r="AY173" i="2"/>
  <c r="AZ173" i="2"/>
  <c r="BA173" i="2"/>
  <c r="BB173" i="2"/>
  <c r="BC173" i="2"/>
  <c r="BD173" i="2"/>
  <c r="BE173" i="2"/>
  <c r="BF173" i="2"/>
  <c r="BG173" i="2"/>
  <c r="BH173" i="2"/>
  <c r="BI173" i="2"/>
  <c r="BJ173" i="2"/>
  <c r="BK173" i="2"/>
  <c r="BL173" i="2"/>
  <c r="AI174" i="2"/>
  <c r="AJ174" i="2"/>
  <c r="AK174" i="2"/>
  <c r="AL174" i="2"/>
  <c r="AM174" i="2"/>
  <c r="AN174" i="2"/>
  <c r="AO174" i="2"/>
  <c r="AP174" i="2"/>
  <c r="AQ174" i="2"/>
  <c r="AR174" i="2"/>
  <c r="AS174" i="2"/>
  <c r="AT174" i="2"/>
  <c r="AU174" i="2"/>
  <c r="AV174" i="2"/>
  <c r="AW174" i="2"/>
  <c r="AX174" i="2"/>
  <c r="AY174" i="2"/>
  <c r="AZ174" i="2"/>
  <c r="BA174" i="2"/>
  <c r="BB174" i="2"/>
  <c r="BC174" i="2"/>
  <c r="BD174" i="2"/>
  <c r="BE174" i="2"/>
  <c r="BF174" i="2"/>
  <c r="BG174" i="2"/>
  <c r="BH174" i="2"/>
  <c r="BI174" i="2"/>
  <c r="BJ174" i="2"/>
  <c r="BK174" i="2"/>
  <c r="BL174" i="2"/>
  <c r="AI175" i="2"/>
  <c r="AJ175" i="2"/>
  <c r="AK175" i="2"/>
  <c r="AL175" i="2"/>
  <c r="AM175" i="2"/>
  <c r="AN175" i="2"/>
  <c r="AO175" i="2"/>
  <c r="AP175" i="2"/>
  <c r="AQ175" i="2"/>
  <c r="AR175" i="2"/>
  <c r="AS175" i="2"/>
  <c r="AT175" i="2"/>
  <c r="AU175" i="2"/>
  <c r="AV175" i="2"/>
  <c r="AW175" i="2"/>
  <c r="AX175" i="2"/>
  <c r="AY175" i="2"/>
  <c r="AZ175" i="2"/>
  <c r="BA175" i="2"/>
  <c r="BB175" i="2"/>
  <c r="BC175" i="2"/>
  <c r="BD175" i="2"/>
  <c r="BE175" i="2"/>
  <c r="BF175" i="2"/>
  <c r="BG175" i="2"/>
  <c r="BH175" i="2"/>
  <c r="BI175" i="2"/>
  <c r="BJ175" i="2"/>
  <c r="BK175" i="2"/>
  <c r="BL175" i="2"/>
  <c r="AI176" i="2"/>
  <c r="AJ176" i="2"/>
  <c r="AK176" i="2"/>
  <c r="AL176" i="2"/>
  <c r="AM176" i="2"/>
  <c r="AN176" i="2"/>
  <c r="AO176" i="2"/>
  <c r="AP176" i="2"/>
  <c r="AQ176" i="2"/>
  <c r="AR176" i="2"/>
  <c r="AS176" i="2"/>
  <c r="AT176" i="2"/>
  <c r="AU176" i="2"/>
  <c r="AV176" i="2"/>
  <c r="AW176" i="2"/>
  <c r="AX176" i="2"/>
  <c r="AY176" i="2"/>
  <c r="AZ176" i="2"/>
  <c r="BA176" i="2"/>
  <c r="BB176" i="2"/>
  <c r="BC176" i="2"/>
  <c r="BD176" i="2"/>
  <c r="BE176" i="2"/>
  <c r="BF176" i="2"/>
  <c r="BG176" i="2"/>
  <c r="BH176" i="2"/>
  <c r="BI176" i="2"/>
  <c r="BJ176" i="2"/>
  <c r="BK176" i="2"/>
  <c r="BL176" i="2"/>
  <c r="AI177" i="2"/>
  <c r="AJ177" i="2"/>
  <c r="AK177" i="2"/>
  <c r="AL177" i="2"/>
  <c r="AM177" i="2"/>
  <c r="AN177" i="2"/>
  <c r="AO177" i="2"/>
  <c r="AP177" i="2"/>
  <c r="AQ177" i="2"/>
  <c r="AR177" i="2"/>
  <c r="AS177" i="2"/>
  <c r="AT177" i="2"/>
  <c r="AU177" i="2"/>
  <c r="AV177" i="2"/>
  <c r="AW177" i="2"/>
  <c r="AX177" i="2"/>
  <c r="AY177" i="2"/>
  <c r="AZ177" i="2"/>
  <c r="BA177" i="2"/>
  <c r="BB177" i="2"/>
  <c r="BC177" i="2"/>
  <c r="BD177" i="2"/>
  <c r="BE177" i="2"/>
  <c r="BF177" i="2"/>
  <c r="BG177" i="2"/>
  <c r="BH177" i="2"/>
  <c r="BI177" i="2"/>
  <c r="BJ177" i="2"/>
  <c r="BK177" i="2"/>
  <c r="BL177" i="2"/>
  <c r="AI178" i="2"/>
  <c r="AJ178" i="2"/>
  <c r="AK178" i="2"/>
  <c r="AL178" i="2"/>
  <c r="AM178" i="2"/>
  <c r="AN178" i="2"/>
  <c r="AO178" i="2"/>
  <c r="AP178" i="2"/>
  <c r="AQ178" i="2"/>
  <c r="AR178" i="2"/>
  <c r="AS178" i="2"/>
  <c r="AT178" i="2"/>
  <c r="AU178" i="2"/>
  <c r="AV178" i="2"/>
  <c r="AW178" i="2"/>
  <c r="AX178" i="2"/>
  <c r="AY178" i="2"/>
  <c r="AZ178" i="2"/>
  <c r="BA178" i="2"/>
  <c r="BB178" i="2"/>
  <c r="BC178" i="2"/>
  <c r="BD178" i="2"/>
  <c r="BE178" i="2"/>
  <c r="BF178" i="2"/>
  <c r="BG178" i="2"/>
  <c r="BH178" i="2"/>
  <c r="BI178" i="2"/>
  <c r="BJ178" i="2"/>
  <c r="BK178" i="2"/>
  <c r="BL178" i="2"/>
  <c r="AI179" i="2"/>
  <c r="AJ179" i="2"/>
  <c r="AK179" i="2"/>
  <c r="AL179" i="2"/>
  <c r="AM179" i="2"/>
  <c r="AN179" i="2"/>
  <c r="AO179" i="2"/>
  <c r="AP179" i="2"/>
  <c r="AQ179" i="2"/>
  <c r="AR179" i="2"/>
  <c r="AS179" i="2"/>
  <c r="AT179" i="2"/>
  <c r="AU179" i="2"/>
  <c r="AV179" i="2"/>
  <c r="AW179" i="2"/>
  <c r="AX179" i="2"/>
  <c r="AY179" i="2"/>
  <c r="AZ179" i="2"/>
  <c r="BA179" i="2"/>
  <c r="BB179" i="2"/>
  <c r="BC179" i="2"/>
  <c r="BD179" i="2"/>
  <c r="BE179" i="2"/>
  <c r="BF179" i="2"/>
  <c r="BG179" i="2"/>
  <c r="BH179" i="2"/>
  <c r="BI179" i="2"/>
  <c r="BJ179" i="2"/>
  <c r="BK179" i="2"/>
  <c r="BL179" i="2"/>
  <c r="AI180" i="2"/>
  <c r="AJ180" i="2"/>
  <c r="AK180" i="2"/>
  <c r="AL180" i="2"/>
  <c r="AM180" i="2"/>
  <c r="AN180" i="2"/>
  <c r="AO180" i="2"/>
  <c r="AP180" i="2"/>
  <c r="AQ180" i="2"/>
  <c r="AR180" i="2"/>
  <c r="AS180" i="2"/>
  <c r="AT180" i="2"/>
  <c r="AU180" i="2"/>
  <c r="AV180" i="2"/>
  <c r="AW180" i="2"/>
  <c r="AX180" i="2"/>
  <c r="AY180" i="2"/>
  <c r="AZ180" i="2"/>
  <c r="BA180" i="2"/>
  <c r="BB180" i="2"/>
  <c r="BC180" i="2"/>
  <c r="BD180" i="2"/>
  <c r="BE180" i="2"/>
  <c r="BF180" i="2"/>
  <c r="BG180" i="2"/>
  <c r="BH180" i="2"/>
  <c r="BI180" i="2"/>
  <c r="BJ180" i="2"/>
  <c r="BK180" i="2"/>
  <c r="BL180" i="2"/>
  <c r="AI181" i="2"/>
  <c r="AJ181" i="2"/>
  <c r="AK181" i="2"/>
  <c r="AL181" i="2"/>
  <c r="AM181" i="2"/>
  <c r="AN181" i="2"/>
  <c r="AO181" i="2"/>
  <c r="AP181" i="2"/>
  <c r="AQ181" i="2"/>
  <c r="AR181" i="2"/>
  <c r="AS181" i="2"/>
  <c r="AT181" i="2"/>
  <c r="AU181" i="2"/>
  <c r="AV181" i="2"/>
  <c r="AW181" i="2"/>
  <c r="AX181" i="2"/>
  <c r="AY181" i="2"/>
  <c r="AZ181" i="2"/>
  <c r="BA181" i="2"/>
  <c r="BB181" i="2"/>
  <c r="BC181" i="2"/>
  <c r="BD181" i="2"/>
  <c r="BE181" i="2"/>
  <c r="BF181" i="2"/>
  <c r="BG181" i="2"/>
  <c r="BH181" i="2"/>
  <c r="BI181" i="2"/>
  <c r="BJ181" i="2"/>
  <c r="BK181" i="2"/>
  <c r="BL181" i="2"/>
  <c r="AI182" i="2"/>
  <c r="AJ182" i="2"/>
  <c r="AK182" i="2"/>
  <c r="AL182" i="2"/>
  <c r="AM182" i="2"/>
  <c r="AN182" i="2"/>
  <c r="AO182" i="2"/>
  <c r="AP182" i="2"/>
  <c r="AQ182" i="2"/>
  <c r="AR182" i="2"/>
  <c r="AS182" i="2"/>
  <c r="AT182" i="2"/>
  <c r="AU182" i="2"/>
  <c r="AV182" i="2"/>
  <c r="AW182" i="2"/>
  <c r="AX182" i="2"/>
  <c r="AY182" i="2"/>
  <c r="AZ182" i="2"/>
  <c r="BA182" i="2"/>
  <c r="BB182" i="2"/>
  <c r="BC182" i="2"/>
  <c r="BD182" i="2"/>
  <c r="BE182" i="2"/>
  <c r="BF182" i="2"/>
  <c r="BG182" i="2"/>
  <c r="BH182" i="2"/>
  <c r="BI182" i="2"/>
  <c r="BJ182" i="2"/>
  <c r="BK182" i="2"/>
  <c r="BL182" i="2"/>
  <c r="AI183" i="2"/>
  <c r="AJ183" i="2"/>
  <c r="AK183" i="2"/>
  <c r="AL183" i="2"/>
  <c r="AM183" i="2"/>
  <c r="AN183" i="2"/>
  <c r="AO183" i="2"/>
  <c r="AP183" i="2"/>
  <c r="AQ183" i="2"/>
  <c r="AR183" i="2"/>
  <c r="AS183" i="2"/>
  <c r="AT183" i="2"/>
  <c r="AU183" i="2"/>
  <c r="AV183" i="2"/>
  <c r="AW183" i="2"/>
  <c r="AX183" i="2"/>
  <c r="AY183" i="2"/>
  <c r="AZ183" i="2"/>
  <c r="BA183" i="2"/>
  <c r="BB183" i="2"/>
  <c r="BC183" i="2"/>
  <c r="BD183" i="2"/>
  <c r="BE183" i="2"/>
  <c r="BF183" i="2"/>
  <c r="BG183" i="2"/>
  <c r="BH183" i="2"/>
  <c r="BI183" i="2"/>
  <c r="BJ183" i="2"/>
  <c r="BK183" i="2"/>
  <c r="BL183" i="2"/>
  <c r="AI184" i="2"/>
  <c r="AJ184" i="2"/>
  <c r="AK184" i="2"/>
  <c r="AL184" i="2"/>
  <c r="AM184" i="2"/>
  <c r="AN184" i="2"/>
  <c r="AO184" i="2"/>
  <c r="AP184" i="2"/>
  <c r="AQ184" i="2"/>
  <c r="AR184" i="2"/>
  <c r="AS184" i="2"/>
  <c r="AT184" i="2"/>
  <c r="AU184" i="2"/>
  <c r="AV184" i="2"/>
  <c r="AW184" i="2"/>
  <c r="AX184" i="2"/>
  <c r="AY184" i="2"/>
  <c r="AZ184" i="2"/>
  <c r="BA184" i="2"/>
  <c r="BB184" i="2"/>
  <c r="BC184" i="2"/>
  <c r="BD184" i="2"/>
  <c r="BE184" i="2"/>
  <c r="BF184" i="2"/>
  <c r="BG184" i="2"/>
  <c r="BH184" i="2"/>
  <c r="BI184" i="2"/>
  <c r="BJ184" i="2"/>
  <c r="BK184" i="2"/>
  <c r="BL184" i="2"/>
  <c r="AI185" i="2"/>
  <c r="AJ185" i="2"/>
  <c r="AK185" i="2"/>
  <c r="AL185" i="2"/>
  <c r="AM185" i="2"/>
  <c r="AN185" i="2"/>
  <c r="AO185" i="2"/>
  <c r="AP185" i="2"/>
  <c r="AQ185" i="2"/>
  <c r="AR185" i="2"/>
  <c r="AS185" i="2"/>
  <c r="AT185" i="2"/>
  <c r="AU185" i="2"/>
  <c r="AV185" i="2"/>
  <c r="AW185" i="2"/>
  <c r="AX185" i="2"/>
  <c r="AY185" i="2"/>
  <c r="AZ185" i="2"/>
  <c r="BA185" i="2"/>
  <c r="BB185" i="2"/>
  <c r="BC185" i="2"/>
  <c r="BD185" i="2"/>
  <c r="BE185" i="2"/>
  <c r="BF185" i="2"/>
  <c r="BG185" i="2"/>
  <c r="BH185" i="2"/>
  <c r="BI185" i="2"/>
  <c r="BJ185" i="2"/>
  <c r="BK185" i="2"/>
  <c r="BL185" i="2"/>
  <c r="AI186" i="2"/>
  <c r="AJ186" i="2"/>
  <c r="AK186" i="2"/>
  <c r="AL186" i="2"/>
  <c r="AM186" i="2"/>
  <c r="AN186" i="2"/>
  <c r="AO186" i="2"/>
  <c r="AP186" i="2"/>
  <c r="AQ186" i="2"/>
  <c r="AR186" i="2"/>
  <c r="AS186" i="2"/>
  <c r="AT186" i="2"/>
  <c r="AU186" i="2"/>
  <c r="AV186" i="2"/>
  <c r="AW186" i="2"/>
  <c r="AX186" i="2"/>
  <c r="AY186" i="2"/>
  <c r="AZ186" i="2"/>
  <c r="BA186" i="2"/>
  <c r="BB186" i="2"/>
  <c r="BC186" i="2"/>
  <c r="BD186" i="2"/>
  <c r="BE186" i="2"/>
  <c r="BF186" i="2"/>
  <c r="BG186" i="2"/>
  <c r="BH186" i="2"/>
  <c r="BI186" i="2"/>
  <c r="BJ186" i="2"/>
  <c r="BK186" i="2"/>
  <c r="BL186" i="2"/>
  <c r="AI187" i="2"/>
  <c r="AJ187" i="2"/>
  <c r="AK187" i="2"/>
  <c r="AL187" i="2"/>
  <c r="AM187" i="2"/>
  <c r="AN187" i="2"/>
  <c r="AO187" i="2"/>
  <c r="AP187" i="2"/>
  <c r="AQ187" i="2"/>
  <c r="AR187" i="2"/>
  <c r="AS187" i="2"/>
  <c r="AT187" i="2"/>
  <c r="AU187" i="2"/>
  <c r="AV187" i="2"/>
  <c r="AW187" i="2"/>
  <c r="AX187" i="2"/>
  <c r="AY187" i="2"/>
  <c r="AZ187" i="2"/>
  <c r="BA187" i="2"/>
  <c r="BB187" i="2"/>
  <c r="BC187" i="2"/>
  <c r="BD187" i="2"/>
  <c r="BE187" i="2"/>
  <c r="BF187" i="2"/>
  <c r="BG187" i="2"/>
  <c r="BH187" i="2"/>
  <c r="BI187" i="2"/>
  <c r="BJ187" i="2"/>
  <c r="BK187" i="2"/>
  <c r="BL187" i="2"/>
  <c r="AI188" i="2"/>
  <c r="AJ188" i="2"/>
  <c r="AK188" i="2"/>
  <c r="AL188" i="2"/>
  <c r="AM188" i="2"/>
  <c r="AN188" i="2"/>
  <c r="AO188" i="2"/>
  <c r="AP188" i="2"/>
  <c r="AQ188" i="2"/>
  <c r="AR188" i="2"/>
  <c r="AS188" i="2"/>
  <c r="AT188" i="2"/>
  <c r="AU188" i="2"/>
  <c r="AV188" i="2"/>
  <c r="AW188" i="2"/>
  <c r="AX188" i="2"/>
  <c r="AY188" i="2"/>
  <c r="AZ188" i="2"/>
  <c r="BA188" i="2"/>
  <c r="BB188" i="2"/>
  <c r="BC188" i="2"/>
  <c r="BD188" i="2"/>
  <c r="BE188" i="2"/>
  <c r="BF188" i="2"/>
  <c r="BG188" i="2"/>
  <c r="BH188" i="2"/>
  <c r="BI188" i="2"/>
  <c r="BJ188" i="2"/>
  <c r="BK188" i="2"/>
  <c r="BL188" i="2"/>
  <c r="AI189" i="2"/>
  <c r="AJ189" i="2"/>
  <c r="AK189" i="2"/>
  <c r="AL189" i="2"/>
  <c r="AM189" i="2"/>
  <c r="AN189" i="2"/>
  <c r="AO189" i="2"/>
  <c r="AP189" i="2"/>
  <c r="AQ189" i="2"/>
  <c r="AR189" i="2"/>
  <c r="AS189" i="2"/>
  <c r="AT189" i="2"/>
  <c r="AU189" i="2"/>
  <c r="AV189" i="2"/>
  <c r="AW189" i="2"/>
  <c r="AX189" i="2"/>
  <c r="AY189" i="2"/>
  <c r="AZ189" i="2"/>
  <c r="BA189" i="2"/>
  <c r="BB189" i="2"/>
  <c r="BC189" i="2"/>
  <c r="BD189" i="2"/>
  <c r="BE189" i="2"/>
  <c r="BF189" i="2"/>
  <c r="BG189" i="2"/>
  <c r="BH189" i="2"/>
  <c r="BI189" i="2"/>
  <c r="BJ189" i="2"/>
  <c r="BK189" i="2"/>
  <c r="BL189" i="2"/>
  <c r="AI190" i="2"/>
  <c r="AJ190" i="2"/>
  <c r="AK190" i="2"/>
  <c r="AL190" i="2"/>
  <c r="AM190" i="2"/>
  <c r="AN190" i="2"/>
  <c r="AO190" i="2"/>
  <c r="AP190" i="2"/>
  <c r="AQ190" i="2"/>
  <c r="AR190" i="2"/>
  <c r="AS190" i="2"/>
  <c r="AT190" i="2"/>
  <c r="AU190" i="2"/>
  <c r="AV190" i="2"/>
  <c r="AW190" i="2"/>
  <c r="AX190" i="2"/>
  <c r="AY190" i="2"/>
  <c r="AZ190" i="2"/>
  <c r="BA190" i="2"/>
  <c r="BB190" i="2"/>
  <c r="BC190" i="2"/>
  <c r="BD190" i="2"/>
  <c r="BE190" i="2"/>
  <c r="BF190" i="2"/>
  <c r="BG190" i="2"/>
  <c r="BH190" i="2"/>
  <c r="BI190" i="2"/>
  <c r="BJ190" i="2"/>
  <c r="BK190" i="2"/>
  <c r="BL190" i="2"/>
  <c r="AI191" i="2"/>
  <c r="AJ191" i="2"/>
  <c r="AK191" i="2"/>
  <c r="AL191" i="2"/>
  <c r="AM191" i="2"/>
  <c r="AN191" i="2"/>
  <c r="AO191" i="2"/>
  <c r="AP191" i="2"/>
  <c r="AQ191" i="2"/>
  <c r="AR191" i="2"/>
  <c r="AS191" i="2"/>
  <c r="AT191" i="2"/>
  <c r="AU191" i="2"/>
  <c r="AV191" i="2"/>
  <c r="AW191" i="2"/>
  <c r="AX191" i="2"/>
  <c r="AY191" i="2"/>
  <c r="AZ191" i="2"/>
  <c r="BA191" i="2"/>
  <c r="BB191" i="2"/>
  <c r="BC191" i="2"/>
  <c r="BD191" i="2"/>
  <c r="BE191" i="2"/>
  <c r="BF191" i="2"/>
  <c r="BG191" i="2"/>
  <c r="BH191" i="2"/>
  <c r="BI191" i="2"/>
  <c r="BJ191" i="2"/>
  <c r="BK191" i="2"/>
  <c r="BL191" i="2"/>
  <c r="AI192" i="2"/>
  <c r="AJ192" i="2"/>
  <c r="AK192" i="2"/>
  <c r="AL192" i="2"/>
  <c r="AM192" i="2"/>
  <c r="AN192" i="2"/>
  <c r="AO192" i="2"/>
  <c r="AP192" i="2"/>
  <c r="AQ192" i="2"/>
  <c r="AR192" i="2"/>
  <c r="AS192" i="2"/>
  <c r="AT192" i="2"/>
  <c r="AU192" i="2"/>
  <c r="AV192" i="2"/>
  <c r="AW192" i="2"/>
  <c r="AX192" i="2"/>
  <c r="AY192" i="2"/>
  <c r="AZ192" i="2"/>
  <c r="BA192" i="2"/>
  <c r="BB192" i="2"/>
  <c r="BC192" i="2"/>
  <c r="BD192" i="2"/>
  <c r="BE192" i="2"/>
  <c r="BF192" i="2"/>
  <c r="BG192" i="2"/>
  <c r="BH192" i="2"/>
  <c r="BI192" i="2"/>
  <c r="BJ192" i="2"/>
  <c r="BK192" i="2"/>
  <c r="BL192" i="2"/>
  <c r="AI193" i="2"/>
  <c r="AJ193" i="2"/>
  <c r="AK193" i="2"/>
  <c r="AL193" i="2"/>
  <c r="AM193" i="2"/>
  <c r="AN193" i="2"/>
  <c r="AO193" i="2"/>
  <c r="AP193" i="2"/>
  <c r="AQ193" i="2"/>
  <c r="AR193" i="2"/>
  <c r="AS193" i="2"/>
  <c r="AT193" i="2"/>
  <c r="AU193" i="2"/>
  <c r="AV193" i="2"/>
  <c r="AW193" i="2"/>
  <c r="AX193" i="2"/>
  <c r="AY193" i="2"/>
  <c r="AZ193" i="2"/>
  <c r="BA193" i="2"/>
  <c r="BB193" i="2"/>
  <c r="BC193" i="2"/>
  <c r="BD193" i="2"/>
  <c r="BE193" i="2"/>
  <c r="BF193" i="2"/>
  <c r="BG193" i="2"/>
  <c r="BH193" i="2"/>
  <c r="BI193" i="2"/>
  <c r="BJ193" i="2"/>
  <c r="BK193" i="2"/>
  <c r="BL193" i="2"/>
  <c r="AI194" i="2"/>
  <c r="AJ194" i="2"/>
  <c r="AK194" i="2"/>
  <c r="AL194" i="2"/>
  <c r="AM194" i="2"/>
  <c r="AN194" i="2"/>
  <c r="AO194" i="2"/>
  <c r="AP194" i="2"/>
  <c r="AQ194" i="2"/>
  <c r="AR194" i="2"/>
  <c r="AS194" i="2"/>
  <c r="AT194" i="2"/>
  <c r="AU194" i="2"/>
  <c r="AV194" i="2"/>
  <c r="AW194" i="2"/>
  <c r="AX194" i="2"/>
  <c r="AY194" i="2"/>
  <c r="AZ194" i="2"/>
  <c r="BA194" i="2"/>
  <c r="BB194" i="2"/>
  <c r="BC194" i="2"/>
  <c r="BD194" i="2"/>
  <c r="BE194" i="2"/>
  <c r="BF194" i="2"/>
  <c r="BG194" i="2"/>
  <c r="BH194" i="2"/>
  <c r="BI194" i="2"/>
  <c r="BJ194" i="2"/>
  <c r="BK194" i="2"/>
  <c r="BL194" i="2"/>
  <c r="AI195" i="2"/>
  <c r="AJ195" i="2"/>
  <c r="AK195" i="2"/>
  <c r="AL195" i="2"/>
  <c r="AM195" i="2"/>
  <c r="AN195" i="2"/>
  <c r="AO195" i="2"/>
  <c r="AP195" i="2"/>
  <c r="AQ195" i="2"/>
  <c r="AR195" i="2"/>
  <c r="AS195" i="2"/>
  <c r="AT195" i="2"/>
  <c r="AU195" i="2"/>
  <c r="AV195" i="2"/>
  <c r="AW195" i="2"/>
  <c r="AX195" i="2"/>
  <c r="AY195" i="2"/>
  <c r="AZ195" i="2"/>
  <c r="BA195" i="2"/>
  <c r="BB195" i="2"/>
  <c r="BC195" i="2"/>
  <c r="BD195" i="2"/>
  <c r="BE195" i="2"/>
  <c r="BF195" i="2"/>
  <c r="BG195" i="2"/>
  <c r="BH195" i="2"/>
  <c r="BI195" i="2"/>
  <c r="BJ195" i="2"/>
  <c r="BK195" i="2"/>
  <c r="BL195" i="2"/>
  <c r="AI196" i="2"/>
  <c r="AJ196" i="2"/>
  <c r="AK196" i="2"/>
  <c r="AL196" i="2"/>
  <c r="AM196" i="2"/>
  <c r="AN196" i="2"/>
  <c r="AO196" i="2"/>
  <c r="AP196" i="2"/>
  <c r="AQ196" i="2"/>
  <c r="AR196" i="2"/>
  <c r="AS196" i="2"/>
  <c r="AT196" i="2"/>
  <c r="AU196" i="2"/>
  <c r="AV196" i="2"/>
  <c r="AW196" i="2"/>
  <c r="AX196" i="2"/>
  <c r="AY196" i="2"/>
  <c r="AZ196" i="2"/>
  <c r="BA196" i="2"/>
  <c r="BB196" i="2"/>
  <c r="BC196" i="2"/>
  <c r="BD196" i="2"/>
  <c r="BE196" i="2"/>
  <c r="BF196" i="2"/>
  <c r="BG196" i="2"/>
  <c r="BH196" i="2"/>
  <c r="BI196" i="2"/>
  <c r="BJ196" i="2"/>
  <c r="BK196" i="2"/>
  <c r="BL196" i="2"/>
  <c r="AI197" i="2"/>
  <c r="AJ197" i="2"/>
  <c r="AK197" i="2"/>
  <c r="AL197" i="2"/>
  <c r="AM197" i="2"/>
  <c r="AN197" i="2"/>
  <c r="AO197" i="2"/>
  <c r="AP197" i="2"/>
  <c r="AQ197" i="2"/>
  <c r="AR197" i="2"/>
  <c r="AS197" i="2"/>
  <c r="AT197" i="2"/>
  <c r="AU197" i="2"/>
  <c r="AV197" i="2"/>
  <c r="AW197" i="2"/>
  <c r="AX197" i="2"/>
  <c r="AY197" i="2"/>
  <c r="AZ197" i="2"/>
  <c r="BA197" i="2"/>
  <c r="BB197" i="2"/>
  <c r="BC197" i="2"/>
  <c r="BD197" i="2"/>
  <c r="BE197" i="2"/>
  <c r="BF197" i="2"/>
  <c r="BG197" i="2"/>
  <c r="BH197" i="2"/>
  <c r="BI197" i="2"/>
  <c r="BJ197" i="2"/>
  <c r="BK197" i="2"/>
  <c r="BL197" i="2"/>
  <c r="AI198" i="2"/>
  <c r="AJ198" i="2"/>
  <c r="AK198" i="2"/>
  <c r="AL198" i="2"/>
  <c r="AM198" i="2"/>
  <c r="AN198" i="2"/>
  <c r="AO198" i="2"/>
  <c r="AP198" i="2"/>
  <c r="AQ198" i="2"/>
  <c r="AR198" i="2"/>
  <c r="AS198" i="2"/>
  <c r="AT198" i="2"/>
  <c r="AU198" i="2"/>
  <c r="AV198" i="2"/>
  <c r="AW198" i="2"/>
  <c r="AX198" i="2"/>
  <c r="AY198" i="2"/>
  <c r="AZ198" i="2"/>
  <c r="BA198" i="2"/>
  <c r="BB198" i="2"/>
  <c r="BC198" i="2"/>
  <c r="BD198" i="2"/>
  <c r="BE198" i="2"/>
  <c r="BF198" i="2"/>
  <c r="BG198" i="2"/>
  <c r="BH198" i="2"/>
  <c r="BI198" i="2"/>
  <c r="BJ198" i="2"/>
  <c r="BK198" i="2"/>
  <c r="BL198" i="2"/>
  <c r="AI199" i="2"/>
  <c r="AJ199" i="2"/>
  <c r="AK199" i="2"/>
  <c r="AL199" i="2"/>
  <c r="AM199" i="2"/>
  <c r="AN199" i="2"/>
  <c r="AO199" i="2"/>
  <c r="AP199" i="2"/>
  <c r="AQ199" i="2"/>
  <c r="AR199" i="2"/>
  <c r="AS199" i="2"/>
  <c r="AT199" i="2"/>
  <c r="AU199" i="2"/>
  <c r="AV199" i="2"/>
  <c r="AW199" i="2"/>
  <c r="AX199" i="2"/>
  <c r="AY199" i="2"/>
  <c r="AZ199" i="2"/>
  <c r="BA199" i="2"/>
  <c r="BB199" i="2"/>
  <c r="BC199" i="2"/>
  <c r="BD199" i="2"/>
  <c r="BE199" i="2"/>
  <c r="BF199" i="2"/>
  <c r="BG199" i="2"/>
  <c r="BH199" i="2"/>
  <c r="BI199" i="2"/>
  <c r="BJ199" i="2"/>
  <c r="BK199" i="2"/>
  <c r="BL199" i="2"/>
  <c r="AI200" i="2"/>
  <c r="AJ200" i="2"/>
  <c r="AK200" i="2"/>
  <c r="AL200" i="2"/>
  <c r="AM200" i="2"/>
  <c r="AN200" i="2"/>
  <c r="AO200" i="2"/>
  <c r="AP200" i="2"/>
  <c r="AQ200" i="2"/>
  <c r="AR200" i="2"/>
  <c r="AS200" i="2"/>
  <c r="AT200" i="2"/>
  <c r="AU200" i="2"/>
  <c r="AV200" i="2"/>
  <c r="AW200" i="2"/>
  <c r="AX200" i="2"/>
  <c r="AY200" i="2"/>
  <c r="AZ200" i="2"/>
  <c r="BA200" i="2"/>
  <c r="BB200" i="2"/>
  <c r="BC200" i="2"/>
  <c r="BD200" i="2"/>
  <c r="BE200" i="2"/>
  <c r="BF200" i="2"/>
  <c r="BG200" i="2"/>
  <c r="BH200" i="2"/>
  <c r="BI200" i="2"/>
  <c r="BJ200" i="2"/>
  <c r="BK200" i="2"/>
  <c r="BL200" i="2"/>
  <c r="AI201" i="2"/>
  <c r="AJ201" i="2"/>
  <c r="AK201" i="2"/>
  <c r="AL201" i="2"/>
  <c r="AM201" i="2"/>
  <c r="AN201" i="2"/>
  <c r="AO201" i="2"/>
  <c r="AP201" i="2"/>
  <c r="AQ201" i="2"/>
  <c r="AR201" i="2"/>
  <c r="AS201" i="2"/>
  <c r="AT201" i="2"/>
  <c r="AU201" i="2"/>
  <c r="AV201" i="2"/>
  <c r="AW201" i="2"/>
  <c r="AX201" i="2"/>
  <c r="AY201" i="2"/>
  <c r="AZ201" i="2"/>
  <c r="BA201" i="2"/>
  <c r="BB201" i="2"/>
  <c r="BC201" i="2"/>
  <c r="BD201" i="2"/>
  <c r="BE201" i="2"/>
  <c r="BF201" i="2"/>
  <c r="BG201" i="2"/>
  <c r="BH201" i="2"/>
  <c r="BI201" i="2"/>
  <c r="BJ201" i="2"/>
  <c r="BK201" i="2"/>
  <c r="BL201" i="2"/>
  <c r="AI202" i="2"/>
  <c r="AJ202" i="2"/>
  <c r="AK202" i="2"/>
  <c r="AL202" i="2"/>
  <c r="AM202" i="2"/>
  <c r="AN202" i="2"/>
  <c r="AO202" i="2"/>
  <c r="AP202" i="2"/>
  <c r="AQ202" i="2"/>
  <c r="AR202" i="2"/>
  <c r="AS202" i="2"/>
  <c r="AT202" i="2"/>
  <c r="AU202" i="2"/>
  <c r="AV202" i="2"/>
  <c r="AW202" i="2"/>
  <c r="AX202" i="2"/>
  <c r="AY202" i="2"/>
  <c r="AZ202" i="2"/>
  <c r="BA202" i="2"/>
  <c r="BB202" i="2"/>
  <c r="BC202" i="2"/>
  <c r="BD202" i="2"/>
  <c r="BE202" i="2"/>
  <c r="BF202" i="2"/>
  <c r="BG202" i="2"/>
  <c r="BH202" i="2"/>
  <c r="BI202" i="2"/>
  <c r="BJ202" i="2"/>
  <c r="BK202" i="2"/>
  <c r="BL202" i="2"/>
  <c r="AI203" i="2"/>
  <c r="AJ203" i="2"/>
  <c r="AK203" i="2"/>
  <c r="AL203" i="2"/>
  <c r="AM203" i="2"/>
  <c r="AN203" i="2"/>
  <c r="AO203" i="2"/>
  <c r="AP203" i="2"/>
  <c r="AQ203" i="2"/>
  <c r="AR203" i="2"/>
  <c r="AS203" i="2"/>
  <c r="AT203" i="2"/>
  <c r="AU203" i="2"/>
  <c r="AV203" i="2"/>
  <c r="AW203" i="2"/>
  <c r="AX203" i="2"/>
  <c r="AY203" i="2"/>
  <c r="AZ203" i="2"/>
  <c r="BA203" i="2"/>
  <c r="BB203" i="2"/>
  <c r="BC203" i="2"/>
  <c r="BD203" i="2"/>
  <c r="BE203" i="2"/>
  <c r="BF203" i="2"/>
  <c r="BG203" i="2"/>
  <c r="BH203" i="2"/>
  <c r="BI203" i="2"/>
  <c r="BJ203" i="2"/>
  <c r="BK203" i="2"/>
  <c r="BL203" i="2"/>
  <c r="AI204" i="2"/>
  <c r="AJ204" i="2"/>
  <c r="AK204" i="2"/>
  <c r="AL204" i="2"/>
  <c r="AM204" i="2"/>
  <c r="AN204" i="2"/>
  <c r="AO204" i="2"/>
  <c r="AP204" i="2"/>
  <c r="AQ204" i="2"/>
  <c r="AR204" i="2"/>
  <c r="AS204" i="2"/>
  <c r="AT204" i="2"/>
  <c r="AU204" i="2"/>
  <c r="AV204" i="2"/>
  <c r="AW204" i="2"/>
  <c r="AX204" i="2"/>
  <c r="AY204" i="2"/>
  <c r="AZ204" i="2"/>
  <c r="BA204" i="2"/>
  <c r="BB204" i="2"/>
  <c r="BC204" i="2"/>
  <c r="BD204" i="2"/>
  <c r="BE204" i="2"/>
  <c r="BF204" i="2"/>
  <c r="BG204" i="2"/>
  <c r="BH204" i="2"/>
  <c r="BI204" i="2"/>
  <c r="BJ204" i="2"/>
  <c r="BK204" i="2"/>
  <c r="BL204" i="2"/>
  <c r="AI205" i="2"/>
  <c r="AJ205" i="2"/>
  <c r="AK205" i="2"/>
  <c r="AL205" i="2"/>
  <c r="AM205" i="2"/>
  <c r="AN205" i="2"/>
  <c r="AO205" i="2"/>
  <c r="AP205" i="2"/>
  <c r="AQ205" i="2"/>
  <c r="AR205" i="2"/>
  <c r="AS205" i="2"/>
  <c r="AT205" i="2"/>
  <c r="AU205" i="2"/>
  <c r="AV205" i="2"/>
  <c r="AW205" i="2"/>
  <c r="AX205" i="2"/>
  <c r="AY205" i="2"/>
  <c r="AZ205" i="2"/>
  <c r="BA205" i="2"/>
  <c r="BB205" i="2"/>
  <c r="BC205" i="2"/>
  <c r="BD205" i="2"/>
  <c r="BE205" i="2"/>
  <c r="BF205" i="2"/>
  <c r="BG205" i="2"/>
  <c r="BH205" i="2"/>
  <c r="BI205" i="2"/>
  <c r="BJ205" i="2"/>
  <c r="BK205" i="2"/>
  <c r="BL205" i="2"/>
  <c r="AI206" i="2"/>
  <c r="AJ206" i="2"/>
  <c r="AK206" i="2"/>
  <c r="AL206" i="2"/>
  <c r="AM206" i="2"/>
  <c r="AN206" i="2"/>
  <c r="AO206" i="2"/>
  <c r="AP206" i="2"/>
  <c r="AQ206" i="2"/>
  <c r="AR206" i="2"/>
  <c r="AS206" i="2"/>
  <c r="AT206" i="2"/>
  <c r="AU206" i="2"/>
  <c r="AV206" i="2"/>
  <c r="AW206" i="2"/>
  <c r="AX206" i="2"/>
  <c r="AY206" i="2"/>
  <c r="AZ206" i="2"/>
  <c r="BA206" i="2"/>
  <c r="BB206" i="2"/>
  <c r="BC206" i="2"/>
  <c r="BD206" i="2"/>
  <c r="BE206" i="2"/>
  <c r="BF206" i="2"/>
  <c r="BG206" i="2"/>
  <c r="BH206" i="2"/>
  <c r="BI206" i="2"/>
  <c r="BJ206" i="2"/>
  <c r="BK206" i="2"/>
  <c r="BL206" i="2"/>
  <c r="AI207" i="2"/>
  <c r="AJ207" i="2"/>
  <c r="AK207" i="2"/>
  <c r="AL207" i="2"/>
  <c r="AM207" i="2"/>
  <c r="AN207" i="2"/>
  <c r="AO207" i="2"/>
  <c r="AP207" i="2"/>
  <c r="AQ207" i="2"/>
  <c r="AR207" i="2"/>
  <c r="AS207" i="2"/>
  <c r="AT207" i="2"/>
  <c r="AU207" i="2"/>
  <c r="AV207" i="2"/>
  <c r="AW207" i="2"/>
  <c r="AX207" i="2"/>
  <c r="AY207" i="2"/>
  <c r="AZ207" i="2"/>
  <c r="BA207" i="2"/>
  <c r="BB207" i="2"/>
  <c r="BC207" i="2"/>
  <c r="BD207" i="2"/>
  <c r="BE207" i="2"/>
  <c r="BF207" i="2"/>
  <c r="BG207" i="2"/>
  <c r="BH207" i="2"/>
  <c r="BI207" i="2"/>
  <c r="BJ207" i="2"/>
  <c r="BK207" i="2"/>
  <c r="BL207" i="2"/>
  <c r="AI208" i="2"/>
  <c r="AJ208" i="2"/>
  <c r="AK208" i="2"/>
  <c r="AL208" i="2"/>
  <c r="AM208" i="2"/>
  <c r="AN208" i="2"/>
  <c r="AO208" i="2"/>
  <c r="AP208" i="2"/>
  <c r="AQ208" i="2"/>
  <c r="AR208" i="2"/>
  <c r="AS208" i="2"/>
  <c r="AT208" i="2"/>
  <c r="AU208" i="2"/>
  <c r="AV208" i="2"/>
  <c r="AW208" i="2"/>
  <c r="AX208" i="2"/>
  <c r="AY208" i="2"/>
  <c r="AZ208" i="2"/>
  <c r="BA208" i="2"/>
  <c r="BB208" i="2"/>
  <c r="BC208" i="2"/>
  <c r="BD208" i="2"/>
  <c r="BE208" i="2"/>
  <c r="BF208" i="2"/>
  <c r="BG208" i="2"/>
  <c r="BH208" i="2"/>
  <c r="BI208" i="2"/>
  <c r="BJ208" i="2"/>
  <c r="BK208" i="2"/>
  <c r="BL208" i="2"/>
  <c r="AI209" i="2"/>
  <c r="AJ209" i="2"/>
  <c r="AK209" i="2"/>
  <c r="AL209" i="2"/>
  <c r="AM209" i="2"/>
  <c r="AN209" i="2"/>
  <c r="AO209" i="2"/>
  <c r="AP209" i="2"/>
  <c r="AQ209" i="2"/>
  <c r="AR209" i="2"/>
  <c r="AS209" i="2"/>
  <c r="AT209" i="2"/>
  <c r="AU209" i="2"/>
  <c r="AV209" i="2"/>
  <c r="AW209" i="2"/>
  <c r="AX209" i="2"/>
  <c r="AY209" i="2"/>
  <c r="AZ209" i="2"/>
  <c r="BA209" i="2"/>
  <c r="BB209" i="2"/>
  <c r="BC209" i="2"/>
  <c r="BD209" i="2"/>
  <c r="BE209" i="2"/>
  <c r="BF209" i="2"/>
  <c r="BG209" i="2"/>
  <c r="BH209" i="2"/>
  <c r="BI209" i="2"/>
  <c r="BJ209" i="2"/>
  <c r="BK209" i="2"/>
  <c r="BL209" i="2"/>
  <c r="AI210" i="2"/>
  <c r="AJ210" i="2"/>
  <c r="AK210" i="2"/>
  <c r="AL210" i="2"/>
  <c r="AM210" i="2"/>
  <c r="AN210" i="2"/>
  <c r="AO210" i="2"/>
  <c r="AP210" i="2"/>
  <c r="AQ210" i="2"/>
  <c r="AR210" i="2"/>
  <c r="AS210" i="2"/>
  <c r="AT210" i="2"/>
  <c r="AU210" i="2"/>
  <c r="AV210" i="2"/>
  <c r="AW210" i="2"/>
  <c r="AX210" i="2"/>
  <c r="AY210" i="2"/>
  <c r="AZ210" i="2"/>
  <c r="BA210" i="2"/>
  <c r="BB210" i="2"/>
  <c r="BC210" i="2"/>
  <c r="BD210" i="2"/>
  <c r="BE210" i="2"/>
  <c r="BF210" i="2"/>
  <c r="BG210" i="2"/>
  <c r="BH210" i="2"/>
  <c r="BI210" i="2"/>
  <c r="BJ210" i="2"/>
  <c r="BK210" i="2"/>
  <c r="BL210" i="2"/>
  <c r="AI211" i="2"/>
  <c r="AJ211" i="2"/>
  <c r="AK211" i="2"/>
  <c r="AL211" i="2"/>
  <c r="AM211" i="2"/>
  <c r="AN211" i="2"/>
  <c r="AO211" i="2"/>
  <c r="AP211" i="2"/>
  <c r="AQ211" i="2"/>
  <c r="AR211" i="2"/>
  <c r="AS211" i="2"/>
  <c r="AT211" i="2"/>
  <c r="AU211" i="2"/>
  <c r="AV211" i="2"/>
  <c r="AW211" i="2"/>
  <c r="AX211" i="2"/>
  <c r="AY211" i="2"/>
  <c r="AZ211" i="2"/>
  <c r="BA211" i="2"/>
  <c r="BB211" i="2"/>
  <c r="BC211" i="2"/>
  <c r="BD211" i="2"/>
  <c r="BE211" i="2"/>
  <c r="BF211" i="2"/>
  <c r="BG211" i="2"/>
  <c r="BH211" i="2"/>
  <c r="BI211" i="2"/>
  <c r="BJ211" i="2"/>
  <c r="BK211" i="2"/>
  <c r="BL211" i="2"/>
  <c r="AI212" i="2"/>
  <c r="AJ212" i="2"/>
  <c r="AK212" i="2"/>
  <c r="AL212" i="2"/>
  <c r="AM212" i="2"/>
  <c r="AN212" i="2"/>
  <c r="AO212" i="2"/>
  <c r="AP212" i="2"/>
  <c r="AQ212" i="2"/>
  <c r="AR212" i="2"/>
  <c r="AS212" i="2"/>
  <c r="AT212" i="2"/>
  <c r="AU212" i="2"/>
  <c r="AV212" i="2"/>
  <c r="AW212" i="2"/>
  <c r="AX212" i="2"/>
  <c r="AY212" i="2"/>
  <c r="AZ212" i="2"/>
  <c r="BA212" i="2"/>
  <c r="BB212" i="2"/>
  <c r="BC212" i="2"/>
  <c r="BD212" i="2"/>
  <c r="BE212" i="2"/>
  <c r="BF212" i="2"/>
  <c r="BG212" i="2"/>
  <c r="BH212" i="2"/>
  <c r="BI212" i="2"/>
  <c r="BJ212" i="2"/>
  <c r="BK212" i="2"/>
  <c r="BL212" i="2"/>
  <c r="AI213" i="2"/>
  <c r="AJ213" i="2"/>
  <c r="AK213" i="2"/>
  <c r="AL213" i="2"/>
  <c r="AM213" i="2"/>
  <c r="AN213" i="2"/>
  <c r="AO213" i="2"/>
  <c r="AP213" i="2"/>
  <c r="AQ213" i="2"/>
  <c r="AR213" i="2"/>
  <c r="AS213" i="2"/>
  <c r="AT213" i="2"/>
  <c r="AU213" i="2"/>
  <c r="AV213" i="2"/>
  <c r="AW213" i="2"/>
  <c r="AX213" i="2"/>
  <c r="AY213" i="2"/>
  <c r="AZ213" i="2"/>
  <c r="BA213" i="2"/>
  <c r="BB213" i="2"/>
  <c r="BC213" i="2"/>
  <c r="BD213" i="2"/>
  <c r="BE213" i="2"/>
  <c r="BF213" i="2"/>
  <c r="BG213" i="2"/>
  <c r="BH213" i="2"/>
  <c r="BI213" i="2"/>
  <c r="BJ213" i="2"/>
  <c r="BK213" i="2"/>
  <c r="BL213" i="2"/>
  <c r="AI214" i="2"/>
  <c r="AJ214" i="2"/>
  <c r="AK214" i="2"/>
  <c r="AL214" i="2"/>
  <c r="AM214" i="2"/>
  <c r="AN214" i="2"/>
  <c r="AO214" i="2"/>
  <c r="AP214" i="2"/>
  <c r="AQ214" i="2"/>
  <c r="AR214" i="2"/>
  <c r="AS214" i="2"/>
  <c r="AT214" i="2"/>
  <c r="AU214" i="2"/>
  <c r="AV214" i="2"/>
  <c r="AW214" i="2"/>
  <c r="AX214" i="2"/>
  <c r="AY214" i="2"/>
  <c r="AZ214" i="2"/>
  <c r="BA214" i="2"/>
  <c r="BB214" i="2"/>
  <c r="BC214" i="2"/>
  <c r="BD214" i="2"/>
  <c r="BE214" i="2"/>
  <c r="BF214" i="2"/>
  <c r="BG214" i="2"/>
  <c r="BH214" i="2"/>
  <c r="BI214" i="2"/>
  <c r="BJ214" i="2"/>
  <c r="BK214" i="2"/>
  <c r="BL214" i="2"/>
  <c r="AI215" i="2"/>
  <c r="AJ215" i="2"/>
  <c r="AK215" i="2"/>
  <c r="AL215" i="2"/>
  <c r="AM215" i="2"/>
  <c r="AN215" i="2"/>
  <c r="AO215" i="2"/>
  <c r="AP215" i="2"/>
  <c r="AQ215" i="2"/>
  <c r="AR215" i="2"/>
  <c r="AS215" i="2"/>
  <c r="AT215" i="2"/>
  <c r="AU215" i="2"/>
  <c r="AV215" i="2"/>
  <c r="AW215" i="2"/>
  <c r="AX215" i="2"/>
  <c r="AY215" i="2"/>
  <c r="AZ215" i="2"/>
  <c r="BA215" i="2"/>
  <c r="BB215" i="2"/>
  <c r="BC215" i="2"/>
  <c r="BD215" i="2"/>
  <c r="BE215" i="2"/>
  <c r="BF215" i="2"/>
  <c r="BG215" i="2"/>
  <c r="BH215" i="2"/>
  <c r="BI215" i="2"/>
  <c r="BJ215" i="2"/>
  <c r="BK215" i="2"/>
  <c r="BL215" i="2"/>
  <c r="AI216" i="2"/>
  <c r="AJ216" i="2"/>
  <c r="AK216" i="2"/>
  <c r="AL216" i="2"/>
  <c r="AM216" i="2"/>
  <c r="AN216" i="2"/>
  <c r="AO216" i="2"/>
  <c r="AP216" i="2"/>
  <c r="AQ216" i="2"/>
  <c r="AR216" i="2"/>
  <c r="AS216" i="2"/>
  <c r="AT216" i="2"/>
  <c r="AU216" i="2"/>
  <c r="AV216" i="2"/>
  <c r="AW216" i="2"/>
  <c r="AX216" i="2"/>
  <c r="AY216" i="2"/>
  <c r="AZ216" i="2"/>
  <c r="BA216" i="2"/>
  <c r="BB216" i="2"/>
  <c r="BC216" i="2"/>
  <c r="BD216" i="2"/>
  <c r="BE216" i="2"/>
  <c r="BF216" i="2"/>
  <c r="BG216" i="2"/>
  <c r="BH216" i="2"/>
  <c r="BI216" i="2"/>
  <c r="BJ216" i="2"/>
  <c r="BK216" i="2"/>
  <c r="BL216" i="2"/>
  <c r="AI217" i="2"/>
  <c r="AJ217" i="2"/>
  <c r="AK217" i="2"/>
  <c r="AL217" i="2"/>
  <c r="AM217" i="2"/>
  <c r="AN217" i="2"/>
  <c r="AO217" i="2"/>
  <c r="AP217" i="2"/>
  <c r="AQ217" i="2"/>
  <c r="AR217" i="2"/>
  <c r="AS217" i="2"/>
  <c r="AT217" i="2"/>
  <c r="AU217" i="2"/>
  <c r="AV217" i="2"/>
  <c r="AW217" i="2"/>
  <c r="AX217" i="2"/>
  <c r="AY217" i="2"/>
  <c r="AZ217" i="2"/>
  <c r="BA217" i="2"/>
  <c r="BB217" i="2"/>
  <c r="BC217" i="2"/>
  <c r="BD217" i="2"/>
  <c r="BE217" i="2"/>
  <c r="BF217" i="2"/>
  <c r="BG217" i="2"/>
  <c r="BH217" i="2"/>
  <c r="BI217" i="2"/>
  <c r="BJ217" i="2"/>
  <c r="BK217" i="2"/>
  <c r="BL217" i="2"/>
  <c r="AI218" i="2"/>
  <c r="AJ218" i="2"/>
  <c r="AK218" i="2"/>
  <c r="AL218" i="2"/>
  <c r="AM218" i="2"/>
  <c r="AN218" i="2"/>
  <c r="AO218" i="2"/>
  <c r="AP218" i="2"/>
  <c r="AQ218" i="2"/>
  <c r="AR218" i="2"/>
  <c r="AS218" i="2"/>
  <c r="AT218" i="2"/>
  <c r="AU218" i="2"/>
  <c r="AV218" i="2"/>
  <c r="AW218" i="2"/>
  <c r="AX218" i="2"/>
  <c r="AY218" i="2"/>
  <c r="AZ218" i="2"/>
  <c r="BA218" i="2"/>
  <c r="BB218" i="2"/>
  <c r="BC218" i="2"/>
  <c r="BD218" i="2"/>
  <c r="BE218" i="2"/>
  <c r="BF218" i="2"/>
  <c r="BG218" i="2"/>
  <c r="BH218" i="2"/>
  <c r="BI218" i="2"/>
  <c r="BJ218" i="2"/>
  <c r="BK218" i="2"/>
  <c r="BL218" i="2"/>
  <c r="AI219" i="2"/>
  <c r="AJ219" i="2"/>
  <c r="AK219" i="2"/>
  <c r="AL219" i="2"/>
  <c r="AM219" i="2"/>
  <c r="AN219" i="2"/>
  <c r="AO219" i="2"/>
  <c r="AP219" i="2"/>
  <c r="AQ219" i="2"/>
  <c r="AR219" i="2"/>
  <c r="AS219" i="2"/>
  <c r="AT219" i="2"/>
  <c r="AU219" i="2"/>
  <c r="AV219" i="2"/>
  <c r="AW219" i="2"/>
  <c r="AX219" i="2"/>
  <c r="AY219" i="2"/>
  <c r="AZ219" i="2"/>
  <c r="BA219" i="2"/>
  <c r="BB219" i="2"/>
  <c r="BC219" i="2"/>
  <c r="BD219" i="2"/>
  <c r="BE219" i="2"/>
  <c r="BF219" i="2"/>
  <c r="BG219" i="2"/>
  <c r="BH219" i="2"/>
  <c r="BI219" i="2"/>
  <c r="BJ219" i="2"/>
  <c r="BK219" i="2"/>
  <c r="BL219" i="2"/>
  <c r="AI220" i="2"/>
  <c r="AJ220" i="2"/>
  <c r="AK220" i="2"/>
  <c r="AL220" i="2"/>
  <c r="AM220" i="2"/>
  <c r="AN220" i="2"/>
  <c r="AO220" i="2"/>
  <c r="AP220" i="2"/>
  <c r="AQ220" i="2"/>
  <c r="AR220" i="2"/>
  <c r="AS220" i="2"/>
  <c r="AT220" i="2"/>
  <c r="AU220" i="2"/>
  <c r="AV220" i="2"/>
  <c r="AW220" i="2"/>
  <c r="AX220" i="2"/>
  <c r="AY220" i="2"/>
  <c r="AZ220" i="2"/>
  <c r="BA220" i="2"/>
  <c r="BB220" i="2"/>
  <c r="BC220" i="2"/>
  <c r="BD220" i="2"/>
  <c r="BE220" i="2"/>
  <c r="BF220" i="2"/>
  <c r="BG220" i="2"/>
  <c r="BH220" i="2"/>
  <c r="BI220" i="2"/>
  <c r="BJ220" i="2"/>
  <c r="BK220" i="2"/>
  <c r="BL220" i="2"/>
  <c r="AI221" i="2"/>
  <c r="AJ221" i="2"/>
  <c r="AK221" i="2"/>
  <c r="AL221" i="2"/>
  <c r="AM221" i="2"/>
  <c r="AN221" i="2"/>
  <c r="AO221" i="2"/>
  <c r="AP221" i="2"/>
  <c r="AQ221" i="2"/>
  <c r="AR221" i="2"/>
  <c r="AS221" i="2"/>
  <c r="AT221" i="2"/>
  <c r="AU221" i="2"/>
  <c r="AV221" i="2"/>
  <c r="AW221" i="2"/>
  <c r="AX221" i="2"/>
  <c r="AY221" i="2"/>
  <c r="AZ221" i="2"/>
  <c r="BA221" i="2"/>
  <c r="BB221" i="2"/>
  <c r="BC221" i="2"/>
  <c r="BD221" i="2"/>
  <c r="BE221" i="2"/>
  <c r="BF221" i="2"/>
  <c r="BG221" i="2"/>
  <c r="BH221" i="2"/>
  <c r="BI221" i="2"/>
  <c r="BJ221" i="2"/>
  <c r="BK221" i="2"/>
  <c r="BL221" i="2"/>
  <c r="AI222" i="2"/>
  <c r="AJ222" i="2"/>
  <c r="AK222" i="2"/>
  <c r="AL222" i="2"/>
  <c r="AM222" i="2"/>
  <c r="AN222" i="2"/>
  <c r="AO222" i="2"/>
  <c r="AP222" i="2"/>
  <c r="AQ222" i="2"/>
  <c r="AR222" i="2"/>
  <c r="AS222" i="2"/>
  <c r="AT222" i="2"/>
  <c r="AU222" i="2"/>
  <c r="AV222" i="2"/>
  <c r="AW222" i="2"/>
  <c r="AX222" i="2"/>
  <c r="AY222" i="2"/>
  <c r="AZ222" i="2"/>
  <c r="BA222" i="2"/>
  <c r="BB222" i="2"/>
  <c r="BC222" i="2"/>
  <c r="BD222" i="2"/>
  <c r="BE222" i="2"/>
  <c r="BF222" i="2"/>
  <c r="BG222" i="2"/>
  <c r="BH222" i="2"/>
  <c r="BI222" i="2"/>
  <c r="BJ222" i="2"/>
  <c r="BK222" i="2"/>
  <c r="BL222" i="2"/>
  <c r="AI223" i="2"/>
  <c r="AJ223" i="2"/>
  <c r="AK223" i="2"/>
  <c r="AL223" i="2"/>
  <c r="AM223" i="2"/>
  <c r="AN223" i="2"/>
  <c r="AO223" i="2"/>
  <c r="AP223" i="2"/>
  <c r="AQ223" i="2"/>
  <c r="AR223" i="2"/>
  <c r="AS223" i="2"/>
  <c r="AT223" i="2"/>
  <c r="AU223" i="2"/>
  <c r="AV223" i="2"/>
  <c r="AW223" i="2"/>
  <c r="AX223" i="2"/>
  <c r="AY223" i="2"/>
  <c r="AZ223" i="2"/>
  <c r="BA223" i="2"/>
  <c r="BB223" i="2"/>
  <c r="BC223" i="2"/>
  <c r="BD223" i="2"/>
  <c r="BE223" i="2"/>
  <c r="BF223" i="2"/>
  <c r="BG223" i="2"/>
  <c r="BH223" i="2"/>
  <c r="BI223" i="2"/>
  <c r="BJ223" i="2"/>
  <c r="BK223" i="2"/>
  <c r="BL223" i="2"/>
  <c r="AI224" i="2"/>
  <c r="AJ224" i="2"/>
  <c r="AK224" i="2"/>
  <c r="AL224" i="2"/>
  <c r="AM224" i="2"/>
  <c r="AN224" i="2"/>
  <c r="AO224" i="2"/>
  <c r="AP224" i="2"/>
  <c r="AQ224" i="2"/>
  <c r="AR224" i="2"/>
  <c r="AS224" i="2"/>
  <c r="AT224" i="2"/>
  <c r="AU224" i="2"/>
  <c r="AV224" i="2"/>
  <c r="AW224" i="2"/>
  <c r="AX224" i="2"/>
  <c r="AY224" i="2"/>
  <c r="AZ224" i="2"/>
  <c r="BA224" i="2"/>
  <c r="BB224" i="2"/>
  <c r="BC224" i="2"/>
  <c r="BD224" i="2"/>
  <c r="BE224" i="2"/>
  <c r="BF224" i="2"/>
  <c r="BG224" i="2"/>
  <c r="BH224" i="2"/>
  <c r="BI224" i="2"/>
  <c r="BJ224" i="2"/>
  <c r="BK224" i="2"/>
  <c r="BL224" i="2"/>
  <c r="AI225" i="2"/>
  <c r="AJ225" i="2"/>
  <c r="AK225" i="2"/>
  <c r="AL225" i="2"/>
  <c r="AM225" i="2"/>
  <c r="AN225" i="2"/>
  <c r="AO225" i="2"/>
  <c r="AP225" i="2"/>
  <c r="AQ225" i="2"/>
  <c r="AR225" i="2"/>
  <c r="AS225" i="2"/>
  <c r="AT225" i="2"/>
  <c r="AU225" i="2"/>
  <c r="AV225" i="2"/>
  <c r="AW225" i="2"/>
  <c r="AX225" i="2"/>
  <c r="AY225" i="2"/>
  <c r="AZ225" i="2"/>
  <c r="BA225" i="2"/>
  <c r="BB225" i="2"/>
  <c r="BC225" i="2"/>
  <c r="BD225" i="2"/>
  <c r="BE225" i="2"/>
  <c r="BF225" i="2"/>
  <c r="BG225" i="2"/>
  <c r="BH225" i="2"/>
  <c r="BI225" i="2"/>
  <c r="BJ225" i="2"/>
  <c r="BK225" i="2"/>
  <c r="BL225" i="2"/>
  <c r="AI226" i="2"/>
  <c r="AJ226" i="2"/>
  <c r="AK226" i="2"/>
  <c r="AL226" i="2"/>
  <c r="AM226" i="2"/>
  <c r="AN226" i="2"/>
  <c r="AO226" i="2"/>
  <c r="AP226" i="2"/>
  <c r="AQ226" i="2"/>
  <c r="AR226" i="2"/>
  <c r="AS226" i="2"/>
  <c r="AT226" i="2"/>
  <c r="AU226" i="2"/>
  <c r="AV226" i="2"/>
  <c r="AW226" i="2"/>
  <c r="AX226" i="2"/>
  <c r="AY226" i="2"/>
  <c r="AZ226" i="2"/>
  <c r="BA226" i="2"/>
  <c r="BB226" i="2"/>
  <c r="BC226" i="2"/>
  <c r="BD226" i="2"/>
  <c r="BE226" i="2"/>
  <c r="BF226" i="2"/>
  <c r="BG226" i="2"/>
  <c r="BH226" i="2"/>
  <c r="BI226" i="2"/>
  <c r="BJ226" i="2"/>
  <c r="BK226" i="2"/>
  <c r="BL226" i="2"/>
  <c r="AI227" i="2"/>
  <c r="AJ227" i="2"/>
  <c r="AK227" i="2"/>
  <c r="AL227" i="2"/>
  <c r="AM227" i="2"/>
  <c r="AN227" i="2"/>
  <c r="AO227" i="2"/>
  <c r="AP227" i="2"/>
  <c r="AQ227" i="2"/>
  <c r="AR227" i="2"/>
  <c r="AS227" i="2"/>
  <c r="AT227" i="2"/>
  <c r="AU227" i="2"/>
  <c r="AV227" i="2"/>
  <c r="AW227" i="2"/>
  <c r="AX227" i="2"/>
  <c r="AY227" i="2"/>
  <c r="AZ227" i="2"/>
  <c r="BA227" i="2"/>
  <c r="BB227" i="2"/>
  <c r="BC227" i="2"/>
  <c r="BD227" i="2"/>
  <c r="BE227" i="2"/>
  <c r="BF227" i="2"/>
  <c r="BG227" i="2"/>
  <c r="BH227" i="2"/>
  <c r="BI227" i="2"/>
  <c r="BJ227" i="2"/>
  <c r="BK227" i="2"/>
  <c r="BL227" i="2"/>
  <c r="AI228" i="2"/>
  <c r="AJ228" i="2"/>
  <c r="AK228" i="2"/>
  <c r="AL228" i="2"/>
  <c r="AM228" i="2"/>
  <c r="AN228" i="2"/>
  <c r="AO228" i="2"/>
  <c r="AP228" i="2"/>
  <c r="AQ228" i="2"/>
  <c r="AR228" i="2"/>
  <c r="AS228" i="2"/>
  <c r="AT228" i="2"/>
  <c r="AU228" i="2"/>
  <c r="AV228" i="2"/>
  <c r="AW228" i="2"/>
  <c r="AX228" i="2"/>
  <c r="AY228" i="2"/>
  <c r="AZ228" i="2"/>
  <c r="BA228" i="2"/>
  <c r="BB228" i="2"/>
  <c r="BC228" i="2"/>
  <c r="BD228" i="2"/>
  <c r="BE228" i="2"/>
  <c r="BF228" i="2"/>
  <c r="BG228" i="2"/>
  <c r="BH228" i="2"/>
  <c r="BI228" i="2"/>
  <c r="BJ228" i="2"/>
  <c r="BK228" i="2"/>
  <c r="BL228" i="2"/>
  <c r="AI229" i="2"/>
  <c r="AJ229" i="2"/>
  <c r="AK229" i="2"/>
  <c r="AL229" i="2"/>
  <c r="AM229" i="2"/>
  <c r="AN229" i="2"/>
  <c r="AO229" i="2"/>
  <c r="AP229" i="2"/>
  <c r="AQ229" i="2"/>
  <c r="AR229" i="2"/>
  <c r="AS229" i="2"/>
  <c r="AT229" i="2"/>
  <c r="AU229" i="2"/>
  <c r="AV229" i="2"/>
  <c r="AW229" i="2"/>
  <c r="AX229" i="2"/>
  <c r="AY229" i="2"/>
  <c r="AZ229" i="2"/>
  <c r="BA229" i="2"/>
  <c r="BB229" i="2"/>
  <c r="BC229" i="2"/>
  <c r="BD229" i="2"/>
  <c r="BE229" i="2"/>
  <c r="BF229" i="2"/>
  <c r="BG229" i="2"/>
  <c r="BH229" i="2"/>
  <c r="BI229" i="2"/>
  <c r="BJ229" i="2"/>
  <c r="BK229" i="2"/>
  <c r="BL229" i="2"/>
  <c r="AI230" i="2"/>
  <c r="AJ230" i="2"/>
  <c r="AK230" i="2"/>
  <c r="AL230" i="2"/>
  <c r="AM230" i="2"/>
  <c r="AN230" i="2"/>
  <c r="AO230" i="2"/>
  <c r="AP230" i="2"/>
  <c r="AQ230" i="2"/>
  <c r="AR230" i="2"/>
  <c r="AS230" i="2"/>
  <c r="AT230" i="2"/>
  <c r="AU230" i="2"/>
  <c r="AV230" i="2"/>
  <c r="AW230" i="2"/>
  <c r="AX230" i="2"/>
  <c r="AY230" i="2"/>
  <c r="AZ230" i="2"/>
  <c r="BA230" i="2"/>
  <c r="BB230" i="2"/>
  <c r="BC230" i="2"/>
  <c r="BD230" i="2"/>
  <c r="BE230" i="2"/>
  <c r="BF230" i="2"/>
  <c r="BG230" i="2"/>
  <c r="BH230" i="2"/>
  <c r="BI230" i="2"/>
  <c r="BJ230" i="2"/>
  <c r="BK230" i="2"/>
  <c r="BL230" i="2"/>
  <c r="AI231" i="2"/>
  <c r="AJ231" i="2"/>
  <c r="AK231" i="2"/>
  <c r="AL231" i="2"/>
  <c r="AM231" i="2"/>
  <c r="AN231" i="2"/>
  <c r="AO231" i="2"/>
  <c r="AP231" i="2"/>
  <c r="AQ231" i="2"/>
  <c r="AR231" i="2"/>
  <c r="AS231" i="2"/>
  <c r="AT231" i="2"/>
  <c r="AU231" i="2"/>
  <c r="AV231" i="2"/>
  <c r="AW231" i="2"/>
  <c r="AX231" i="2"/>
  <c r="AY231" i="2"/>
  <c r="AZ231" i="2"/>
  <c r="BA231" i="2"/>
  <c r="BB231" i="2"/>
  <c r="BC231" i="2"/>
  <c r="BD231" i="2"/>
  <c r="BE231" i="2"/>
  <c r="BF231" i="2"/>
  <c r="BG231" i="2"/>
  <c r="BH231" i="2"/>
  <c r="BI231" i="2"/>
  <c r="BJ231" i="2"/>
  <c r="BK231" i="2"/>
  <c r="BL231" i="2"/>
  <c r="AI232" i="2"/>
  <c r="AJ232" i="2"/>
  <c r="AK232" i="2"/>
  <c r="AL232" i="2"/>
  <c r="AM232" i="2"/>
  <c r="AN232" i="2"/>
  <c r="AO232" i="2"/>
  <c r="AP232" i="2"/>
  <c r="AQ232" i="2"/>
  <c r="AR232" i="2"/>
  <c r="AS232" i="2"/>
  <c r="AT232" i="2"/>
  <c r="AU232" i="2"/>
  <c r="AV232" i="2"/>
  <c r="AW232" i="2"/>
  <c r="AX232" i="2"/>
  <c r="AY232" i="2"/>
  <c r="AZ232" i="2"/>
  <c r="BA232" i="2"/>
  <c r="BB232" i="2"/>
  <c r="BC232" i="2"/>
  <c r="BD232" i="2"/>
  <c r="BE232" i="2"/>
  <c r="BF232" i="2"/>
  <c r="BG232" i="2"/>
  <c r="BH232" i="2"/>
  <c r="BI232" i="2"/>
  <c r="BJ232" i="2"/>
  <c r="BK232" i="2"/>
  <c r="BL232" i="2"/>
  <c r="AI233" i="2"/>
  <c r="AJ233" i="2"/>
  <c r="AK233" i="2"/>
  <c r="AL233" i="2"/>
  <c r="AM233" i="2"/>
  <c r="AN233" i="2"/>
  <c r="AO233" i="2"/>
  <c r="AP233" i="2"/>
  <c r="AQ233" i="2"/>
  <c r="AR233" i="2"/>
  <c r="AS233" i="2"/>
  <c r="AT233" i="2"/>
  <c r="AU233" i="2"/>
  <c r="AV233" i="2"/>
  <c r="AW233" i="2"/>
  <c r="AX233" i="2"/>
  <c r="AY233" i="2"/>
  <c r="AZ233" i="2"/>
  <c r="BA233" i="2"/>
  <c r="BB233" i="2"/>
  <c r="BC233" i="2"/>
  <c r="BD233" i="2"/>
  <c r="BE233" i="2"/>
  <c r="BF233" i="2"/>
  <c r="BG233" i="2"/>
  <c r="BH233" i="2"/>
  <c r="BI233" i="2"/>
  <c r="BJ233" i="2"/>
  <c r="BK233" i="2"/>
  <c r="BL233" i="2"/>
  <c r="AI234" i="2"/>
  <c r="AJ234" i="2"/>
  <c r="AK234" i="2"/>
  <c r="AL234" i="2"/>
  <c r="AM234" i="2"/>
  <c r="AN234" i="2"/>
  <c r="AO234" i="2"/>
  <c r="AP234" i="2"/>
  <c r="AQ234" i="2"/>
  <c r="AR234" i="2"/>
  <c r="AS234" i="2"/>
  <c r="AT234" i="2"/>
  <c r="AU234" i="2"/>
  <c r="AV234" i="2"/>
  <c r="AW234" i="2"/>
  <c r="AX234" i="2"/>
  <c r="AY234" i="2"/>
  <c r="AZ234" i="2"/>
  <c r="BA234" i="2"/>
  <c r="BB234" i="2"/>
  <c r="BC234" i="2"/>
  <c r="BD234" i="2"/>
  <c r="BE234" i="2"/>
  <c r="BF234" i="2"/>
  <c r="BG234" i="2"/>
  <c r="BH234" i="2"/>
  <c r="BI234" i="2"/>
  <c r="BJ234" i="2"/>
  <c r="BK234" i="2"/>
  <c r="BL234" i="2"/>
  <c r="AI235" i="2"/>
  <c r="AJ235" i="2"/>
  <c r="AK235" i="2"/>
  <c r="AL235" i="2"/>
  <c r="AM235" i="2"/>
  <c r="AN235" i="2"/>
  <c r="AO235" i="2"/>
  <c r="AP235" i="2"/>
  <c r="AQ235" i="2"/>
  <c r="AR235" i="2"/>
  <c r="AS235" i="2"/>
  <c r="AT235" i="2"/>
  <c r="AU235" i="2"/>
  <c r="AV235" i="2"/>
  <c r="AW235" i="2"/>
  <c r="AX235" i="2"/>
  <c r="AY235" i="2"/>
  <c r="AZ235" i="2"/>
  <c r="BA235" i="2"/>
  <c r="BB235" i="2"/>
  <c r="BC235" i="2"/>
  <c r="BD235" i="2"/>
  <c r="BE235" i="2"/>
  <c r="BF235" i="2"/>
  <c r="BG235" i="2"/>
  <c r="BH235" i="2"/>
  <c r="BI235" i="2"/>
  <c r="BJ235" i="2"/>
  <c r="BK235" i="2"/>
  <c r="BL235" i="2"/>
  <c r="AI236" i="2"/>
  <c r="AJ236" i="2"/>
  <c r="AK236" i="2"/>
  <c r="AL236" i="2"/>
  <c r="AM236" i="2"/>
  <c r="AN236" i="2"/>
  <c r="AO236" i="2"/>
  <c r="AP236" i="2"/>
  <c r="AQ236" i="2"/>
  <c r="AR236" i="2"/>
  <c r="AS236" i="2"/>
  <c r="AT236" i="2"/>
  <c r="AU236" i="2"/>
  <c r="AV236" i="2"/>
  <c r="AW236" i="2"/>
  <c r="AX236" i="2"/>
  <c r="AY236" i="2"/>
  <c r="AZ236" i="2"/>
  <c r="BA236" i="2"/>
  <c r="BB236" i="2"/>
  <c r="BC236" i="2"/>
  <c r="BD236" i="2"/>
  <c r="BE236" i="2"/>
  <c r="BF236" i="2"/>
  <c r="BG236" i="2"/>
  <c r="BH236" i="2"/>
  <c r="BI236" i="2"/>
  <c r="BJ236" i="2"/>
  <c r="BK236" i="2"/>
  <c r="BL236" i="2"/>
  <c r="AI237" i="2"/>
  <c r="AJ237" i="2"/>
  <c r="AK237" i="2"/>
  <c r="AL237" i="2"/>
  <c r="AM237" i="2"/>
  <c r="AN237" i="2"/>
  <c r="AO237" i="2"/>
  <c r="AP237" i="2"/>
  <c r="AQ237" i="2"/>
  <c r="AR237" i="2"/>
  <c r="AS237" i="2"/>
  <c r="AT237" i="2"/>
  <c r="AU237" i="2"/>
  <c r="AV237" i="2"/>
  <c r="AW237" i="2"/>
  <c r="AX237" i="2"/>
  <c r="AY237" i="2"/>
  <c r="AZ237" i="2"/>
  <c r="BA237" i="2"/>
  <c r="BB237" i="2"/>
  <c r="BC237" i="2"/>
  <c r="BD237" i="2"/>
  <c r="BE237" i="2"/>
  <c r="BF237" i="2"/>
  <c r="BG237" i="2"/>
  <c r="BH237" i="2"/>
  <c r="BI237" i="2"/>
  <c r="BJ237" i="2"/>
  <c r="BK237" i="2"/>
  <c r="BL237" i="2"/>
  <c r="AI238" i="2"/>
  <c r="AJ238" i="2"/>
  <c r="AK238" i="2"/>
  <c r="AL238" i="2"/>
  <c r="AM238" i="2"/>
  <c r="AN238" i="2"/>
  <c r="AO238" i="2"/>
  <c r="AP238" i="2"/>
  <c r="AQ238" i="2"/>
  <c r="AR238" i="2"/>
  <c r="AS238" i="2"/>
  <c r="AT238" i="2"/>
  <c r="AU238" i="2"/>
  <c r="AV238" i="2"/>
  <c r="AW238" i="2"/>
  <c r="AX238" i="2"/>
  <c r="AY238" i="2"/>
  <c r="AZ238" i="2"/>
  <c r="BA238" i="2"/>
  <c r="BB238" i="2"/>
  <c r="BC238" i="2"/>
  <c r="BD238" i="2"/>
  <c r="BE238" i="2"/>
  <c r="BF238" i="2"/>
  <c r="BG238" i="2"/>
  <c r="BH238" i="2"/>
  <c r="BI238" i="2"/>
  <c r="BJ238" i="2"/>
  <c r="BK238" i="2"/>
  <c r="BL238" i="2"/>
  <c r="AI239" i="2"/>
  <c r="AJ239" i="2"/>
  <c r="AK239" i="2"/>
  <c r="AL239" i="2"/>
  <c r="AM239" i="2"/>
  <c r="AN239" i="2"/>
  <c r="AO239" i="2"/>
  <c r="AP239" i="2"/>
  <c r="AQ239" i="2"/>
  <c r="AR239" i="2"/>
  <c r="AS239" i="2"/>
  <c r="AT239" i="2"/>
  <c r="AU239" i="2"/>
  <c r="AV239" i="2"/>
  <c r="AW239" i="2"/>
  <c r="AX239" i="2"/>
  <c r="AY239" i="2"/>
  <c r="AZ239" i="2"/>
  <c r="BA239" i="2"/>
  <c r="BB239" i="2"/>
  <c r="BC239" i="2"/>
  <c r="BD239" i="2"/>
  <c r="BE239" i="2"/>
  <c r="BF239" i="2"/>
  <c r="BG239" i="2"/>
  <c r="BH239" i="2"/>
  <c r="BI239" i="2"/>
  <c r="BJ239" i="2"/>
  <c r="BK239" i="2"/>
  <c r="BL239" i="2"/>
  <c r="AI240" i="2"/>
  <c r="AJ240" i="2"/>
  <c r="AK240" i="2"/>
  <c r="AL240" i="2"/>
  <c r="AM240" i="2"/>
  <c r="AN240" i="2"/>
  <c r="AO240" i="2"/>
  <c r="AP240" i="2"/>
  <c r="AQ240" i="2"/>
  <c r="AR240" i="2"/>
  <c r="AS240" i="2"/>
  <c r="AT240" i="2"/>
  <c r="AU240" i="2"/>
  <c r="AV240" i="2"/>
  <c r="AW240" i="2"/>
  <c r="AX240" i="2"/>
  <c r="AY240" i="2"/>
  <c r="AZ240" i="2"/>
  <c r="BA240" i="2"/>
  <c r="BB240" i="2"/>
  <c r="BC240" i="2"/>
  <c r="BD240" i="2"/>
  <c r="BE240" i="2"/>
  <c r="BF240" i="2"/>
  <c r="BG240" i="2"/>
  <c r="BH240" i="2"/>
  <c r="BI240" i="2"/>
  <c r="BJ240" i="2"/>
  <c r="BK240" i="2"/>
  <c r="BL240" i="2"/>
  <c r="AI241" i="2"/>
  <c r="AJ241" i="2"/>
  <c r="AK241" i="2"/>
  <c r="AL241" i="2"/>
  <c r="AM241" i="2"/>
  <c r="AN241" i="2"/>
  <c r="AO241" i="2"/>
  <c r="AP241" i="2"/>
  <c r="AQ241" i="2"/>
  <c r="AR241" i="2"/>
  <c r="AS241" i="2"/>
  <c r="AT241" i="2"/>
  <c r="AU241" i="2"/>
  <c r="AV241" i="2"/>
  <c r="AW241" i="2"/>
  <c r="AX241" i="2"/>
  <c r="AY241" i="2"/>
  <c r="AZ241" i="2"/>
  <c r="BA241" i="2"/>
  <c r="BB241" i="2"/>
  <c r="BC241" i="2"/>
  <c r="BD241" i="2"/>
  <c r="BE241" i="2"/>
  <c r="BF241" i="2"/>
  <c r="BG241" i="2"/>
  <c r="BH241" i="2"/>
  <c r="BI241" i="2"/>
  <c r="BJ241" i="2"/>
  <c r="BK241" i="2"/>
  <c r="BL241" i="2"/>
  <c r="AI242" i="2"/>
  <c r="AJ242" i="2"/>
  <c r="AK242" i="2"/>
  <c r="AL242" i="2"/>
  <c r="AM242" i="2"/>
  <c r="AN242" i="2"/>
  <c r="AO242" i="2"/>
  <c r="AP242" i="2"/>
  <c r="AQ242" i="2"/>
  <c r="AR242" i="2"/>
  <c r="AS242" i="2"/>
  <c r="AT242" i="2"/>
  <c r="AU242" i="2"/>
  <c r="AV242" i="2"/>
  <c r="AW242" i="2"/>
  <c r="AX242" i="2"/>
  <c r="AY242" i="2"/>
  <c r="AZ242" i="2"/>
  <c r="BA242" i="2"/>
  <c r="BB242" i="2"/>
  <c r="BC242" i="2"/>
  <c r="BD242" i="2"/>
  <c r="BE242" i="2"/>
  <c r="BF242" i="2"/>
  <c r="BG242" i="2"/>
  <c r="BH242" i="2"/>
  <c r="BI242" i="2"/>
  <c r="BJ242" i="2"/>
  <c r="BK242" i="2"/>
  <c r="BL242" i="2"/>
  <c r="AI243" i="2"/>
  <c r="AJ243" i="2"/>
  <c r="AK243" i="2"/>
  <c r="AL243" i="2"/>
  <c r="AM243" i="2"/>
  <c r="AN243" i="2"/>
  <c r="AO243" i="2"/>
  <c r="AP243" i="2"/>
  <c r="AQ243" i="2"/>
  <c r="AR243" i="2"/>
  <c r="AS243" i="2"/>
  <c r="AT243" i="2"/>
  <c r="AU243" i="2"/>
  <c r="AV243" i="2"/>
  <c r="AW243" i="2"/>
  <c r="AX243" i="2"/>
  <c r="AY243" i="2"/>
  <c r="AZ243" i="2"/>
  <c r="BA243" i="2"/>
  <c r="BB243" i="2"/>
  <c r="BC243" i="2"/>
  <c r="BD243" i="2"/>
  <c r="BE243" i="2"/>
  <c r="BF243" i="2"/>
  <c r="BG243" i="2"/>
  <c r="BH243" i="2"/>
  <c r="BI243" i="2"/>
  <c r="BJ243" i="2"/>
  <c r="BK243" i="2"/>
  <c r="BL243" i="2"/>
  <c r="AI244" i="2"/>
  <c r="AJ244" i="2"/>
  <c r="AK244" i="2"/>
  <c r="AL244" i="2"/>
  <c r="AM244" i="2"/>
  <c r="AN244" i="2"/>
  <c r="AO244" i="2"/>
  <c r="AP244" i="2"/>
  <c r="AQ244" i="2"/>
  <c r="AR244" i="2"/>
  <c r="AS244" i="2"/>
  <c r="AT244" i="2"/>
  <c r="AU244" i="2"/>
  <c r="AV244" i="2"/>
  <c r="AW244" i="2"/>
  <c r="AX244" i="2"/>
  <c r="AY244" i="2"/>
  <c r="AZ244" i="2"/>
  <c r="BA244" i="2"/>
  <c r="BB244" i="2"/>
  <c r="BC244" i="2"/>
  <c r="BD244" i="2"/>
  <c r="BE244" i="2"/>
  <c r="BF244" i="2"/>
  <c r="BG244" i="2"/>
  <c r="BH244" i="2"/>
  <c r="BI244" i="2"/>
  <c r="BJ244" i="2"/>
  <c r="BK244" i="2"/>
  <c r="BL244" i="2"/>
  <c r="AI245" i="2"/>
  <c r="AJ245" i="2"/>
  <c r="AK245" i="2"/>
  <c r="AL245" i="2"/>
  <c r="AM245" i="2"/>
  <c r="AN245" i="2"/>
  <c r="AO245" i="2"/>
  <c r="AP245" i="2"/>
  <c r="AQ245" i="2"/>
  <c r="AR245" i="2"/>
  <c r="AS245" i="2"/>
  <c r="AT245" i="2"/>
  <c r="AU245" i="2"/>
  <c r="AV245" i="2"/>
  <c r="AW245" i="2"/>
  <c r="AX245" i="2"/>
  <c r="AY245" i="2"/>
  <c r="AZ245" i="2"/>
  <c r="BA245" i="2"/>
  <c r="BB245" i="2"/>
  <c r="BC245" i="2"/>
  <c r="BD245" i="2"/>
  <c r="BE245" i="2"/>
  <c r="BF245" i="2"/>
  <c r="BG245" i="2"/>
  <c r="BH245" i="2"/>
  <c r="BI245" i="2"/>
  <c r="BJ245" i="2"/>
  <c r="BK245" i="2"/>
  <c r="BL245" i="2"/>
  <c r="AI246" i="2"/>
  <c r="AJ246" i="2"/>
  <c r="AK246" i="2"/>
  <c r="AL246" i="2"/>
  <c r="AM246" i="2"/>
  <c r="AN246" i="2"/>
  <c r="AO246" i="2"/>
  <c r="AP246" i="2"/>
  <c r="AQ246" i="2"/>
  <c r="AR246" i="2"/>
  <c r="AS246" i="2"/>
  <c r="AT246" i="2"/>
  <c r="AU246" i="2"/>
  <c r="AV246" i="2"/>
  <c r="AW246" i="2"/>
  <c r="AX246" i="2"/>
  <c r="AY246" i="2"/>
  <c r="AZ246" i="2"/>
  <c r="BA246" i="2"/>
  <c r="BB246" i="2"/>
  <c r="BC246" i="2"/>
  <c r="BD246" i="2"/>
  <c r="BE246" i="2"/>
  <c r="BF246" i="2"/>
  <c r="BG246" i="2"/>
  <c r="BH246" i="2"/>
  <c r="BI246" i="2"/>
  <c r="BJ246" i="2"/>
  <c r="BK246" i="2"/>
  <c r="BL246" i="2"/>
  <c r="AI247" i="2"/>
  <c r="AJ247" i="2"/>
  <c r="AK247" i="2"/>
  <c r="AL247" i="2"/>
  <c r="AM247" i="2"/>
  <c r="AN247" i="2"/>
  <c r="AO247" i="2"/>
  <c r="AP247" i="2"/>
  <c r="AQ247" i="2"/>
  <c r="AR247" i="2"/>
  <c r="AS247" i="2"/>
  <c r="AT247" i="2"/>
  <c r="AU247" i="2"/>
  <c r="AV247" i="2"/>
  <c r="AW247" i="2"/>
  <c r="AX247" i="2"/>
  <c r="AY247" i="2"/>
  <c r="AZ247" i="2"/>
  <c r="BA247" i="2"/>
  <c r="BB247" i="2"/>
  <c r="BC247" i="2"/>
  <c r="BD247" i="2"/>
  <c r="BE247" i="2"/>
  <c r="BF247" i="2"/>
  <c r="BG247" i="2"/>
  <c r="BH247" i="2"/>
  <c r="BI247" i="2"/>
  <c r="BJ247" i="2"/>
  <c r="BK247" i="2"/>
  <c r="BL247" i="2"/>
  <c r="AI248" i="2"/>
  <c r="AJ248" i="2"/>
  <c r="AK248" i="2"/>
  <c r="AL248" i="2"/>
  <c r="AM248" i="2"/>
  <c r="AN248" i="2"/>
  <c r="AO248" i="2"/>
  <c r="AP248" i="2"/>
  <c r="AQ248" i="2"/>
  <c r="AR248" i="2"/>
  <c r="AS248" i="2"/>
  <c r="AT248" i="2"/>
  <c r="AU248" i="2"/>
  <c r="AV248" i="2"/>
  <c r="AW248" i="2"/>
  <c r="AX248" i="2"/>
  <c r="AY248" i="2"/>
  <c r="AZ248" i="2"/>
  <c r="BA248" i="2"/>
  <c r="BB248" i="2"/>
  <c r="BC248" i="2"/>
  <c r="BD248" i="2"/>
  <c r="BE248" i="2"/>
  <c r="BF248" i="2"/>
  <c r="BG248" i="2"/>
  <c r="BH248" i="2"/>
  <c r="BI248" i="2"/>
  <c r="BJ248" i="2"/>
  <c r="BK248" i="2"/>
  <c r="BL248" i="2"/>
  <c r="AI249" i="2"/>
  <c r="AJ249" i="2"/>
  <c r="AK249" i="2"/>
  <c r="AL249" i="2"/>
  <c r="AM249" i="2"/>
  <c r="AN249" i="2"/>
  <c r="AO249" i="2"/>
  <c r="AP249" i="2"/>
  <c r="AQ249" i="2"/>
  <c r="AR249" i="2"/>
  <c r="AS249" i="2"/>
  <c r="AT249" i="2"/>
  <c r="AU249" i="2"/>
  <c r="AV249" i="2"/>
  <c r="AW249" i="2"/>
  <c r="AX249" i="2"/>
  <c r="AY249" i="2"/>
  <c r="AZ249" i="2"/>
  <c r="BA249" i="2"/>
  <c r="BB249" i="2"/>
  <c r="BC249" i="2"/>
  <c r="BD249" i="2"/>
  <c r="BE249" i="2"/>
  <c r="BF249" i="2"/>
  <c r="BG249" i="2"/>
  <c r="BH249" i="2"/>
  <c r="BI249" i="2"/>
  <c r="BJ249" i="2"/>
  <c r="BK249" i="2"/>
  <c r="BL249" i="2"/>
  <c r="AI250" i="2"/>
  <c r="AJ250" i="2"/>
  <c r="AK250" i="2"/>
  <c r="AL250" i="2"/>
  <c r="AM250" i="2"/>
  <c r="AN250" i="2"/>
  <c r="AO250" i="2"/>
  <c r="AP250" i="2"/>
  <c r="AQ250" i="2"/>
  <c r="AR250" i="2"/>
  <c r="AS250" i="2"/>
  <c r="AT250" i="2"/>
  <c r="AU250" i="2"/>
  <c r="AV250" i="2"/>
  <c r="AW250" i="2"/>
  <c r="AX250" i="2"/>
  <c r="AY250" i="2"/>
  <c r="AZ250" i="2"/>
  <c r="BA250" i="2"/>
  <c r="BB250" i="2"/>
  <c r="BC250" i="2"/>
  <c r="BD250" i="2"/>
  <c r="BE250" i="2"/>
  <c r="BF250" i="2"/>
  <c r="BG250" i="2"/>
  <c r="BH250" i="2"/>
  <c r="BI250" i="2"/>
  <c r="BJ250" i="2"/>
  <c r="BK250" i="2"/>
  <c r="BL250" i="2"/>
  <c r="AI251" i="2"/>
  <c r="AJ251" i="2"/>
  <c r="AK251" i="2"/>
  <c r="AL251" i="2"/>
  <c r="AM251" i="2"/>
  <c r="AN251" i="2"/>
  <c r="AO251" i="2"/>
  <c r="AP251" i="2"/>
  <c r="AQ251" i="2"/>
  <c r="AR251" i="2"/>
  <c r="AS251" i="2"/>
  <c r="AT251" i="2"/>
  <c r="AU251" i="2"/>
  <c r="AV251" i="2"/>
  <c r="AW251" i="2"/>
  <c r="AX251" i="2"/>
  <c r="AY251" i="2"/>
  <c r="AZ251" i="2"/>
  <c r="BA251" i="2"/>
  <c r="BB251" i="2"/>
  <c r="BC251" i="2"/>
  <c r="BD251" i="2"/>
  <c r="BE251" i="2"/>
  <c r="BF251" i="2"/>
  <c r="BG251" i="2"/>
  <c r="BH251" i="2"/>
  <c r="BI251" i="2"/>
  <c r="BJ251" i="2"/>
  <c r="BK251" i="2"/>
  <c r="BL251" i="2"/>
  <c r="AI252" i="2"/>
  <c r="AJ252" i="2"/>
  <c r="AK252" i="2"/>
  <c r="AL252" i="2"/>
  <c r="AM252" i="2"/>
  <c r="AN252" i="2"/>
  <c r="AO252" i="2"/>
  <c r="AP252" i="2"/>
  <c r="AQ252" i="2"/>
  <c r="AR252" i="2"/>
  <c r="AS252" i="2"/>
  <c r="AT252" i="2"/>
  <c r="AU252" i="2"/>
  <c r="AV252" i="2"/>
  <c r="AW252" i="2"/>
  <c r="AX252" i="2"/>
  <c r="AY252" i="2"/>
  <c r="AZ252" i="2"/>
  <c r="BA252" i="2"/>
  <c r="BB252" i="2"/>
  <c r="BC252" i="2"/>
  <c r="BD252" i="2"/>
  <c r="BE252" i="2"/>
  <c r="BF252" i="2"/>
  <c r="BG252" i="2"/>
  <c r="BH252" i="2"/>
  <c r="BI252" i="2"/>
  <c r="BJ252" i="2"/>
  <c r="BK252" i="2"/>
  <c r="BL252" i="2"/>
  <c r="AI253" i="2"/>
  <c r="AJ253" i="2"/>
  <c r="AK253" i="2"/>
  <c r="AL253" i="2"/>
  <c r="AM253" i="2"/>
  <c r="AN253" i="2"/>
  <c r="AO253" i="2"/>
  <c r="AP253" i="2"/>
  <c r="AQ253" i="2"/>
  <c r="AR253" i="2"/>
  <c r="AS253" i="2"/>
  <c r="AT253" i="2"/>
  <c r="AU253" i="2"/>
  <c r="AV253" i="2"/>
  <c r="AW253" i="2"/>
  <c r="AX253" i="2"/>
  <c r="AY253" i="2"/>
  <c r="AZ253" i="2"/>
  <c r="BA253" i="2"/>
  <c r="BB253" i="2"/>
  <c r="BC253" i="2"/>
  <c r="BD253" i="2"/>
  <c r="BE253" i="2"/>
  <c r="BF253" i="2"/>
  <c r="BG253" i="2"/>
  <c r="BH253" i="2"/>
  <c r="BI253" i="2"/>
  <c r="BJ253" i="2"/>
  <c r="BK253" i="2"/>
  <c r="BL253" i="2"/>
  <c r="AI254" i="2"/>
  <c r="AJ254" i="2"/>
  <c r="AK254" i="2"/>
  <c r="AL254" i="2"/>
  <c r="AM254" i="2"/>
  <c r="AN254" i="2"/>
  <c r="AO254" i="2"/>
  <c r="AP254" i="2"/>
  <c r="AQ254" i="2"/>
  <c r="AR254" i="2"/>
  <c r="AS254" i="2"/>
  <c r="AT254" i="2"/>
  <c r="AU254" i="2"/>
  <c r="AV254" i="2"/>
  <c r="AW254" i="2"/>
  <c r="AX254" i="2"/>
  <c r="AY254" i="2"/>
  <c r="AZ254" i="2"/>
  <c r="BA254" i="2"/>
  <c r="BB254" i="2"/>
  <c r="BC254" i="2"/>
  <c r="BD254" i="2"/>
  <c r="BE254" i="2"/>
  <c r="BF254" i="2"/>
  <c r="BG254" i="2"/>
  <c r="BH254" i="2"/>
  <c r="BI254" i="2"/>
  <c r="BJ254" i="2"/>
  <c r="BK254" i="2"/>
  <c r="BL254" i="2"/>
  <c r="AI255" i="2"/>
  <c r="AJ255" i="2"/>
  <c r="AK255" i="2"/>
  <c r="AL255" i="2"/>
  <c r="AM255" i="2"/>
  <c r="AN255" i="2"/>
  <c r="AO255" i="2"/>
  <c r="AP255" i="2"/>
  <c r="AQ255" i="2"/>
  <c r="AR255" i="2"/>
  <c r="AS255" i="2"/>
  <c r="AT255" i="2"/>
  <c r="AU255" i="2"/>
  <c r="AV255" i="2"/>
  <c r="AW255" i="2"/>
  <c r="AX255" i="2"/>
  <c r="AY255" i="2"/>
  <c r="AZ255" i="2"/>
  <c r="BA255" i="2"/>
  <c r="BB255" i="2"/>
  <c r="BC255" i="2"/>
  <c r="BD255" i="2"/>
  <c r="BE255" i="2"/>
  <c r="BF255" i="2"/>
  <c r="BG255" i="2"/>
  <c r="BH255" i="2"/>
  <c r="BI255" i="2"/>
  <c r="BJ255" i="2"/>
  <c r="BK255" i="2"/>
  <c r="BL255" i="2"/>
  <c r="AI256" i="2"/>
  <c r="AJ256" i="2"/>
  <c r="AK256" i="2"/>
  <c r="AL256" i="2"/>
  <c r="AM256" i="2"/>
  <c r="AN256" i="2"/>
  <c r="AO256" i="2"/>
  <c r="AP256" i="2"/>
  <c r="AQ256" i="2"/>
  <c r="AR256" i="2"/>
  <c r="AS256" i="2"/>
  <c r="AT256" i="2"/>
  <c r="AU256" i="2"/>
  <c r="AV256" i="2"/>
  <c r="AW256" i="2"/>
  <c r="AX256" i="2"/>
  <c r="AY256" i="2"/>
  <c r="AZ256" i="2"/>
  <c r="BA256" i="2"/>
  <c r="BB256" i="2"/>
  <c r="BC256" i="2"/>
  <c r="BD256" i="2"/>
  <c r="BE256" i="2"/>
  <c r="BF256" i="2"/>
  <c r="BG256" i="2"/>
  <c r="BH256" i="2"/>
  <c r="BI256" i="2"/>
  <c r="BJ256" i="2"/>
  <c r="BK256" i="2"/>
  <c r="BL256" i="2"/>
  <c r="AI257" i="2"/>
  <c r="AJ257" i="2"/>
  <c r="AK257" i="2"/>
  <c r="AL257" i="2"/>
  <c r="AM257" i="2"/>
  <c r="AN257" i="2"/>
  <c r="AO257" i="2"/>
  <c r="AP257" i="2"/>
  <c r="AQ257" i="2"/>
  <c r="AR257" i="2"/>
  <c r="AS257" i="2"/>
  <c r="AT257" i="2"/>
  <c r="AU257" i="2"/>
  <c r="AV257" i="2"/>
  <c r="AW257" i="2"/>
  <c r="AX257" i="2"/>
  <c r="AY257" i="2"/>
  <c r="AZ257" i="2"/>
  <c r="BA257" i="2"/>
  <c r="BB257" i="2"/>
  <c r="BC257" i="2"/>
  <c r="BD257" i="2"/>
  <c r="BE257" i="2"/>
  <c r="BF257" i="2"/>
  <c r="BG257" i="2"/>
  <c r="BH257" i="2"/>
  <c r="BI257" i="2"/>
  <c r="BJ257" i="2"/>
  <c r="BK257" i="2"/>
  <c r="BL257" i="2"/>
  <c r="AI258" i="2"/>
  <c r="AJ258" i="2"/>
  <c r="AK258" i="2"/>
  <c r="AL258" i="2"/>
  <c r="AM258" i="2"/>
  <c r="AN258" i="2"/>
  <c r="AO258" i="2"/>
  <c r="AP258" i="2"/>
  <c r="AQ258" i="2"/>
  <c r="AR258" i="2"/>
  <c r="AS258" i="2"/>
  <c r="AT258" i="2"/>
  <c r="AU258" i="2"/>
  <c r="AV258" i="2"/>
  <c r="AW258" i="2"/>
  <c r="AX258" i="2"/>
  <c r="AY258" i="2"/>
  <c r="AZ258" i="2"/>
  <c r="BA258" i="2"/>
  <c r="BB258" i="2"/>
  <c r="BC258" i="2"/>
  <c r="BD258" i="2"/>
  <c r="BE258" i="2"/>
  <c r="BF258" i="2"/>
  <c r="BG258" i="2"/>
  <c r="BH258" i="2"/>
  <c r="BI258" i="2"/>
  <c r="BJ258" i="2"/>
  <c r="BK258" i="2"/>
  <c r="BL258" i="2"/>
  <c r="AI259" i="2"/>
  <c r="AJ259" i="2"/>
  <c r="AK259" i="2"/>
  <c r="AL259" i="2"/>
  <c r="AM259" i="2"/>
  <c r="AN259" i="2"/>
  <c r="AO259" i="2"/>
  <c r="AP259" i="2"/>
  <c r="AQ259" i="2"/>
  <c r="AR259" i="2"/>
  <c r="AS259" i="2"/>
  <c r="AT259" i="2"/>
  <c r="AU259" i="2"/>
  <c r="AV259" i="2"/>
  <c r="AW259" i="2"/>
  <c r="AX259" i="2"/>
  <c r="AY259" i="2"/>
  <c r="AZ259" i="2"/>
  <c r="BA259" i="2"/>
  <c r="BB259" i="2"/>
  <c r="BC259" i="2"/>
  <c r="BD259" i="2"/>
  <c r="BE259" i="2"/>
  <c r="BF259" i="2"/>
  <c r="BG259" i="2"/>
  <c r="BH259" i="2"/>
  <c r="BI259" i="2"/>
  <c r="BJ259" i="2"/>
  <c r="BK259" i="2"/>
  <c r="BL259" i="2"/>
  <c r="AI260" i="2"/>
  <c r="AJ260" i="2"/>
  <c r="AK260" i="2"/>
  <c r="AL260" i="2"/>
  <c r="AM260" i="2"/>
  <c r="AN260" i="2"/>
  <c r="AO260" i="2"/>
  <c r="AP260" i="2"/>
  <c r="AQ260" i="2"/>
  <c r="AR260" i="2"/>
  <c r="AS260" i="2"/>
  <c r="AT260" i="2"/>
  <c r="AU260" i="2"/>
  <c r="AV260" i="2"/>
  <c r="AW260" i="2"/>
  <c r="AX260" i="2"/>
  <c r="AY260" i="2"/>
  <c r="AZ260" i="2"/>
  <c r="BA260" i="2"/>
  <c r="BB260" i="2"/>
  <c r="BC260" i="2"/>
  <c r="BD260" i="2"/>
  <c r="BE260" i="2"/>
  <c r="BF260" i="2"/>
  <c r="BG260" i="2"/>
  <c r="BH260" i="2"/>
  <c r="BI260" i="2"/>
  <c r="BJ260" i="2"/>
  <c r="BK260" i="2"/>
  <c r="BL260" i="2"/>
  <c r="AI261" i="2"/>
  <c r="AJ261" i="2"/>
  <c r="AK261" i="2"/>
  <c r="AL261" i="2"/>
  <c r="AN261" i="2"/>
  <c r="AO261" i="2"/>
  <c r="AP261" i="2"/>
  <c r="AQ261" i="2"/>
  <c r="AR261" i="2"/>
  <c r="AS261" i="2"/>
  <c r="AT261" i="2"/>
  <c r="AU261" i="2"/>
  <c r="AV261" i="2"/>
  <c r="AX261" i="2"/>
  <c r="BC261" i="2"/>
  <c r="BD261" i="2"/>
  <c r="BF261" i="2"/>
  <c r="AI262" i="2"/>
  <c r="AJ262" i="2"/>
  <c r="AK262" i="2"/>
  <c r="AL262" i="2"/>
  <c r="AN262" i="2"/>
  <c r="AO262" i="2"/>
  <c r="AP262" i="2"/>
  <c r="AQ262" i="2"/>
  <c r="AR262" i="2"/>
  <c r="AS262" i="2"/>
  <c r="AT262" i="2"/>
  <c r="AU262" i="2"/>
  <c r="AV262" i="2"/>
  <c r="AX262" i="2"/>
  <c r="BC262" i="2"/>
  <c r="BD262" i="2"/>
  <c r="BF262" i="2"/>
  <c r="AI263" i="2"/>
  <c r="AJ263" i="2"/>
  <c r="AK263" i="2"/>
  <c r="AL263" i="2"/>
  <c r="AN263" i="2"/>
  <c r="AO263" i="2"/>
  <c r="AP263" i="2"/>
  <c r="AQ263" i="2"/>
  <c r="AR263" i="2"/>
  <c r="AS263" i="2"/>
  <c r="AT263" i="2"/>
  <c r="AU263" i="2"/>
  <c r="AV263" i="2"/>
  <c r="AX263" i="2"/>
  <c r="BC263" i="2"/>
  <c r="BD263" i="2"/>
  <c r="BF263" i="2"/>
  <c r="AI264" i="2"/>
  <c r="AJ264" i="2"/>
  <c r="AK264" i="2"/>
  <c r="BC264" i="2"/>
  <c r="AI265" i="2"/>
  <c r="AJ265" i="2"/>
  <c r="AK265" i="2"/>
  <c r="BC265" i="2"/>
  <c r="AI266" i="2"/>
  <c r="AJ266" i="2"/>
  <c r="AK266" i="2"/>
  <c r="BC266" i="2"/>
  <c r="AI267" i="2"/>
  <c r="AJ267" i="2"/>
  <c r="AK267" i="2"/>
  <c r="AL267" i="2"/>
  <c r="AM267" i="2"/>
  <c r="AN267" i="2"/>
  <c r="AO267" i="2"/>
  <c r="AP267" i="2"/>
  <c r="AQ267" i="2"/>
  <c r="AR267" i="2"/>
  <c r="AS267" i="2"/>
  <c r="AT267" i="2"/>
  <c r="AU267" i="2"/>
  <c r="AV267" i="2"/>
  <c r="AW267" i="2"/>
  <c r="AX267" i="2"/>
  <c r="AY267" i="2"/>
  <c r="AZ267" i="2"/>
  <c r="BA267" i="2"/>
  <c r="BB267" i="2"/>
  <c r="BC267" i="2"/>
  <c r="BD267" i="2"/>
  <c r="BE267" i="2"/>
  <c r="BF267" i="2"/>
  <c r="BG267" i="2"/>
  <c r="BH267" i="2"/>
  <c r="BI267" i="2"/>
  <c r="BJ267" i="2"/>
  <c r="BK267" i="2"/>
  <c r="BL267" i="2"/>
  <c r="AI268" i="2"/>
  <c r="AJ268" i="2"/>
  <c r="AK268" i="2"/>
  <c r="AL268" i="2"/>
  <c r="AM268" i="2"/>
  <c r="AN268" i="2"/>
  <c r="AO268" i="2"/>
  <c r="AP268" i="2"/>
  <c r="AQ268" i="2"/>
  <c r="AR268" i="2"/>
  <c r="AS268" i="2"/>
  <c r="AT268" i="2"/>
  <c r="AU268" i="2"/>
  <c r="AV268" i="2"/>
  <c r="AW268" i="2"/>
  <c r="AX268" i="2"/>
  <c r="AY268" i="2"/>
  <c r="AZ268" i="2"/>
  <c r="BA268" i="2"/>
  <c r="BB268" i="2"/>
  <c r="BC268" i="2"/>
  <c r="BD268" i="2"/>
  <c r="BE268" i="2"/>
  <c r="BF268" i="2"/>
  <c r="BG268" i="2"/>
  <c r="BH268" i="2"/>
  <c r="BI268" i="2"/>
  <c r="BJ268" i="2"/>
  <c r="BK268" i="2"/>
  <c r="BL268" i="2"/>
  <c r="AI269" i="2"/>
  <c r="AJ269" i="2"/>
  <c r="AK269" i="2"/>
  <c r="AL269" i="2"/>
  <c r="AM269" i="2"/>
  <c r="AN269" i="2"/>
  <c r="AO269" i="2"/>
  <c r="AP269" i="2"/>
  <c r="AQ269" i="2"/>
  <c r="AR269" i="2"/>
  <c r="AS269" i="2"/>
  <c r="AT269" i="2"/>
  <c r="AU269" i="2"/>
  <c r="AV269" i="2"/>
  <c r="AW269" i="2"/>
  <c r="AX269" i="2"/>
  <c r="AY269" i="2"/>
  <c r="AZ269" i="2"/>
  <c r="BA269" i="2"/>
  <c r="BB269" i="2"/>
  <c r="BC269" i="2"/>
  <c r="BD269" i="2"/>
  <c r="BE269" i="2"/>
  <c r="BF269" i="2"/>
  <c r="BG269" i="2"/>
  <c r="BH269" i="2"/>
  <c r="BI269" i="2"/>
  <c r="BJ269" i="2"/>
  <c r="BK269" i="2"/>
  <c r="BL269" i="2"/>
  <c r="AI270" i="2"/>
  <c r="AJ270" i="2"/>
  <c r="AK270" i="2"/>
  <c r="AL270" i="2"/>
  <c r="AM270" i="2"/>
  <c r="AN270" i="2"/>
  <c r="AO270" i="2"/>
  <c r="AP270" i="2"/>
  <c r="AQ270" i="2"/>
  <c r="AR270" i="2"/>
  <c r="AS270" i="2"/>
  <c r="AT270" i="2"/>
  <c r="AU270" i="2"/>
  <c r="AV270" i="2"/>
  <c r="AW270" i="2"/>
  <c r="AX270" i="2"/>
  <c r="AY270" i="2"/>
  <c r="AZ270" i="2"/>
  <c r="BA270" i="2"/>
  <c r="BB270" i="2"/>
  <c r="BC270" i="2"/>
  <c r="BD270" i="2"/>
  <c r="BE270" i="2"/>
  <c r="BF270" i="2"/>
  <c r="BG270" i="2"/>
  <c r="BH270" i="2"/>
  <c r="BI270" i="2"/>
  <c r="BJ270" i="2"/>
  <c r="BK270" i="2"/>
  <c r="BL270" i="2"/>
  <c r="AI271" i="2"/>
  <c r="AJ271" i="2"/>
  <c r="AK271" i="2"/>
  <c r="AL271" i="2"/>
  <c r="AM271" i="2"/>
  <c r="AN271" i="2"/>
  <c r="AO271" i="2"/>
  <c r="AP271" i="2"/>
  <c r="AQ271" i="2"/>
  <c r="AR271" i="2"/>
  <c r="AS271" i="2"/>
  <c r="AT271" i="2"/>
  <c r="AU271" i="2"/>
  <c r="AV271" i="2"/>
  <c r="AW271" i="2"/>
  <c r="AX271" i="2"/>
  <c r="AY271" i="2"/>
  <c r="AZ271" i="2"/>
  <c r="BA271" i="2"/>
  <c r="BB271" i="2"/>
  <c r="BC271" i="2"/>
  <c r="BD271" i="2"/>
  <c r="BE271" i="2"/>
  <c r="BF271" i="2"/>
  <c r="BG271" i="2"/>
  <c r="BH271" i="2"/>
  <c r="BI271" i="2"/>
  <c r="BJ271" i="2"/>
  <c r="BK271" i="2"/>
  <c r="BL271" i="2"/>
  <c r="AI272" i="2"/>
  <c r="AJ272" i="2"/>
  <c r="AK272" i="2"/>
  <c r="AL272" i="2"/>
  <c r="AM272" i="2"/>
  <c r="AN272" i="2"/>
  <c r="AO272" i="2"/>
  <c r="AP272" i="2"/>
  <c r="AQ272" i="2"/>
  <c r="AR272" i="2"/>
  <c r="AS272" i="2"/>
  <c r="AT272" i="2"/>
  <c r="AU272" i="2"/>
  <c r="AV272" i="2"/>
  <c r="AW272" i="2"/>
  <c r="AX272" i="2"/>
  <c r="AY272" i="2"/>
  <c r="AZ272" i="2"/>
  <c r="BA272" i="2"/>
  <c r="BB272" i="2"/>
  <c r="BC272" i="2"/>
  <c r="BD272" i="2"/>
  <c r="BE272" i="2"/>
  <c r="BF272" i="2"/>
  <c r="BG272" i="2"/>
  <c r="BH272" i="2"/>
  <c r="BI272" i="2"/>
  <c r="BJ272" i="2"/>
  <c r="BK272" i="2"/>
  <c r="BL272" i="2"/>
  <c r="AI273" i="2"/>
  <c r="AJ273" i="2"/>
  <c r="AK273" i="2"/>
  <c r="AL273" i="2"/>
  <c r="AM273" i="2"/>
  <c r="AN273" i="2"/>
  <c r="AO273" i="2"/>
  <c r="AP273" i="2"/>
  <c r="AQ273" i="2"/>
  <c r="AR273" i="2"/>
  <c r="AS273" i="2"/>
  <c r="AT273" i="2"/>
  <c r="AU273" i="2"/>
  <c r="AV273" i="2"/>
  <c r="AW273" i="2"/>
  <c r="AX273" i="2"/>
  <c r="AY273" i="2"/>
  <c r="AZ273" i="2"/>
  <c r="BA273" i="2"/>
  <c r="BB273" i="2"/>
  <c r="BC273" i="2"/>
  <c r="BD273" i="2"/>
  <c r="BE273" i="2"/>
  <c r="BF273" i="2"/>
  <c r="BG273" i="2"/>
  <c r="BH273" i="2"/>
  <c r="BI273" i="2"/>
  <c r="BJ273" i="2"/>
  <c r="BK273" i="2"/>
  <c r="BL273" i="2"/>
  <c r="AI274" i="2"/>
  <c r="AJ274" i="2"/>
  <c r="AK274" i="2"/>
  <c r="AL274" i="2"/>
  <c r="AM274" i="2"/>
  <c r="AN274" i="2"/>
  <c r="AO274" i="2"/>
  <c r="AP274" i="2"/>
  <c r="AQ274" i="2"/>
  <c r="AR274" i="2"/>
  <c r="AS274" i="2"/>
  <c r="AT274" i="2"/>
  <c r="AU274" i="2"/>
  <c r="AV274" i="2"/>
  <c r="AW274" i="2"/>
  <c r="AX274" i="2"/>
  <c r="AY274" i="2"/>
  <c r="AZ274" i="2"/>
  <c r="BA274" i="2"/>
  <c r="BB274" i="2"/>
  <c r="BC274" i="2"/>
  <c r="BD274" i="2"/>
  <c r="BE274" i="2"/>
  <c r="BF274" i="2"/>
  <c r="BG274" i="2"/>
  <c r="BH274" i="2"/>
  <c r="BI274" i="2"/>
  <c r="BJ274" i="2"/>
  <c r="BK274" i="2"/>
  <c r="BL274" i="2"/>
  <c r="AI275" i="2"/>
  <c r="AJ275" i="2"/>
  <c r="AK275" i="2"/>
  <c r="AL275" i="2"/>
  <c r="AM275" i="2"/>
  <c r="AN275" i="2"/>
  <c r="AO275" i="2"/>
  <c r="AP275" i="2"/>
  <c r="AQ275" i="2"/>
  <c r="AR275" i="2"/>
  <c r="AS275" i="2"/>
  <c r="AT275" i="2"/>
  <c r="AU275" i="2"/>
  <c r="AV275" i="2"/>
  <c r="AW275" i="2"/>
  <c r="AX275" i="2"/>
  <c r="AY275" i="2"/>
  <c r="AZ275" i="2"/>
  <c r="BA275" i="2"/>
  <c r="BB275" i="2"/>
  <c r="BC275" i="2"/>
  <c r="BD275" i="2"/>
  <c r="BE275" i="2"/>
  <c r="BF275" i="2"/>
  <c r="BG275" i="2"/>
  <c r="BH275" i="2"/>
  <c r="BI275" i="2"/>
  <c r="BJ275" i="2"/>
  <c r="BK275" i="2"/>
  <c r="BL275" i="2"/>
  <c r="AI276" i="2"/>
  <c r="AJ276" i="2"/>
  <c r="AK276" i="2"/>
  <c r="AL276" i="2"/>
  <c r="AM276" i="2"/>
  <c r="AN276" i="2"/>
  <c r="AO276" i="2"/>
  <c r="AP276" i="2"/>
  <c r="AQ276" i="2"/>
  <c r="AR276" i="2"/>
  <c r="AS276" i="2"/>
  <c r="AT276" i="2"/>
  <c r="AU276" i="2"/>
  <c r="AV276" i="2"/>
  <c r="AW276" i="2"/>
  <c r="AX276" i="2"/>
  <c r="AY276" i="2"/>
  <c r="AZ276" i="2"/>
  <c r="BA276" i="2"/>
  <c r="BB276" i="2"/>
  <c r="BC276" i="2"/>
  <c r="BD276" i="2"/>
  <c r="BE276" i="2"/>
  <c r="BF276" i="2"/>
  <c r="BG276" i="2"/>
  <c r="BH276" i="2"/>
  <c r="BI276" i="2"/>
  <c r="BJ276" i="2"/>
  <c r="BK276" i="2"/>
  <c r="BL276" i="2"/>
  <c r="AI277" i="2"/>
  <c r="AJ277" i="2"/>
  <c r="AK277" i="2"/>
  <c r="AL277" i="2"/>
  <c r="AM277" i="2"/>
  <c r="AN277" i="2"/>
  <c r="AO277" i="2"/>
  <c r="AP277" i="2"/>
  <c r="AQ277" i="2"/>
  <c r="AR277" i="2"/>
  <c r="AS277" i="2"/>
  <c r="AT277" i="2"/>
  <c r="AU277" i="2"/>
  <c r="AV277" i="2"/>
  <c r="AW277" i="2"/>
  <c r="AX277" i="2"/>
  <c r="AY277" i="2"/>
  <c r="AZ277" i="2"/>
  <c r="BA277" i="2"/>
  <c r="BB277" i="2"/>
  <c r="BC277" i="2"/>
  <c r="BD277" i="2"/>
  <c r="BE277" i="2"/>
  <c r="BF277" i="2"/>
  <c r="BG277" i="2"/>
  <c r="BH277" i="2"/>
  <c r="BI277" i="2"/>
  <c r="BJ277" i="2"/>
  <c r="BK277" i="2"/>
  <c r="BL277" i="2"/>
  <c r="AI278" i="2"/>
  <c r="AJ278" i="2"/>
  <c r="AK278" i="2"/>
  <c r="AL278" i="2"/>
  <c r="AM278" i="2"/>
  <c r="AN278" i="2"/>
  <c r="AO278" i="2"/>
  <c r="AP278" i="2"/>
  <c r="AQ278" i="2"/>
  <c r="AR278" i="2"/>
  <c r="AS278" i="2"/>
  <c r="AT278" i="2"/>
  <c r="AU278" i="2"/>
  <c r="AV278" i="2"/>
  <c r="AW278" i="2"/>
  <c r="AX278" i="2"/>
  <c r="AY278" i="2"/>
  <c r="AZ278" i="2"/>
  <c r="BA278" i="2"/>
  <c r="BB278" i="2"/>
  <c r="BC278" i="2"/>
  <c r="BD278" i="2"/>
  <c r="BE278" i="2"/>
  <c r="BF278" i="2"/>
  <c r="BG278" i="2"/>
  <c r="BH278" i="2"/>
  <c r="BI278" i="2"/>
  <c r="BJ278" i="2"/>
  <c r="BK278" i="2"/>
  <c r="BL278" i="2"/>
  <c r="AI279" i="2"/>
  <c r="AJ279" i="2"/>
  <c r="AK279" i="2"/>
  <c r="AL279" i="2"/>
  <c r="AM279" i="2"/>
  <c r="AN279" i="2"/>
  <c r="AO279" i="2"/>
  <c r="AP279" i="2"/>
  <c r="AQ279" i="2"/>
  <c r="AR279" i="2"/>
  <c r="AS279" i="2"/>
  <c r="AT279" i="2"/>
  <c r="AU279" i="2"/>
  <c r="AV279" i="2"/>
  <c r="AW279" i="2"/>
  <c r="AX279" i="2"/>
  <c r="AY279" i="2"/>
  <c r="AZ279" i="2"/>
  <c r="BA279" i="2"/>
  <c r="BB279" i="2"/>
  <c r="BC279" i="2"/>
  <c r="BD279" i="2"/>
  <c r="BE279" i="2"/>
  <c r="BF279" i="2"/>
  <c r="BG279" i="2"/>
  <c r="BH279" i="2"/>
  <c r="BI279" i="2"/>
  <c r="BJ279" i="2"/>
  <c r="BK279" i="2"/>
  <c r="BL279" i="2"/>
  <c r="AI280" i="2"/>
  <c r="AJ280" i="2"/>
  <c r="AK280" i="2"/>
  <c r="AL280" i="2"/>
  <c r="AM280" i="2"/>
  <c r="AN280" i="2"/>
  <c r="AO280" i="2"/>
  <c r="AP280" i="2"/>
  <c r="AQ280" i="2"/>
  <c r="AR280" i="2"/>
  <c r="AS280" i="2"/>
  <c r="AT280" i="2"/>
  <c r="AU280" i="2"/>
  <c r="AV280" i="2"/>
  <c r="AW280" i="2"/>
  <c r="AX280" i="2"/>
  <c r="AY280" i="2"/>
  <c r="AZ280" i="2"/>
  <c r="BA280" i="2"/>
  <c r="BB280" i="2"/>
  <c r="BC280" i="2"/>
  <c r="BD280" i="2"/>
  <c r="BE280" i="2"/>
  <c r="BF280" i="2"/>
  <c r="BG280" i="2"/>
  <c r="BH280" i="2"/>
  <c r="BI280" i="2"/>
  <c r="BJ280" i="2"/>
  <c r="BK280" i="2"/>
  <c r="BL280" i="2"/>
  <c r="AI281" i="2"/>
  <c r="AJ281" i="2"/>
  <c r="AK281" i="2"/>
  <c r="AL281" i="2"/>
  <c r="AM281" i="2"/>
  <c r="AN281" i="2"/>
  <c r="AO281" i="2"/>
  <c r="AP281" i="2"/>
  <c r="AQ281" i="2"/>
  <c r="AR281" i="2"/>
  <c r="AS281" i="2"/>
  <c r="AT281" i="2"/>
  <c r="AU281" i="2"/>
  <c r="AV281" i="2"/>
  <c r="AW281" i="2"/>
  <c r="AX281" i="2"/>
  <c r="AY281" i="2"/>
  <c r="AZ281" i="2"/>
  <c r="BA281" i="2"/>
  <c r="BB281" i="2"/>
  <c r="BC281" i="2"/>
  <c r="BD281" i="2"/>
  <c r="BE281" i="2"/>
  <c r="BF281" i="2"/>
  <c r="BG281" i="2"/>
  <c r="BH281" i="2"/>
  <c r="BI281" i="2"/>
  <c r="BJ281" i="2"/>
  <c r="BK281" i="2"/>
  <c r="BL281" i="2"/>
  <c r="AI282" i="2"/>
  <c r="AJ282" i="2"/>
  <c r="AK282" i="2"/>
  <c r="AL282" i="2"/>
  <c r="AM282" i="2"/>
  <c r="AN282" i="2"/>
  <c r="AO282" i="2"/>
  <c r="AP282" i="2"/>
  <c r="AQ282" i="2"/>
  <c r="AR282" i="2"/>
  <c r="AS282" i="2"/>
  <c r="AT282" i="2"/>
  <c r="AU282" i="2"/>
  <c r="AV282" i="2"/>
  <c r="AW282" i="2"/>
  <c r="AX282" i="2"/>
  <c r="AY282" i="2"/>
  <c r="AZ282" i="2"/>
  <c r="BA282" i="2"/>
  <c r="BB282" i="2"/>
  <c r="BC282" i="2"/>
  <c r="BD282" i="2"/>
  <c r="BE282" i="2"/>
  <c r="BF282" i="2"/>
  <c r="BG282" i="2"/>
  <c r="BH282" i="2"/>
  <c r="BI282" i="2"/>
  <c r="BJ282" i="2"/>
  <c r="BK282" i="2"/>
  <c r="BL282" i="2"/>
  <c r="AI283" i="2"/>
  <c r="AJ283" i="2"/>
  <c r="AK283" i="2"/>
  <c r="AL283" i="2"/>
  <c r="AM283" i="2"/>
  <c r="AN283" i="2"/>
  <c r="AO283" i="2"/>
  <c r="AP283" i="2"/>
  <c r="AQ283" i="2"/>
  <c r="AR283" i="2"/>
  <c r="AS283" i="2"/>
  <c r="AT283" i="2"/>
  <c r="AU283" i="2"/>
  <c r="AV283" i="2"/>
  <c r="AW283" i="2"/>
  <c r="AX283" i="2"/>
  <c r="AY283" i="2"/>
  <c r="AZ283" i="2"/>
  <c r="BA283" i="2"/>
  <c r="BB283" i="2"/>
  <c r="BC283" i="2"/>
  <c r="BD283" i="2"/>
  <c r="BE283" i="2"/>
  <c r="BF283" i="2"/>
  <c r="BG283" i="2"/>
  <c r="BH283" i="2"/>
  <c r="BI283" i="2"/>
  <c r="BJ283" i="2"/>
  <c r="BK283" i="2"/>
  <c r="BL283" i="2"/>
  <c r="AI284" i="2"/>
  <c r="AJ284" i="2"/>
  <c r="AK284" i="2"/>
  <c r="AL284" i="2"/>
  <c r="AM284" i="2"/>
  <c r="AN284" i="2"/>
  <c r="AO284" i="2"/>
  <c r="AP284" i="2"/>
  <c r="AQ284" i="2"/>
  <c r="AR284" i="2"/>
  <c r="AS284" i="2"/>
  <c r="AT284" i="2"/>
  <c r="AU284" i="2"/>
  <c r="AV284" i="2"/>
  <c r="AW284" i="2"/>
  <c r="AX284" i="2"/>
  <c r="AY284" i="2"/>
  <c r="AZ284" i="2"/>
  <c r="BA284" i="2"/>
  <c r="BB284" i="2"/>
  <c r="BC284" i="2"/>
  <c r="BD284" i="2"/>
  <c r="BE284" i="2"/>
  <c r="BF284" i="2"/>
  <c r="BG284" i="2"/>
  <c r="BH284" i="2"/>
  <c r="BI284" i="2"/>
  <c r="BJ284" i="2"/>
  <c r="BK284" i="2"/>
  <c r="BL284" i="2"/>
  <c r="AI285" i="2"/>
  <c r="AJ285" i="2"/>
  <c r="AK285" i="2"/>
  <c r="AL285" i="2"/>
  <c r="AM285" i="2"/>
  <c r="AN285" i="2"/>
  <c r="AO285" i="2"/>
  <c r="AP285" i="2"/>
  <c r="AQ285" i="2"/>
  <c r="AR285" i="2"/>
  <c r="AS285" i="2"/>
  <c r="AT285" i="2"/>
  <c r="AU285" i="2"/>
  <c r="AV285" i="2"/>
  <c r="AW285" i="2"/>
  <c r="AX285" i="2"/>
  <c r="AY285" i="2"/>
  <c r="AZ285" i="2"/>
  <c r="BA285" i="2"/>
  <c r="BB285" i="2"/>
  <c r="BC285" i="2"/>
  <c r="BD285" i="2"/>
  <c r="BE285" i="2"/>
  <c r="BF285" i="2"/>
  <c r="BG285" i="2"/>
  <c r="BH285" i="2"/>
  <c r="BI285" i="2"/>
  <c r="BJ285" i="2"/>
  <c r="BK285" i="2"/>
  <c r="BL285" i="2"/>
  <c r="AI286" i="2"/>
  <c r="AJ286" i="2"/>
  <c r="AK286" i="2"/>
  <c r="AL286" i="2"/>
  <c r="AM286" i="2"/>
  <c r="AN286" i="2"/>
  <c r="AO286" i="2"/>
  <c r="AP286" i="2"/>
  <c r="AQ286" i="2"/>
  <c r="AR286" i="2"/>
  <c r="AS286" i="2"/>
  <c r="AT286" i="2"/>
  <c r="AU286" i="2"/>
  <c r="AV286" i="2"/>
  <c r="AW286" i="2"/>
  <c r="AX286" i="2"/>
  <c r="AY286" i="2"/>
  <c r="AZ286" i="2"/>
  <c r="BA286" i="2"/>
  <c r="BB286" i="2"/>
  <c r="BC286" i="2"/>
  <c r="BD286" i="2"/>
  <c r="BE286" i="2"/>
  <c r="BF286" i="2"/>
  <c r="BG286" i="2"/>
  <c r="BH286" i="2"/>
  <c r="BI286" i="2"/>
  <c r="BJ286" i="2"/>
  <c r="BK286" i="2"/>
  <c r="BL286" i="2"/>
  <c r="AI287" i="2"/>
  <c r="AJ287" i="2"/>
  <c r="AK287" i="2"/>
  <c r="AL287" i="2"/>
  <c r="AM287" i="2"/>
  <c r="AN287" i="2"/>
  <c r="AO287" i="2"/>
  <c r="AP287" i="2"/>
  <c r="AQ287" i="2"/>
  <c r="AR287" i="2"/>
  <c r="AS287" i="2"/>
  <c r="AT287" i="2"/>
  <c r="AU287" i="2"/>
  <c r="AV287" i="2"/>
  <c r="AW287" i="2"/>
  <c r="AX287" i="2"/>
  <c r="AY287" i="2"/>
  <c r="AZ287" i="2"/>
  <c r="BA287" i="2"/>
  <c r="BB287" i="2"/>
  <c r="BC287" i="2"/>
  <c r="BD287" i="2"/>
  <c r="BE287" i="2"/>
  <c r="BF287" i="2"/>
  <c r="BG287" i="2"/>
  <c r="BH287" i="2"/>
  <c r="BI287" i="2"/>
  <c r="BJ287" i="2"/>
  <c r="BK287" i="2"/>
  <c r="BL287" i="2"/>
  <c r="AI288" i="2"/>
  <c r="AJ288" i="2"/>
  <c r="AK288" i="2"/>
  <c r="AL288" i="2"/>
  <c r="AM288" i="2"/>
  <c r="AN288" i="2"/>
  <c r="AO288" i="2"/>
  <c r="AP288" i="2"/>
  <c r="AQ288" i="2"/>
  <c r="AR288" i="2"/>
  <c r="AS288" i="2"/>
  <c r="AT288" i="2"/>
  <c r="AU288" i="2"/>
  <c r="AV288" i="2"/>
  <c r="AW288" i="2"/>
  <c r="AX288" i="2"/>
  <c r="AY288" i="2"/>
  <c r="AZ288" i="2"/>
  <c r="BA288" i="2"/>
  <c r="BB288" i="2"/>
  <c r="BC288" i="2"/>
  <c r="BD288" i="2"/>
  <c r="BE288" i="2"/>
  <c r="BF288" i="2"/>
  <c r="BG288" i="2"/>
  <c r="BH288" i="2"/>
  <c r="BI288" i="2"/>
  <c r="BJ288" i="2"/>
  <c r="BK288" i="2"/>
  <c r="BL288" i="2"/>
  <c r="AI289" i="2"/>
  <c r="AJ289" i="2"/>
  <c r="AK289" i="2"/>
  <c r="AL289" i="2"/>
  <c r="AM289" i="2"/>
  <c r="AN289" i="2"/>
  <c r="AO289" i="2"/>
  <c r="AP289" i="2"/>
  <c r="AQ289" i="2"/>
  <c r="AR289" i="2"/>
  <c r="AS289" i="2"/>
  <c r="AT289" i="2"/>
  <c r="AU289" i="2"/>
  <c r="AV289" i="2"/>
  <c r="AW289" i="2"/>
  <c r="AX289" i="2"/>
  <c r="AY289" i="2"/>
  <c r="AZ289" i="2"/>
  <c r="BA289" i="2"/>
  <c r="BB289" i="2"/>
  <c r="BC289" i="2"/>
  <c r="BD289" i="2"/>
  <c r="BE289" i="2"/>
  <c r="BF289" i="2"/>
  <c r="BG289" i="2"/>
  <c r="BH289" i="2"/>
  <c r="BI289" i="2"/>
  <c r="BJ289" i="2"/>
  <c r="BK289" i="2"/>
  <c r="BL289" i="2"/>
  <c r="AI290" i="2"/>
  <c r="AJ290" i="2"/>
  <c r="AK290" i="2"/>
  <c r="AL290" i="2"/>
  <c r="AM290" i="2"/>
  <c r="AN290" i="2"/>
  <c r="AO290" i="2"/>
  <c r="AP290" i="2"/>
  <c r="AQ290" i="2"/>
  <c r="AR290" i="2"/>
  <c r="AS290" i="2"/>
  <c r="AT290" i="2"/>
  <c r="AU290" i="2"/>
  <c r="AV290" i="2"/>
  <c r="AW290" i="2"/>
  <c r="AX290" i="2"/>
  <c r="AY290" i="2"/>
  <c r="AZ290" i="2"/>
  <c r="BA290" i="2"/>
  <c r="BB290" i="2"/>
  <c r="BC290" i="2"/>
  <c r="BD290" i="2"/>
  <c r="BE290" i="2"/>
  <c r="BF290" i="2"/>
  <c r="BG290" i="2"/>
  <c r="BH290" i="2"/>
  <c r="BI290" i="2"/>
  <c r="BJ290" i="2"/>
  <c r="BK290" i="2"/>
  <c r="BL290" i="2"/>
  <c r="AI291" i="2"/>
  <c r="AJ291" i="2"/>
  <c r="AK291" i="2"/>
  <c r="AL291" i="2"/>
  <c r="AM291" i="2"/>
  <c r="AN291" i="2"/>
  <c r="AO291" i="2"/>
  <c r="AP291" i="2"/>
  <c r="AQ291" i="2"/>
  <c r="AR291" i="2"/>
  <c r="AS291" i="2"/>
  <c r="AT291" i="2"/>
  <c r="AU291" i="2"/>
  <c r="AV291" i="2"/>
  <c r="AW291" i="2"/>
  <c r="AX291" i="2"/>
  <c r="AY291" i="2"/>
  <c r="AZ291" i="2"/>
  <c r="BA291" i="2"/>
  <c r="BB291" i="2"/>
  <c r="BC291" i="2"/>
  <c r="BD291" i="2"/>
  <c r="BE291" i="2"/>
  <c r="BF291" i="2"/>
  <c r="BG291" i="2"/>
  <c r="BH291" i="2"/>
  <c r="BI291" i="2"/>
  <c r="BJ291" i="2"/>
  <c r="BK291" i="2"/>
  <c r="BL291" i="2"/>
  <c r="AI292" i="2"/>
  <c r="AJ292" i="2"/>
  <c r="AK292" i="2"/>
  <c r="AL292" i="2"/>
  <c r="AM292" i="2"/>
  <c r="AN292" i="2"/>
  <c r="AO292" i="2"/>
  <c r="AP292" i="2"/>
  <c r="AQ292" i="2"/>
  <c r="AR292" i="2"/>
  <c r="AS292" i="2"/>
  <c r="AT292" i="2"/>
  <c r="AU292" i="2"/>
  <c r="AV292" i="2"/>
  <c r="AW292" i="2"/>
  <c r="AX292" i="2"/>
  <c r="AY292" i="2"/>
  <c r="AZ292" i="2"/>
  <c r="BA292" i="2"/>
  <c r="BB292" i="2"/>
  <c r="BC292" i="2"/>
  <c r="BD292" i="2"/>
  <c r="BE292" i="2"/>
  <c r="BF292" i="2"/>
  <c r="BG292" i="2"/>
  <c r="BH292" i="2"/>
  <c r="BI292" i="2"/>
  <c r="BJ292" i="2"/>
  <c r="BK292" i="2"/>
  <c r="BL292" i="2"/>
  <c r="AI293" i="2"/>
  <c r="AJ293" i="2"/>
  <c r="AK293" i="2"/>
  <c r="AL293" i="2"/>
  <c r="AM293" i="2"/>
  <c r="AN293" i="2"/>
  <c r="AO293" i="2"/>
  <c r="AP293" i="2"/>
  <c r="AQ293" i="2"/>
  <c r="AR293" i="2"/>
  <c r="AS293" i="2"/>
  <c r="AT293" i="2"/>
  <c r="AU293" i="2"/>
  <c r="AV293" i="2"/>
  <c r="AW293" i="2"/>
  <c r="AX293" i="2"/>
  <c r="AY293" i="2"/>
  <c r="AZ293" i="2"/>
  <c r="BA293" i="2"/>
  <c r="BB293" i="2"/>
  <c r="BC293" i="2"/>
  <c r="BD293" i="2"/>
  <c r="BE293" i="2"/>
  <c r="BF293" i="2"/>
  <c r="BG293" i="2"/>
  <c r="BH293" i="2"/>
  <c r="BI293" i="2"/>
  <c r="BJ293" i="2"/>
  <c r="BK293" i="2"/>
  <c r="BL293" i="2"/>
  <c r="AI294" i="2"/>
  <c r="AJ294" i="2"/>
  <c r="AK294" i="2"/>
  <c r="AL294" i="2"/>
  <c r="AM294" i="2"/>
  <c r="AN294" i="2"/>
  <c r="AO294" i="2"/>
  <c r="AP294" i="2"/>
  <c r="AQ294" i="2"/>
  <c r="AR294" i="2"/>
  <c r="AS294" i="2"/>
  <c r="AT294" i="2"/>
  <c r="AU294" i="2"/>
  <c r="AV294" i="2"/>
  <c r="AW294" i="2"/>
  <c r="AX294" i="2"/>
  <c r="AY294" i="2"/>
  <c r="AZ294" i="2"/>
  <c r="BA294" i="2"/>
  <c r="BB294" i="2"/>
  <c r="BC294" i="2"/>
  <c r="BD294" i="2"/>
  <c r="BE294" i="2"/>
  <c r="BF294" i="2"/>
  <c r="BG294" i="2"/>
  <c r="BH294" i="2"/>
  <c r="BI294" i="2"/>
  <c r="BJ294" i="2"/>
  <c r="BK294" i="2"/>
  <c r="BL294" i="2"/>
  <c r="AI295" i="2"/>
  <c r="AJ295" i="2"/>
  <c r="AK295" i="2"/>
  <c r="AL295" i="2"/>
  <c r="AM295" i="2"/>
  <c r="AN295" i="2"/>
  <c r="AO295" i="2"/>
  <c r="AP295" i="2"/>
  <c r="AQ295" i="2"/>
  <c r="AR295" i="2"/>
  <c r="AS295" i="2"/>
  <c r="AT295" i="2"/>
  <c r="AU295" i="2"/>
  <c r="AV295" i="2"/>
  <c r="AW295" i="2"/>
  <c r="AX295" i="2"/>
  <c r="AY295" i="2"/>
  <c r="AZ295" i="2"/>
  <c r="BA295" i="2"/>
  <c r="BB295" i="2"/>
  <c r="BC295" i="2"/>
  <c r="BD295" i="2"/>
  <c r="BE295" i="2"/>
  <c r="BF295" i="2"/>
  <c r="BG295" i="2"/>
  <c r="BH295" i="2"/>
  <c r="BI295" i="2"/>
  <c r="BJ295" i="2"/>
  <c r="BK295" i="2"/>
  <c r="BL295" i="2"/>
  <c r="AI296" i="2"/>
  <c r="AJ296" i="2"/>
  <c r="AK296" i="2"/>
  <c r="AL296" i="2"/>
  <c r="AM296" i="2"/>
  <c r="AN296" i="2"/>
  <c r="AO296" i="2"/>
  <c r="AP296" i="2"/>
  <c r="AQ296" i="2"/>
  <c r="AR296" i="2"/>
  <c r="AS296" i="2"/>
  <c r="AT296" i="2"/>
  <c r="AU296" i="2"/>
  <c r="AV296" i="2"/>
  <c r="AW296" i="2"/>
  <c r="AX296" i="2"/>
  <c r="AY296" i="2"/>
  <c r="AZ296" i="2"/>
  <c r="BA296" i="2"/>
  <c r="BB296" i="2"/>
  <c r="BC296" i="2"/>
  <c r="BD296" i="2"/>
  <c r="BE296" i="2"/>
  <c r="BF296" i="2"/>
  <c r="BG296" i="2"/>
  <c r="BH296" i="2"/>
  <c r="BI296" i="2"/>
  <c r="BJ296" i="2"/>
  <c r="BK296" i="2"/>
  <c r="BL296" i="2"/>
  <c r="AI297" i="2"/>
  <c r="AJ297" i="2"/>
  <c r="AK297" i="2"/>
  <c r="AL297" i="2"/>
  <c r="AM297" i="2"/>
  <c r="AN297" i="2"/>
  <c r="AO297" i="2"/>
  <c r="AP297" i="2"/>
  <c r="AQ297" i="2"/>
  <c r="AR297" i="2"/>
  <c r="AS297" i="2"/>
  <c r="AT297" i="2"/>
  <c r="AU297" i="2"/>
  <c r="AV297" i="2"/>
  <c r="AW297" i="2"/>
  <c r="AX297" i="2"/>
  <c r="AY297" i="2"/>
  <c r="AZ297" i="2"/>
  <c r="BA297" i="2"/>
  <c r="BB297" i="2"/>
  <c r="BC297" i="2"/>
  <c r="BD297" i="2"/>
  <c r="BE297" i="2"/>
  <c r="BF297" i="2"/>
  <c r="BG297" i="2"/>
  <c r="BH297" i="2"/>
  <c r="BI297" i="2"/>
  <c r="BJ297" i="2"/>
  <c r="BK297" i="2"/>
  <c r="BL297" i="2"/>
  <c r="AI298" i="2"/>
  <c r="AJ298" i="2"/>
  <c r="AK298" i="2"/>
  <c r="AL298" i="2"/>
  <c r="AM298" i="2"/>
  <c r="AN298" i="2"/>
  <c r="AO298" i="2"/>
  <c r="AP298" i="2"/>
  <c r="AQ298" i="2"/>
  <c r="AR298" i="2"/>
  <c r="AS298" i="2"/>
  <c r="AT298" i="2"/>
  <c r="AU298" i="2"/>
  <c r="AV298" i="2"/>
  <c r="AW298" i="2"/>
  <c r="AX298" i="2"/>
  <c r="AY298" i="2"/>
  <c r="AZ298" i="2"/>
  <c r="BA298" i="2"/>
  <c r="BB298" i="2"/>
  <c r="BC298" i="2"/>
  <c r="BD298" i="2"/>
  <c r="BE298" i="2"/>
  <c r="BF298" i="2"/>
  <c r="BG298" i="2"/>
  <c r="BH298" i="2"/>
  <c r="BI298" i="2"/>
  <c r="BJ298" i="2"/>
  <c r="BK298" i="2"/>
  <c r="BL298" i="2"/>
  <c r="AI299" i="2"/>
  <c r="AJ299" i="2"/>
  <c r="AK299" i="2"/>
  <c r="AL299" i="2"/>
  <c r="AM299" i="2"/>
  <c r="AN299" i="2"/>
  <c r="AO299" i="2"/>
  <c r="AP299" i="2"/>
  <c r="AQ299" i="2"/>
  <c r="AR299" i="2"/>
  <c r="AS299" i="2"/>
  <c r="AT299" i="2"/>
  <c r="AU299" i="2"/>
  <c r="AV299" i="2"/>
  <c r="AW299" i="2"/>
  <c r="AX299" i="2"/>
  <c r="AY299" i="2"/>
  <c r="AZ299" i="2"/>
  <c r="BA299" i="2"/>
  <c r="BB299" i="2"/>
  <c r="BC299" i="2"/>
  <c r="BD299" i="2"/>
  <c r="BE299" i="2"/>
  <c r="BF299" i="2"/>
  <c r="BG299" i="2"/>
  <c r="BH299" i="2"/>
  <c r="BI299" i="2"/>
  <c r="BJ299" i="2"/>
  <c r="BK299" i="2"/>
  <c r="BL299" i="2"/>
  <c r="AI300" i="2"/>
  <c r="AJ300" i="2"/>
  <c r="AK300" i="2"/>
  <c r="AL300" i="2"/>
  <c r="AM300" i="2"/>
  <c r="AN300" i="2"/>
  <c r="AO300" i="2"/>
  <c r="AP300" i="2"/>
  <c r="AQ300" i="2"/>
  <c r="AR300" i="2"/>
  <c r="AS300" i="2"/>
  <c r="AT300" i="2"/>
  <c r="AU300" i="2"/>
  <c r="AV300" i="2"/>
  <c r="AW300" i="2"/>
  <c r="AX300" i="2"/>
  <c r="AY300" i="2"/>
  <c r="AZ300" i="2"/>
  <c r="BA300" i="2"/>
  <c r="BB300" i="2"/>
  <c r="BC300" i="2"/>
  <c r="BD300" i="2"/>
  <c r="BE300" i="2"/>
  <c r="BF300" i="2"/>
  <c r="BG300" i="2"/>
  <c r="BH300" i="2"/>
  <c r="BI300" i="2"/>
  <c r="BJ300" i="2"/>
  <c r="BK300" i="2"/>
  <c r="BL300" i="2"/>
  <c r="AI301" i="2"/>
  <c r="AJ301" i="2"/>
  <c r="AK301" i="2"/>
  <c r="AL301" i="2"/>
  <c r="AM301" i="2"/>
  <c r="AN301" i="2"/>
  <c r="AO301" i="2"/>
  <c r="AP301" i="2"/>
  <c r="AQ301" i="2"/>
  <c r="AR301" i="2"/>
  <c r="AS301" i="2"/>
  <c r="AT301" i="2"/>
  <c r="AU301" i="2"/>
  <c r="AV301" i="2"/>
  <c r="AW301" i="2"/>
  <c r="AX301" i="2"/>
  <c r="AY301" i="2"/>
  <c r="AZ301" i="2"/>
  <c r="BA301" i="2"/>
  <c r="BB301" i="2"/>
  <c r="BC301" i="2"/>
  <c r="BD301" i="2"/>
  <c r="BE301" i="2"/>
  <c r="BF301" i="2"/>
  <c r="BG301" i="2"/>
  <c r="BH301" i="2"/>
  <c r="BI301" i="2"/>
  <c r="BJ301" i="2"/>
  <c r="BK301" i="2"/>
  <c r="BL301" i="2"/>
  <c r="AI302" i="2"/>
  <c r="AJ302" i="2"/>
  <c r="AK302" i="2"/>
  <c r="AL302" i="2"/>
  <c r="AM302" i="2"/>
  <c r="AN302" i="2"/>
  <c r="AO302" i="2"/>
  <c r="AP302" i="2"/>
  <c r="AQ302" i="2"/>
  <c r="AR302" i="2"/>
  <c r="AS302" i="2"/>
  <c r="AT302" i="2"/>
  <c r="AU302" i="2"/>
  <c r="AV302" i="2"/>
  <c r="AW302" i="2"/>
  <c r="AX302" i="2"/>
  <c r="AY302" i="2"/>
  <c r="AZ302" i="2"/>
  <c r="BA302" i="2"/>
  <c r="BB302" i="2"/>
  <c r="BC302" i="2"/>
  <c r="BD302" i="2"/>
  <c r="BE302" i="2"/>
  <c r="BF302" i="2"/>
  <c r="BG302" i="2"/>
  <c r="BH302" i="2"/>
  <c r="BI302" i="2"/>
  <c r="BJ302" i="2"/>
  <c r="BK302" i="2"/>
  <c r="BL302" i="2"/>
  <c r="AI303" i="2"/>
  <c r="AJ303" i="2"/>
  <c r="AK303" i="2"/>
  <c r="AL303" i="2"/>
  <c r="AM303" i="2"/>
  <c r="AN303" i="2"/>
  <c r="AO303" i="2"/>
  <c r="AP303" i="2"/>
  <c r="AQ303" i="2"/>
  <c r="AR303" i="2"/>
  <c r="AS303" i="2"/>
  <c r="AT303" i="2"/>
  <c r="AU303" i="2"/>
  <c r="AV303" i="2"/>
  <c r="AW303" i="2"/>
  <c r="AX303" i="2"/>
  <c r="AY303" i="2"/>
  <c r="AZ303" i="2"/>
  <c r="BA303" i="2"/>
  <c r="BB303" i="2"/>
  <c r="BC303" i="2"/>
  <c r="BD303" i="2"/>
  <c r="BE303" i="2"/>
  <c r="BF303" i="2"/>
  <c r="BG303" i="2"/>
  <c r="BH303" i="2"/>
  <c r="BI303" i="2"/>
  <c r="BJ303" i="2"/>
  <c r="BK303" i="2"/>
  <c r="BL303" i="2"/>
  <c r="AI304" i="2"/>
  <c r="AJ304" i="2"/>
  <c r="AK304" i="2"/>
  <c r="AL304" i="2"/>
  <c r="AM304" i="2"/>
  <c r="AN304" i="2"/>
  <c r="AO304" i="2"/>
  <c r="AP304" i="2"/>
  <c r="AQ304" i="2"/>
  <c r="AR304" i="2"/>
  <c r="AS304" i="2"/>
  <c r="AT304" i="2"/>
  <c r="AU304" i="2"/>
  <c r="AV304" i="2"/>
  <c r="AW304" i="2"/>
  <c r="AX304" i="2"/>
  <c r="AY304" i="2"/>
  <c r="AZ304" i="2"/>
  <c r="BA304" i="2"/>
  <c r="BB304" i="2"/>
  <c r="BC304" i="2"/>
  <c r="BD304" i="2"/>
  <c r="BE304" i="2"/>
  <c r="BF304" i="2"/>
  <c r="BG304" i="2"/>
  <c r="BH304" i="2"/>
  <c r="BI304" i="2"/>
  <c r="BJ304" i="2"/>
  <c r="BK304" i="2"/>
  <c r="BL304" i="2"/>
  <c r="AI305" i="2"/>
  <c r="AJ305" i="2"/>
  <c r="AK305" i="2"/>
  <c r="AL305" i="2"/>
  <c r="AM305" i="2"/>
  <c r="AN305" i="2"/>
  <c r="AO305" i="2"/>
  <c r="AP305" i="2"/>
  <c r="AQ305" i="2"/>
  <c r="AR305" i="2"/>
  <c r="AS305" i="2"/>
  <c r="AT305" i="2"/>
  <c r="AU305" i="2"/>
  <c r="AV305" i="2"/>
  <c r="AW305" i="2"/>
  <c r="AX305" i="2"/>
  <c r="AY305" i="2"/>
  <c r="AZ305" i="2"/>
  <c r="BA305" i="2"/>
  <c r="BB305" i="2"/>
  <c r="BC305" i="2"/>
  <c r="BD305" i="2"/>
  <c r="BE305" i="2"/>
  <c r="BF305" i="2"/>
  <c r="BG305" i="2"/>
  <c r="BH305" i="2"/>
  <c r="BI305" i="2"/>
  <c r="BJ305" i="2"/>
  <c r="BK305" i="2"/>
  <c r="BL305" i="2"/>
  <c r="AI306" i="2"/>
  <c r="AJ306" i="2"/>
  <c r="AK306" i="2"/>
  <c r="AL306" i="2"/>
  <c r="AM306" i="2"/>
  <c r="AN306" i="2"/>
  <c r="AO306" i="2"/>
  <c r="AP306" i="2"/>
  <c r="AQ306" i="2"/>
  <c r="AR306" i="2"/>
  <c r="AS306" i="2"/>
  <c r="AT306" i="2"/>
  <c r="AU306" i="2"/>
  <c r="AV306" i="2"/>
  <c r="AW306" i="2"/>
  <c r="AX306" i="2"/>
  <c r="AY306" i="2"/>
  <c r="AZ306" i="2"/>
  <c r="BA306" i="2"/>
  <c r="BB306" i="2"/>
  <c r="BC306" i="2"/>
  <c r="BD306" i="2"/>
  <c r="BE306" i="2"/>
  <c r="BF306" i="2"/>
  <c r="BG306" i="2"/>
  <c r="BH306" i="2"/>
  <c r="BI306" i="2"/>
  <c r="BJ306" i="2"/>
  <c r="BK306" i="2"/>
  <c r="BL306" i="2"/>
  <c r="AI307" i="2"/>
  <c r="AJ307" i="2"/>
  <c r="AK307" i="2"/>
  <c r="AL307" i="2"/>
  <c r="AM307" i="2"/>
  <c r="AN307" i="2"/>
  <c r="AO307" i="2"/>
  <c r="AP307" i="2"/>
  <c r="AQ307" i="2"/>
  <c r="AR307" i="2"/>
  <c r="AS307" i="2"/>
  <c r="AT307" i="2"/>
  <c r="AU307" i="2"/>
  <c r="AV307" i="2"/>
  <c r="AW307" i="2"/>
  <c r="AX307" i="2"/>
  <c r="AY307" i="2"/>
  <c r="AZ307" i="2"/>
  <c r="BA307" i="2"/>
  <c r="BB307" i="2"/>
  <c r="BC307" i="2"/>
  <c r="BD307" i="2"/>
  <c r="BE307" i="2"/>
  <c r="BF307" i="2"/>
  <c r="BG307" i="2"/>
  <c r="BH307" i="2"/>
  <c r="BI307" i="2"/>
  <c r="BJ307" i="2"/>
  <c r="BK307" i="2"/>
  <c r="BL307" i="2"/>
  <c r="AI308" i="2"/>
  <c r="AJ308" i="2"/>
  <c r="AK308" i="2"/>
  <c r="AL308" i="2"/>
  <c r="AM308" i="2"/>
  <c r="AN308" i="2"/>
  <c r="AO308" i="2"/>
  <c r="AP308" i="2"/>
  <c r="AQ308" i="2"/>
  <c r="AR308" i="2"/>
  <c r="AS308" i="2"/>
  <c r="AT308" i="2"/>
  <c r="AU308" i="2"/>
  <c r="AV308" i="2"/>
  <c r="AW308" i="2"/>
  <c r="AX308" i="2"/>
  <c r="AY308" i="2"/>
  <c r="AZ308" i="2"/>
  <c r="BA308" i="2"/>
  <c r="BB308" i="2"/>
  <c r="BC308" i="2"/>
  <c r="BD308" i="2"/>
  <c r="BE308" i="2"/>
  <c r="BF308" i="2"/>
  <c r="BG308" i="2"/>
  <c r="BH308" i="2"/>
  <c r="BI308" i="2"/>
  <c r="BJ308" i="2"/>
  <c r="BK308" i="2"/>
  <c r="BL308" i="2"/>
  <c r="AI309" i="2"/>
  <c r="AJ309" i="2"/>
  <c r="AK309" i="2"/>
  <c r="AL309" i="2"/>
  <c r="AM309" i="2"/>
  <c r="AN309" i="2"/>
  <c r="AO309" i="2"/>
  <c r="AP309" i="2"/>
  <c r="AQ309" i="2"/>
  <c r="AR309" i="2"/>
  <c r="AS309" i="2"/>
  <c r="AT309" i="2"/>
  <c r="AU309" i="2"/>
  <c r="AV309" i="2"/>
  <c r="AW309" i="2"/>
  <c r="AX309" i="2"/>
  <c r="AY309" i="2"/>
  <c r="AZ309" i="2"/>
  <c r="BA309" i="2"/>
  <c r="BB309" i="2"/>
  <c r="BC309" i="2"/>
  <c r="BD309" i="2"/>
  <c r="BE309" i="2"/>
  <c r="BF309" i="2"/>
  <c r="BG309" i="2"/>
  <c r="BH309" i="2"/>
  <c r="BI309" i="2"/>
  <c r="BJ309" i="2"/>
  <c r="BK309" i="2"/>
  <c r="BL309" i="2"/>
  <c r="AI310" i="2"/>
  <c r="AJ310" i="2"/>
  <c r="AK310" i="2"/>
  <c r="AL310" i="2"/>
  <c r="AM310" i="2"/>
  <c r="AN310" i="2"/>
  <c r="AO310" i="2"/>
  <c r="AP310" i="2"/>
  <c r="AQ310" i="2"/>
  <c r="AR310" i="2"/>
  <c r="AS310" i="2"/>
  <c r="AT310" i="2"/>
  <c r="AU310" i="2"/>
  <c r="AV310" i="2"/>
  <c r="AW310" i="2"/>
  <c r="AX310" i="2"/>
  <c r="AY310" i="2"/>
  <c r="AZ310" i="2"/>
  <c r="BA310" i="2"/>
  <c r="BB310" i="2"/>
  <c r="BC310" i="2"/>
  <c r="BD310" i="2"/>
  <c r="BE310" i="2"/>
  <c r="BF310" i="2"/>
  <c r="BG310" i="2"/>
  <c r="BH310" i="2"/>
  <c r="BI310" i="2"/>
  <c r="BJ310" i="2"/>
  <c r="BK310" i="2"/>
  <c r="BL310" i="2"/>
  <c r="AI311" i="2"/>
  <c r="AJ311" i="2"/>
  <c r="AK311" i="2"/>
  <c r="AL311" i="2"/>
  <c r="AM311" i="2"/>
  <c r="AN311" i="2"/>
  <c r="AO311" i="2"/>
  <c r="AP311" i="2"/>
  <c r="AQ311" i="2"/>
  <c r="AR311" i="2"/>
  <c r="AS311" i="2"/>
  <c r="AT311" i="2"/>
  <c r="AU311" i="2"/>
  <c r="AV311" i="2"/>
  <c r="AW311" i="2"/>
  <c r="AX311" i="2"/>
  <c r="AY311" i="2"/>
  <c r="AZ311" i="2"/>
  <c r="BA311" i="2"/>
  <c r="BB311" i="2"/>
  <c r="BC311" i="2"/>
  <c r="BD311" i="2"/>
  <c r="BE311" i="2"/>
  <c r="BF311" i="2"/>
  <c r="BG311" i="2"/>
  <c r="BH311" i="2"/>
  <c r="BI311" i="2"/>
  <c r="BJ311" i="2"/>
  <c r="BK311" i="2"/>
  <c r="BL311" i="2"/>
  <c r="AI312" i="2"/>
  <c r="AJ312" i="2"/>
  <c r="AK312" i="2"/>
  <c r="AL312" i="2"/>
  <c r="AM312" i="2"/>
  <c r="AN312" i="2"/>
  <c r="AO312" i="2"/>
  <c r="AP312" i="2"/>
  <c r="AQ312" i="2"/>
  <c r="AR312" i="2"/>
  <c r="AS312" i="2"/>
  <c r="AT312" i="2"/>
  <c r="AU312" i="2"/>
  <c r="AV312" i="2"/>
  <c r="AW312" i="2"/>
  <c r="AX312" i="2"/>
  <c r="AY312" i="2"/>
  <c r="AZ312" i="2"/>
  <c r="BA312" i="2"/>
  <c r="BB312" i="2"/>
  <c r="BC312" i="2"/>
  <c r="BD312" i="2"/>
  <c r="BE312" i="2"/>
  <c r="BF312" i="2"/>
  <c r="BG312" i="2"/>
  <c r="BH312" i="2"/>
  <c r="BI312" i="2"/>
  <c r="BJ312" i="2"/>
  <c r="BK312" i="2"/>
  <c r="BL312" i="2"/>
  <c r="AI313" i="2"/>
  <c r="AJ313" i="2"/>
  <c r="AK313" i="2"/>
  <c r="AL313" i="2"/>
  <c r="AM313" i="2"/>
  <c r="AN313" i="2"/>
  <c r="AO313" i="2"/>
  <c r="AP313" i="2"/>
  <c r="AQ313" i="2"/>
  <c r="AR313" i="2"/>
  <c r="AS313" i="2"/>
  <c r="AT313" i="2"/>
  <c r="AU313" i="2"/>
  <c r="AV313" i="2"/>
  <c r="AW313" i="2"/>
  <c r="AX313" i="2"/>
  <c r="AY313" i="2"/>
  <c r="AZ313" i="2"/>
  <c r="BA313" i="2"/>
  <c r="BB313" i="2"/>
  <c r="BC313" i="2"/>
  <c r="BD313" i="2"/>
  <c r="BE313" i="2"/>
  <c r="BF313" i="2"/>
  <c r="BG313" i="2"/>
  <c r="BH313" i="2"/>
  <c r="BI313" i="2"/>
  <c r="BJ313" i="2"/>
  <c r="BK313" i="2"/>
  <c r="BL313" i="2"/>
  <c r="AI314" i="2"/>
  <c r="AJ314" i="2"/>
  <c r="AK314" i="2"/>
  <c r="AL314" i="2"/>
  <c r="AM314" i="2"/>
  <c r="AN314" i="2"/>
  <c r="AO314" i="2"/>
  <c r="AP314" i="2"/>
  <c r="AQ314" i="2"/>
  <c r="AR314" i="2"/>
  <c r="AS314" i="2"/>
  <c r="AT314" i="2"/>
  <c r="AU314" i="2"/>
  <c r="AV314" i="2"/>
  <c r="AW314" i="2"/>
  <c r="AX314" i="2"/>
  <c r="AY314" i="2"/>
  <c r="AZ314" i="2"/>
  <c r="BA314" i="2"/>
  <c r="BB314" i="2"/>
  <c r="BC314" i="2"/>
  <c r="BD314" i="2"/>
  <c r="BE314" i="2"/>
  <c r="BF314" i="2"/>
  <c r="BG314" i="2"/>
  <c r="BH314" i="2"/>
  <c r="BI314" i="2"/>
  <c r="BJ314" i="2"/>
  <c r="BK314" i="2"/>
  <c r="BL314" i="2"/>
  <c r="AI315" i="2"/>
  <c r="AJ315" i="2"/>
  <c r="AK315" i="2"/>
  <c r="AL315" i="2"/>
  <c r="AM315" i="2"/>
  <c r="AN315" i="2"/>
  <c r="AO315" i="2"/>
  <c r="AP315" i="2"/>
  <c r="AQ315" i="2"/>
  <c r="AR315" i="2"/>
  <c r="AS315" i="2"/>
  <c r="AT315" i="2"/>
  <c r="AU315" i="2"/>
  <c r="AV315" i="2"/>
  <c r="AW315" i="2"/>
  <c r="AX315" i="2"/>
  <c r="AY315" i="2"/>
  <c r="AZ315" i="2"/>
  <c r="BA315" i="2"/>
  <c r="BB315" i="2"/>
  <c r="BC315" i="2"/>
  <c r="BD315" i="2"/>
  <c r="BE315" i="2"/>
  <c r="BF315" i="2"/>
  <c r="BG315" i="2"/>
  <c r="BH315" i="2"/>
  <c r="BI315" i="2"/>
  <c r="BJ315" i="2"/>
  <c r="BK315" i="2"/>
  <c r="BL315" i="2"/>
  <c r="AI316" i="2"/>
  <c r="AJ316" i="2"/>
  <c r="AK316" i="2"/>
  <c r="AL316" i="2"/>
  <c r="AM316" i="2"/>
  <c r="AN316" i="2"/>
  <c r="AO316" i="2"/>
  <c r="AP316" i="2"/>
  <c r="AQ316" i="2"/>
  <c r="AR316" i="2"/>
  <c r="AS316" i="2"/>
  <c r="AT316" i="2"/>
  <c r="AU316" i="2"/>
  <c r="AV316" i="2"/>
  <c r="AW316" i="2"/>
  <c r="AX316" i="2"/>
  <c r="AY316" i="2"/>
  <c r="AZ316" i="2"/>
  <c r="BA316" i="2"/>
  <c r="BB316" i="2"/>
  <c r="BC316" i="2"/>
  <c r="BD316" i="2"/>
  <c r="BE316" i="2"/>
  <c r="BF316" i="2"/>
  <c r="BG316" i="2"/>
  <c r="BH316" i="2"/>
  <c r="BI316" i="2"/>
  <c r="BJ316" i="2"/>
  <c r="BK316" i="2"/>
  <c r="BL316" i="2"/>
  <c r="AI317" i="2"/>
  <c r="AJ317" i="2"/>
  <c r="AK317" i="2"/>
  <c r="AL317" i="2"/>
  <c r="AM317" i="2"/>
  <c r="AN317" i="2"/>
  <c r="AO317" i="2"/>
  <c r="AP317" i="2"/>
  <c r="AQ317" i="2"/>
  <c r="AR317" i="2"/>
  <c r="AS317" i="2"/>
  <c r="AT317" i="2"/>
  <c r="AU317" i="2"/>
  <c r="AV317" i="2"/>
  <c r="AW317" i="2"/>
  <c r="AX317" i="2"/>
  <c r="AY317" i="2"/>
  <c r="AZ317" i="2"/>
  <c r="BA317" i="2"/>
  <c r="BB317" i="2"/>
  <c r="BC317" i="2"/>
  <c r="BD317" i="2"/>
  <c r="BE317" i="2"/>
  <c r="BF317" i="2"/>
  <c r="BG317" i="2"/>
  <c r="BH317" i="2"/>
  <c r="BI317" i="2"/>
  <c r="BJ317" i="2"/>
  <c r="BK317" i="2"/>
  <c r="BL317" i="2"/>
  <c r="AI318" i="2"/>
  <c r="AJ318" i="2"/>
  <c r="AK318" i="2"/>
  <c r="AL318" i="2"/>
  <c r="AM318" i="2"/>
  <c r="AN318" i="2"/>
  <c r="AO318" i="2"/>
  <c r="AP318" i="2"/>
  <c r="AQ318" i="2"/>
  <c r="AR318" i="2"/>
  <c r="AS318" i="2"/>
  <c r="AT318" i="2"/>
  <c r="AU318" i="2"/>
  <c r="AV318" i="2"/>
  <c r="AW318" i="2"/>
  <c r="AX318" i="2"/>
  <c r="AY318" i="2"/>
  <c r="AZ318" i="2"/>
  <c r="BA318" i="2"/>
  <c r="BB318" i="2"/>
  <c r="BC318" i="2"/>
  <c r="BD318" i="2"/>
  <c r="BE318" i="2"/>
  <c r="BF318" i="2"/>
  <c r="BG318" i="2"/>
  <c r="BH318" i="2"/>
  <c r="BI318" i="2"/>
  <c r="BJ318" i="2"/>
  <c r="BK318" i="2"/>
  <c r="BL318" i="2"/>
  <c r="AI319" i="2"/>
  <c r="AJ319" i="2"/>
  <c r="AK319" i="2"/>
  <c r="AL319" i="2"/>
  <c r="AM319" i="2"/>
  <c r="AN319" i="2"/>
  <c r="AO319" i="2"/>
  <c r="AP319" i="2"/>
  <c r="AQ319" i="2"/>
  <c r="AR319" i="2"/>
  <c r="AS319" i="2"/>
  <c r="AT319" i="2"/>
  <c r="AU319" i="2"/>
  <c r="AV319" i="2"/>
  <c r="AW319" i="2"/>
  <c r="AX319" i="2"/>
  <c r="AY319" i="2"/>
  <c r="AZ319" i="2"/>
  <c r="BA319" i="2"/>
  <c r="BB319" i="2"/>
  <c r="BC319" i="2"/>
  <c r="BD319" i="2"/>
  <c r="BE319" i="2"/>
  <c r="BF319" i="2"/>
  <c r="BG319" i="2"/>
  <c r="BH319" i="2"/>
  <c r="BI319" i="2"/>
  <c r="BJ319" i="2"/>
  <c r="BK319" i="2"/>
  <c r="BL319" i="2"/>
  <c r="AI320" i="2"/>
  <c r="AJ320" i="2"/>
  <c r="AK320" i="2"/>
  <c r="AL320" i="2"/>
  <c r="AM320" i="2"/>
  <c r="AN320" i="2"/>
  <c r="AO320" i="2"/>
  <c r="AP320" i="2"/>
  <c r="AQ320" i="2"/>
  <c r="AR320" i="2"/>
  <c r="AS320" i="2"/>
  <c r="AT320" i="2"/>
  <c r="AU320" i="2"/>
  <c r="AV320" i="2"/>
  <c r="AW320" i="2"/>
  <c r="AX320" i="2"/>
  <c r="AY320" i="2"/>
  <c r="AZ320" i="2"/>
  <c r="BA320" i="2"/>
  <c r="BB320" i="2"/>
  <c r="BC320" i="2"/>
  <c r="BD320" i="2"/>
  <c r="BE320" i="2"/>
  <c r="BF320" i="2"/>
  <c r="BG320" i="2"/>
  <c r="BH320" i="2"/>
  <c r="BI320" i="2"/>
  <c r="BJ320" i="2"/>
  <c r="BK320" i="2"/>
  <c r="BL320" i="2"/>
  <c r="AI321" i="2"/>
  <c r="AJ321" i="2"/>
  <c r="AK321" i="2"/>
  <c r="AL321" i="2"/>
  <c r="AM321" i="2"/>
  <c r="AN321" i="2"/>
  <c r="AO321" i="2"/>
  <c r="AP321" i="2"/>
  <c r="AQ321" i="2"/>
  <c r="AR321" i="2"/>
  <c r="AS321" i="2"/>
  <c r="AT321" i="2"/>
  <c r="AU321" i="2"/>
  <c r="AV321" i="2"/>
  <c r="AW321" i="2"/>
  <c r="AX321" i="2"/>
  <c r="AY321" i="2"/>
  <c r="AZ321" i="2"/>
  <c r="BA321" i="2"/>
  <c r="BB321" i="2"/>
  <c r="BC321" i="2"/>
  <c r="BD321" i="2"/>
  <c r="BE321" i="2"/>
  <c r="BF321" i="2"/>
  <c r="BG321" i="2"/>
  <c r="BH321" i="2"/>
  <c r="BI321" i="2"/>
  <c r="BJ321" i="2"/>
  <c r="BK321" i="2"/>
  <c r="BL321" i="2"/>
  <c r="AI322" i="2"/>
  <c r="AJ322" i="2"/>
  <c r="AK322" i="2"/>
  <c r="AL322" i="2"/>
  <c r="AM322" i="2"/>
  <c r="AN322" i="2"/>
  <c r="AO322" i="2"/>
  <c r="AP322" i="2"/>
  <c r="AQ322" i="2"/>
  <c r="AR322" i="2"/>
  <c r="AS322" i="2"/>
  <c r="AT322" i="2"/>
  <c r="AU322" i="2"/>
  <c r="AV322" i="2"/>
  <c r="AW322" i="2"/>
  <c r="AX322" i="2"/>
  <c r="AY322" i="2"/>
  <c r="AZ322" i="2"/>
  <c r="BA322" i="2"/>
  <c r="BB322" i="2"/>
  <c r="BC322" i="2"/>
  <c r="BD322" i="2"/>
  <c r="BE322" i="2"/>
  <c r="BF322" i="2"/>
  <c r="BG322" i="2"/>
  <c r="BH322" i="2"/>
  <c r="BI322" i="2"/>
  <c r="BJ322" i="2"/>
  <c r="BK322" i="2"/>
  <c r="BL322" i="2"/>
  <c r="AI323" i="2"/>
  <c r="AJ323" i="2"/>
  <c r="AK323" i="2"/>
  <c r="AL323" i="2"/>
  <c r="AM323" i="2"/>
  <c r="AN323" i="2"/>
  <c r="AO323" i="2"/>
  <c r="AP323" i="2"/>
  <c r="AQ323" i="2"/>
  <c r="AR323" i="2"/>
  <c r="AS323" i="2"/>
  <c r="AT323" i="2"/>
  <c r="AU323" i="2"/>
  <c r="AV323" i="2"/>
  <c r="AW323" i="2"/>
  <c r="AX323" i="2"/>
  <c r="AY323" i="2"/>
  <c r="AZ323" i="2"/>
  <c r="BA323" i="2"/>
  <c r="BB323" i="2"/>
  <c r="BC323" i="2"/>
  <c r="BD323" i="2"/>
  <c r="BE323" i="2"/>
  <c r="BF323" i="2"/>
  <c r="BG323" i="2"/>
  <c r="BH323" i="2"/>
  <c r="BI323" i="2"/>
  <c r="BJ323" i="2"/>
  <c r="BK323" i="2"/>
  <c r="BL323" i="2"/>
  <c r="AI324" i="2"/>
  <c r="AJ324" i="2"/>
  <c r="AK324" i="2"/>
  <c r="AL324" i="2"/>
  <c r="AM324" i="2"/>
  <c r="AN324" i="2"/>
  <c r="AO324" i="2"/>
  <c r="AP324" i="2"/>
  <c r="AQ324" i="2"/>
  <c r="AR324" i="2"/>
  <c r="AS324" i="2"/>
  <c r="AT324" i="2"/>
  <c r="AU324" i="2"/>
  <c r="AV324" i="2"/>
  <c r="AW324" i="2"/>
  <c r="AX324" i="2"/>
  <c r="AY324" i="2"/>
  <c r="AZ324" i="2"/>
  <c r="BA324" i="2"/>
  <c r="BB324" i="2"/>
  <c r="BC324" i="2"/>
  <c r="BD324" i="2"/>
  <c r="BE324" i="2"/>
  <c r="BF324" i="2"/>
  <c r="BG324" i="2"/>
  <c r="BH324" i="2"/>
  <c r="BI324" i="2"/>
  <c r="BJ324" i="2"/>
  <c r="BK324" i="2"/>
  <c r="BL324" i="2"/>
  <c r="AI325" i="2"/>
  <c r="AJ325" i="2"/>
  <c r="AK325" i="2"/>
  <c r="AL325" i="2"/>
  <c r="AM325" i="2"/>
  <c r="AN325" i="2"/>
  <c r="AO325" i="2"/>
  <c r="AP325" i="2"/>
  <c r="AQ325" i="2"/>
  <c r="AR325" i="2"/>
  <c r="AS325" i="2"/>
  <c r="AT325" i="2"/>
  <c r="AU325" i="2"/>
  <c r="AV325" i="2"/>
  <c r="AW325" i="2"/>
  <c r="AX325" i="2"/>
  <c r="AY325" i="2"/>
  <c r="AZ325" i="2"/>
  <c r="BA325" i="2"/>
  <c r="BB325" i="2"/>
  <c r="BC325" i="2"/>
  <c r="BD325" i="2"/>
  <c r="BE325" i="2"/>
  <c r="BF325" i="2"/>
  <c r="BG325" i="2"/>
  <c r="BH325" i="2"/>
  <c r="BI325" i="2"/>
  <c r="BJ325" i="2"/>
  <c r="BK325" i="2"/>
  <c r="BL325" i="2"/>
  <c r="AI326" i="2"/>
  <c r="AJ326" i="2"/>
  <c r="AK326" i="2"/>
  <c r="AL326" i="2"/>
  <c r="AM326" i="2"/>
  <c r="AN326" i="2"/>
  <c r="AO326" i="2"/>
  <c r="AP326" i="2"/>
  <c r="AQ326" i="2"/>
  <c r="AR326" i="2"/>
  <c r="AS326" i="2"/>
  <c r="AT326" i="2"/>
  <c r="AU326" i="2"/>
  <c r="AV326" i="2"/>
  <c r="AW326" i="2"/>
  <c r="AX326" i="2"/>
  <c r="AY326" i="2"/>
  <c r="AZ326" i="2"/>
  <c r="BA326" i="2"/>
  <c r="BB326" i="2"/>
  <c r="BC326" i="2"/>
  <c r="BD326" i="2"/>
  <c r="BE326" i="2"/>
  <c r="BF326" i="2"/>
  <c r="BG326" i="2"/>
  <c r="BH326" i="2"/>
  <c r="BI326" i="2"/>
  <c r="BJ326" i="2"/>
  <c r="BK326" i="2"/>
  <c r="BL326" i="2"/>
  <c r="AI327" i="2"/>
  <c r="AJ327" i="2"/>
  <c r="AK327" i="2"/>
  <c r="AL327" i="2"/>
  <c r="AM327" i="2"/>
  <c r="AN327" i="2"/>
  <c r="AO327" i="2"/>
  <c r="AP327" i="2"/>
  <c r="AQ327" i="2"/>
  <c r="AR327" i="2"/>
  <c r="AS327" i="2"/>
  <c r="AT327" i="2"/>
  <c r="AU327" i="2"/>
  <c r="AV327" i="2"/>
  <c r="AW327" i="2"/>
  <c r="AX327" i="2"/>
  <c r="AY327" i="2"/>
  <c r="AZ327" i="2"/>
  <c r="BA327" i="2"/>
  <c r="BB327" i="2"/>
  <c r="BC327" i="2"/>
  <c r="BD327" i="2"/>
  <c r="BE327" i="2"/>
  <c r="BF327" i="2"/>
  <c r="BG327" i="2"/>
  <c r="BH327" i="2"/>
  <c r="BI327" i="2"/>
  <c r="BJ327" i="2"/>
  <c r="BK327" i="2"/>
  <c r="BL327" i="2"/>
  <c r="AI328" i="2"/>
  <c r="AJ328" i="2"/>
  <c r="AK328" i="2"/>
  <c r="AL328" i="2"/>
  <c r="AM328" i="2"/>
  <c r="AN328" i="2"/>
  <c r="AO328" i="2"/>
  <c r="AP328" i="2"/>
  <c r="AQ328" i="2"/>
  <c r="AR328" i="2"/>
  <c r="AS328" i="2"/>
  <c r="AT328" i="2"/>
  <c r="AU328" i="2"/>
  <c r="AV328" i="2"/>
  <c r="AW328" i="2"/>
  <c r="AX328" i="2"/>
  <c r="AY328" i="2"/>
  <c r="AZ328" i="2"/>
  <c r="BA328" i="2"/>
  <c r="BB328" i="2"/>
  <c r="BC328" i="2"/>
  <c r="BD328" i="2"/>
  <c r="BE328" i="2"/>
  <c r="BF328" i="2"/>
  <c r="BG328" i="2"/>
  <c r="BH328" i="2"/>
  <c r="BI328" i="2"/>
  <c r="BJ328" i="2"/>
  <c r="BK328" i="2"/>
  <c r="BL328" i="2"/>
  <c r="AI329" i="2"/>
  <c r="AJ329" i="2"/>
  <c r="AK329" i="2"/>
  <c r="AL329" i="2"/>
  <c r="AM329" i="2"/>
  <c r="AN329" i="2"/>
  <c r="AO329" i="2"/>
  <c r="AP329" i="2"/>
  <c r="AQ329" i="2"/>
  <c r="AR329" i="2"/>
  <c r="AS329" i="2"/>
  <c r="AT329" i="2"/>
  <c r="AU329" i="2"/>
  <c r="AV329" i="2"/>
  <c r="AW329" i="2"/>
  <c r="AX329" i="2"/>
  <c r="AY329" i="2"/>
  <c r="AZ329" i="2"/>
  <c r="BA329" i="2"/>
  <c r="BB329" i="2"/>
  <c r="BC329" i="2"/>
  <c r="BD329" i="2"/>
  <c r="BE329" i="2"/>
  <c r="BF329" i="2"/>
  <c r="BG329" i="2"/>
  <c r="BH329" i="2"/>
  <c r="BI329" i="2"/>
  <c r="BJ329" i="2"/>
  <c r="BK329" i="2"/>
  <c r="BL329" i="2"/>
  <c r="AI330" i="2"/>
  <c r="AJ330" i="2"/>
  <c r="AK330" i="2"/>
  <c r="AL330" i="2"/>
  <c r="AM330" i="2"/>
  <c r="AN330" i="2"/>
  <c r="AO330" i="2"/>
  <c r="AP330" i="2"/>
  <c r="AQ330" i="2"/>
  <c r="AR330" i="2"/>
  <c r="AS330" i="2"/>
  <c r="AT330" i="2"/>
  <c r="AU330" i="2"/>
  <c r="AV330" i="2"/>
  <c r="AW330" i="2"/>
  <c r="AX330" i="2"/>
  <c r="AY330" i="2"/>
  <c r="AZ330" i="2"/>
  <c r="BA330" i="2"/>
  <c r="BB330" i="2"/>
  <c r="BC330" i="2"/>
  <c r="BD330" i="2"/>
  <c r="BE330" i="2"/>
  <c r="BF330" i="2"/>
  <c r="BG330" i="2"/>
  <c r="BH330" i="2"/>
  <c r="BI330" i="2"/>
  <c r="BJ330" i="2"/>
  <c r="BK330" i="2"/>
  <c r="BL330" i="2"/>
  <c r="AI331" i="2"/>
  <c r="AJ331" i="2"/>
  <c r="AK331" i="2"/>
  <c r="AL331" i="2"/>
  <c r="AM331" i="2"/>
  <c r="AN331" i="2"/>
  <c r="AO331" i="2"/>
  <c r="AP331" i="2"/>
  <c r="AQ331" i="2"/>
  <c r="AR331" i="2"/>
  <c r="AS331" i="2"/>
  <c r="AT331" i="2"/>
  <c r="AU331" i="2"/>
  <c r="AV331" i="2"/>
  <c r="AW331" i="2"/>
  <c r="AX331" i="2"/>
  <c r="AY331" i="2"/>
  <c r="AZ331" i="2"/>
  <c r="BA331" i="2"/>
  <c r="BB331" i="2"/>
  <c r="BC331" i="2"/>
  <c r="BD331" i="2"/>
  <c r="BE331" i="2"/>
  <c r="BF331" i="2"/>
  <c r="BG331" i="2"/>
  <c r="BH331" i="2"/>
  <c r="BI331" i="2"/>
  <c r="BJ331" i="2"/>
  <c r="BK331" i="2"/>
  <c r="BL331" i="2"/>
  <c r="AI332" i="2"/>
  <c r="AJ332" i="2"/>
  <c r="AK332" i="2"/>
  <c r="AL332" i="2"/>
  <c r="AM332" i="2"/>
  <c r="AN332" i="2"/>
  <c r="AO332" i="2"/>
  <c r="AP332" i="2"/>
  <c r="AQ332" i="2"/>
  <c r="AR332" i="2"/>
  <c r="AS332" i="2"/>
  <c r="AT332" i="2"/>
  <c r="AU332" i="2"/>
  <c r="AV332" i="2"/>
  <c r="AW332" i="2"/>
  <c r="AX332" i="2"/>
  <c r="AY332" i="2"/>
  <c r="AZ332" i="2"/>
  <c r="BA332" i="2"/>
  <c r="BB332" i="2"/>
  <c r="BC332" i="2"/>
  <c r="BD332" i="2"/>
  <c r="BE332" i="2"/>
  <c r="BF332" i="2"/>
  <c r="BG332" i="2"/>
  <c r="BH332" i="2"/>
  <c r="BI332" i="2"/>
  <c r="BJ332" i="2"/>
  <c r="BK332" i="2"/>
  <c r="BL332" i="2"/>
  <c r="AI333" i="2"/>
  <c r="AJ333" i="2"/>
  <c r="AK333" i="2"/>
  <c r="AL333" i="2"/>
  <c r="AM333" i="2"/>
  <c r="AN333" i="2"/>
  <c r="AO333" i="2"/>
  <c r="AP333" i="2"/>
  <c r="AQ333" i="2"/>
  <c r="AR333" i="2"/>
  <c r="AS333" i="2"/>
  <c r="AT333" i="2"/>
  <c r="AU333" i="2"/>
  <c r="AV333" i="2"/>
  <c r="AW333" i="2"/>
  <c r="AX333" i="2"/>
  <c r="AY333" i="2"/>
  <c r="AZ333" i="2"/>
  <c r="BA333" i="2"/>
  <c r="BB333" i="2"/>
  <c r="BC333" i="2"/>
  <c r="BD333" i="2"/>
  <c r="BE333" i="2"/>
  <c r="BF333" i="2"/>
  <c r="BG333" i="2"/>
  <c r="BH333" i="2"/>
  <c r="BI333" i="2"/>
  <c r="BJ333" i="2"/>
  <c r="BK333" i="2"/>
  <c r="BL333" i="2"/>
  <c r="AI334" i="2"/>
  <c r="AJ334" i="2"/>
  <c r="AK334" i="2"/>
  <c r="AL334" i="2"/>
  <c r="AM334" i="2"/>
  <c r="AN334" i="2"/>
  <c r="AO334" i="2"/>
  <c r="AP334" i="2"/>
  <c r="AQ334" i="2"/>
  <c r="AR334" i="2"/>
  <c r="AS334" i="2"/>
  <c r="AT334" i="2"/>
  <c r="AU334" i="2"/>
  <c r="AV334" i="2"/>
  <c r="AW334" i="2"/>
  <c r="AX334" i="2"/>
  <c r="AY334" i="2"/>
  <c r="AZ334" i="2"/>
  <c r="BA334" i="2"/>
  <c r="BB334" i="2"/>
  <c r="BC334" i="2"/>
  <c r="BD334" i="2"/>
  <c r="BE334" i="2"/>
  <c r="BF334" i="2"/>
  <c r="BG334" i="2"/>
  <c r="BH334" i="2"/>
  <c r="BI334" i="2"/>
  <c r="BJ334" i="2"/>
  <c r="BK334" i="2"/>
  <c r="BL334" i="2"/>
  <c r="AI335" i="2"/>
  <c r="AJ335" i="2"/>
  <c r="AK335" i="2"/>
  <c r="AL335" i="2"/>
  <c r="AM335" i="2"/>
  <c r="AN335" i="2"/>
  <c r="AO335" i="2"/>
  <c r="AP335" i="2"/>
  <c r="AQ335" i="2"/>
  <c r="AR335" i="2"/>
  <c r="AS335" i="2"/>
  <c r="AT335" i="2"/>
  <c r="AU335" i="2"/>
  <c r="AV335" i="2"/>
  <c r="AW335" i="2"/>
  <c r="AX335" i="2"/>
  <c r="AY335" i="2"/>
  <c r="AZ335" i="2"/>
  <c r="BA335" i="2"/>
  <c r="BB335" i="2"/>
  <c r="BC335" i="2"/>
  <c r="BD335" i="2"/>
  <c r="BE335" i="2"/>
  <c r="BF335" i="2"/>
  <c r="BG335" i="2"/>
  <c r="BH335" i="2"/>
  <c r="BI335" i="2"/>
  <c r="BJ335" i="2"/>
  <c r="BK335" i="2"/>
  <c r="BL335" i="2"/>
  <c r="AI336" i="2"/>
  <c r="AJ336" i="2"/>
  <c r="AK336" i="2"/>
  <c r="AL336" i="2"/>
  <c r="AM336" i="2"/>
  <c r="AN336" i="2"/>
  <c r="AO336" i="2"/>
  <c r="AP336" i="2"/>
  <c r="AQ336" i="2"/>
  <c r="AR336" i="2"/>
  <c r="AS336" i="2"/>
  <c r="AT336" i="2"/>
  <c r="AU336" i="2"/>
  <c r="AV336" i="2"/>
  <c r="AW336" i="2"/>
  <c r="AX336" i="2"/>
  <c r="AY336" i="2"/>
  <c r="AZ336" i="2"/>
  <c r="BA336" i="2"/>
  <c r="BB336" i="2"/>
  <c r="BC336" i="2"/>
  <c r="BD336" i="2"/>
  <c r="BE336" i="2"/>
  <c r="BF336" i="2"/>
  <c r="BG336" i="2"/>
  <c r="BH336" i="2"/>
  <c r="BI336" i="2"/>
  <c r="BJ336" i="2"/>
  <c r="BK336" i="2"/>
  <c r="BL336" i="2"/>
  <c r="AI337" i="2"/>
  <c r="AJ337" i="2"/>
  <c r="AK337" i="2"/>
  <c r="AL337" i="2"/>
  <c r="AM337" i="2"/>
  <c r="AN337" i="2"/>
  <c r="AO337" i="2"/>
  <c r="AP337" i="2"/>
  <c r="AQ337" i="2"/>
  <c r="AR337" i="2"/>
  <c r="AS337" i="2"/>
  <c r="AT337" i="2"/>
  <c r="AU337" i="2"/>
  <c r="AV337" i="2"/>
  <c r="AW337" i="2"/>
  <c r="AX337" i="2"/>
  <c r="AY337" i="2"/>
  <c r="AZ337" i="2"/>
  <c r="BA337" i="2"/>
  <c r="BB337" i="2"/>
  <c r="BC337" i="2"/>
  <c r="BD337" i="2"/>
  <c r="BE337" i="2"/>
  <c r="BF337" i="2"/>
  <c r="BG337" i="2"/>
  <c r="BH337" i="2"/>
  <c r="BI337" i="2"/>
  <c r="BJ337" i="2"/>
  <c r="BK337" i="2"/>
  <c r="BL337" i="2"/>
  <c r="AI338" i="2"/>
  <c r="AJ338" i="2"/>
  <c r="AK338" i="2"/>
  <c r="AL338" i="2"/>
  <c r="AM338" i="2"/>
  <c r="AN338" i="2"/>
  <c r="AO338" i="2"/>
  <c r="AP338" i="2"/>
  <c r="AQ338" i="2"/>
  <c r="AR338" i="2"/>
  <c r="AS338" i="2"/>
  <c r="AT338" i="2"/>
  <c r="AU338" i="2"/>
  <c r="AV338" i="2"/>
  <c r="AW338" i="2"/>
  <c r="AX338" i="2"/>
  <c r="AY338" i="2"/>
  <c r="AZ338" i="2"/>
  <c r="BA338" i="2"/>
  <c r="BB338" i="2"/>
  <c r="BC338" i="2"/>
  <c r="BD338" i="2"/>
  <c r="BE338" i="2"/>
  <c r="BF338" i="2"/>
  <c r="BG338" i="2"/>
  <c r="BH338" i="2"/>
  <c r="BI338" i="2"/>
  <c r="BJ338" i="2"/>
  <c r="BK338" i="2"/>
  <c r="BL338" i="2"/>
  <c r="AI339" i="2"/>
  <c r="AJ339" i="2"/>
  <c r="AK339" i="2"/>
  <c r="AL339" i="2"/>
  <c r="AM339" i="2"/>
  <c r="AN339" i="2"/>
  <c r="AO339" i="2"/>
  <c r="AP339" i="2"/>
  <c r="AQ339" i="2"/>
  <c r="AR339" i="2"/>
  <c r="AS339" i="2"/>
  <c r="AT339" i="2"/>
  <c r="AU339" i="2"/>
  <c r="AV339" i="2"/>
  <c r="AW339" i="2"/>
  <c r="AX339" i="2"/>
  <c r="AY339" i="2"/>
  <c r="AZ339" i="2"/>
  <c r="BA339" i="2"/>
  <c r="BB339" i="2"/>
  <c r="BC339" i="2"/>
  <c r="BD339" i="2"/>
  <c r="BE339" i="2"/>
  <c r="BF339" i="2"/>
  <c r="BG339" i="2"/>
  <c r="BH339" i="2"/>
  <c r="BI339" i="2"/>
  <c r="BJ339" i="2"/>
  <c r="BK339" i="2"/>
  <c r="BL339" i="2"/>
  <c r="AI340" i="2"/>
  <c r="AJ340" i="2"/>
  <c r="AK340" i="2"/>
  <c r="AL340" i="2"/>
  <c r="AM340" i="2"/>
  <c r="AN340" i="2"/>
  <c r="AO340" i="2"/>
  <c r="AP340" i="2"/>
  <c r="AQ340" i="2"/>
  <c r="AR340" i="2"/>
  <c r="AS340" i="2"/>
  <c r="AT340" i="2"/>
  <c r="AU340" i="2"/>
  <c r="AV340" i="2"/>
  <c r="AW340" i="2"/>
  <c r="AX340" i="2"/>
  <c r="AY340" i="2"/>
  <c r="AZ340" i="2"/>
  <c r="BA340" i="2"/>
  <c r="BB340" i="2"/>
  <c r="BC340" i="2"/>
  <c r="BD340" i="2"/>
  <c r="BE340" i="2"/>
  <c r="BF340" i="2"/>
  <c r="BG340" i="2"/>
  <c r="BH340" i="2"/>
  <c r="BI340" i="2"/>
  <c r="BJ340" i="2"/>
  <c r="BK340" i="2"/>
  <c r="BL340" i="2"/>
  <c r="AI341" i="2"/>
  <c r="AJ341" i="2"/>
  <c r="AK341" i="2"/>
  <c r="AL341" i="2"/>
  <c r="AM341" i="2"/>
  <c r="AN341" i="2"/>
  <c r="AO341" i="2"/>
  <c r="AP341" i="2"/>
  <c r="AQ341" i="2"/>
  <c r="AR341" i="2"/>
  <c r="AS341" i="2"/>
  <c r="AT341" i="2"/>
  <c r="AU341" i="2"/>
  <c r="AV341" i="2"/>
  <c r="AW341" i="2"/>
  <c r="AX341" i="2"/>
  <c r="AY341" i="2"/>
  <c r="AZ341" i="2"/>
  <c r="BA341" i="2"/>
  <c r="BB341" i="2"/>
  <c r="BC341" i="2"/>
  <c r="BD341" i="2"/>
  <c r="BE341" i="2"/>
  <c r="BF341" i="2"/>
  <c r="BG341" i="2"/>
  <c r="BH341" i="2"/>
  <c r="BI341" i="2"/>
  <c r="BJ341" i="2"/>
  <c r="BK341" i="2"/>
  <c r="BL341" i="2"/>
  <c r="AI342" i="2"/>
  <c r="AJ342" i="2"/>
  <c r="AK342" i="2"/>
  <c r="AL342" i="2"/>
  <c r="AM342" i="2"/>
  <c r="AN342" i="2"/>
  <c r="AO342" i="2"/>
  <c r="AP342" i="2"/>
  <c r="AQ342" i="2"/>
  <c r="AR342" i="2"/>
  <c r="AS342" i="2"/>
  <c r="AT342" i="2"/>
  <c r="AU342" i="2"/>
  <c r="AV342" i="2"/>
  <c r="AW342" i="2"/>
  <c r="AX342" i="2"/>
  <c r="AY342" i="2"/>
  <c r="AZ342" i="2"/>
  <c r="BA342" i="2"/>
  <c r="BB342" i="2"/>
  <c r="BC342" i="2"/>
  <c r="BD342" i="2"/>
  <c r="BE342" i="2"/>
  <c r="BF342" i="2"/>
  <c r="BG342" i="2"/>
  <c r="BH342" i="2"/>
  <c r="BI342" i="2"/>
  <c r="BJ342" i="2"/>
  <c r="BK342" i="2"/>
  <c r="BL342" i="2"/>
  <c r="AI343" i="2"/>
  <c r="AJ343" i="2"/>
  <c r="AK343" i="2"/>
  <c r="AL343" i="2"/>
  <c r="AM343" i="2"/>
  <c r="AN343" i="2"/>
  <c r="AO343" i="2"/>
  <c r="AP343" i="2"/>
  <c r="AQ343" i="2"/>
  <c r="AR343" i="2"/>
  <c r="AS343" i="2"/>
  <c r="AT343" i="2"/>
  <c r="AU343" i="2"/>
  <c r="AV343" i="2"/>
  <c r="AW343" i="2"/>
  <c r="AX343" i="2"/>
  <c r="AY343" i="2"/>
  <c r="AZ343" i="2"/>
  <c r="BA343" i="2"/>
  <c r="BB343" i="2"/>
  <c r="BC343" i="2"/>
  <c r="BD343" i="2"/>
  <c r="BE343" i="2"/>
  <c r="BF343" i="2"/>
  <c r="BG343" i="2"/>
  <c r="BH343" i="2"/>
  <c r="BI343" i="2"/>
  <c r="BJ343" i="2"/>
  <c r="BK343" i="2"/>
  <c r="BL343" i="2"/>
  <c r="AI344" i="2"/>
  <c r="AJ344" i="2"/>
  <c r="AK344" i="2"/>
  <c r="AL344" i="2"/>
  <c r="AM344" i="2"/>
  <c r="AN344" i="2"/>
  <c r="AO344" i="2"/>
  <c r="AP344" i="2"/>
  <c r="AQ344" i="2"/>
  <c r="AR344" i="2"/>
  <c r="AS344" i="2"/>
  <c r="AT344" i="2"/>
  <c r="AU344" i="2"/>
  <c r="AV344" i="2"/>
  <c r="AW344" i="2"/>
  <c r="AX344" i="2"/>
  <c r="AY344" i="2"/>
  <c r="AZ344" i="2"/>
  <c r="BA344" i="2"/>
  <c r="BB344" i="2"/>
  <c r="BC344" i="2"/>
  <c r="BD344" i="2"/>
  <c r="BE344" i="2"/>
  <c r="BF344" i="2"/>
  <c r="BG344" i="2"/>
  <c r="BH344" i="2"/>
  <c r="BI344" i="2"/>
  <c r="BJ344" i="2"/>
  <c r="BK344" i="2"/>
  <c r="BL344" i="2"/>
  <c r="AI345" i="2"/>
  <c r="AJ345" i="2"/>
  <c r="AK345" i="2"/>
  <c r="AL345" i="2"/>
  <c r="AM345" i="2"/>
  <c r="AN345" i="2"/>
  <c r="AO345" i="2"/>
  <c r="AP345" i="2"/>
  <c r="AQ345" i="2"/>
  <c r="AR345" i="2"/>
  <c r="AS345" i="2"/>
  <c r="AT345" i="2"/>
  <c r="AU345" i="2"/>
  <c r="AV345" i="2"/>
  <c r="AW345" i="2"/>
  <c r="AX345" i="2"/>
  <c r="AY345" i="2"/>
  <c r="AZ345" i="2"/>
  <c r="BA345" i="2"/>
  <c r="BB345" i="2"/>
  <c r="BC345" i="2"/>
  <c r="BD345" i="2"/>
  <c r="BE345" i="2"/>
  <c r="BF345" i="2"/>
  <c r="BG345" i="2"/>
  <c r="BH345" i="2"/>
  <c r="BI345" i="2"/>
  <c r="BJ345" i="2"/>
  <c r="BK345" i="2"/>
  <c r="BL345" i="2"/>
  <c r="AI346" i="2"/>
  <c r="AJ346" i="2"/>
  <c r="AK346" i="2"/>
  <c r="AL346" i="2"/>
  <c r="AM346" i="2"/>
  <c r="AN346" i="2"/>
  <c r="AO346" i="2"/>
  <c r="AP346" i="2"/>
  <c r="AQ346" i="2"/>
  <c r="AR346" i="2"/>
  <c r="AS346" i="2"/>
  <c r="AT346" i="2"/>
  <c r="AU346" i="2"/>
  <c r="AV346" i="2"/>
  <c r="AW346" i="2"/>
  <c r="AX346" i="2"/>
  <c r="AY346" i="2"/>
  <c r="AZ346" i="2"/>
  <c r="BA346" i="2"/>
  <c r="BB346" i="2"/>
  <c r="BC346" i="2"/>
  <c r="BD346" i="2"/>
  <c r="BE346" i="2"/>
  <c r="BF346" i="2"/>
  <c r="BG346" i="2"/>
  <c r="BH346" i="2"/>
  <c r="BI346" i="2"/>
  <c r="BJ346" i="2"/>
  <c r="BK346" i="2"/>
  <c r="BL346" i="2"/>
  <c r="AI347" i="2"/>
  <c r="AJ347" i="2"/>
  <c r="AK347" i="2"/>
  <c r="AL347" i="2"/>
  <c r="AM347" i="2"/>
  <c r="AN347" i="2"/>
  <c r="AO347" i="2"/>
  <c r="AP347" i="2"/>
  <c r="AQ347" i="2"/>
  <c r="AR347" i="2"/>
  <c r="AS347" i="2"/>
  <c r="AT347" i="2"/>
  <c r="AU347" i="2"/>
  <c r="AV347" i="2"/>
  <c r="AW347" i="2"/>
  <c r="AX347" i="2"/>
  <c r="AY347" i="2"/>
  <c r="AZ347" i="2"/>
  <c r="BA347" i="2"/>
  <c r="BB347" i="2"/>
  <c r="BC347" i="2"/>
  <c r="BD347" i="2"/>
  <c r="BE347" i="2"/>
  <c r="BF347" i="2"/>
  <c r="BG347" i="2"/>
  <c r="BH347" i="2"/>
  <c r="BI347" i="2"/>
  <c r="BJ347" i="2"/>
  <c r="BK347" i="2"/>
  <c r="BL347" i="2"/>
  <c r="AI348" i="2"/>
  <c r="AJ348" i="2"/>
  <c r="AK348" i="2"/>
  <c r="AL348" i="2"/>
  <c r="AM348" i="2"/>
  <c r="AN348" i="2"/>
  <c r="AO348" i="2"/>
  <c r="AP348" i="2"/>
  <c r="AQ348" i="2"/>
  <c r="AR348" i="2"/>
  <c r="AS348" i="2"/>
  <c r="AT348" i="2"/>
  <c r="AU348" i="2"/>
  <c r="AV348" i="2"/>
  <c r="AW348" i="2"/>
  <c r="AX348" i="2"/>
  <c r="AY348" i="2"/>
  <c r="AZ348" i="2"/>
  <c r="BA348" i="2"/>
  <c r="BB348" i="2"/>
  <c r="BC348" i="2"/>
  <c r="BD348" i="2"/>
  <c r="BE348" i="2"/>
  <c r="BF348" i="2"/>
  <c r="BG348" i="2"/>
  <c r="BH348" i="2"/>
  <c r="BI348" i="2"/>
  <c r="BJ348" i="2"/>
  <c r="BK348" i="2"/>
  <c r="BL348" i="2"/>
  <c r="AI349" i="2"/>
  <c r="AJ349" i="2"/>
  <c r="AK349" i="2"/>
  <c r="AL349" i="2"/>
  <c r="AM349" i="2"/>
  <c r="AN349" i="2"/>
  <c r="AO349" i="2"/>
  <c r="AP349" i="2"/>
  <c r="AQ349" i="2"/>
  <c r="AR349" i="2"/>
  <c r="AS349" i="2"/>
  <c r="AT349" i="2"/>
  <c r="AU349" i="2"/>
  <c r="AV349" i="2"/>
  <c r="AW349" i="2"/>
  <c r="AX349" i="2"/>
  <c r="AY349" i="2"/>
  <c r="AZ349" i="2"/>
  <c r="BA349" i="2"/>
  <c r="BB349" i="2"/>
  <c r="BC349" i="2"/>
  <c r="BD349" i="2"/>
  <c r="BE349" i="2"/>
  <c r="BF349" i="2"/>
  <c r="BG349" i="2"/>
  <c r="BH349" i="2"/>
  <c r="BI349" i="2"/>
  <c r="BJ349" i="2"/>
  <c r="BK349" i="2"/>
  <c r="BL349" i="2"/>
  <c r="AI350" i="2"/>
  <c r="AJ350" i="2"/>
  <c r="AK350" i="2"/>
  <c r="AL350" i="2"/>
  <c r="AM350" i="2"/>
  <c r="AN350" i="2"/>
  <c r="AO350" i="2"/>
  <c r="AP350" i="2"/>
  <c r="AQ350" i="2"/>
  <c r="AR350" i="2"/>
  <c r="AS350" i="2"/>
  <c r="AT350" i="2"/>
  <c r="AU350" i="2"/>
  <c r="AV350" i="2"/>
  <c r="AW350" i="2"/>
  <c r="AX350" i="2"/>
  <c r="AY350" i="2"/>
  <c r="AZ350" i="2"/>
  <c r="BA350" i="2"/>
  <c r="BB350" i="2"/>
  <c r="BC350" i="2"/>
  <c r="BD350" i="2"/>
  <c r="BE350" i="2"/>
  <c r="BF350" i="2"/>
  <c r="BG350" i="2"/>
  <c r="BH350" i="2"/>
  <c r="BI350" i="2"/>
  <c r="BJ350" i="2"/>
  <c r="BK350" i="2"/>
  <c r="BL350" i="2"/>
  <c r="AI351" i="2"/>
  <c r="AJ351" i="2"/>
  <c r="AK351" i="2"/>
  <c r="AL351" i="2"/>
  <c r="AM351" i="2"/>
  <c r="AN351" i="2"/>
  <c r="AO351" i="2"/>
  <c r="AP351" i="2"/>
  <c r="AQ351" i="2"/>
  <c r="AR351" i="2"/>
  <c r="AS351" i="2"/>
  <c r="AT351" i="2"/>
  <c r="AU351" i="2"/>
  <c r="AV351" i="2"/>
  <c r="AW351" i="2"/>
  <c r="AX351" i="2"/>
  <c r="AY351" i="2"/>
  <c r="AZ351" i="2"/>
  <c r="BA351" i="2"/>
  <c r="BB351" i="2"/>
  <c r="BC351" i="2"/>
  <c r="BD351" i="2"/>
  <c r="BE351" i="2"/>
  <c r="BF351" i="2"/>
  <c r="BG351" i="2"/>
  <c r="BH351" i="2"/>
  <c r="BI351" i="2"/>
  <c r="BJ351" i="2"/>
  <c r="BK351" i="2"/>
  <c r="BL351" i="2"/>
  <c r="AI352" i="2"/>
  <c r="AJ352" i="2"/>
  <c r="AK352" i="2"/>
  <c r="AL352" i="2"/>
  <c r="AM352" i="2"/>
  <c r="AN352" i="2"/>
  <c r="AO352" i="2"/>
  <c r="AP352" i="2"/>
  <c r="AQ352" i="2"/>
  <c r="AR352" i="2"/>
  <c r="AS352" i="2"/>
  <c r="AT352" i="2"/>
  <c r="AU352" i="2"/>
  <c r="AV352" i="2"/>
  <c r="AW352" i="2"/>
  <c r="AX352" i="2"/>
  <c r="AY352" i="2"/>
  <c r="AZ352" i="2"/>
  <c r="BA352" i="2"/>
  <c r="BB352" i="2"/>
  <c r="BC352" i="2"/>
  <c r="BD352" i="2"/>
  <c r="BE352" i="2"/>
  <c r="BF352" i="2"/>
  <c r="BG352" i="2"/>
  <c r="BH352" i="2"/>
  <c r="BI352" i="2"/>
  <c r="BJ352" i="2"/>
  <c r="BK352" i="2"/>
  <c r="BL352" i="2"/>
  <c r="AI353" i="2"/>
  <c r="AJ353" i="2"/>
  <c r="AK353" i="2"/>
  <c r="AL353" i="2"/>
  <c r="AM353" i="2"/>
  <c r="AN353" i="2"/>
  <c r="AO353" i="2"/>
  <c r="AP353" i="2"/>
  <c r="AQ353" i="2"/>
  <c r="AR353" i="2"/>
  <c r="AS353" i="2"/>
  <c r="AT353" i="2"/>
  <c r="AU353" i="2"/>
  <c r="AV353" i="2"/>
  <c r="AW353" i="2"/>
  <c r="AX353" i="2"/>
  <c r="AY353" i="2"/>
  <c r="AZ353" i="2"/>
  <c r="BA353" i="2"/>
  <c r="BB353" i="2"/>
  <c r="BC353" i="2"/>
  <c r="BD353" i="2"/>
  <c r="BE353" i="2"/>
  <c r="BF353" i="2"/>
  <c r="BG353" i="2"/>
  <c r="BH353" i="2"/>
  <c r="BI353" i="2"/>
  <c r="BJ353" i="2"/>
  <c r="BK353" i="2"/>
  <c r="BL353" i="2"/>
  <c r="AI354" i="2"/>
  <c r="AJ354" i="2"/>
  <c r="AK354" i="2"/>
  <c r="AL354" i="2"/>
  <c r="AM354" i="2"/>
  <c r="AN354" i="2"/>
  <c r="AO354" i="2"/>
  <c r="AP354" i="2"/>
  <c r="AQ354" i="2"/>
  <c r="AR354" i="2"/>
  <c r="AS354" i="2"/>
  <c r="AT354" i="2"/>
  <c r="AU354" i="2"/>
  <c r="AV354" i="2"/>
  <c r="AW354" i="2"/>
  <c r="AX354" i="2"/>
  <c r="AY354" i="2"/>
  <c r="AZ354" i="2"/>
  <c r="BA354" i="2"/>
  <c r="BB354" i="2"/>
  <c r="BC354" i="2"/>
  <c r="BD354" i="2"/>
  <c r="BE354" i="2"/>
  <c r="BF354" i="2"/>
  <c r="BG354" i="2"/>
  <c r="BH354" i="2"/>
  <c r="BI354" i="2"/>
  <c r="BJ354" i="2"/>
  <c r="BK354" i="2"/>
  <c r="BL354" i="2"/>
  <c r="AI355" i="2"/>
  <c r="AJ355" i="2"/>
  <c r="AK355" i="2"/>
  <c r="AL355" i="2"/>
  <c r="AM355" i="2"/>
  <c r="AN355" i="2"/>
  <c r="AO355" i="2"/>
  <c r="AP355" i="2"/>
  <c r="AQ355" i="2"/>
  <c r="AR355" i="2"/>
  <c r="AS355" i="2"/>
  <c r="AT355" i="2"/>
  <c r="AU355" i="2"/>
  <c r="AV355" i="2"/>
  <c r="AW355" i="2"/>
  <c r="AX355" i="2"/>
  <c r="AY355" i="2"/>
  <c r="AZ355" i="2"/>
  <c r="BA355" i="2"/>
  <c r="BB355" i="2"/>
  <c r="BC355" i="2"/>
  <c r="BD355" i="2"/>
  <c r="BE355" i="2"/>
  <c r="BF355" i="2"/>
  <c r="BG355" i="2"/>
  <c r="BH355" i="2"/>
  <c r="BI355" i="2"/>
  <c r="BJ355" i="2"/>
  <c r="BK355" i="2"/>
  <c r="BL355" i="2"/>
  <c r="AI356" i="2"/>
  <c r="AJ356" i="2"/>
  <c r="AK356" i="2"/>
  <c r="AL356" i="2"/>
  <c r="AM356" i="2"/>
  <c r="AN356" i="2"/>
  <c r="AO356" i="2"/>
  <c r="AP356" i="2"/>
  <c r="AQ356" i="2"/>
  <c r="AR356" i="2"/>
  <c r="AS356" i="2"/>
  <c r="AT356" i="2"/>
  <c r="AU356" i="2"/>
  <c r="AV356" i="2"/>
  <c r="AW356" i="2"/>
  <c r="AX356" i="2"/>
  <c r="AY356" i="2"/>
  <c r="AZ356" i="2"/>
  <c r="BA356" i="2"/>
  <c r="BB356" i="2"/>
  <c r="BC356" i="2"/>
  <c r="BD356" i="2"/>
  <c r="BE356" i="2"/>
  <c r="BF356" i="2"/>
  <c r="BG356" i="2"/>
  <c r="BH356" i="2"/>
  <c r="BI356" i="2"/>
  <c r="BJ356" i="2"/>
  <c r="BK356" i="2"/>
  <c r="BL356" i="2"/>
  <c r="AI357" i="2"/>
  <c r="AJ357" i="2"/>
  <c r="AK357" i="2"/>
  <c r="AL357" i="2"/>
  <c r="AM357" i="2"/>
  <c r="AN357" i="2"/>
  <c r="AO357" i="2"/>
  <c r="AP357" i="2"/>
  <c r="AQ357" i="2"/>
  <c r="AR357" i="2"/>
  <c r="AS357" i="2"/>
  <c r="AT357" i="2"/>
  <c r="AU357" i="2"/>
  <c r="AV357" i="2"/>
  <c r="AW357" i="2"/>
  <c r="AX357" i="2"/>
  <c r="AY357" i="2"/>
  <c r="AZ357" i="2"/>
  <c r="BA357" i="2"/>
  <c r="BB357" i="2"/>
  <c r="BC357" i="2"/>
  <c r="BD357" i="2"/>
  <c r="BE357" i="2"/>
  <c r="BF357" i="2"/>
  <c r="BG357" i="2"/>
  <c r="BH357" i="2"/>
  <c r="BI357" i="2"/>
  <c r="BJ357" i="2"/>
  <c r="BK357" i="2"/>
  <c r="BL357" i="2"/>
  <c r="AI358" i="2"/>
  <c r="AJ358" i="2"/>
  <c r="AK358" i="2"/>
  <c r="AL358" i="2"/>
  <c r="AM358" i="2"/>
  <c r="AN358" i="2"/>
  <c r="AO358" i="2"/>
  <c r="AP358" i="2"/>
  <c r="AQ358" i="2"/>
  <c r="AR358" i="2"/>
  <c r="AS358" i="2"/>
  <c r="AT358" i="2"/>
  <c r="AU358" i="2"/>
  <c r="AV358" i="2"/>
  <c r="AW358" i="2"/>
  <c r="AX358" i="2"/>
  <c r="AY358" i="2"/>
  <c r="AZ358" i="2"/>
  <c r="BA358" i="2"/>
  <c r="BB358" i="2"/>
  <c r="BC358" i="2"/>
  <c r="BD358" i="2"/>
  <c r="BE358" i="2"/>
  <c r="BF358" i="2"/>
  <c r="BG358" i="2"/>
  <c r="BH358" i="2"/>
  <c r="BI358" i="2"/>
  <c r="BJ358" i="2"/>
  <c r="BK358" i="2"/>
  <c r="BL358" i="2"/>
  <c r="AI359" i="2"/>
  <c r="AJ359" i="2"/>
  <c r="AK359" i="2"/>
  <c r="AL359" i="2"/>
  <c r="AM359" i="2"/>
  <c r="AN359" i="2"/>
  <c r="AO359" i="2"/>
  <c r="AP359" i="2"/>
  <c r="AQ359" i="2"/>
  <c r="AR359" i="2"/>
  <c r="AS359" i="2"/>
  <c r="AT359" i="2"/>
  <c r="AU359" i="2"/>
  <c r="AV359" i="2"/>
  <c r="AW359" i="2"/>
  <c r="AX359" i="2"/>
  <c r="AY359" i="2"/>
  <c r="AZ359" i="2"/>
  <c r="BA359" i="2"/>
  <c r="BB359" i="2"/>
  <c r="BC359" i="2"/>
  <c r="BD359" i="2"/>
  <c r="BE359" i="2"/>
  <c r="BF359" i="2"/>
  <c r="BG359" i="2"/>
  <c r="BH359" i="2"/>
  <c r="BI359" i="2"/>
  <c r="BJ359" i="2"/>
  <c r="BK359" i="2"/>
  <c r="BL359" i="2"/>
  <c r="AI360" i="2"/>
  <c r="AJ360" i="2"/>
  <c r="AK360" i="2"/>
  <c r="AL360" i="2"/>
  <c r="AM360" i="2"/>
  <c r="AN360" i="2"/>
  <c r="AO360" i="2"/>
  <c r="AP360" i="2"/>
  <c r="AQ360" i="2"/>
  <c r="AR360" i="2"/>
  <c r="AS360" i="2"/>
  <c r="AT360" i="2"/>
  <c r="AU360" i="2"/>
  <c r="AV360" i="2"/>
  <c r="AW360" i="2"/>
  <c r="AX360" i="2"/>
  <c r="AY360" i="2"/>
  <c r="AZ360" i="2"/>
  <c r="BA360" i="2"/>
  <c r="BB360" i="2"/>
  <c r="BC360" i="2"/>
  <c r="BD360" i="2"/>
  <c r="BE360" i="2"/>
  <c r="BF360" i="2"/>
  <c r="BG360" i="2"/>
  <c r="BH360" i="2"/>
  <c r="BI360" i="2"/>
  <c r="BJ360" i="2"/>
  <c r="BK360" i="2"/>
  <c r="BL360" i="2"/>
  <c r="AI361" i="2"/>
  <c r="AJ361" i="2"/>
  <c r="AK361" i="2"/>
  <c r="AL361" i="2"/>
  <c r="AM361" i="2"/>
  <c r="AN361" i="2"/>
  <c r="AO361" i="2"/>
  <c r="AP361" i="2"/>
  <c r="AQ361" i="2"/>
  <c r="AR361" i="2"/>
  <c r="AS361" i="2"/>
  <c r="AT361" i="2"/>
  <c r="AU361" i="2"/>
  <c r="AV361" i="2"/>
  <c r="AW361" i="2"/>
  <c r="AX361" i="2"/>
  <c r="AY361" i="2"/>
  <c r="AZ361" i="2"/>
  <c r="BA361" i="2"/>
  <c r="BB361" i="2"/>
  <c r="BC361" i="2"/>
  <c r="BD361" i="2"/>
  <c r="BE361" i="2"/>
  <c r="BF361" i="2"/>
  <c r="BG361" i="2"/>
  <c r="BH361" i="2"/>
  <c r="BI361" i="2"/>
  <c r="BJ361" i="2"/>
  <c r="BK361" i="2"/>
  <c r="BL361" i="2"/>
  <c r="AI362" i="2"/>
  <c r="AJ362" i="2"/>
  <c r="AK362" i="2"/>
  <c r="AL362" i="2"/>
  <c r="AM362" i="2"/>
  <c r="AN362" i="2"/>
  <c r="AO362" i="2"/>
  <c r="AP362" i="2"/>
  <c r="AQ362" i="2"/>
  <c r="AR362" i="2"/>
  <c r="AS362" i="2"/>
  <c r="AT362" i="2"/>
  <c r="AU362" i="2"/>
  <c r="AV362" i="2"/>
  <c r="AW362" i="2"/>
  <c r="AX362" i="2"/>
  <c r="AY362" i="2"/>
  <c r="AZ362" i="2"/>
  <c r="BA362" i="2"/>
  <c r="BB362" i="2"/>
  <c r="BC362" i="2"/>
  <c r="BD362" i="2"/>
  <c r="BE362" i="2"/>
  <c r="BF362" i="2"/>
  <c r="BG362" i="2"/>
  <c r="BH362" i="2"/>
  <c r="BI362" i="2"/>
  <c r="BJ362" i="2"/>
  <c r="BK362" i="2"/>
  <c r="BL362" i="2"/>
  <c r="AI363" i="2"/>
  <c r="AJ363" i="2"/>
  <c r="AK363" i="2"/>
  <c r="AL363" i="2"/>
  <c r="AM363" i="2"/>
  <c r="AN363" i="2"/>
  <c r="AO363" i="2"/>
  <c r="AP363" i="2"/>
  <c r="AQ363" i="2"/>
  <c r="AR363" i="2"/>
  <c r="AS363" i="2"/>
  <c r="AT363" i="2"/>
  <c r="AU363" i="2"/>
  <c r="AV363" i="2"/>
  <c r="AW363" i="2"/>
  <c r="AX363" i="2"/>
  <c r="AY363" i="2"/>
  <c r="AZ363" i="2"/>
  <c r="BA363" i="2"/>
  <c r="BB363" i="2"/>
  <c r="BC363" i="2"/>
  <c r="BD363" i="2"/>
  <c r="BE363" i="2"/>
  <c r="BF363" i="2"/>
  <c r="BG363" i="2"/>
  <c r="BH363" i="2"/>
  <c r="BI363" i="2"/>
  <c r="BJ363" i="2"/>
  <c r="BK363" i="2"/>
  <c r="BL363" i="2"/>
  <c r="AI364" i="2"/>
  <c r="AJ364" i="2"/>
  <c r="AK364" i="2"/>
  <c r="AL364" i="2"/>
  <c r="AM364" i="2"/>
  <c r="AN364" i="2"/>
  <c r="AO364" i="2"/>
  <c r="AP364" i="2"/>
  <c r="AQ364" i="2"/>
  <c r="AR364" i="2"/>
  <c r="AS364" i="2"/>
  <c r="AT364" i="2"/>
  <c r="AU364" i="2"/>
  <c r="AV364" i="2"/>
  <c r="AW364" i="2"/>
  <c r="AX364" i="2"/>
  <c r="AY364" i="2"/>
  <c r="AZ364" i="2"/>
  <c r="BA364" i="2"/>
  <c r="BB364" i="2"/>
  <c r="BC364" i="2"/>
  <c r="BD364" i="2"/>
  <c r="BE364" i="2"/>
  <c r="BF364" i="2"/>
  <c r="BG364" i="2"/>
  <c r="BH364" i="2"/>
  <c r="BI364" i="2"/>
  <c r="BJ364" i="2"/>
  <c r="BK364" i="2"/>
  <c r="BL364" i="2"/>
  <c r="AI365" i="2"/>
  <c r="AJ365" i="2"/>
  <c r="AK365" i="2"/>
  <c r="AL365" i="2"/>
  <c r="AM365" i="2"/>
  <c r="AN365" i="2"/>
  <c r="AO365" i="2"/>
  <c r="AP365" i="2"/>
  <c r="AQ365" i="2"/>
  <c r="AR365" i="2"/>
  <c r="AS365" i="2"/>
  <c r="AT365" i="2"/>
  <c r="AU365" i="2"/>
  <c r="AV365" i="2"/>
  <c r="AW365" i="2"/>
  <c r="AX365" i="2"/>
  <c r="AY365" i="2"/>
  <c r="AZ365" i="2"/>
  <c r="BA365" i="2"/>
  <c r="BB365" i="2"/>
  <c r="BC365" i="2"/>
  <c r="BD365" i="2"/>
  <c r="BE365" i="2"/>
  <c r="BF365" i="2"/>
  <c r="BG365" i="2"/>
  <c r="BH365" i="2"/>
  <c r="BI365" i="2"/>
  <c r="BJ365" i="2"/>
  <c r="BK365" i="2"/>
  <c r="BL365" i="2"/>
  <c r="AI366" i="2"/>
  <c r="AJ366" i="2"/>
  <c r="AK366" i="2"/>
  <c r="AL366" i="2"/>
  <c r="AM366" i="2"/>
  <c r="AN366" i="2"/>
  <c r="AO366" i="2"/>
  <c r="AP366" i="2"/>
  <c r="AQ366" i="2"/>
  <c r="AR366" i="2"/>
  <c r="AS366" i="2"/>
  <c r="AT366" i="2"/>
  <c r="AU366" i="2"/>
  <c r="AV366" i="2"/>
  <c r="AW366" i="2"/>
  <c r="AX366" i="2"/>
  <c r="AY366" i="2"/>
  <c r="AZ366" i="2"/>
  <c r="BA366" i="2"/>
  <c r="BB366" i="2"/>
  <c r="BC366" i="2"/>
  <c r="BD366" i="2"/>
  <c r="BE366" i="2"/>
  <c r="BF366" i="2"/>
  <c r="BG366" i="2"/>
  <c r="BH366" i="2"/>
  <c r="BI366" i="2"/>
  <c r="BJ366" i="2"/>
  <c r="BK366" i="2"/>
  <c r="BL366" i="2"/>
  <c r="AI367" i="2"/>
  <c r="AJ367" i="2"/>
  <c r="AK367" i="2"/>
  <c r="AL367" i="2"/>
  <c r="AM367" i="2"/>
  <c r="AN367" i="2"/>
  <c r="AO367" i="2"/>
  <c r="AP367" i="2"/>
  <c r="AQ367" i="2"/>
  <c r="AR367" i="2"/>
  <c r="AS367" i="2"/>
  <c r="AT367" i="2"/>
  <c r="AU367" i="2"/>
  <c r="AV367" i="2"/>
  <c r="AW367" i="2"/>
  <c r="AX367" i="2"/>
  <c r="AY367" i="2"/>
  <c r="AZ367" i="2"/>
  <c r="BA367" i="2"/>
  <c r="BB367" i="2"/>
  <c r="BC367" i="2"/>
  <c r="BD367" i="2"/>
  <c r="BE367" i="2"/>
  <c r="BF367" i="2"/>
  <c r="BG367" i="2"/>
  <c r="BH367" i="2"/>
  <c r="BI367" i="2"/>
  <c r="BJ367" i="2"/>
  <c r="BK367" i="2"/>
  <c r="BL367" i="2"/>
  <c r="AI368" i="2"/>
  <c r="AJ368" i="2"/>
  <c r="AK368" i="2"/>
  <c r="AL368" i="2"/>
  <c r="AM368" i="2"/>
  <c r="AN368" i="2"/>
  <c r="AO368" i="2"/>
  <c r="AP368" i="2"/>
  <c r="AQ368" i="2"/>
  <c r="AR368" i="2"/>
  <c r="AS368" i="2"/>
  <c r="AT368" i="2"/>
  <c r="AU368" i="2"/>
  <c r="AV368" i="2"/>
  <c r="AW368" i="2"/>
  <c r="AX368" i="2"/>
  <c r="AY368" i="2"/>
  <c r="AZ368" i="2"/>
  <c r="BA368" i="2"/>
  <c r="BB368" i="2"/>
  <c r="BC368" i="2"/>
  <c r="BD368" i="2"/>
  <c r="BE368" i="2"/>
  <c r="BF368" i="2"/>
  <c r="BG368" i="2"/>
  <c r="BH368" i="2"/>
  <c r="BI368" i="2"/>
  <c r="BJ368" i="2"/>
  <c r="BK368" i="2"/>
  <c r="BL368" i="2"/>
  <c r="AI369" i="2"/>
  <c r="AJ369" i="2"/>
  <c r="AK369" i="2"/>
  <c r="AL369" i="2"/>
  <c r="AM369" i="2"/>
  <c r="AN369" i="2"/>
  <c r="AO369" i="2"/>
  <c r="AP369" i="2"/>
  <c r="AQ369" i="2"/>
  <c r="AR369" i="2"/>
  <c r="AS369" i="2"/>
  <c r="AT369" i="2"/>
  <c r="AU369" i="2"/>
  <c r="AV369" i="2"/>
  <c r="AW369" i="2"/>
  <c r="AX369" i="2"/>
  <c r="AY369" i="2"/>
  <c r="AZ369" i="2"/>
  <c r="BA369" i="2"/>
  <c r="BB369" i="2"/>
  <c r="BC369" i="2"/>
  <c r="BD369" i="2"/>
  <c r="BE369" i="2"/>
  <c r="BF369" i="2"/>
  <c r="BG369" i="2"/>
  <c r="BH369" i="2"/>
  <c r="BI369" i="2"/>
  <c r="BJ369" i="2"/>
  <c r="BK369" i="2"/>
  <c r="BL369" i="2"/>
  <c r="AI370" i="2"/>
  <c r="AJ370" i="2"/>
  <c r="AK370" i="2"/>
  <c r="AL370" i="2"/>
  <c r="AM370" i="2"/>
  <c r="AN370" i="2"/>
  <c r="AO370" i="2"/>
  <c r="AP370" i="2"/>
  <c r="AQ370" i="2"/>
  <c r="AR370" i="2"/>
  <c r="AS370" i="2"/>
  <c r="AT370" i="2"/>
  <c r="AU370" i="2"/>
  <c r="AV370" i="2"/>
  <c r="AW370" i="2"/>
  <c r="AX370" i="2"/>
  <c r="AY370" i="2"/>
  <c r="AZ370" i="2"/>
  <c r="BA370" i="2"/>
  <c r="BB370" i="2"/>
  <c r="BC370" i="2"/>
  <c r="BD370" i="2"/>
  <c r="BE370" i="2"/>
  <c r="BF370" i="2"/>
  <c r="BG370" i="2"/>
  <c r="BH370" i="2"/>
  <c r="BI370" i="2"/>
  <c r="BJ370" i="2"/>
  <c r="BK370" i="2"/>
  <c r="BL370" i="2"/>
  <c r="AI371" i="2"/>
  <c r="AJ371" i="2"/>
  <c r="AK371" i="2"/>
  <c r="AL371" i="2"/>
  <c r="AM371" i="2"/>
  <c r="AN371" i="2"/>
  <c r="AO371" i="2"/>
  <c r="AP371" i="2"/>
  <c r="AQ371" i="2"/>
  <c r="AR371" i="2"/>
  <c r="AS371" i="2"/>
  <c r="AT371" i="2"/>
  <c r="AU371" i="2"/>
  <c r="AV371" i="2"/>
  <c r="AW371" i="2"/>
  <c r="AX371" i="2"/>
  <c r="AY371" i="2"/>
  <c r="AZ371" i="2"/>
  <c r="BA371" i="2"/>
  <c r="BB371" i="2"/>
  <c r="BC371" i="2"/>
  <c r="BD371" i="2"/>
  <c r="BE371" i="2"/>
  <c r="BF371" i="2"/>
  <c r="BG371" i="2"/>
  <c r="BH371" i="2"/>
  <c r="BI371" i="2"/>
  <c r="BJ371" i="2"/>
  <c r="BK371" i="2"/>
  <c r="BL371" i="2"/>
  <c r="AI372" i="2"/>
  <c r="AJ372" i="2"/>
  <c r="AK372" i="2"/>
  <c r="AL372" i="2"/>
  <c r="AM372" i="2"/>
  <c r="AN372" i="2"/>
  <c r="AO372" i="2"/>
  <c r="AP372" i="2"/>
  <c r="AQ372" i="2"/>
  <c r="AR372" i="2"/>
  <c r="AS372" i="2"/>
  <c r="AT372" i="2"/>
  <c r="AU372" i="2"/>
  <c r="AV372" i="2"/>
  <c r="AW372" i="2"/>
  <c r="AX372" i="2"/>
  <c r="AY372" i="2"/>
  <c r="AZ372" i="2"/>
  <c r="BA372" i="2"/>
  <c r="BB372" i="2"/>
  <c r="BC372" i="2"/>
  <c r="BD372" i="2"/>
  <c r="BE372" i="2"/>
  <c r="BF372" i="2"/>
  <c r="BG372" i="2"/>
  <c r="BH372" i="2"/>
  <c r="BI372" i="2"/>
  <c r="BJ372" i="2"/>
  <c r="BK372" i="2"/>
  <c r="BL372" i="2"/>
  <c r="AI373" i="2"/>
  <c r="AJ373" i="2"/>
  <c r="AK373" i="2"/>
  <c r="AL373" i="2"/>
  <c r="AM373" i="2"/>
  <c r="AN373" i="2"/>
  <c r="AO373" i="2"/>
  <c r="AP373" i="2"/>
  <c r="AQ373" i="2"/>
  <c r="AR373" i="2"/>
  <c r="AS373" i="2"/>
  <c r="AT373" i="2"/>
  <c r="AU373" i="2"/>
  <c r="AV373" i="2"/>
  <c r="AW373" i="2"/>
  <c r="AX373" i="2"/>
  <c r="AY373" i="2"/>
  <c r="AZ373" i="2"/>
  <c r="BA373" i="2"/>
  <c r="BB373" i="2"/>
  <c r="BC373" i="2"/>
  <c r="BD373" i="2"/>
  <c r="BE373" i="2"/>
  <c r="BF373" i="2"/>
  <c r="BG373" i="2"/>
  <c r="BH373" i="2"/>
  <c r="BI373" i="2"/>
  <c r="BJ373" i="2"/>
  <c r="BK373" i="2"/>
  <c r="BL373" i="2"/>
  <c r="AI374" i="2"/>
  <c r="AJ374" i="2"/>
  <c r="AK374" i="2"/>
  <c r="AL374" i="2"/>
  <c r="AM374" i="2"/>
  <c r="AN374" i="2"/>
  <c r="AO374" i="2"/>
  <c r="AP374" i="2"/>
  <c r="AQ374" i="2"/>
  <c r="AR374" i="2"/>
  <c r="AS374" i="2"/>
  <c r="AT374" i="2"/>
  <c r="AU374" i="2"/>
  <c r="AV374" i="2"/>
  <c r="AW374" i="2"/>
  <c r="AX374" i="2"/>
  <c r="AY374" i="2"/>
  <c r="AZ374" i="2"/>
  <c r="BA374" i="2"/>
  <c r="BB374" i="2"/>
  <c r="BC374" i="2"/>
  <c r="BD374" i="2"/>
  <c r="BE374" i="2"/>
  <c r="BF374" i="2"/>
  <c r="BG374" i="2"/>
  <c r="BH374" i="2"/>
  <c r="BI374" i="2"/>
  <c r="BJ374" i="2"/>
  <c r="BK374" i="2"/>
  <c r="BL374" i="2"/>
  <c r="E31" i="7"/>
  <c r="H31" i="7" s="1"/>
  <c r="E34" i="7"/>
  <c r="H34" i="7" s="1"/>
  <c r="E33" i="7"/>
  <c r="H33" i="7" s="1"/>
  <c r="E32" i="7"/>
  <c r="H32" i="7" s="1"/>
  <c r="E30" i="7"/>
  <c r="H30" i="7" s="1"/>
  <c r="E29" i="7"/>
  <c r="H29" i="7" s="1"/>
  <c r="B34" i="12" l="1"/>
  <c r="B36" i="12"/>
  <c r="B48" i="12"/>
  <c r="B49" i="12"/>
  <c r="B50" i="12"/>
  <c r="B35" i="12"/>
  <c r="B51" i="12"/>
  <c r="B52" i="12"/>
  <c r="B37" i="12"/>
  <c r="B53" i="12"/>
  <c r="B38" i="12"/>
  <c r="B54" i="12"/>
  <c r="B39" i="12"/>
  <c r="B55" i="12"/>
  <c r="B40" i="12"/>
  <c r="B56" i="12"/>
  <c r="B41" i="12"/>
  <c r="B57" i="12"/>
  <c r="B42" i="12"/>
  <c r="B58" i="12"/>
  <c r="AZ263" i="2"/>
  <c r="AY263" i="2"/>
  <c r="BL266" i="2"/>
  <c r="AY265" i="2"/>
  <c r="AZ265" i="2"/>
  <c r="BE264" i="2"/>
  <c r="BK263" i="2"/>
  <c r="BI263" i="2"/>
  <c r="C19" i="7"/>
  <c r="AY261" i="2"/>
  <c r="BL262" i="2"/>
  <c r="BA262" i="2"/>
  <c r="AW262" i="2"/>
  <c r="BK261" i="2"/>
  <c r="BJ261" i="2"/>
  <c r="BH263" i="2"/>
  <c r="BG263" i="2"/>
  <c r="AW261" i="2"/>
  <c r="AW263" i="2"/>
  <c r="BH265" i="2"/>
  <c r="BA263" i="2"/>
  <c r="BL264" i="2"/>
  <c r="BK262" i="2"/>
  <c r="BI262" i="2"/>
  <c r="BJ263" i="2"/>
  <c r="BB262" i="2"/>
  <c r="BG261" i="2"/>
  <c r="BE265" i="2"/>
  <c r="AM266" i="2"/>
  <c r="BJ262" i="2"/>
  <c r="BG265" i="2"/>
  <c r="AM262" i="2"/>
  <c r="BH261" i="2"/>
  <c r="BE266" i="2"/>
  <c r="BI261" i="2"/>
  <c r="AZ261" i="2"/>
  <c r="BA261" i="2"/>
  <c r="BB264" i="2" l="1"/>
  <c r="BB266" i="2"/>
  <c r="AM261" i="2"/>
  <c r="AM26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61C1C5-2872-4ED0-A8B1-3DFAAEC2A04F}"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<sst xmlns="http://schemas.openxmlformats.org/spreadsheetml/2006/main" count="2903" uniqueCount="227">
  <si>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</si>
  <si>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</si>
  <si>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</si>
  <si>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</si>
  <si>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</si>
  <si>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</si>
  <si>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</si>
  <si>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</si>
  <si>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</si>
  <si>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</si>
  <si>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</si>
  <si>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</si>
  <si>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</si>
  <si>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</si>
  <si>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</si>
  <si>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</si>
  <si>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</si>
  <si>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</si>
  <si>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</si>
  <si>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</si>
  <si>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</si>
  <si>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</si>
  <si>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</si>
  <si>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</si>
  <si>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</si>
  <si>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</si>
  <si>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</si>
  <si>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</si>
  <si>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</si>
  <si>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</si>
  <si>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</si>
  <si>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</si>
  <si>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</si>
  <si>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</si>
  <si>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</si>
  <si>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</si>
  <si>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</si>
  <si>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</si>
  <si>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</si>
  <si>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</si>
  <si>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</si>
  <si>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</si>
  <si>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</si>
  <si>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November</t>
  </si>
  <si>
    <t>December</t>
  </si>
  <si>
    <t>Imputation method used</t>
  </si>
  <si>
    <t>For May - Average of Feb, March, April, June, July, August</t>
  </si>
  <si>
    <t>For April - Average of Jan, Feb, March, June, July, August</t>
  </si>
  <si>
    <t>Categories created for analysis purpose</t>
  </si>
  <si>
    <t>Food &amp; Drinks</t>
  </si>
  <si>
    <t>Clothing &amp; Footwear (all)</t>
  </si>
  <si>
    <t>Sum of Health</t>
  </si>
  <si>
    <t>Sum of Food &amp; Drinks</t>
  </si>
  <si>
    <t>Sum of Clothing &amp; Footwear (all)</t>
  </si>
  <si>
    <t>Sum of Pan, tobacco and intoxicants</t>
  </si>
  <si>
    <t>Sum of Housing</t>
  </si>
  <si>
    <t>Sum of Fuel and light</t>
  </si>
  <si>
    <t>Sum of Household goods and services</t>
  </si>
  <si>
    <t>Sum of Transport and communication</t>
  </si>
  <si>
    <t>Sum of Recreation and amusement</t>
  </si>
  <si>
    <t>Sum of Education</t>
  </si>
  <si>
    <t>Sum of Personal care and effects</t>
  </si>
  <si>
    <t>Sum of Miscellaneous</t>
  </si>
  <si>
    <t>Contribution of expenses towards CPI</t>
  </si>
  <si>
    <t>Sum of General index</t>
  </si>
  <si>
    <t>Row Labels</t>
  </si>
  <si>
    <t>Grand Total</t>
  </si>
  <si>
    <t>YOY increase in CPI inflation from 2017 (Rural + Urban)</t>
  </si>
  <si>
    <t>Column Labels</t>
  </si>
  <si>
    <t>YOY inflation</t>
  </si>
  <si>
    <t>2013 Total</t>
  </si>
  <si>
    <t>2014 Total</t>
  </si>
  <si>
    <t>2015 Total</t>
  </si>
  <si>
    <t>2016 Total</t>
  </si>
  <si>
    <t>2017 Total</t>
  </si>
  <si>
    <t>2018 Total</t>
  </si>
  <si>
    <t>2019 Total</t>
  </si>
  <si>
    <t>2020 Total</t>
  </si>
  <si>
    <t>2021 Total</t>
  </si>
  <si>
    <t>2022 Total</t>
  </si>
  <si>
    <t>2023 Total</t>
  </si>
  <si>
    <t>% increase</t>
  </si>
  <si>
    <t>Rural + Urban</t>
  </si>
  <si>
    <t>a</t>
  </si>
  <si>
    <t>Sum of % increase</t>
  </si>
  <si>
    <t>Highest food inflation</t>
  </si>
  <si>
    <t>Lowest food inflation</t>
  </si>
  <si>
    <t>From the above chart, it is clear that the below months show the highest &amp; lowest inflation in each sector</t>
  </si>
  <si>
    <t>b</t>
  </si>
  <si>
    <t>NA</t>
  </si>
  <si>
    <t>100.3</t>
  </si>
  <si>
    <t>100.4</t>
  </si>
  <si>
    <t>100.5</t>
  </si>
  <si>
    <t>106.6</t>
  </si>
  <si>
    <t>107.7</t>
  </si>
  <si>
    <t>108.9</t>
  </si>
  <si>
    <t>109.7</t>
  </si>
  <si>
    <t>110.5</t>
  </si>
  <si>
    <t xml:space="preserve">November </t>
  </si>
  <si>
    <t>111.1</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</si>
  <si>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</si>
  <si>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</si>
  <si>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</si>
  <si>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</si>
  <si>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</si>
  <si>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</si>
  <si>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</si>
  <si>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</si>
  <si>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</si>
  <si>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</si>
  <si>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</si>
  <si>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</si>
  <si>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</si>
  <si>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</si>
  <si>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</si>
  <si>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</si>
  <si>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</si>
  <si>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</si>
  <si>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</si>
  <si>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</si>
  <si>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</si>
  <si>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</si>
  <si>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</si>
  <si>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</si>
  <si>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</si>
  <si>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</si>
  <si>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</si>
  <si>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</si>
  <si>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</si>
  <si>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</si>
  <si>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</si>
  <si>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</si>
  <si>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</si>
  <si>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</si>
  <si>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</si>
  <si>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</si>
  <si>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</si>
  <si>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</si>
  <si>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</si>
  <si>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</si>
  <si>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</si>
  <si>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</si>
  <si>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</si>
  <si>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</si>
  <si>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</si>
  <si>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</si>
  <si>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</si>
  <si>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</si>
  <si>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</si>
  <si>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</si>
  <si>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</si>
  <si>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</si>
  <si>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</si>
  <si>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</si>
  <si>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</si>
  <si>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</si>
  <si>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</si>
  <si>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</si>
  <si>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</si>
  <si>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</si>
  <si>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</si>
  <si>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</si>
  <si>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</si>
  <si>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</si>
  <si>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</si>
  <si>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</si>
  <si>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</si>
  <si>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</si>
  <si>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</si>
  <si>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</si>
  <si>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</si>
  <si>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</si>
  <si>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</si>
  <si>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</si>
  <si>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</si>
  <si>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</si>
  <si>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</si>
  <si>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</si>
  <si>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</si>
  <si>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</si>
  <si>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</si>
  <si>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</si>
  <si>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</si>
  <si>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</si>
  <si>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</si>
  <si>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</si>
  <si>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</si>
  <si>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</si>
  <si>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</si>
  <si>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</si>
  <si>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</si>
  <si>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</si>
  <si>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</si>
  <si>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</si>
  <si>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</si>
  <si>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</si>
  <si>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</si>
  <si>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</si>
  <si>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</si>
  <si>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</si>
  <si>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</si>
  <si>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</si>
  <si>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</si>
  <si>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</si>
  <si>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</si>
  <si>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</si>
  <si>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</si>
  <si>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</si>
  <si>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</si>
  <si>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3. Trends - MOM changes in the broader Food category</t>
  </si>
  <si>
    <t>3b. Biggest individual Food category contributor</t>
  </si>
  <si>
    <t>Essential services</t>
  </si>
  <si>
    <t>Sum of Essential services</t>
  </si>
  <si>
    <t>2018-19</t>
  </si>
  <si>
    <t>2019-20</t>
  </si>
  <si>
    <t>2020-21</t>
  </si>
  <si>
    <t>2021-22</t>
  </si>
  <si>
    <t>Oil prices (Downloaded data from the web)</t>
  </si>
  <si>
    <t>Correlation</t>
  </si>
  <si>
    <t>Categories of expenses</t>
  </si>
  <si>
    <t>The inflation prices of 3 categories, which are Meat &amp; fish, Oils &amp; fats and Transport and communication; strongly change with fluctuations in imported oil prices.</t>
  </si>
  <si>
    <t>The above chart clearly shows that Food &amp; Drink expenses is the major contributor towards CPI.</t>
  </si>
  <si>
    <t>For all the 3 sectors, Spices is the individual category in the broader Food category which is the biggest contributor towards inflation.</t>
  </si>
  <si>
    <t xml:space="preserve">The year 2019 has the highest inflation rate in the combined sector. The major factor responsible for this is </t>
  </si>
  <si>
    <t>the sudden increase in food &amp; drinks expenses, which is the major contributor towards CPI in the second half of the year 2019.</t>
  </si>
  <si>
    <t>The inflation prices of 3 categories, which are Meat &amp; fish, Oils &amp; fats and Transport and communication;</t>
  </si>
  <si>
    <t xml:space="preserve"> strongly change with fluctuations in imported oil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</si>
</sst>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font>
    <font>
      <b/>
      <sz val="11"/>
      <color theme="0"/>
      <name val="calibri"/>
      <family val="2"/>
    </font>
    <font>
      <sz val="11"/>
      <color theme="1"/>
      <name val="calibri"/>
      <family val="2"/>
    </font>
    <font>
      <b/>
      <sz val="11"/>
      <color theme="1"/>
      <name val="calibri"/>
      <family val="2"/>
    </font>
    <font>
      <sz val="11"/>
      <color theme="0"/>
      <name val="calibri"/>
      <family val="2"/>
    </font>
    <font>
      <b/>
      <shadow/>
      <sz val="16"/>
      <color rgb="FFF2F2F2"/>
      <name val="calibri"/>
      <family val="2"/>
    </font>
    <font>
      <b/>
      <sz val="14"/>
      <color theme="0"/>
      <name val="calibri"/>
      <family val="2"/>
    </font>
    <font>
      <b/>
      <sz val="14"/>
      <name val="calibri"/>
      <family val="2"/>
    </font>
    <font>
      <b/>
      <sz val="14"/>
      <color rgb="FFC00000"/>
      <name val="calibri"/>
      <family val="2"/>
    </font>
  </fonts>
  <fills count="12">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bgColor theme="9"/>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39997558519241921"/>
        <bgColor theme="9"/>
      </patternFill>
    </fill>
    <fill>
      <patternFill patternType="solid">
        <fgColor theme="2" tint="-0.249977111117893"/>
        <bgColor indexed="64"/>
      </patternFill>
    </fill>
    <fill>
      <patternFill patternType="solid">
        <fgColor theme="9"/>
        <bgColor indexed="64"/>
      </patternFill>
    </fill>
  </fills>
  <borders count="22">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9" tint="0.39997558519241921"/>
      </top>
      <bottom style="thin">
        <color theme="9" tint="0.39997558519241921"/>
      </bottom>
      <diagonal/>
    </border>
    <border>
      <left style="thin">
        <color theme="4" tint="0.39997558519241921"/>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9" tint="0.399975585192419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95">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164" fontId="0" fillId="0" borderId="0" xfId="0" applyNumberFormat="1"/>
    <xf numFmtId="0" fontId="0" fillId="0" borderId="2" xfId="0" applyBorder="1"/>
    <xf numFmtId="0" fontId="0" fillId="0" borderId="3" xfId="0" applyBorder="1"/>
    <xf numFmtId="0" fontId="0" fillId="3" borderId="2" xfId="0" applyFill="1" applyBorder="1"/>
    <xf numFmtId="0" fontId="0" fillId="3" borderId="3" xfId="0" applyFill="1" applyBorder="1"/>
    <xf numFmtId="0" fontId="0" fillId="3" borderId="1" xfId="0" applyFill="1" applyBorder="1"/>
    <xf numFmtId="0" fontId="0" fillId="0" borderId="1" xfId="0" applyBorder="1"/>
    <xf numFmtId="164" fontId="0" fillId="0" borderId="2" xfId="0" applyNumberFormat="1" applyBorder="1"/>
    <xf numFmtId="164" fontId="0" fillId="3" borderId="2" xfId="0" applyNumberFormat="1" applyFill="1" applyBorder="1"/>
    <xf numFmtId="164" fontId="0" fillId="3" borderId="3" xfId="0" applyNumberFormat="1" applyFill="1" applyBorder="1"/>
    <xf numFmtId="164" fontId="0" fillId="0" borderId="3" xfId="0" applyNumberFormat="1" applyBorder="1"/>
    <xf numFmtId="0" fontId="1" fillId="4" borderId="2" xfId="0" applyFont="1" applyFill="1" applyBorder="1"/>
    <xf numFmtId="0" fontId="1" fillId="0" borderId="4" xfId="0" applyFont="1" applyBorder="1"/>
    <xf numFmtId="0" fontId="1" fillId="0" borderId="2" xfId="0" applyFont="1" applyBorder="1"/>
    <xf numFmtId="10" fontId="0" fillId="0" borderId="0" xfId="1" applyNumberFormat="1" applyFont="1" applyFill="1"/>
    <xf numFmtId="0" fontId="1" fillId="0" borderId="3" xfId="0" applyFont="1" applyBorder="1"/>
    <xf numFmtId="0" fontId="1" fillId="0" borderId="5" xfId="0" applyFont="1" applyBorder="1"/>
    <xf numFmtId="0" fontId="1" fillId="0" borderId="6" xfId="0" applyFont="1" applyBorder="1"/>
    <xf numFmtId="0" fontId="0" fillId="0" borderId="0" xfId="0" applyAlignment="1">
      <alignment horizontal="center"/>
    </xf>
    <xf numFmtId="0" fontId="1" fillId="2" borderId="0" xfId="0" applyFont="1" applyFill="1" applyAlignment="1">
      <alignment horizontal="center"/>
    </xf>
    <xf numFmtId="0" fontId="5" fillId="6" borderId="0" xfId="0" applyFont="1" applyFill="1" applyAlignment="1">
      <alignment horizontal="center" vertical="center" readingOrder="1"/>
    </xf>
    <xf numFmtId="0" fontId="0" fillId="0" borderId="0" xfId="0" applyNumberFormat="1"/>
    <xf numFmtId="0" fontId="0" fillId="3" borderId="2" xfId="0" applyFont="1" applyFill="1" applyBorder="1"/>
    <xf numFmtId="0" fontId="0" fillId="3" borderId="3" xfId="0" applyFont="1" applyFill="1" applyBorder="1"/>
    <xf numFmtId="0" fontId="0" fillId="0" borderId="2" xfId="0" applyFont="1" applyBorder="1"/>
    <xf numFmtId="0" fontId="0" fillId="0" borderId="3" xfId="0" applyFont="1" applyBorder="1"/>
    <xf numFmtId="0" fontId="0" fillId="3" borderId="1" xfId="0" applyFont="1" applyFill="1" applyBorder="1"/>
    <xf numFmtId="0" fontId="0" fillId="0" borderId="1"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0" fontId="0" fillId="0" borderId="0" xfId="1" applyNumberFormat="1" applyFont="1"/>
    <xf numFmtId="0" fontId="0" fillId="0" borderId="7" xfId="0" applyBorder="1" applyAlignment="1">
      <alignment horizontal="left"/>
    </xf>
    <xf numFmtId="10" fontId="0" fillId="0" borderId="7" xfId="1" applyNumberFormat="1" applyFont="1" applyBorder="1"/>
    <xf numFmtId="0" fontId="3" fillId="7" borderId="7" xfId="0" applyFont="1" applyFill="1" applyBorder="1" applyAlignment="1">
      <alignment horizontal="center"/>
    </xf>
    <xf numFmtId="0" fontId="0" fillId="7" borderId="0" xfId="0" applyFill="1"/>
    <xf numFmtId="0" fontId="3" fillId="0" borderId="0" xfId="0" applyFont="1"/>
    <xf numFmtId="0" fontId="1" fillId="0" borderId="0" xfId="0" applyFont="1" applyBorder="1"/>
    <xf numFmtId="0" fontId="1" fillId="0" borderId="0" xfId="0" applyFont="1" applyFill="1" applyBorder="1"/>
    <xf numFmtId="10" fontId="0" fillId="0" borderId="0" xfId="0" applyNumberFormat="1"/>
    <xf numFmtId="0" fontId="3" fillId="0" borderId="0" xfId="0" applyFont="1" applyFill="1"/>
    <xf numFmtId="0" fontId="0" fillId="0" borderId="0" xfId="0" applyFill="1"/>
    <xf numFmtId="0" fontId="1" fillId="0" borderId="2" xfId="0" applyFont="1" applyFill="1" applyBorder="1"/>
    <xf numFmtId="0" fontId="0" fillId="0" borderId="2" xfId="0" applyFont="1" applyFill="1" applyBorder="1"/>
    <xf numFmtId="0" fontId="0" fillId="0" borderId="11" xfId="0" applyBorder="1"/>
    <xf numFmtId="0" fontId="0" fillId="0" borderId="0" xfId="0" applyBorder="1"/>
    <xf numFmtId="0" fontId="0" fillId="0" borderId="12" xfId="0" applyBorder="1"/>
    <xf numFmtId="0" fontId="0" fillId="0" borderId="13" xfId="0" applyBorder="1"/>
    <xf numFmtId="0" fontId="0" fillId="0" borderId="14" xfId="0" applyBorder="1"/>
    <xf numFmtId="0" fontId="0" fillId="0" borderId="15" xfId="0" applyBorder="1"/>
    <xf numFmtId="0" fontId="3" fillId="0" borderId="9" xfId="0" applyFont="1" applyBorder="1"/>
    <xf numFmtId="0" fontId="3" fillId="0" borderId="10" xfId="0" applyFont="1" applyBorder="1"/>
    <xf numFmtId="0" fontId="3" fillId="0" borderId="8" xfId="0" applyFont="1" applyBorder="1"/>
    <xf numFmtId="0" fontId="3" fillId="0" borderId="11" xfId="0" applyFont="1" applyBorder="1"/>
    <xf numFmtId="0" fontId="3" fillId="0" borderId="13" xfId="0" applyFont="1" applyBorder="1"/>
    <xf numFmtId="17" fontId="0" fillId="0" borderId="0" xfId="0" applyNumberFormat="1" applyBorder="1"/>
    <xf numFmtId="17" fontId="0" fillId="0" borderId="14" xfId="0" applyNumberFormat="1" applyBorder="1"/>
    <xf numFmtId="17" fontId="0" fillId="0" borderId="12" xfId="0" applyNumberFormat="1" applyBorder="1"/>
    <xf numFmtId="17" fontId="0" fillId="0" borderId="15" xfId="0" applyNumberFormat="1" applyBorder="1"/>
    <xf numFmtId="0" fontId="0" fillId="0" borderId="0" xfId="0" applyFont="1" applyFill="1" applyBorder="1"/>
    <xf numFmtId="0" fontId="0" fillId="0" borderId="16" xfId="0" applyFont="1" applyFill="1" applyBorder="1"/>
    <xf numFmtId="10" fontId="0" fillId="0" borderId="0" xfId="1" applyNumberFormat="1" applyFont="1" applyBorder="1"/>
    <xf numFmtId="10" fontId="0" fillId="0" borderId="12" xfId="1" applyNumberFormat="1" applyFont="1" applyBorder="1"/>
    <xf numFmtId="0" fontId="1" fillId="2" borderId="11" xfId="0" applyFont="1" applyFill="1" applyBorder="1"/>
    <xf numFmtId="0" fontId="1" fillId="2" borderId="13" xfId="0" applyFont="1" applyFill="1" applyBorder="1"/>
    <xf numFmtId="10" fontId="0" fillId="0" borderId="14" xfId="1" applyNumberFormat="1" applyFont="1" applyBorder="1"/>
    <xf numFmtId="10" fontId="0" fillId="0" borderId="15" xfId="1" applyNumberFormat="1" applyFont="1" applyBorder="1"/>
    <xf numFmtId="0" fontId="0" fillId="0" borderId="17" xfId="0" applyFont="1" applyFill="1" applyBorder="1"/>
    <xf numFmtId="0" fontId="3" fillId="0" borderId="18" xfId="0" applyFont="1" applyFill="1" applyBorder="1"/>
    <xf numFmtId="0" fontId="3" fillId="0" borderId="19" xfId="0" applyFont="1" applyBorder="1"/>
    <xf numFmtId="164" fontId="0" fillId="3" borderId="2" xfId="0" applyNumberFormat="1" applyFont="1" applyFill="1" applyBorder="1"/>
    <xf numFmtId="164" fontId="0" fillId="0" borderId="2" xfId="0" applyNumberFormat="1" applyFont="1" applyBorder="1"/>
    <xf numFmtId="0" fontId="0" fillId="0" borderId="0" xfId="0" applyFont="1" applyBorder="1"/>
    <xf numFmtId="2" fontId="0" fillId="3" borderId="2" xfId="0" applyNumberFormat="1" applyFont="1" applyFill="1" applyBorder="1"/>
    <xf numFmtId="2" fontId="0" fillId="3" borderId="3" xfId="0" applyNumberFormat="1" applyFont="1" applyFill="1" applyBorder="1"/>
    <xf numFmtId="2" fontId="0" fillId="0" borderId="2" xfId="0" applyNumberFormat="1" applyFont="1" applyBorder="1"/>
    <xf numFmtId="2" fontId="0" fillId="0" borderId="3" xfId="0" applyNumberFormat="1" applyFont="1" applyBorder="1"/>
    <xf numFmtId="0" fontId="3" fillId="5" borderId="20" xfId="0" applyFont="1" applyFill="1" applyBorder="1"/>
    <xf numFmtId="0" fontId="3" fillId="5" borderId="21" xfId="0" applyFont="1" applyFill="1" applyBorder="1"/>
    <xf numFmtId="0" fontId="1" fillId="9" borderId="2" xfId="0" applyFont="1" applyFill="1" applyBorder="1"/>
    <xf numFmtId="17" fontId="1" fillId="8" borderId="0" xfId="0" applyNumberFormat="1" applyFont="1" applyFill="1"/>
    <xf numFmtId="0" fontId="0" fillId="0" borderId="2" xfId="0" applyFill="1" applyBorder="1"/>
    <xf numFmtId="0" fontId="1" fillId="8" borderId="0" xfId="0" applyFont="1" applyFill="1"/>
    <xf numFmtId="0" fontId="0" fillId="10" borderId="0" xfId="0" applyFill="1"/>
    <xf numFmtId="0" fontId="6" fillId="10" borderId="0" xfId="0" applyFont="1" applyFill="1"/>
    <xf numFmtId="10" fontId="4" fillId="11" borderId="0" xfId="1" applyNumberFormat="1" applyFont="1" applyFill="1"/>
    <xf numFmtId="0" fontId="4" fillId="11" borderId="2" xfId="0" applyFont="1" applyFill="1" applyBorder="1"/>
    <xf numFmtId="0" fontId="4" fillId="11" borderId="0" xfId="0" applyFont="1" applyFill="1"/>
    <xf numFmtId="0" fontId="7" fillId="0" borderId="0" xfId="0" applyFont="1" applyFill="1" applyBorder="1"/>
    <xf numFmtId="0" fontId="8" fillId="0" borderId="0" xfId="0" applyFont="1" applyAlignment="1">
      <alignment horizontal="center"/>
    </xf>
  </cellXfs>
  <cellStyles count="2">
    <cellStyle name="Normal" xfId="0" builtinId="0"/>
    <cellStyle name="Percent" xfId="1" builtinId="5"/>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Contribution</a:t>
            </a:r>
            <a:r>
              <a:rPr lang="en-IN" baseline="0"/>
              <a:t> of expenses towards CPI</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pieChart>
        <c:varyColors val="1"/>
        <c:ser>
          <c:idx val="0"/>
          <c:order val="0"/>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35B-46CC-91C0-4137BC0B566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35B-46CC-91C0-4137BC0B566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35B-46CC-91C0-4137BC0B5667}"/>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35B-46CC-91C0-4137BC0B5667}"/>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35B-46CC-91C0-4137BC0B5667}"/>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35B-46CC-91C0-4137BC0B5667}"/>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35B-46CC-91C0-4137BC0B5667}"/>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35B-46CC-91C0-4137BC0B5667}"/>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35B-46CC-91C0-4137BC0B5667}"/>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35B-46CC-91C0-4137BC0B5667}"/>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35B-46CC-91C0-4137BC0B5667}"/>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35B-46CC-91C0-4137BC0B56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Pivots!$A$8:$A$19</c:f>
              <c:strCache>
                <c:ptCount val="12"/>
                <c:pt idx="0">
                  <c:v>Sum of Food &amp; Drinks</c:v>
                </c:pt>
                <c:pt idx="1">
                  <c:v>Sum of Clothing &amp; Footwear (all)</c:v>
                </c:pt>
                <c:pt idx="2">
                  <c:v>Sum of Pan, tobacco and intoxicants</c:v>
                </c:pt>
                <c:pt idx="3">
                  <c:v>Sum of Housing</c:v>
                </c:pt>
                <c:pt idx="4">
                  <c:v>Sum of Household goods and services</c:v>
                </c:pt>
                <c:pt idx="5">
                  <c:v>Sum of Fuel and light</c:v>
                </c:pt>
                <c:pt idx="6">
                  <c:v>Sum of Health</c:v>
                </c:pt>
                <c:pt idx="7">
                  <c:v>Sum of Transport and communication</c:v>
                </c:pt>
                <c:pt idx="8">
                  <c:v>Sum of Recreation and amusement</c:v>
                </c:pt>
                <c:pt idx="9">
                  <c:v>Sum of Education</c:v>
                </c:pt>
                <c:pt idx="10">
                  <c:v>Sum of Personal care and effects</c:v>
                </c:pt>
                <c:pt idx="11">
                  <c:v>Sum of Miscellaneous</c:v>
                </c:pt>
              </c:strCache>
            </c:strRef>
          </c:cat>
          <c:val>
            <c:numRef>
              <c:f>Pivots!$B$8:$B$19</c:f>
              <c:numCache>
                <c:formatCode>General</c:formatCode>
                <c:ptCount val="12"/>
                <c:pt idx="0">
                  <c:v>224036.70000000004</c:v>
                </c:pt>
                <c:pt idx="1">
                  <c:v>51495.8</c:v>
                </c:pt>
                <c:pt idx="2">
                  <c:v>18882.2</c:v>
                </c:pt>
                <c:pt idx="3">
                  <c:v>0</c:v>
                </c:pt>
                <c:pt idx="4">
                  <c:v>16691.700000000008</c:v>
                </c:pt>
                <c:pt idx="5">
                  <c:v>16878.899999999998</c:v>
                </c:pt>
                <c:pt idx="6">
                  <c:v>17100</c:v>
                </c:pt>
                <c:pt idx="7">
                  <c:v>15500.999999999996</c:v>
                </c:pt>
                <c:pt idx="8">
                  <c:v>16306.900000000003</c:v>
                </c:pt>
                <c:pt idx="9">
                  <c:v>17195.199999999997</c:v>
                </c:pt>
                <c:pt idx="10">
                  <c:v>16272.100000000004</c:v>
                </c:pt>
                <c:pt idx="11">
                  <c:v>16383.699999999999</c:v>
                </c:pt>
              </c:numCache>
            </c:numRef>
          </c:val>
          <c:extLst>
            <c:ext xmlns:c16="http://schemas.microsoft.com/office/drawing/2014/chart" uri="{C3380CC4-5D6E-409C-BE32-E72D297353CC}">
              <c16:uniqueId val="{00000018-535B-46CC-91C0-4137BC0B5667}"/>
            </c:ext>
          </c:extLst>
        </c:ser>
        <c:dLbls>
          <c:showLegendKey val="0"/>
          <c:showVal val="0"/>
          <c:showCatName val="0"/>
          <c:showSerName val="0"/>
          <c:showPercent val="0"/>
          <c:showBubbleSize val="0"/>
          <c:showLeaderLines val="0"/>
        </c:dLbls>
        <c:firstSliceAng val="2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YOY inflation from 2017 (Rural + Urban)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Pivots!$H$28</c:f>
              <c:strCache>
                <c:ptCount val="1"/>
                <c:pt idx="0">
                  <c:v>YOY inflation</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Pivots!$G$29:$G$34</c:f>
              <c:numCache>
                <c:formatCode>General</c:formatCode>
                <c:ptCount val="6"/>
                <c:pt idx="0">
                  <c:v>2017</c:v>
                </c:pt>
                <c:pt idx="1">
                  <c:v>2018</c:v>
                </c:pt>
                <c:pt idx="2">
                  <c:v>2019</c:v>
                </c:pt>
                <c:pt idx="3">
                  <c:v>2020</c:v>
                </c:pt>
                <c:pt idx="4">
                  <c:v>2021</c:v>
                </c:pt>
                <c:pt idx="5">
                  <c:v>2022</c:v>
                </c:pt>
              </c:numCache>
            </c:numRef>
          </c:cat>
          <c:val>
            <c:numRef>
              <c:f>Pivots!$H$29:$H$34</c:f>
              <c:numCache>
                <c:formatCode>0.00%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74C0-444E-B33F-8EAFC2B6F483}"/>
            </c:ext>
          </c:extLst>
        </c:ser>
        <c:dLbls>
          <c:dLblPos val="t"/>
          <c:showLegendKey val="0"/>
          <c:showVal val="1"/>
          <c:showCatName val="0"/>
          <c:showSerName val="0"/>
          <c:showPercent val="0"/>
          <c:showBubbleSize val="0"/>
        </c:dLbls>
        <c:smooth val="0"/>
        <c:axId val="755703952"/>
        <c:axId val="755710192"/>
      </c:lineChart>
      <c:catAx>
        <c:axId val="7557039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5710192"/>
        <c:crosses val="autoZero"/>
        <c:auto val="1"/>
        <c:lblAlgn val="ctr"/>
        <c:lblOffset val="100"/>
        <c:noMultiLvlLbl val="0"/>
      </c:catAx>
      <c:valAx>
        <c:axId val="755710192"/>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7557039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[CPI_Analysis.xlsx]3a!PivotTable25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MoM Trend in prices of Food category expenses (June 2022 - May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'3a'!$H$2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'3a'!$G$3:$G$17</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7">
                    <c:v>2023</c:v>
                  </c:pt>
                </c:lvl>
              </c:multiLvlStrCache>
            </c:multiLvlStrRef>
          </c:cat>
          <c:val>
            <c:numRef>
              <c:f>'3a'!$H$3:$H$17</c:f>
              <c:numCache>
                <c:formatCode>0.00%</c:formatCode>
                <c:ptCount val="12"/>
                <c:pt idx="0">
                  <c:v>9.6551104724268005E-3</c:v>
                </c:pt>
                <c:pt idx="1">
                  <c:v>1.8680781034558635E-3</c:v>
                </c:pt>
                <c:pt idx="2">
                  <c:v>1.4650388457268489E-3</c:v>
                </c:pt>
                <c:pt idx="3">
                  <c:v>5.3196205337354627E-3</c:v>
                </c:pt>
                <c:pt idx="4">
                  <c:v>7.3639650762853063E-3</c:v>
                </c:pt>
                <c:pt idx="5">
                  <c:v>1.4007441453271255E-3</c:v>
                </c:pt>
                <c:pt idx="6">
                  <c:v>-4.6334746688813698E-3</c:v>
                </c:pt>
                <c:pt idx="7">
                  <c:v>2.678845900487622E-3</c:v>
                </c:pt>
                <c:pt idx="8">
                  <c:v>-7.6646811492643886E-3</c:v>
                </c:pt>
                <c:pt idx="9">
                  <c:v>4.4136469965292762E-5</c:v>
                </c:pt>
                <c:pt idx="10">
                  <c:v>3.7072998499424643E-3</c:v>
                </c:pt>
                <c:pt idx="11">
                  <c:v>7.2552985665292899E-3</c:v>
                </c:pt>
              </c:numCache>
            </c:numRef>
          </c:val>
          <c:smooth val="0"/>
          <c:extLst>
            <c:ext xmlns:c16="http://schemas.microsoft.com/office/drawing/2014/chart" uri="{C3380CC4-5D6E-409C-BE32-E72D297353CC}">
              <c16:uniqueId val="{00000000-1453-4DF3-9D2F-53F72FB7F56C}"/>
            </c:ext>
          </c:extLst>
        </c:ser>
        <c:dLbls>
          <c:dLblPos val="t"/>
          <c:showLegendKey val="0"/>
          <c:showVal val="1"/>
          <c:showCatName val="0"/>
          <c:showSerName val="0"/>
          <c:showPercent val="0"/>
          <c:showBubbleSize val="0"/>
        </c:dLbls>
        <c:marker val="1"/>
        <c:smooth val="0"/>
        <c:axId val="756854288"/>
        <c:axId val="1336456768"/>
      </c:lineChart>
      <c:catAx>
        <c:axId val="756854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6456768"/>
        <c:crosses val="autoZero"/>
        <c:auto val="1"/>
        <c:lblAlgn val="ctr"/>
        <c:lblOffset val="100"/>
        <c:noMultiLvlLbl val="0"/>
      </c:catAx>
      <c:valAx>
        <c:axId val="1336456768"/>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75685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Contribution of individual food categories towards inflation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Pivots!$B$91</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Pivots!$A$92:$A$104</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Pivots!$B$92:$B$104</c:f>
              <c:numCache>
                <c:formatCode>0.00%</c:formatCode>
                <c:ptCount val="13"/>
                <c:pt idx="0">
                  <c:v>0.12613784135240558</c:v>
                </c:pt>
                <c:pt idx="1">
                  <c:v>-2.6243093922651884E-2</c:v>
                </c:pt>
                <c:pt idx="2">
                  <c:v>8.2547169811321101E-3</c:v>
                </c:pt>
                <c:pt idx="3">
                  <c:v>8.5852478839177682E-2</c:v>
                </c:pt>
                <c:pt idx="4">
                  <c:v>-0.16722729456991822</c:v>
                </c:pt>
                <c:pt idx="5">
                  <c:v>1.9300361881785213E-2</c:v>
                </c:pt>
                <c:pt idx="6">
                  <c:v>-0.11117752540346695</c:v>
                </c:pt>
                <c:pt idx="7">
                  <c:v>6.2575941676792299E-2</c:v>
                </c:pt>
                <c:pt idx="8">
                  <c:v>2.350965575146945E-2</c:v>
                </c:pt>
                <c:pt idx="9">
                  <c:v>0.16993118051879297</c:v>
                </c:pt>
                <c:pt idx="10">
                  <c:v>2.5832376578645237E-2</c:v>
                </c:pt>
                <c:pt idx="11">
                  <c:v>5.0577240241891086E-2</c:v>
                </c:pt>
                <c:pt idx="12">
                  <c:v>2.5522041763341101E-2</c:v>
                </c:pt>
              </c:numCache>
            </c:numRef>
          </c:val>
          <c:extLst>
            <c:ext xmlns:c16="http://schemas.microsoft.com/office/drawing/2014/chart" uri="{C3380CC4-5D6E-409C-BE32-E72D297353CC}">
              <c16:uniqueId val="{00000000-1D3A-4C2A-9D4A-26AB31B106F6}"/>
            </c:ext>
          </c:extLst>
        </c:ser>
        <c:ser>
          <c:idx val="1"/>
          <c:order val="1"/>
          <c:tx>
            <c:strRef>
              <c:f>Pivots!$C$91</c:f>
              <c:strCache>
                <c:ptCount val="1"/>
                <c:pt idx="0">
                  <c:v>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Pivots!$A$92:$A$104</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Pivots!$C$92:$C$104</c:f>
              <c:numCache>
                <c:formatCode>0.00%</c:formatCode>
                <c:ptCount val="13"/>
                <c:pt idx="0">
                  <c:v>0.10920634920634914</c:v>
                </c:pt>
                <c:pt idx="1">
                  <c:v>-1.7905102954341987E-2</c:v>
                </c:pt>
                <c:pt idx="2">
                  <c:v>2.2569444444444312E-2</c:v>
                </c:pt>
                <c:pt idx="3">
                  <c:v>7.8125E-2</c:v>
                </c:pt>
                <c:pt idx="4">
                  <c:v>-0.12831389183457045</c:v>
                </c:pt>
                <c:pt idx="5">
                  <c:v>9.7645031591040623E-3</c:v>
                </c:pt>
                <c:pt idx="6">
                  <c:v>-0.12529550827423167</c:v>
                </c:pt>
                <c:pt idx="7">
                  <c:v>8.1295843520782465E-2</c:v>
                </c:pt>
                <c:pt idx="8">
                  <c:v>2.3064250411861591E-2</c:v>
                </c:pt>
                <c:pt idx="9">
                  <c:v>0.15476839237057224</c:v>
                </c:pt>
                <c:pt idx="10">
                  <c:v>4.2740414833438163E-2</c:v>
                </c:pt>
                <c:pt idx="11">
                  <c:v>6.119162640901759E-2</c:v>
                </c:pt>
                <c:pt idx="12">
                  <c:v>2.1193530395984286E-2</c:v>
                </c:pt>
              </c:numCache>
            </c:numRef>
          </c:val>
          <c:extLst>
            <c:ext xmlns:c16="http://schemas.microsoft.com/office/drawing/2014/chart" uri="{C3380CC4-5D6E-409C-BE32-E72D297353CC}">
              <c16:uniqueId val="{00000001-1D3A-4C2A-9D4A-26AB31B106F6}"/>
            </c:ext>
          </c:extLst>
        </c:ser>
        <c:ser>
          <c:idx val="2"/>
          <c:order val="2"/>
          <c:tx>
            <c:strRef>
              <c:f>Pivots!$D$91</c:f>
              <c:strCache>
                <c:ptCount val="1"/>
                <c:pt idx="0">
                  <c:v>Rural+Urban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Pivots!$A$92:$A$104</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Pivots!$D$92:$D$104</c:f>
              <c:numCache>
                <c:formatCode>0.00%</c:formatCode>
                <c:ptCount val="13"/>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pt idx="12">
                  <c:v>2.4013722126929607E-2</c:v>
                </c:pt>
              </c:numCache>
            </c:numRef>
          </c:val>
          <c:extLst>
            <c:ext xmlns:c16="http://schemas.microsoft.com/office/drawing/2014/chart" uri="{C3380CC4-5D6E-409C-BE32-E72D297353CC}">
              <c16:uniqueId val="{00000002-1D3A-4C2A-9D4A-26AB31B106F6}"/>
            </c:ext>
          </c:extLst>
        </c:ser>
        <c:dLbls>
          <c:showLegendKey val="0"/>
          <c:showVal val="0"/>
          <c:showCatName val="0"/>
          <c:showSerName val="0"/>
          <c:showPercent val="0"/>
          <c:showBubbleSize val="0"/>
        </c:dLbls>
        <c:gapWidth val="100"/>
        <c:overlap val="-24"/>
        <c:axId val="818911200"/>
        <c:axId val="818916480"/>
      </c:barChart>
      <c:catAx>
        <c:axId val="818911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916480"/>
        <c:crosses val="autoZero"/>
        <c:auto val="1"/>
        <c:lblAlgn val="ctr"/>
        <c:lblOffset val="100"/>
        <c:noMultiLvlLbl val="0"/>
      </c:catAx>
      <c:valAx>
        <c:axId val="818916480"/>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81891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Effect of Corona - Analysis of inflation pre &amp; post March 2020</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'4 covid effect'!$H$148</c:f>
              <c:strCache>
                <c:ptCount val="1"/>
                <c:pt idx="0">
                  <c:v>Sum of Health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covid effect'!$G$149:$G$152</c:f>
              <c:strCache>
                <c:ptCount val="4"/>
                <c:pt idx="0">
                  <c:v>2018-19</c:v>
                </c:pt>
                <c:pt idx="1">
                  <c:v>2019-20</c:v>
                </c:pt>
                <c:pt idx="2">
                  <c:v>2020-21</c:v>
                </c:pt>
                <c:pt idx="3">
                  <c:v>2021-22</c:v>
                </c:pt>
              </c:strCache>
            </c:strRef>
          </c:cat>
          <c:val>
            <c:numRef>
              <c:f>'4 covid effect'!$H$149:$H$152</c:f>
              <c:numCache>
                <c:formatCode>General</c:formatCode>
                <c:ptCount val="4"/>
                <c:pt idx="0">
                  <c:v>1686.4999999999998</c:v>
                </c:pt>
                <c:pt idx="1">
                  <c:v>1644.6000000000001</c:v>
                </c:pt>
                <c:pt idx="2">
                  <c:v>1879.6666666666667</c:v>
                </c:pt>
                <c:pt idx="3">
                  <c:v>2024.4</c:v>
                </c:pt>
              </c:numCache>
            </c:numRef>
          </c:val>
          <c:extLst>
            <c:ext xmlns:c16="http://schemas.microsoft.com/office/drawing/2014/chart" uri="{C3380CC4-5D6E-409C-BE32-E72D297353CC}">
              <c16:uniqueId val="{00000000-451E-4E6F-805E-4869C05792B2}"/>
            </c:ext>
          </c:extLst>
        </c:ser>
        <c:ser>
          <c:idx val="1"/>
          <c:order val="1"/>
          <c:tx>
            <c:strRef>
              <c:f>'4 covid effect'!$I$148</c:f>
              <c:strCache>
                <c:ptCount val="1"/>
                <c:pt idx="0">
                  <c:v>Sum of Food &amp; Drinks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covid effect'!$G$149:$G$152</c:f>
              <c:strCache>
                <c:ptCount val="4"/>
                <c:pt idx="0">
                  <c:v>2018-19</c:v>
                </c:pt>
                <c:pt idx="1">
                  <c:v>2019-20</c:v>
                </c:pt>
                <c:pt idx="2">
                  <c:v>2020-21</c:v>
                </c:pt>
                <c:pt idx="3">
                  <c:v>2021-22</c:v>
                </c:pt>
              </c:strCache>
            </c:strRef>
          </c:cat>
          <c:val>
            <c:numRef>
              <c:f>'4 covid effect'!$I$149:$I$152</c:f>
              <c:numCache>
                <c:formatCode>General</c:formatCode>
                <c:ptCount val="4"/>
                <c:pt idx="0">
                  <c:v>21252.600000000002</c:v>
                </c:pt>
                <c:pt idx="1">
                  <c:v>20637.7</c:v>
                </c:pt>
                <c:pt idx="2">
                  <c:v>24243.87777777778</c:v>
                </c:pt>
                <c:pt idx="3">
                  <c:v>25794.800000000003</c:v>
                </c:pt>
              </c:numCache>
            </c:numRef>
          </c:val>
          <c:extLst>
            <c:ext xmlns:c16="http://schemas.microsoft.com/office/drawing/2014/chart" uri="{C3380CC4-5D6E-409C-BE32-E72D297353CC}">
              <c16:uniqueId val="{00000001-451E-4E6F-805E-4869C05792B2}"/>
            </c:ext>
          </c:extLst>
        </c:ser>
        <c:ser>
          <c:idx val="2"/>
          <c:order val="2"/>
          <c:tx>
            <c:strRef>
              <c:f>'4 covid effect'!$J$148</c:f>
              <c:strCache>
                <c:ptCount val="1"/>
                <c:pt idx="0">
                  <c:v>Sum of Essential services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covid effect'!$G$149:$G$152</c:f>
              <c:strCache>
                <c:ptCount val="4"/>
                <c:pt idx="0">
                  <c:v>2018-19</c:v>
                </c:pt>
                <c:pt idx="1">
                  <c:v>2019-20</c:v>
                </c:pt>
                <c:pt idx="2">
                  <c:v>2020-21</c:v>
                </c:pt>
                <c:pt idx="3">
                  <c:v>2021-22</c:v>
                </c:pt>
              </c:strCache>
            </c:strRef>
          </c:cat>
          <c:val>
            <c:numRef>
              <c:f>'4 covid effect'!$J$149:$J$152</c:f>
              <c:numCache>
                <c:formatCode>General</c:formatCode>
                <c:ptCount val="4"/>
                <c:pt idx="0">
                  <c:v>6609.8000000000011</c:v>
                </c:pt>
                <c:pt idx="1">
                  <c:v>6238.9000000000005</c:v>
                </c:pt>
                <c:pt idx="2">
                  <c:v>6770.7888888888883</c:v>
                </c:pt>
                <c:pt idx="3">
                  <c:v>7646.1999999999989</c:v>
                </c:pt>
              </c:numCache>
            </c:numRef>
          </c:val>
          <c:extLst>
            <c:ext xmlns:c16="http://schemas.microsoft.com/office/drawing/2014/chart" uri="{C3380CC4-5D6E-409C-BE32-E72D297353CC}">
              <c16:uniqueId val="{00000002-451E-4E6F-805E-4869C05792B2}"/>
            </c:ext>
          </c:extLst>
        </c:ser>
        <c:dLbls>
          <c:dLblPos val="outEnd"/>
          <c:showLegendKey val="0"/>
          <c:showVal val="1"/>
          <c:showCatName val="0"/>
          <c:showSerName val="0"/>
          <c:showPercent val="0"/>
          <c:showBubbleSize val="0"/>
        </c:dLbls>
        <c:gapWidth val="100"/>
        <c:overlap val="-24"/>
        <c:axId val="754443168"/>
        <c:axId val="754436448"/>
      </c:barChart>
      <c:catAx>
        <c:axId val="7544431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436448"/>
        <c:crosses val="autoZero"/>
        <c:auto val="1"/>
        <c:lblAlgn val="ctr"/>
        <c:lblOffset val="100"/>
        <c:noMultiLvlLbl val="0"/>
      </c:catAx>
      <c:valAx>
        <c:axId val="75443644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75444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0</xdr:rowOff>
    </xdr:to>
    <xdr:graphicFrame macro="">
      <xdr:nvGraphicFramePr>
        <xdr:cNvPr id="2" name="Chart 1">
          <a:extLst>
            <a:ext uri="{FF2B5EF4-FFF2-40B4-BE49-F238E27FC236}">
              <a16:creationId xmlns:a16="http://schemas.microsoft.com/office/drawing/2014/main" id="{993A4D93-8053-4F3A-8F10-3F11D8108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xdr:row>
      <xdr:rowOff>0</xdr:rowOff>
    </xdr:from>
    <xdr:to>
      <xdr:col>11</xdr:col>
      <xdr:colOff>396240</xdr:colOff>
      <xdr:row>12</xdr:row>
      <xdr:rowOff>180975</xdr:rowOff>
    </xdr:to>
    <mc:AlternateContent xmlns:mc="http://schemas.openxmlformats.org/markup-compatibility/2006">
      <mc:Choice xmlns:a14="http://schemas.microsoft.com/office/drawing/2010/main" Requires="a14">
        <xdr:graphicFrame macro="">
          <xdr:nvGraphicFramePr>
            <xdr:cNvPr id="3" name="Sector">
              <a:extLst>
                <a:ext uri="{FF2B5EF4-FFF2-40B4-BE49-F238E27FC236}">
                  <a16:creationId xmlns:a16="http://schemas.microsoft.com/office/drawing/2014/main" id="{204BB983-0A08-47D4-982C-A6FA38E2187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627126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20</xdr:row>
      <xdr:rowOff>0</xdr:rowOff>
    </xdr:from>
    <xdr:to>
      <xdr:col>8</xdr:col>
      <xdr:colOff>304800</xdr:colOff>
      <xdr:row>35</xdr:row>
      <xdr:rowOff>0</xdr:rowOff>
    </xdr:to>
    <xdr:graphicFrame macro="">
      <xdr:nvGraphicFramePr>
        <xdr:cNvPr id="4" name="Chart 3">
          <a:extLst>
            <a:ext uri="{FF2B5EF4-FFF2-40B4-BE49-F238E27FC236}">
              <a16:creationId xmlns:a16="http://schemas.microsoft.com/office/drawing/2014/main" id="{9AD0B17A-8907-4A86-880B-96A4D0D89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41</xdr:row>
      <xdr:rowOff>0</xdr:rowOff>
    </xdr:from>
    <xdr:to>
      <xdr:col>8</xdr:col>
      <xdr:colOff>304800</xdr:colOff>
      <xdr:row>56</xdr:row>
      <xdr:rowOff>0</xdr:rowOff>
    </xdr:to>
    <xdr:graphicFrame macro="">
      <xdr:nvGraphicFramePr>
        <xdr:cNvPr id="5" name="Chart 4">
          <a:extLst>
            <a:ext uri="{FF2B5EF4-FFF2-40B4-BE49-F238E27FC236}">
              <a16:creationId xmlns:a16="http://schemas.microsoft.com/office/drawing/2014/main" id="{EBB9F194-6C69-4ADA-97C4-44A8391BC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15240</xdr:colOff>
      <xdr:row>41</xdr:row>
      <xdr:rowOff>22860</xdr:rowOff>
    </xdr:from>
    <xdr:to>
      <xdr:col>11</xdr:col>
      <xdr:colOff>411480</xdr:colOff>
      <xdr:row>51</xdr:row>
      <xdr:rowOff>203835</xdr:rowOff>
    </xdr:to>
    <mc:AlternateContent xmlns:mc="http://schemas.openxmlformats.org/markup-compatibility/2006">
      <mc:Choice xmlns:a14="http://schemas.microsoft.com/office/drawing/2010/main" Requires="a14">
        <xdr:graphicFrame macro="">
          <xdr:nvGraphicFramePr>
            <xdr:cNvPr id="6" name="Sector 1">
              <a:extLst>
                <a:ext uri="{FF2B5EF4-FFF2-40B4-BE49-F238E27FC236}">
                  <a16:creationId xmlns:a16="http://schemas.microsoft.com/office/drawing/2014/main" id="{21D66BCB-5006-40CF-9A29-CC87D6BB5E3A}"/>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dr:sp macro="" textlink="">
          <xdr:nvSpPr>
            <xdr:cNvPr id="0" name=""/>
            <xdr:cNvSpPr>
              <a:spLocks noTextEdit="1"/>
            </xdr:cNvSpPr>
          </xdr:nvSpPr>
          <xdr:spPr>
            <a:xfrm>
              <a:off x="6286500" y="9395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65</xdr:row>
      <xdr:rowOff>0</xdr:rowOff>
    </xdr:from>
    <xdr:to>
      <xdr:col>8</xdr:col>
      <xdr:colOff>205740</xdr:colOff>
      <xdr:row>80</xdr:row>
      <xdr:rowOff>15240</xdr:rowOff>
    </xdr:to>
    <xdr:graphicFrame macro="">
      <xdr:nvGraphicFramePr>
        <xdr:cNvPr id="7" name="Chart 6">
          <a:extLst>
            <a:ext uri="{FF2B5EF4-FFF2-40B4-BE49-F238E27FC236}">
              <a16:creationId xmlns:a16="http://schemas.microsoft.com/office/drawing/2014/main" id="{63B1733A-88BC-42F0-B44A-546A12A2F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xdr:colOff>
      <xdr:row>83</xdr:row>
      <xdr:rowOff>0</xdr:rowOff>
    </xdr:from>
    <xdr:to>
      <xdr:col>8</xdr:col>
      <xdr:colOff>228600</xdr:colOff>
      <xdr:row>98</xdr:row>
      <xdr:rowOff>0</xdr:rowOff>
    </xdr:to>
    <xdr:graphicFrame macro="">
      <xdr:nvGraphicFramePr>
        <xdr:cNvPr id="8" name="Chart 7">
          <a:extLst>
            <a:ext uri="{FF2B5EF4-FFF2-40B4-BE49-F238E27FC236}">
              <a16:creationId xmlns:a16="http://schemas.microsoft.com/office/drawing/2014/main" id="{0E8C4B1D-BB91-464F-A3B6-94855595D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45720</xdr:colOff>
      <xdr:row>83</xdr:row>
      <xdr:rowOff>15240</xdr:rowOff>
    </xdr:from>
    <xdr:to>
      <xdr:col>11</xdr:col>
      <xdr:colOff>441960</xdr:colOff>
      <xdr:row>93</xdr:row>
      <xdr:rowOff>196215</xdr:rowOff>
    </xdr:to>
    <mc:AlternateContent xmlns:mc="http://schemas.openxmlformats.org/markup-compatibility/2006">
      <mc:Choice xmlns:a14="http://schemas.microsoft.com/office/drawing/2010/main" Requires="a14">
        <xdr:graphicFrame macro="">
          <xdr:nvGraphicFramePr>
            <xdr:cNvPr id="9" name="Sector 2">
              <a:extLst>
                <a:ext uri="{FF2B5EF4-FFF2-40B4-BE49-F238E27FC236}">
                  <a16:creationId xmlns:a16="http://schemas.microsoft.com/office/drawing/2014/main" id="{34E75E8E-C685-4068-B3BB-9350E2F2430C}"/>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dr:sp macro="" textlink="">
          <xdr:nvSpPr>
            <xdr:cNvPr id="0" name=""/>
            <xdr:cNvSpPr>
              <a:spLocks noTextEdit="1"/>
            </xdr:cNvSpPr>
          </xdr:nvSpPr>
          <xdr:spPr>
            <a:xfrm>
              <a:off x="6316980" y="19004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243840</xdr:colOff>
      <xdr:row>86</xdr:row>
      <xdr:rowOff>83820</xdr:rowOff>
    </xdr:from>
    <xdr:to>
      <xdr:col>4</xdr:col>
      <xdr:colOff>251460</xdr:colOff>
      <xdr:row>94</xdr:row>
      <xdr:rowOff>152400</xdr:rowOff>
    </xdr:to>
    <xdr:cxnSp macro="">
      <xdr:nvCxnSpPr>
        <xdr:cNvPr id="11" name="Straight Connector 10">
          <a:extLst>
            <a:ext uri="{FF2B5EF4-FFF2-40B4-BE49-F238E27FC236}">
              <a16:creationId xmlns:a16="http://schemas.microsoft.com/office/drawing/2014/main" id="{1EB745FA-FCEB-0634-0CCD-86C2CA4F7E37}"/>
            </a:ext>
          </a:extLst>
        </xdr:cNvPr>
        <xdr:cNvCxnSpPr/>
      </xdr:nvCxnSpPr>
      <xdr:spPr>
        <a:xfrm flipH="1">
          <a:off x="3390900" y="15095220"/>
          <a:ext cx="7620" cy="1531620"/>
        </a:xfrm>
        <a:prstGeom prst="line">
          <a:avLst/>
        </a:prstGeom>
        <a:ln>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0.54621</cdr:x>
      <cdr:y>0.24167</cdr:y>
    </cdr:from>
    <cdr:to>
      <cdr:x>0.8731</cdr:x>
      <cdr:y>0.24444</cdr:y>
    </cdr:to>
    <cdr:cxnSp macro="">
      <cdr:nvCxnSpPr>
        <cdr:cNvPr id="3" name="Straight Arrow Connector 2">
          <a:extLst xmlns:a="http://schemas.openxmlformats.org/drawingml/2006/main">
            <a:ext uri="{FF2B5EF4-FFF2-40B4-BE49-F238E27FC236}">
              <a16:creationId xmlns:a16="http://schemas.microsoft.com/office/drawing/2014/main" id="{017B1013-16D0-E1DA-E483-F7CA9FFCB643}"/>
            </a:ext>
          </a:extLst>
        </cdr:cNvPr>
        <cdr:cNvCxnSpPr/>
      </cdr:nvCxnSpPr>
      <cdr:spPr>
        <a:xfrm xmlns:a="http://schemas.openxmlformats.org/drawingml/2006/main" flipV="1">
          <a:off x="3017520" y="662940"/>
          <a:ext cx="1805940" cy="7620"/>
        </a:xfrm>
        <a:prstGeom xmlns:a="http://schemas.openxmlformats.org/drawingml/2006/main" prst="straightConnector1">
          <a:avLst/>
        </a:prstGeom>
        <a:ln xmlns:a="http://schemas.openxmlformats.org/drawingml/2006/main">
          <a:solidFill>
            <a:schemeClr val="bg2">
              <a:lumMod val="90000"/>
            </a:schemeClr>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0.10483</cdr:x>
      <cdr:y>0.24444</cdr:y>
    </cdr:from>
    <cdr:to>
      <cdr:x>0.45793</cdr:x>
      <cdr:y>0.24722</cdr:y>
    </cdr:to>
    <cdr:cxnSp macro="">
      <cdr:nvCxnSpPr>
        <cdr:cNvPr id="6" name="Straight Arrow Connector 5">
          <a:extLst xmlns:a="http://schemas.openxmlformats.org/drawingml/2006/main">
            <a:ext uri="{FF2B5EF4-FFF2-40B4-BE49-F238E27FC236}">
              <a16:creationId xmlns:a16="http://schemas.microsoft.com/office/drawing/2014/main" id="{4D3CD592-296A-068E-2268-D7F68B1CE2C0}"/>
            </a:ext>
          </a:extLst>
        </cdr:cNvPr>
        <cdr:cNvCxnSpPr/>
      </cdr:nvCxnSpPr>
      <cdr:spPr>
        <a:xfrm xmlns:a="http://schemas.openxmlformats.org/drawingml/2006/main" flipH="1" flipV="1">
          <a:off x="579120" y="670560"/>
          <a:ext cx="1950720" cy="7620"/>
        </a:xfrm>
        <a:prstGeom xmlns:a="http://schemas.openxmlformats.org/drawingml/2006/main" prst="straightConnector1">
          <a:avLst/>
        </a:prstGeom>
        <a:ln xmlns:a="http://schemas.openxmlformats.org/drawingml/2006/main">
          <a:solidFill>
            <a:schemeClr val="bg2">
              <a:lumMod val="75000"/>
            </a:schemeClr>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 refreshedDate="45892.687496759259" createdVersion="8" refreshedVersion="8" minRefreshableVersion="3" recordCount="36" xr:uid="{09ECB0B5-4323-4428-81D5-FA67E1C04924}">
  <cacheSource type="worksheet">
    <worksheetSource ref="A1:E37" sheet="3a"/>
  </cacheSource>
  <cacheFields count="5">
    <cacheField name="Sector" numFmtId="0">
      <sharedItems count="3">
        <s v="Rural"/>
        <s v="Rural+Urban"/>
        <s v="Urban"/>
      </sharedItems>
    </cacheField>
    <cacheField name="Year" numFmtId="0">
      <sharedItems containsSemiMixedTypes="0" containsString="0" containsNumber="1" containsInteger="1" minValue="2022" maxValue="2023" count="2">
        <n v="2022"/>
        <n v="2023"/>
      </sharedItems>
    </cacheField>
    <cacheField name="Month" numFmtId="0">
      <sharedItems count="12">
        <s v="June"/>
        <s v="July"/>
        <s v="August"/>
        <s v="September"/>
        <s v="October"/>
        <s v="November"/>
        <s v="December"/>
        <s v="January"/>
        <s v="February"/>
        <s v="March"/>
        <s v="April"/>
        <s v="May"/>
      </sharedItems>
    </cacheField>
    <cacheField name="Food &amp; Drinks" numFmtId="0">
      <sharedItems containsSemiMixedTypes="0" containsString="0" containsNumber="1" minValue="2248.3000000000002" maxValue="2335.1"/>
    </cacheField>
    <cacheField name="% increase" numFmtId="10">
      <sharedItems containsSemiMixedTypes="0" containsString="0" containsNumber="1" minValue="-8.0366401659178899E-3" maxValue="1.1183803377243269E-2"/>
    </cacheField>
  </cacheFields>
  <extLst>
    <ext xmlns:x14="http://schemas.microsoft.com/office/spreadsheetml/2009/9/main" uri="{725AE2AE-9491-48be-B2B4-4EB974FC3084}">
      <x14:pivotCacheDefinition pivotCacheId="11282968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 refreshedDate="45892.687496990744" createdVersion="8" refreshedVersion="8" minRefreshableVersion="3" recordCount="372" xr:uid="{75D867B7-1779-4DB1-9CA6-8D3503AD65BE}">
  <cacheSource type="worksheet">
    <worksheetSource name="All_India_Index_Upto_April23__1"/>
  </cacheSource>
  <cacheFields count="33">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acheField>
    <cacheField name="Food &amp; Drinks" numFmtId="0">
      <sharedItems containsSemiMixedTypes="0" containsString="0" containsNumber="1" minValue="0" maxValue="2335.1"/>
    </cacheField>
    <cacheField name="Clothing &amp; Footwear (all)" numFmtId="0">
      <sharedItems containsSemiMixedTypes="0" containsString="0" containsNumber="1" minValue="0" maxValue="569.90000000000009"/>
    </cacheField>
    <cacheField name="Essential services" numFmtId="0">
      <sharedItems containsSemiMixedTypes="0" containsString="0" containsNumber="1" minValue="0" maxValue="532"/>
    </cacheField>
  </cacheFields>
  <extLst>
    <ext xmlns:x14="http://schemas.microsoft.com/office/spreadsheetml/2009/9/main" uri="{725AE2AE-9491-48be-B2B4-4EB974FC3084}">
      <x14:pivotCacheDefinition pivotCacheId="141118190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 refreshedDate="45892.68749733796" createdVersion="8" refreshedVersion="8" minRefreshableVersion="3" recordCount="141" xr:uid="{B3CC25CE-5AC1-4441-B0E9-30C2C0A04F72}">
  <cacheSource type="worksheet">
    <worksheetSource ref="A1:AG142" sheet="4 covid effect"/>
  </cacheSource>
  <cacheFields count="33">
    <cacheField name="Sector" numFmtId="0">
      <sharedItems count="3">
        <s v="Rural"/>
        <s v="Urban"/>
        <s v="Rural+Urban"/>
      </sharedItems>
    </cacheField>
    <cacheField name="Year" numFmtId="0">
      <sharedItems containsSemiMixedTypes="0" containsString="0" containsNumber="1" containsInteger="1" minValue="2018" maxValue="2022" count="5">
        <n v="2018"/>
        <n v="2019"/>
        <n v="2020"/>
        <n v="2021"/>
        <n v="2022"/>
      </sharedItems>
    </cacheField>
    <cacheField name="Month" numFmtId="0">
      <sharedItems count="12">
        <s v="April"/>
        <s v="May"/>
        <s v="June"/>
        <s v="July"/>
        <s v="August"/>
        <s v="September"/>
        <s v="October"/>
        <s v="November"/>
        <s v="December"/>
        <s v="January"/>
        <s v="February"/>
        <s v="March"/>
      </sharedItems>
    </cacheField>
    <cacheField name="Cereals and products" numFmtId="0">
      <sharedItems containsSemiMixedTypes="0" containsString="0" containsNumber="1" minValue="135" maxValue="153.69999999999999"/>
    </cacheField>
    <cacheField name="Meat and fish" numFmtId="0">
      <sharedItems containsSemiMixedTypes="0" containsString="0" containsNumber="1" minValue="143.1" maxValue="215.8"/>
    </cacheField>
    <cacheField name="Egg" numFmtId="0">
      <sharedItems containsSemiMixedTypes="0" containsString="0" containsNumber="1" minValue="130.5" maxValue="185"/>
    </cacheField>
    <cacheField name="Milk and products" numFmtId="0">
      <sharedItems containsSemiMixedTypes="0" containsString="0" containsNumber="1" minValue="140.30000000000001" maxValue="162.6"/>
    </cacheField>
    <cacheField name="Oils and fats" numFmtId="0">
      <sharedItems containsSemiMixedTypes="0" containsString="0" containsNumber="1" minValue="116.4" maxValue="203.1"/>
    </cacheField>
    <cacheField name="Fruits" numFmtId="0">
      <sharedItems containsSemiMixedTypes="0" containsString="0" containsNumber="1" minValue="135.19999999999999" maxValue="172.5"/>
    </cacheField>
    <cacheField name="Vegetables" numFmtId="0">
      <sharedItems containsSemiMixedTypes="0" containsString="0" containsNumber="1" minValue="127.6" maxValue="245.3"/>
    </cacheField>
    <cacheField name="Pulses and products" numFmtId="0">
      <sharedItems containsSemiMixedTypes="0" containsString="0" containsNumber="1" minValue="112.3" maxValue="166.9"/>
    </cacheField>
    <cacheField name="Sugar and Confectionery" numFmtId="0">
      <sharedItems containsSemiMixedTypes="0" containsString="0" containsNumber="1" minValue="105.3" maxValue="123.1"/>
    </cacheField>
    <cacheField name="Spices" numFmtId="0">
      <sharedItems containsSemiMixedTypes="0" containsString="0" containsNumber="1" minValue="137.19999999999999" maxValue="178.7"/>
    </cacheField>
    <cacheField name="Non-alcoholic beverages" numFmtId="0">
      <sharedItems containsSemiMixedTypes="0" containsString="0" containsNumber="1" minValue="126.5" maxValue="171.2"/>
    </cacheField>
    <cacheField name="Prepared meals, snacks, sweets etc." numFmtId="0">
      <sharedItems containsSemiMixedTypes="0" containsString="0" containsNumber="1" minValue="148.30000000000001" maxValue="181.5"/>
    </cacheField>
    <cacheField name="Food and beverages" numFmtId="0">
      <sharedItems containsSemiMixedTypes="0" containsString="0" containsNumber="1" minValue="135.69999999999999" maxValue="173.5"/>
    </cacheField>
    <cacheField name="Pan, tobacco and intoxicants" numFmtId="0">
      <sharedItems containsSemiMixedTypes="0" containsString="0" containsNumber="1" minValue="156.1" maxValue="198.2"/>
    </cacheField>
    <cacheField name="Clothing" numFmtId="0">
      <sharedItems containsSemiMixedTypes="0" containsString="0" containsNumber="1" minValue="137.80000000000001" maxValue="175.4"/>
    </cacheField>
    <cacheField name="Footwear" numFmtId="0">
      <sharedItems containsSemiMixedTypes="0" containsString="0" containsNumber="1" minValue="127.4" maxValue="173.2"/>
    </cacheField>
    <cacheField name="Clothing and footwear" numFmtId="0">
      <sharedItems containsSemiMixedTypes="0" containsString="0" containsNumber="1" minValue="136.19999999999999" maxValue="175.1"/>
    </cacheField>
    <cacheField name="Housing" numFmtId="0">
      <sharedItems containsMixedTypes="1" containsNumber="1" minValue="0" maxValue="165.5"/>
    </cacheField>
    <cacheField name="Fuel and light" numFmtId="0">
      <sharedItems containsSemiMixedTypes="0" containsString="0" containsNumber="1" minValue="124.6" maxValue="168.9"/>
    </cacheField>
    <cacheField name="Household goods and services" numFmtId="0">
      <sharedItems containsSemiMixedTypes="0" containsString="0" containsNumber="1" minValue="131.80000000000001" maxValue="166.5"/>
    </cacheField>
    <cacheField name="Health" numFmtId="0">
      <sharedItems containsSemiMixedTypes="0" containsString="0" containsNumber="1" minValue="131.30000000000001" maxValue="176"/>
    </cacheField>
    <cacheField name="Transport and communication" numFmtId="0">
      <sharedItems containsSemiMixedTypes="0" containsString="0" containsNumber="1" minValue="118.6" maxValue="162"/>
    </cacheField>
    <cacheField name="Recreation and amusement" numFmtId="0">
      <sharedItems containsSemiMixedTypes="0" containsString="0" containsNumber="1" minValue="127.6" maxValue="166.6"/>
    </cacheField>
    <cacheField name="Education" numFmtId="0">
      <sharedItems containsSemiMixedTypes="0" containsString="0" containsNumber="1" minValue="139.69999999999999" maxValue="170.6"/>
    </cacheField>
    <cacheField name="Personal care and effects" numFmtId="0">
      <sharedItems containsSemiMixedTypes="0" containsString="0" containsNumber="1" minValue="127.6" maxValue="167.4"/>
    </cacheField>
    <cacheField name="Miscellaneous" numFmtId="0">
      <sharedItems containsSemiMixedTypes="0" containsString="0" containsNumber="1" minValue="128.19999999999999" maxValue="168.3"/>
    </cacheField>
    <cacheField name="General index" numFmtId="0">
      <sharedItems containsSemiMixedTypes="0" containsString="0" containsNumber="1" minValue="134.80000000000001" maxValue="168.7"/>
    </cacheField>
    <cacheField name="Food &amp; Drinks" numFmtId="0">
      <sharedItems containsSemiMixedTypes="0" containsString="0" containsNumber="1" minValue="1720.0000000000002" maxValue="2217.8999999999996"/>
    </cacheField>
    <cacheField name="Clothing &amp; Footwear (all)" numFmtId="0">
      <sharedItems containsSemiMixedTypes="0" containsString="0" containsNumber="1" minValue="401.40000000000003" maxValue="523.70000000000005"/>
    </cacheField>
    <cacheField name="Essential services" numFmtId="0">
      <sharedItems containsSemiMixedTypes="0" containsString="0" containsNumber="1" minValue="407.97777777777782" maxValue="653.20000000000005"/>
    </cacheField>
  </cacheFields>
  <extLst>
    <ext xmlns:x14="http://schemas.microsoft.com/office/spreadsheetml/2009/9/main" uri="{725AE2AE-9491-48be-B2B4-4EB974FC3084}">
      <x14:pivotCacheDefinition pivotCacheId="372853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n v="2248.3000000000002"/>
    <n v="9.6551104724268005E-3"/>
  </r>
  <r>
    <x v="0"/>
    <x v="0"/>
    <x v="1"/>
    <n v="2252.5"/>
    <n v="1.8680781034558635E-3"/>
  </r>
  <r>
    <x v="0"/>
    <x v="0"/>
    <x v="2"/>
    <n v="2255.7999999999997"/>
    <n v="1.4650388457268489E-3"/>
  </r>
  <r>
    <x v="0"/>
    <x v="0"/>
    <x v="3"/>
    <n v="2267.8000000000002"/>
    <n v="5.3196205337354627E-3"/>
  </r>
  <r>
    <x v="0"/>
    <x v="0"/>
    <x v="4"/>
    <n v="2284.5"/>
    <n v="7.3639650762853063E-3"/>
  </r>
  <r>
    <x v="0"/>
    <x v="0"/>
    <x v="5"/>
    <n v="2287.6999999999998"/>
    <n v="1.4007441453271255E-3"/>
  </r>
  <r>
    <x v="0"/>
    <x v="0"/>
    <x v="6"/>
    <n v="2277.1"/>
    <n v="-4.6334746688813698E-3"/>
  </r>
  <r>
    <x v="0"/>
    <x v="1"/>
    <x v="7"/>
    <n v="2283.2000000000003"/>
    <n v="2.678845900487622E-3"/>
  </r>
  <r>
    <x v="0"/>
    <x v="1"/>
    <x v="8"/>
    <n v="2265.6999999999998"/>
    <n v="-7.6646811492643886E-3"/>
  </r>
  <r>
    <x v="0"/>
    <x v="1"/>
    <x v="9"/>
    <n v="2265.8000000000002"/>
    <n v="4.4136469965292762E-5"/>
  </r>
  <r>
    <x v="0"/>
    <x v="1"/>
    <x v="10"/>
    <n v="2274.1999999999998"/>
    <n v="3.7072998499424643E-3"/>
  </r>
  <r>
    <x v="0"/>
    <x v="1"/>
    <x v="11"/>
    <n v="2290.7000000000007"/>
    <n v="7.2552985665292899E-3"/>
  </r>
  <r>
    <x v="1"/>
    <x v="0"/>
    <x v="0"/>
    <n v="2261.9"/>
    <n v="1.0272901871454526E-2"/>
  </r>
  <r>
    <x v="1"/>
    <x v="0"/>
    <x v="1"/>
    <n v="2266.3000000000002"/>
    <n v="1.9452672531942573E-3"/>
  </r>
  <r>
    <x v="1"/>
    <x v="0"/>
    <x v="2"/>
    <n v="2269.2000000000003"/>
    <n v="1.279618761858576E-3"/>
  </r>
  <r>
    <x v="1"/>
    <x v="0"/>
    <x v="3"/>
    <n v="2280.9"/>
    <n v="5.1560021152828386E-3"/>
  </r>
  <r>
    <x v="1"/>
    <x v="0"/>
    <x v="4"/>
    <n v="2297.3000000000002"/>
    <n v="7.1901442413082953E-3"/>
  </r>
  <r>
    <x v="1"/>
    <x v="0"/>
    <x v="5"/>
    <n v="2296.8000000000002"/>
    <n v="-2.1764680276846731E-4"/>
  </r>
  <r>
    <x v="1"/>
    <x v="0"/>
    <x v="6"/>
    <n v="2283.4"/>
    <n v="-5.8342041100662182E-3"/>
  </r>
  <r>
    <x v="1"/>
    <x v="1"/>
    <x v="7"/>
    <n v="2292.6999999999998"/>
    <n v="4.0728737847068961E-3"/>
  </r>
  <r>
    <x v="1"/>
    <x v="1"/>
    <x v="8"/>
    <n v="2279.1"/>
    <n v="-5.9318707201116193E-3"/>
  </r>
  <r>
    <x v="1"/>
    <x v="1"/>
    <x v="9"/>
    <n v="2279.1999999999998"/>
    <n v="4.3876968978943027E-5"/>
  </r>
  <r>
    <x v="1"/>
    <x v="1"/>
    <x v="10"/>
    <n v="2289.6000000000004"/>
    <n v="4.5630045630048032E-3"/>
  </r>
  <r>
    <x v="1"/>
    <x v="1"/>
    <x v="11"/>
    <n v="2306.9"/>
    <n v="7.5559049615652185E-3"/>
  </r>
  <r>
    <x v="2"/>
    <x v="0"/>
    <x v="0"/>
    <n v="2287.5"/>
    <n v="1.1183803377243269E-2"/>
  </r>
  <r>
    <x v="2"/>
    <x v="0"/>
    <x v="1"/>
    <n v="2291.6"/>
    <n v="1.7923497267759165E-3"/>
  </r>
  <r>
    <x v="2"/>
    <x v="0"/>
    <x v="2"/>
    <n v="2293.6999999999998"/>
    <n v="9.1639029499036005E-4"/>
  </r>
  <r>
    <x v="2"/>
    <x v="0"/>
    <x v="3"/>
    <n v="2306.4"/>
    <n v="5.5369054366308902E-3"/>
  </r>
  <r>
    <x v="2"/>
    <x v="0"/>
    <x v="4"/>
    <n v="2322.3000000000002"/>
    <n v="6.8938605619147117E-3"/>
  </r>
  <r>
    <x v="2"/>
    <x v="0"/>
    <x v="5"/>
    <n v="2314.4"/>
    <n v="-3.4017999397149765E-3"/>
  </r>
  <r>
    <x v="2"/>
    <x v="0"/>
    <x v="6"/>
    <n v="2295.7999999999997"/>
    <n v="-8.0366401659178899E-3"/>
  </r>
  <r>
    <x v="2"/>
    <x v="1"/>
    <x v="7"/>
    <n v="2310.2000000000003"/>
    <n v="6.2723233731163631E-3"/>
  </r>
  <r>
    <x v="2"/>
    <x v="1"/>
    <x v="8"/>
    <n v="2303.1999999999998"/>
    <n v="-3.0300406891180217E-3"/>
  </r>
  <r>
    <x v="2"/>
    <x v="1"/>
    <x v="9"/>
    <n v="2303.4"/>
    <n v="8.6835706842772171E-5"/>
  </r>
  <r>
    <x v="2"/>
    <x v="1"/>
    <x v="10"/>
    <n v="2317.7000000000003"/>
    <n v="6.2082139446037084E-3"/>
  </r>
  <r>
    <x v="2"/>
    <x v="1"/>
    <x v="11"/>
    <n v="2335.1"/>
    <n v="7.5074427233894096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s v="NA"/>
    <n v="105.5"/>
    <n v="104.8"/>
    <n v="104"/>
    <n v="103.3"/>
    <n v="103.4"/>
    <n v="103.8"/>
    <n v="104.7"/>
    <n v="104"/>
    <n v="105.1"/>
    <n v="1371.6999999999998"/>
    <n v="318.70000000000005"/>
    <n v="313.60000000000002"/>
  </r>
  <r>
    <x v="1"/>
    <x v="0"/>
    <x v="0"/>
    <n v="110.5"/>
    <n v="109.1"/>
    <n v="113"/>
    <n v="103.6"/>
    <n v="103.4"/>
    <n v="102.3"/>
    <n v="102.9"/>
    <n v="105.8"/>
    <n v="105.1"/>
    <n v="101.8"/>
    <n v="105.1"/>
    <n v="107.9"/>
    <n v="105.9"/>
    <n v="105.2"/>
    <n v="105.9"/>
    <n v="105"/>
    <n v="105.8"/>
    <s v="100.3"/>
    <n v="105.4"/>
    <n v="104.8"/>
    <n v="104.1"/>
    <n v="103.2"/>
    <n v="102.9"/>
    <n v="103.5"/>
    <n v="104.3"/>
    <n v="103.7"/>
    <n v="104"/>
    <n v="1376.4"/>
    <n v="316.7"/>
    <n v="313.39999999999998"/>
  </r>
  <r>
    <x v="2"/>
    <x v="0"/>
    <x v="0"/>
    <n v="108.4"/>
    <n v="107.3"/>
    <n v="110"/>
    <n v="104.4"/>
    <n v="105.1"/>
    <n v="103.2"/>
    <n v="102.2"/>
    <n v="106"/>
    <n v="106.2"/>
    <n v="102.7"/>
    <n v="104.9"/>
    <n v="107.3"/>
    <n v="105.6"/>
    <n v="105.1"/>
    <n v="106.3"/>
    <n v="105.5"/>
    <n v="106.2"/>
    <s v="100.3"/>
    <n v="105.5"/>
    <n v="104.8"/>
    <n v="104"/>
    <n v="103.2"/>
    <n v="103.1"/>
    <n v="103.6"/>
    <n v="104.5"/>
    <n v="103.9"/>
    <n v="104.6"/>
    <n v="1373.3000000000002"/>
    <n v="318"/>
    <n v="313.5"/>
  </r>
  <r>
    <x v="0"/>
    <x v="0"/>
    <x v="1"/>
    <n v="109.2"/>
    <n v="108.7"/>
    <n v="110.2"/>
    <n v="105.4"/>
    <n v="106.7"/>
    <n v="104"/>
    <n v="102.4"/>
    <n v="105.9"/>
    <n v="105.7"/>
    <n v="103.1"/>
    <n v="105.1"/>
    <n v="107.7"/>
    <n v="106.3"/>
    <n v="105.6"/>
    <n v="107.1"/>
    <n v="106.3"/>
    <n v="107"/>
    <s v="NA"/>
    <n v="106.2"/>
    <n v="105.2"/>
    <n v="104.4"/>
    <n v="103.9"/>
    <n v="104"/>
    <n v="104.1"/>
    <n v="104.6"/>
    <n v="104.4"/>
    <n v="105.8"/>
    <n v="1380.3999999999999"/>
    <n v="320.39999999999998"/>
    <n v="315.3"/>
  </r>
  <r>
    <x v="1"/>
    <x v="0"/>
    <x v="1"/>
    <n v="112.9"/>
    <n v="112.9"/>
    <n v="116.9"/>
    <n v="104"/>
    <n v="103.5"/>
    <n v="103.1"/>
    <n v="104.9"/>
    <n v="104.1"/>
    <n v="103.8"/>
    <n v="102.3"/>
    <n v="106"/>
    <n v="109"/>
    <n v="107.2"/>
    <n v="106"/>
    <n v="106.6"/>
    <n v="105.5"/>
    <n v="106.4"/>
    <s v="100.4"/>
    <n v="105.7"/>
    <n v="105.2"/>
    <n v="104.7"/>
    <n v="104.4"/>
    <n v="103.3"/>
    <n v="103.7"/>
    <n v="104.3"/>
    <n v="104.3"/>
    <n v="104.7"/>
    <n v="1390.6000000000001"/>
    <n v="318.5"/>
    <n v="315.3"/>
  </r>
  <r>
    <x v="2"/>
    <x v="0"/>
    <x v="1"/>
    <n v="110.4"/>
    <n v="110.2"/>
    <n v="112.8"/>
    <n v="104.9"/>
    <n v="105.5"/>
    <n v="103.6"/>
    <n v="103.2"/>
    <n v="105.3"/>
    <n v="105.1"/>
    <n v="102.8"/>
    <n v="105.5"/>
    <n v="108.3"/>
    <n v="106.6"/>
    <n v="105.7"/>
    <n v="106.9"/>
    <n v="106"/>
    <n v="106.8"/>
    <s v="100.4"/>
    <n v="106"/>
    <n v="105.2"/>
    <n v="104.5"/>
    <n v="104.2"/>
    <n v="103.6"/>
    <n v="103.9"/>
    <n v="104.5"/>
    <n v="104.4"/>
    <n v="105.3"/>
    <n v="1384.2"/>
    <n v="319.7"/>
    <n v="315.39999999999998"/>
  </r>
  <r>
    <x v="0"/>
    <x v="0"/>
    <x v="2"/>
    <n v="110.2"/>
    <n v="108.8"/>
    <n v="109.9"/>
    <n v="105.6"/>
    <n v="106.2"/>
    <n v="105.7"/>
    <n v="101.4"/>
    <n v="105.7"/>
    <n v="105"/>
    <n v="103.3"/>
    <n v="105.6"/>
    <n v="108.2"/>
    <n v="106.6"/>
    <n v="106.5"/>
    <n v="107.6"/>
    <n v="106.8"/>
    <n v="107.5"/>
    <s v="NA"/>
    <n v="106.1"/>
    <n v="105.6"/>
    <n v="104.7"/>
    <n v="104.6"/>
    <n v="104"/>
    <n v="104.3"/>
    <n v="104.3"/>
    <n v="104.6"/>
    <n v="106"/>
    <n v="1382.2"/>
    <n v="321.89999999999998"/>
    <n v="316.29999999999995"/>
  </r>
  <r>
    <x v="1"/>
    <x v="0"/>
    <x v="2"/>
    <n v="113.9"/>
    <n v="111.4"/>
    <n v="113.2"/>
    <n v="104.3"/>
    <n v="102.7"/>
    <n v="104.9"/>
    <n v="103.8"/>
    <n v="103.5"/>
    <n v="102.6"/>
    <n v="102.4"/>
    <n v="107"/>
    <n v="109.8"/>
    <n v="107.3"/>
    <n v="106.8"/>
    <n v="107.2"/>
    <n v="106"/>
    <n v="107"/>
    <s v="100.4"/>
    <n v="106"/>
    <n v="105.7"/>
    <n v="105.2"/>
    <n v="105.5"/>
    <n v="103.5"/>
    <n v="103.8"/>
    <n v="104.2"/>
    <n v="104.9"/>
    <n v="105"/>
    <n v="1386.8"/>
    <n v="320.2"/>
    <n v="317.2"/>
  </r>
  <r>
    <x v="2"/>
    <x v="0"/>
    <x v="2"/>
    <n v="111.4"/>
    <n v="109.7"/>
    <n v="111.2"/>
    <n v="105.1"/>
    <n v="104.9"/>
    <n v="105.3"/>
    <n v="102.2"/>
    <n v="105"/>
    <n v="104.2"/>
    <n v="103"/>
    <n v="106.2"/>
    <n v="108.9"/>
    <n v="106.9"/>
    <n v="106.6"/>
    <n v="107.4"/>
    <n v="106.5"/>
    <n v="107.3"/>
    <s v="100.4"/>
    <n v="106.1"/>
    <n v="105.6"/>
    <n v="104.9"/>
    <n v="105.1"/>
    <n v="103.7"/>
    <n v="104"/>
    <n v="104.3"/>
    <n v="104.7"/>
    <n v="105.5"/>
    <n v="1384.0000000000002"/>
    <n v="321.2"/>
    <n v="316.79999999999995"/>
  </r>
  <r>
    <x v="0"/>
    <x v="0"/>
    <x v="3"/>
    <n v="110.2"/>
    <n v="109.5"/>
    <n v="106.9"/>
    <n v="106.3"/>
    <n v="105.7"/>
    <n v="108.3"/>
    <n v="103.4"/>
    <n v="105.7"/>
    <n v="104.2"/>
    <n v="103.2"/>
    <n v="106.5"/>
    <n v="108.8"/>
    <n v="107.1"/>
    <n v="107.1"/>
    <n v="108.1"/>
    <n v="107.4"/>
    <n v="108"/>
    <s v="NA"/>
    <n v="106.5"/>
    <n v="106.1"/>
    <n v="105.1"/>
    <n v="104.4"/>
    <n v="104.5"/>
    <n v="104.8"/>
    <n v="102.7"/>
    <n v="104.6"/>
    <n v="106.4"/>
    <n v="1385.8"/>
    <n v="323.5"/>
    <n v="317"/>
  </r>
  <r>
    <x v="1"/>
    <x v="0"/>
    <x v="3"/>
    <n v="114.6"/>
    <n v="113.4"/>
    <n v="106"/>
    <n v="104.7"/>
    <n v="102.1"/>
    <n v="109.5"/>
    <n v="109.7"/>
    <n v="104.6"/>
    <n v="102"/>
    <n v="103.5"/>
    <n v="108.2"/>
    <n v="110.6"/>
    <n v="108.8"/>
    <n v="108.5"/>
    <n v="107.9"/>
    <n v="106.4"/>
    <n v="107.7"/>
    <s v="100.5"/>
    <n v="106.4"/>
    <n v="106.5"/>
    <n v="105.7"/>
    <n v="105"/>
    <n v="104"/>
    <n v="105.2"/>
    <n v="103.2"/>
    <n v="105.1"/>
    <n v="105.7"/>
    <n v="1397.6999999999998"/>
    <n v="322"/>
    <n v="317.89999999999998"/>
  </r>
  <r>
    <x v="2"/>
    <x v="0"/>
    <x v="3"/>
    <n v="111.6"/>
    <n v="110.9"/>
    <n v="106.6"/>
    <n v="105.7"/>
    <n v="104.4"/>
    <n v="108.9"/>
    <n v="105.5"/>
    <n v="105.3"/>
    <n v="103.5"/>
    <n v="103.3"/>
    <n v="107.2"/>
    <n v="109.6"/>
    <n v="107.7"/>
    <n v="107.5"/>
    <n v="108"/>
    <n v="107"/>
    <n v="107.9"/>
    <s v="100.5"/>
    <n v="106.5"/>
    <n v="106.3"/>
    <n v="105.3"/>
    <n v="104.7"/>
    <n v="104.2"/>
    <n v="105"/>
    <n v="102.9"/>
    <n v="104.8"/>
    <n v="106.1"/>
    <n v="1390.2"/>
    <n v="322.89999999999998"/>
    <n v="317.5"/>
  </r>
  <r>
    <x v="0"/>
    <x v="0"/>
    <x v="4"/>
    <n v="110.9"/>
    <n v="109.8"/>
    <n v="105.9"/>
    <n v="107.5"/>
    <n v="105.3"/>
    <n v="108.1"/>
    <n v="107.3"/>
    <n v="106.1"/>
    <n v="103.7"/>
    <n v="104"/>
    <n v="107.4"/>
    <n v="109.9"/>
    <n v="108.1"/>
    <n v="108.1"/>
    <n v="108.8"/>
    <n v="107.9"/>
    <n v="108.6"/>
    <s v="NA"/>
    <n v="107.5"/>
    <n v="106.8"/>
    <n v="105.7"/>
    <n v="104.1"/>
    <n v="105"/>
    <n v="105.5"/>
    <n v="102.1"/>
    <n v="104.8"/>
    <n v="107.2"/>
    <n v="1394"/>
    <n v="325.29999999999995"/>
    <n v="318.39999999999998"/>
  </r>
  <r>
    <x v="1"/>
    <x v="0"/>
    <x v="4"/>
    <n v="115.4"/>
    <n v="114.2"/>
    <n v="102.7"/>
    <n v="105.5"/>
    <n v="101.5"/>
    <n v="110.6"/>
    <n v="123.7"/>
    <n v="105.2"/>
    <n v="101.9"/>
    <n v="105"/>
    <n v="109.1"/>
    <n v="111.3"/>
    <n v="111.1"/>
    <n v="109.8"/>
    <n v="108.5"/>
    <n v="106.7"/>
    <n v="108.3"/>
    <s v="100.5"/>
    <n v="107.2"/>
    <n v="107.1"/>
    <n v="106.2"/>
    <n v="103.9"/>
    <n v="104.6"/>
    <n v="105.7"/>
    <n v="102.6"/>
    <n v="104.9"/>
    <n v="106.6"/>
    <n v="1417.1999999999998"/>
    <n v="323.5"/>
    <n v="318.20000000000005"/>
  </r>
  <r>
    <x v="2"/>
    <x v="0"/>
    <x v="4"/>
    <n v="112.3"/>
    <n v="111.3"/>
    <n v="104.7"/>
    <n v="106.8"/>
    <n v="103.9"/>
    <n v="109.3"/>
    <n v="112.9"/>
    <n v="105.8"/>
    <n v="103.1"/>
    <n v="104.3"/>
    <n v="108.1"/>
    <n v="110.5"/>
    <n v="109.2"/>
    <n v="108.6"/>
    <n v="108.7"/>
    <n v="107.4"/>
    <n v="108.5"/>
    <s v="100.5"/>
    <n v="107.4"/>
    <n v="106.9"/>
    <n v="105.9"/>
    <n v="104"/>
    <n v="104.8"/>
    <n v="105.6"/>
    <n v="102.3"/>
    <n v="104.8"/>
    <n v="106.9"/>
    <n v="1402.1999999999998"/>
    <n v="324.60000000000002"/>
    <n v="318.3"/>
  </r>
  <r>
    <x v="0"/>
    <x v="0"/>
    <x v="5"/>
    <n v="112.3"/>
    <n v="112.1"/>
    <n v="108.1"/>
    <n v="108.3"/>
    <n v="105.9"/>
    <n v="109.2"/>
    <n v="118"/>
    <n v="106.8"/>
    <n v="104.1"/>
    <n v="105.4"/>
    <n v="108.2"/>
    <n v="111"/>
    <n v="110.6"/>
    <n v="109"/>
    <n v="109.7"/>
    <n v="108.8"/>
    <n v="109.5"/>
    <s v="NA"/>
    <n v="108.5"/>
    <n v="107.5"/>
    <n v="106.3"/>
    <n v="105"/>
    <n v="105.6"/>
    <n v="106.5"/>
    <n v="102.5"/>
    <n v="105.5"/>
    <n v="108.9"/>
    <n v="1420"/>
    <n v="328"/>
    <n v="321"/>
  </r>
  <r>
    <x v="1"/>
    <x v="0"/>
    <x v="5"/>
    <n v="117"/>
    <n v="120.1"/>
    <n v="112.5"/>
    <n v="107.3"/>
    <n v="101.3"/>
    <n v="112.4"/>
    <n v="143.6"/>
    <n v="105.4"/>
    <n v="101.4"/>
    <n v="106.4"/>
    <n v="110"/>
    <n v="112.2"/>
    <n v="115"/>
    <n v="110.9"/>
    <n v="109.2"/>
    <n v="107.2"/>
    <n v="108.9"/>
    <s v="106.6"/>
    <n v="108"/>
    <n v="107.7"/>
    <n v="106.5"/>
    <n v="105.2"/>
    <n v="105.2"/>
    <n v="108.1"/>
    <n v="103.3"/>
    <n v="106.1"/>
    <n v="109.7"/>
    <n v="1464.6000000000001"/>
    <n v="325.3"/>
    <n v="320.89999999999998"/>
  </r>
  <r>
    <x v="2"/>
    <x v="0"/>
    <x v="5"/>
    <n v="113.8"/>
    <n v="114.9"/>
    <n v="109.8"/>
    <n v="107.9"/>
    <n v="104.2"/>
    <n v="110.7"/>
    <n v="126.7"/>
    <n v="106.3"/>
    <n v="103.2"/>
    <n v="105.7"/>
    <n v="109"/>
    <n v="111.6"/>
    <n v="112.2"/>
    <n v="109.5"/>
    <n v="109.5"/>
    <n v="108.1"/>
    <n v="109.3"/>
    <s v="106.6"/>
    <n v="108.3"/>
    <n v="107.6"/>
    <n v="106.4"/>
    <n v="105.1"/>
    <n v="105.4"/>
    <n v="107.4"/>
    <n v="102.8"/>
    <n v="105.8"/>
    <n v="109.3"/>
    <n v="1436"/>
    <n v="326.89999999999998"/>
    <n v="321"/>
  </r>
  <r>
    <x v="0"/>
    <x v="0"/>
    <x v="6"/>
    <n v="113.4"/>
    <n v="114.9"/>
    <n v="110.5"/>
    <n v="109.3"/>
    <n v="106.2"/>
    <n v="110.3"/>
    <n v="129.19999999999999"/>
    <n v="107.1"/>
    <n v="104.3"/>
    <n v="106.4"/>
    <n v="109.1"/>
    <n v="112.1"/>
    <n v="113.1"/>
    <n v="109.8"/>
    <n v="110.5"/>
    <n v="109.5"/>
    <n v="110.3"/>
    <s v="NA"/>
    <n v="109.5"/>
    <n v="108.3"/>
    <n v="106.9"/>
    <n v="106.8"/>
    <n v="106.4"/>
    <n v="107.8"/>
    <n v="102.5"/>
    <n v="106.5"/>
    <n v="110.7"/>
    <n v="1445.8999999999996"/>
    <n v="330.3"/>
    <n v="324.60000000000002"/>
  </r>
  <r>
    <x v="1"/>
    <x v="0"/>
    <x v="6"/>
    <n v="117.8"/>
    <n v="119.2"/>
    <n v="114"/>
    <n v="108.3"/>
    <n v="101.1"/>
    <n v="113.2"/>
    <n v="160.9"/>
    <n v="105.1"/>
    <n v="101.3"/>
    <n v="107.5"/>
    <n v="110.4"/>
    <n v="113.1"/>
    <n v="117.5"/>
    <n v="111.7"/>
    <n v="109.8"/>
    <n v="107.8"/>
    <n v="109.5"/>
    <s v="107.7"/>
    <n v="108.6"/>
    <n v="108.1"/>
    <n v="107.1"/>
    <n v="107.3"/>
    <n v="105.9"/>
    <n v="110.1"/>
    <n v="103.2"/>
    <n v="107.3"/>
    <n v="111.4"/>
    <n v="1489.4"/>
    <n v="327.10000000000002"/>
    <n v="324"/>
  </r>
  <r>
    <x v="2"/>
    <x v="0"/>
    <x v="6"/>
    <n v="114.8"/>
    <n v="116.4"/>
    <n v="111.9"/>
    <n v="108.9"/>
    <n v="104.3"/>
    <n v="111.7"/>
    <n v="140"/>
    <n v="106.4"/>
    <n v="103.3"/>
    <n v="106.8"/>
    <n v="109.6"/>
    <n v="112.6"/>
    <n v="114.7"/>
    <n v="110.3"/>
    <n v="110.2"/>
    <n v="108.8"/>
    <n v="110"/>
    <s v="107.7"/>
    <n v="109.2"/>
    <n v="108.2"/>
    <n v="107"/>
    <n v="107.1"/>
    <n v="106.1"/>
    <n v="109.1"/>
    <n v="102.8"/>
    <n v="106.9"/>
    <n v="111"/>
    <n v="1461.3999999999999"/>
    <n v="329"/>
    <n v="324.5"/>
  </r>
  <r>
    <x v="0"/>
    <x v="0"/>
    <x v="7"/>
    <n v="114.3"/>
    <n v="115.4"/>
    <n v="111.1"/>
    <n v="110"/>
    <n v="106.4"/>
    <n v="110.8"/>
    <n v="138.9"/>
    <n v="107.4"/>
    <n v="104.1"/>
    <n v="106.9"/>
    <n v="109.7"/>
    <n v="112.6"/>
    <n v="114.9"/>
    <n v="110.7"/>
    <n v="111.3"/>
    <n v="110.2"/>
    <n v="111.1"/>
    <s v="NA"/>
    <n v="109.9"/>
    <n v="108.7"/>
    <n v="107.5"/>
    <n v="107.8"/>
    <n v="106.8"/>
    <n v="108.7"/>
    <n v="105"/>
    <n v="107.5"/>
    <n v="112.1"/>
    <n v="1462.5"/>
    <n v="332.6"/>
    <n v="326.40000000000003"/>
  </r>
  <r>
    <x v="1"/>
    <x v="0"/>
    <x v="7"/>
    <n v="118.3"/>
    <n v="120.4"/>
    <n v="112.7"/>
    <n v="108.9"/>
    <n v="101.1"/>
    <n v="108.7"/>
    <n v="177"/>
    <n v="104.7"/>
    <n v="101"/>
    <n v="108.5"/>
    <n v="110.9"/>
    <n v="114.3"/>
    <n v="119.6"/>
    <n v="112.4"/>
    <n v="110.6"/>
    <n v="108.3"/>
    <n v="110.2"/>
    <s v="108.9"/>
    <n v="109.3"/>
    <n v="108.7"/>
    <n v="107.6"/>
    <n v="108.1"/>
    <n v="106.5"/>
    <n v="110.8"/>
    <n v="106"/>
    <n v="108.3"/>
    <n v="112.7"/>
    <n v="1506.1000000000001"/>
    <n v="329.09999999999997"/>
    <n v="326.10000000000002"/>
  </r>
  <r>
    <x v="2"/>
    <x v="0"/>
    <x v="7"/>
    <n v="115.6"/>
    <n v="117.2"/>
    <n v="111.7"/>
    <n v="109.6"/>
    <n v="104.5"/>
    <n v="109.8"/>
    <n v="151.80000000000001"/>
    <n v="106.5"/>
    <n v="103.1"/>
    <n v="107.4"/>
    <n v="110.2"/>
    <n v="113.4"/>
    <n v="116.6"/>
    <n v="111.2"/>
    <n v="111"/>
    <n v="109.4"/>
    <n v="110.7"/>
    <s v="108.9"/>
    <n v="109.7"/>
    <n v="108.7"/>
    <n v="107.5"/>
    <n v="108"/>
    <n v="106.6"/>
    <n v="109.9"/>
    <n v="105.4"/>
    <n v="107.9"/>
    <n v="112.4"/>
    <n v="1477.4"/>
    <n v="331.1"/>
    <n v="326.39999999999998"/>
  </r>
  <r>
    <x v="0"/>
    <x v="0"/>
    <x v="8"/>
    <n v="115.4"/>
    <n v="115.7"/>
    <n v="111.7"/>
    <n v="111"/>
    <n v="107.4"/>
    <n v="110.9"/>
    <n v="154"/>
    <n v="108.1"/>
    <n v="104.2"/>
    <n v="107.9"/>
    <n v="110.4"/>
    <n v="114"/>
    <n v="117.8"/>
    <n v="111.7"/>
    <n v="112.7"/>
    <n v="111.4"/>
    <n v="112.5"/>
    <s v="NA"/>
    <n v="111.1"/>
    <n v="109.6"/>
    <n v="108.3"/>
    <n v="109.3"/>
    <n v="107.7"/>
    <n v="109.8"/>
    <n v="106.7"/>
    <n v="108.7"/>
    <n v="114.2"/>
    <n v="1488.5000000000002"/>
    <n v="336.6"/>
    <n v="330"/>
  </r>
  <r>
    <x v="1"/>
    <x v="0"/>
    <x v="8"/>
    <n v="118.6"/>
    <n v="119.1"/>
    <n v="113.2"/>
    <n v="109.6"/>
    <n v="101.7"/>
    <n v="103.2"/>
    <n v="174.3"/>
    <n v="105.1"/>
    <n v="100.8"/>
    <n v="109.1"/>
    <n v="111.1"/>
    <n v="115.4"/>
    <n v="119.2"/>
    <n v="112.9"/>
    <n v="111.4"/>
    <n v="109"/>
    <n v="111.1"/>
    <s v="109.7"/>
    <n v="109.5"/>
    <n v="109.6"/>
    <n v="107.9"/>
    <n v="110.4"/>
    <n v="107.4"/>
    <n v="111.2"/>
    <n v="106.9"/>
    <n v="109.4"/>
    <n v="113.2"/>
    <n v="1500.4"/>
    <n v="331.5"/>
    <n v="329.5"/>
  </r>
  <r>
    <x v="2"/>
    <x v="0"/>
    <x v="8"/>
    <n v="116.4"/>
    <n v="116.9"/>
    <n v="112.3"/>
    <n v="110.5"/>
    <n v="105.3"/>
    <n v="107.3"/>
    <n v="160.9"/>
    <n v="107.1"/>
    <n v="103.1"/>
    <n v="108.3"/>
    <n v="110.7"/>
    <n v="114.6"/>
    <n v="118.3"/>
    <n v="112"/>
    <n v="112.2"/>
    <n v="110.4"/>
    <n v="111.9"/>
    <s v="109.7"/>
    <n v="110.5"/>
    <n v="109.6"/>
    <n v="108.1"/>
    <n v="109.9"/>
    <n v="107.5"/>
    <n v="110.6"/>
    <n v="106.8"/>
    <n v="109"/>
    <n v="113.7"/>
    <n v="1491.6999999999998"/>
    <n v="334.5"/>
    <n v="330"/>
  </r>
  <r>
    <x v="0"/>
    <x v="0"/>
    <x v="9"/>
    <n v="116.3"/>
    <n v="115.4"/>
    <n v="112.6"/>
    <n v="111.7"/>
    <n v="107.7"/>
    <n v="113.2"/>
    <n v="164.9"/>
    <n v="108.3"/>
    <n v="103.9"/>
    <n v="108.2"/>
    <n v="111.1"/>
    <n v="114.9"/>
    <n v="119.8"/>
    <n v="112.2"/>
    <n v="113.6"/>
    <n v="112.3"/>
    <n v="113.4"/>
    <s v="NA"/>
    <n v="111.6"/>
    <n v="110.4"/>
    <n v="108.9"/>
    <n v="109.3"/>
    <n v="108.3"/>
    <n v="110.2"/>
    <n v="107.5"/>
    <n v="109.1"/>
    <n v="115.5"/>
    <n v="1508"/>
    <n v="339.29999999999995"/>
    <n v="331.3"/>
  </r>
  <r>
    <x v="1"/>
    <x v="0"/>
    <x v="9"/>
    <n v="118.9"/>
    <n v="118.1"/>
    <n v="114.5"/>
    <n v="110.4"/>
    <n v="102.3"/>
    <n v="106.2"/>
    <n v="183.5"/>
    <n v="105.3"/>
    <n v="100.2"/>
    <n v="109.6"/>
    <n v="111.4"/>
    <n v="116"/>
    <n v="120.8"/>
    <n v="113.5"/>
    <n v="112.5"/>
    <n v="109.7"/>
    <n v="112"/>
    <s v="110.5"/>
    <n v="109.7"/>
    <n v="110.2"/>
    <n v="108.2"/>
    <n v="109.7"/>
    <n v="108"/>
    <n v="111.3"/>
    <n v="107.3"/>
    <n v="109.4"/>
    <n v="114"/>
    <n v="1517.1999999999998"/>
    <n v="334.2"/>
    <n v="329.6"/>
  </r>
  <r>
    <x v="2"/>
    <x v="0"/>
    <x v="9"/>
    <n v="117.1"/>
    <n v="116.3"/>
    <n v="113.3"/>
    <n v="111.2"/>
    <n v="105.7"/>
    <n v="109.9"/>
    <n v="171.2"/>
    <n v="107.3"/>
    <n v="102.7"/>
    <n v="108.7"/>
    <n v="111.2"/>
    <n v="115.4"/>
    <n v="120.2"/>
    <n v="112.5"/>
    <n v="113.2"/>
    <n v="111.2"/>
    <n v="112.8"/>
    <s v="110.5"/>
    <n v="110.9"/>
    <n v="110.3"/>
    <n v="108.6"/>
    <n v="109.5"/>
    <n v="108.1"/>
    <n v="110.8"/>
    <n v="107.4"/>
    <n v="109.2"/>
    <n v="114.8"/>
    <n v="1510.2000000000003"/>
    <n v="337.2"/>
    <n v="330.7"/>
  </r>
  <r>
    <x v="0"/>
    <x v="0"/>
    <x v="10"/>
    <n v="117.3"/>
    <n v="114.9"/>
    <n v="116.2"/>
    <n v="112.8"/>
    <n v="108.9"/>
    <n v="116.6"/>
    <n v="178.1"/>
    <n v="109.1"/>
    <n v="103.6"/>
    <n v="109"/>
    <n v="111.8"/>
    <n v="116"/>
    <n v="122.5"/>
    <n v="112.8"/>
    <n v="114.6"/>
    <n v="113.1"/>
    <n v="114.4"/>
    <s v="NA"/>
    <n v="112.6"/>
    <n v="111.3"/>
    <n v="109.7"/>
    <n v="109.6"/>
    <n v="108.7"/>
    <n v="111"/>
    <n v="108.2"/>
    <n v="109.8"/>
    <n v="117.4"/>
    <n v="1536.8"/>
    <n v="342.1"/>
    <n v="333.5"/>
  </r>
  <r>
    <x v="1"/>
    <x v="0"/>
    <x v="11"/>
    <n v="119.8"/>
    <n v="116.3"/>
    <n v="122.6"/>
    <n v="112"/>
    <n v="103.2"/>
    <n v="110"/>
    <n v="192.8"/>
    <n v="106.3"/>
    <n v="99.5"/>
    <n v="110.3"/>
    <n v="111.8"/>
    <n v="117.1"/>
    <n v="122.9"/>
    <n v="114.1"/>
    <n v="113.5"/>
    <n v="110.3"/>
    <n v="113"/>
    <s v="111.1"/>
    <n v="110"/>
    <n v="110.9"/>
    <n v="108.6"/>
    <n v="109.5"/>
    <n v="108.5"/>
    <n v="111.3"/>
    <n v="107.9"/>
    <n v="109.6"/>
    <n v="115"/>
    <n v="1544.6"/>
    <n v="336.8"/>
    <n v="330.4"/>
  </r>
  <r>
    <x v="2"/>
    <x v="0"/>
    <x v="11"/>
    <n v="118.1"/>
    <n v="115.4"/>
    <n v="118.7"/>
    <n v="112.5"/>
    <n v="106.8"/>
    <n v="113.5"/>
    <n v="183.1"/>
    <n v="108.2"/>
    <n v="102.2"/>
    <n v="109.4"/>
    <n v="111.8"/>
    <n v="116.5"/>
    <n v="122.6"/>
    <n v="113.1"/>
    <n v="114.2"/>
    <n v="111.9"/>
    <n v="113.8"/>
    <s v="111.1"/>
    <n v="111.6"/>
    <n v="111.1"/>
    <n v="109.3"/>
    <n v="109.5"/>
    <n v="108.6"/>
    <n v="111.2"/>
    <n v="108.1"/>
    <n v="109.7"/>
    <n v="116.3"/>
    <n v="1538.8"/>
    <n v="339.90000000000003"/>
    <n v="332.2"/>
  </r>
  <r>
    <x v="0"/>
    <x v="0"/>
    <x v="12"/>
    <n v="118.4"/>
    <n v="115.9"/>
    <n v="120.4"/>
    <n v="113.8"/>
    <n v="109.5"/>
    <n v="115.5"/>
    <n v="145.69999999999999"/>
    <n v="109.5"/>
    <n v="102.9"/>
    <n v="109.8"/>
    <n v="112.1"/>
    <n v="116.8"/>
    <n v="118.7"/>
    <n v="113.6"/>
    <n v="115.8"/>
    <n v="114"/>
    <n v="115.5"/>
    <s v="NA"/>
    <n v="112.8"/>
    <n v="112.1"/>
    <n v="110.1"/>
    <n v="109.9"/>
    <n v="109.2"/>
    <n v="111.6"/>
    <n v="108.1"/>
    <n v="110.1"/>
    <n v="115.5"/>
    <n v="1509"/>
    <n v="345.3"/>
    <n v="334.79999999999995"/>
  </r>
  <r>
    <x v="1"/>
    <x v="0"/>
    <x v="12"/>
    <n v="120.5"/>
    <n v="118.1"/>
    <n v="128.5"/>
    <n v="112.8"/>
    <n v="103.4"/>
    <n v="110.7"/>
    <n v="144.80000000000001"/>
    <n v="107.1"/>
    <n v="98.6"/>
    <n v="111.9"/>
    <n v="112.1"/>
    <n v="118.1"/>
    <n v="117.8"/>
    <n v="115"/>
    <n v="114.2"/>
    <n v="110.9"/>
    <n v="113.7"/>
    <s v="110.7"/>
    <n v="110.4"/>
    <n v="111.3"/>
    <n v="109"/>
    <n v="109.7"/>
    <n v="108.9"/>
    <n v="111.4"/>
    <n v="107.7"/>
    <n v="109.8"/>
    <n v="113.3"/>
    <n v="1504.4"/>
    <n v="338.8"/>
    <n v="331.4"/>
  </r>
  <r>
    <x v="2"/>
    <x v="0"/>
    <x v="12"/>
    <n v="119.1"/>
    <n v="116.7"/>
    <n v="123.5"/>
    <n v="113.4"/>
    <n v="107.3"/>
    <n v="113.3"/>
    <n v="145.4"/>
    <n v="108.7"/>
    <n v="101.5"/>
    <n v="110.5"/>
    <n v="112.1"/>
    <n v="117.4"/>
    <n v="118.4"/>
    <n v="114"/>
    <n v="115.2"/>
    <n v="112.7"/>
    <n v="114.8"/>
    <s v="110.7"/>
    <n v="111.9"/>
    <n v="111.7"/>
    <n v="109.7"/>
    <n v="109.8"/>
    <n v="109"/>
    <n v="111.5"/>
    <n v="107.9"/>
    <n v="110"/>
    <n v="114.5"/>
    <n v="1507.3000000000002"/>
    <n v="342.7"/>
    <n v="333.40000000000003"/>
  </r>
  <r>
    <x v="0"/>
    <x v="1"/>
    <x v="0"/>
    <n v="118.9"/>
    <n v="117.1"/>
    <n v="120.5"/>
    <n v="114.4"/>
    <n v="109"/>
    <n v="115.5"/>
    <n v="123.9"/>
    <n v="109.6"/>
    <n v="101.8"/>
    <n v="110.2"/>
    <n v="112.4"/>
    <n v="117.3"/>
    <n v="116"/>
    <n v="114"/>
    <n v="116.5"/>
    <n v="114.5"/>
    <n v="116.2"/>
    <s v="NA"/>
    <n v="113"/>
    <n v="112.6"/>
    <n v="110.6"/>
    <n v="110.5"/>
    <n v="109.6"/>
    <n v="111.8"/>
    <n v="108.3"/>
    <n v="110.6"/>
    <n v="114.2"/>
    <n v="1486.6000000000001"/>
    <n v="347.2"/>
    <n v="336.1"/>
  </r>
  <r>
    <x v="1"/>
    <x v="1"/>
    <x v="0"/>
    <n v="121.2"/>
    <n v="122"/>
    <n v="129.9"/>
    <n v="113.6"/>
    <n v="102.9"/>
    <n v="112.1"/>
    <n v="118.9"/>
    <n v="107.5"/>
    <n v="96.9"/>
    <n v="112.7"/>
    <n v="112.1"/>
    <n v="119"/>
    <n v="115.5"/>
    <n v="115.7"/>
    <n v="114.8"/>
    <n v="111.3"/>
    <n v="114.3"/>
    <s v="111.6"/>
    <n v="111"/>
    <n v="111.9"/>
    <n v="109.7"/>
    <n v="110.8"/>
    <n v="109.8"/>
    <n v="111.5"/>
    <n v="108"/>
    <n v="110.5"/>
    <n v="112.9"/>
    <n v="1484.3"/>
    <n v="340.4"/>
    <n v="333.7"/>
  </r>
  <r>
    <x v="2"/>
    <x v="1"/>
    <x v="0"/>
    <n v="119.6"/>
    <n v="118.8"/>
    <n v="124.1"/>
    <n v="114.1"/>
    <n v="106.8"/>
    <n v="113.9"/>
    <n v="122.2"/>
    <n v="108.9"/>
    <n v="100.2"/>
    <n v="111"/>
    <n v="112.3"/>
    <n v="118.1"/>
    <n v="115.8"/>
    <n v="114.5"/>
    <n v="115.8"/>
    <n v="113.2"/>
    <n v="115.4"/>
    <s v="111.6"/>
    <n v="112.2"/>
    <n v="112.3"/>
    <n v="110.3"/>
    <n v="110.7"/>
    <n v="109.7"/>
    <n v="111.6"/>
    <n v="108.2"/>
    <n v="110.6"/>
    <n v="113.6"/>
    <n v="1485.7999999999997"/>
    <n v="344.4"/>
    <n v="335.2"/>
  </r>
  <r>
    <x v="0"/>
    <x v="1"/>
    <x v="1"/>
    <n v="119.4"/>
    <n v="117.7"/>
    <n v="121.2"/>
    <n v="115"/>
    <n v="109"/>
    <n v="116.6"/>
    <n v="116"/>
    <n v="109.8"/>
    <n v="101.1"/>
    <n v="110.4"/>
    <n v="112.9"/>
    <n v="117.8"/>
    <n v="115.3"/>
    <n v="114.2"/>
    <n v="117.1"/>
    <n v="114.5"/>
    <n v="116.7"/>
    <s v="NA"/>
    <n v="113.2"/>
    <n v="112.9"/>
    <n v="110.9"/>
    <n v="110.8"/>
    <n v="109.9"/>
    <n v="112"/>
    <n v="108.7"/>
    <n v="110.9"/>
    <n v="114"/>
    <n v="1482.2"/>
    <n v="348.3"/>
    <n v="336.90000000000003"/>
  </r>
  <r>
    <x v="1"/>
    <x v="1"/>
    <x v="1"/>
    <n v="121.9"/>
    <n v="122"/>
    <n v="124.5"/>
    <n v="115.2"/>
    <n v="102.5"/>
    <n v="114.1"/>
    <n v="111.5"/>
    <n v="108.2"/>
    <n v="95.4"/>
    <n v="113.5"/>
    <n v="112.1"/>
    <n v="119.9"/>
    <n v="115.2"/>
    <n v="116.2"/>
    <n v="115.3"/>
    <n v="111.7"/>
    <n v="114.7"/>
    <s v="112.5"/>
    <n v="111.1"/>
    <n v="112.6"/>
    <n v="110.4"/>
    <n v="111.3"/>
    <n v="110.3"/>
    <n v="111.6"/>
    <n v="108.7"/>
    <n v="111"/>
    <n v="113.1"/>
    <n v="1476"/>
    <n v="341.7"/>
    <n v="335"/>
  </r>
  <r>
    <x v="2"/>
    <x v="1"/>
    <x v="1"/>
    <n v="120.2"/>
    <n v="119.2"/>
    <n v="122.5"/>
    <n v="115.1"/>
    <n v="106.6"/>
    <n v="115.4"/>
    <n v="114.5"/>
    <n v="109.3"/>
    <n v="99.2"/>
    <n v="111.4"/>
    <n v="112.6"/>
    <n v="118.8"/>
    <n v="115.3"/>
    <n v="114.7"/>
    <n v="116.4"/>
    <n v="113.3"/>
    <n v="115.9"/>
    <s v="112.5"/>
    <n v="112.4"/>
    <n v="112.8"/>
    <n v="110.7"/>
    <n v="111.1"/>
    <n v="110.1"/>
    <n v="111.8"/>
    <n v="108.7"/>
    <n v="110.9"/>
    <n v="113.6"/>
    <n v="1480.1"/>
    <n v="345.6"/>
    <n v="336.29999999999995"/>
  </r>
  <r>
    <x v="0"/>
    <x v="1"/>
    <x v="2"/>
    <n v="120.1"/>
    <n v="118.1"/>
    <n v="120.7"/>
    <n v="116.1"/>
    <n v="109.3"/>
    <n v="119.6"/>
    <n v="117.9"/>
    <n v="110.2"/>
    <n v="101.2"/>
    <n v="110.7"/>
    <n v="113"/>
    <n v="118.3"/>
    <n v="116.2"/>
    <n v="114.6"/>
    <n v="117.5"/>
    <n v="114.9"/>
    <n v="117.2"/>
    <s v="NA"/>
    <n v="113.4"/>
    <n v="113.4"/>
    <n v="111.4"/>
    <n v="111.2"/>
    <n v="110.2"/>
    <n v="112.4"/>
    <n v="108.9"/>
    <n v="111.3"/>
    <n v="114.6"/>
    <n v="1491.4"/>
    <n v="349.6"/>
    <n v="338"/>
  </r>
  <r>
    <x v="1"/>
    <x v="1"/>
    <x v="2"/>
    <n v="122.1"/>
    <n v="121.4"/>
    <n v="121.5"/>
    <n v="116.2"/>
    <n v="102.8"/>
    <n v="117.7"/>
    <n v="113.3"/>
    <n v="108.9"/>
    <n v="96.3"/>
    <n v="114.1"/>
    <n v="112.2"/>
    <n v="120.5"/>
    <n v="116"/>
    <n v="116.7"/>
    <n v="115.8"/>
    <n v="112.1"/>
    <n v="115.2"/>
    <s v="113.2"/>
    <n v="110.9"/>
    <n v="113"/>
    <n v="110.8"/>
    <n v="111.6"/>
    <n v="110.9"/>
    <n v="111.8"/>
    <n v="109.2"/>
    <n v="111.4"/>
    <n v="113.7"/>
    <n v="1483"/>
    <n v="343.09999999999997"/>
    <n v="335.5"/>
  </r>
  <r>
    <x v="2"/>
    <x v="1"/>
    <x v="13"/>
    <n v="120.7"/>
    <n v="119.3"/>
    <n v="121"/>
    <n v="116.1"/>
    <n v="106.9"/>
    <n v="118.7"/>
    <n v="116.3"/>
    <n v="109.8"/>
    <n v="99.6"/>
    <n v="111.8"/>
    <n v="112.7"/>
    <n v="119.3"/>
    <n v="116.1"/>
    <n v="115.2"/>
    <n v="116.8"/>
    <n v="113.7"/>
    <n v="116.4"/>
    <s v="113.2"/>
    <n v="112.5"/>
    <n v="113.2"/>
    <n v="111.2"/>
    <n v="111.4"/>
    <n v="110.6"/>
    <n v="112"/>
    <n v="109"/>
    <n v="111.3"/>
    <n v="114.2"/>
    <n v="1488.2999999999997"/>
    <n v="346.9"/>
    <n v="337.1"/>
  </r>
  <r>
    <x v="0"/>
    <x v="1"/>
    <x v="3"/>
    <n v="120.2"/>
    <n v="118.9"/>
    <n v="118.1"/>
    <n v="117"/>
    <n v="109.7"/>
    <n v="125.5"/>
    <n v="120.5"/>
    <n v="111"/>
    <n v="102.6"/>
    <n v="111.2"/>
    <n v="113.5"/>
    <n v="118.7"/>
    <n v="117.2"/>
    <n v="115.4"/>
    <n v="118.1"/>
    <n v="116.1"/>
    <n v="117.8"/>
    <s v="NA"/>
    <n v="113.4"/>
    <n v="113.7"/>
    <n v="111.8"/>
    <n v="111.2"/>
    <n v="110.5"/>
    <n v="113"/>
    <n v="108.9"/>
    <n v="111.5"/>
    <n v="115.4"/>
    <n v="1504.1000000000001"/>
    <n v="352"/>
    <n v="338.3"/>
  </r>
  <r>
    <x v="1"/>
    <x v="1"/>
    <x v="3"/>
    <n v="122.5"/>
    <n v="121.7"/>
    <n v="113.3"/>
    <n v="117"/>
    <n v="103.1"/>
    <n v="126.7"/>
    <n v="121.2"/>
    <n v="111"/>
    <n v="100.3"/>
    <n v="115.3"/>
    <n v="112.7"/>
    <n v="121"/>
    <n v="118.2"/>
    <n v="117.6"/>
    <n v="116.3"/>
    <n v="112.5"/>
    <n v="115.7"/>
    <s v="113.9"/>
    <n v="110.9"/>
    <n v="113.4"/>
    <n v="111"/>
    <n v="111.2"/>
    <n v="111.2"/>
    <n v="112.5"/>
    <n v="109.1"/>
    <n v="111.4"/>
    <n v="114.7"/>
    <n v="1504.0000000000002"/>
    <n v="344.5"/>
    <n v="335.5"/>
  </r>
  <r>
    <x v="2"/>
    <x v="1"/>
    <x v="3"/>
    <n v="120.9"/>
    <n v="119.9"/>
    <n v="116.2"/>
    <n v="117"/>
    <n v="107.3"/>
    <n v="126.1"/>
    <n v="120.7"/>
    <n v="111"/>
    <n v="101.8"/>
    <n v="112.6"/>
    <n v="113.2"/>
    <n v="119.8"/>
    <n v="117.6"/>
    <n v="116"/>
    <n v="117.4"/>
    <n v="114.6"/>
    <n v="117"/>
    <s v="113.9"/>
    <n v="112.5"/>
    <n v="113.6"/>
    <n v="111.5"/>
    <n v="111.2"/>
    <n v="110.9"/>
    <n v="112.7"/>
    <n v="109"/>
    <n v="111.5"/>
    <n v="115.1"/>
    <n v="1504.1"/>
    <n v="349"/>
    <n v="337.3"/>
  </r>
  <r>
    <x v="0"/>
    <x v="1"/>
    <x v="4"/>
    <n v="120.3"/>
    <n v="120.2"/>
    <n v="116.9"/>
    <n v="118"/>
    <n v="110.1"/>
    <n v="126.3"/>
    <n v="123.9"/>
    <n v="111.5"/>
    <n v="103.5"/>
    <n v="111.6"/>
    <n v="114.2"/>
    <n v="119.2"/>
    <n v="118.2"/>
    <n v="116.3"/>
    <n v="118.7"/>
    <n v="116.8"/>
    <n v="118.5"/>
    <s v="NA"/>
    <n v="113.4"/>
    <n v="114.1"/>
    <n v="112.1"/>
    <n v="111.4"/>
    <n v="110.9"/>
    <n v="113.1"/>
    <n v="108.9"/>
    <n v="111.8"/>
    <n v="116"/>
    <n v="1513.8999999999999"/>
    <n v="354"/>
    <n v="338.9"/>
  </r>
  <r>
    <x v="1"/>
    <x v="1"/>
    <x v="4"/>
    <n v="122.7"/>
    <n v="124.1"/>
    <n v="114.2"/>
    <n v="119.1"/>
    <n v="103.5"/>
    <n v="129.19999999999999"/>
    <n v="127"/>
    <n v="112.6"/>
    <n v="101.3"/>
    <n v="117"/>
    <n v="112.9"/>
    <n v="121.7"/>
    <n v="120"/>
    <n v="118.3"/>
    <n v="116.8"/>
    <n v="112.9"/>
    <n v="116.2"/>
    <s v="114.3"/>
    <n v="111.1"/>
    <n v="114.1"/>
    <n v="111.2"/>
    <n v="111.3"/>
    <n v="111.5"/>
    <n v="112.9"/>
    <n v="109.3"/>
    <n v="111.7"/>
    <n v="115.6"/>
    <n v="1525.3000000000002"/>
    <n v="345.9"/>
    <n v="336.5"/>
  </r>
  <r>
    <x v="2"/>
    <x v="1"/>
    <x v="4"/>
    <n v="121.1"/>
    <n v="121.6"/>
    <n v="115.9"/>
    <n v="118.4"/>
    <n v="107.7"/>
    <n v="127.7"/>
    <n v="125"/>
    <n v="111.9"/>
    <n v="102.8"/>
    <n v="113.4"/>
    <n v="113.7"/>
    <n v="120.4"/>
    <n v="118.9"/>
    <n v="116.8"/>
    <n v="118"/>
    <n v="115.2"/>
    <n v="117.6"/>
    <s v="114.3"/>
    <n v="112.5"/>
    <n v="114.1"/>
    <n v="111.8"/>
    <n v="111.3"/>
    <n v="111.2"/>
    <n v="113"/>
    <n v="109.1"/>
    <n v="111.8"/>
    <n v="115.8"/>
    <n v="1518.5000000000005"/>
    <n v="350.79999999999995"/>
    <n v="337.9"/>
  </r>
  <r>
    <x v="0"/>
    <x v="1"/>
    <x v="5"/>
    <n v="120.7"/>
    <n v="121.6"/>
    <n v="116.1"/>
    <n v="119.3"/>
    <n v="110.3"/>
    <n v="125.8"/>
    <n v="129.30000000000001"/>
    <n v="112.2"/>
    <n v="103.6"/>
    <n v="112.3"/>
    <n v="114.9"/>
    <n v="120.1"/>
    <n v="119.5"/>
    <n v="117.3"/>
    <n v="119.7"/>
    <n v="117.3"/>
    <n v="119.3"/>
    <s v="NA"/>
    <n v="114.4"/>
    <n v="114.9"/>
    <n v="112.8"/>
    <n v="112.2"/>
    <n v="111.4"/>
    <n v="114.3"/>
    <n v="108"/>
    <n v="112.3"/>
    <n v="117"/>
    <n v="1525.6999999999998"/>
    <n v="356.3"/>
    <n v="341.5"/>
  </r>
  <r>
    <x v="1"/>
    <x v="1"/>
    <x v="5"/>
    <n v="123.1"/>
    <n v="125.9"/>
    <n v="115.4"/>
    <n v="120.4"/>
    <n v="103.4"/>
    <n v="131.19999999999999"/>
    <n v="137.5"/>
    <n v="112.8"/>
    <n v="101.4"/>
    <n v="118.3"/>
    <n v="113.2"/>
    <n v="122.4"/>
    <n v="122"/>
    <n v="119"/>
    <n v="117.4"/>
    <n v="113.2"/>
    <n v="116.7"/>
    <s v="113.9"/>
    <n v="111.2"/>
    <n v="114.3"/>
    <n v="111.4"/>
    <n v="111.5"/>
    <n v="111.8"/>
    <n v="115.1"/>
    <n v="108.7"/>
    <n v="112.2"/>
    <n v="116.4"/>
    <n v="1547"/>
    <n v="347.3"/>
    <n v="337"/>
  </r>
  <r>
    <x v="2"/>
    <x v="1"/>
    <x v="5"/>
    <n v="121.5"/>
    <n v="123.1"/>
    <n v="115.8"/>
    <n v="119.7"/>
    <n v="107.8"/>
    <n v="128.30000000000001"/>
    <n v="132.1"/>
    <n v="112.4"/>
    <n v="102.9"/>
    <n v="114.3"/>
    <n v="114.2"/>
    <n v="121.2"/>
    <n v="120.4"/>
    <n v="117.8"/>
    <n v="118.8"/>
    <n v="115.6"/>
    <n v="118.3"/>
    <s v="113.9"/>
    <n v="113.2"/>
    <n v="114.6"/>
    <n v="112.3"/>
    <n v="111.8"/>
    <n v="111.6"/>
    <n v="114.8"/>
    <n v="108.3"/>
    <n v="112.3"/>
    <n v="116.7"/>
    <n v="1533.7000000000003"/>
    <n v="352.7"/>
    <n v="339.6"/>
  </r>
  <r>
    <x v="0"/>
    <x v="1"/>
    <x v="6"/>
    <n v="121.7"/>
    <n v="122.5"/>
    <n v="117.7"/>
    <n v="120.6"/>
    <n v="110.4"/>
    <n v="129.1"/>
    <n v="150.1"/>
    <n v="113.2"/>
    <n v="104.8"/>
    <n v="113.3"/>
    <n v="115.6"/>
    <n v="120.9"/>
    <n v="123.3"/>
    <n v="118"/>
    <n v="120.7"/>
    <n v="118.3"/>
    <n v="120.3"/>
    <s v="NA"/>
    <n v="115.3"/>
    <n v="115.4"/>
    <n v="113.4"/>
    <n v="113.2"/>
    <n v="111.8"/>
    <n v="115.5"/>
    <n v="108.8"/>
    <n v="113.1"/>
    <n v="119.5"/>
    <n v="1563.2"/>
    <n v="359.3"/>
    <n v="343.9"/>
  </r>
  <r>
    <x v="1"/>
    <x v="1"/>
    <x v="6"/>
    <n v="123.8"/>
    <n v="126.4"/>
    <n v="118"/>
    <n v="121.6"/>
    <n v="103.5"/>
    <n v="133.69999999999999"/>
    <n v="172.4"/>
    <n v="113.1"/>
    <n v="102.7"/>
    <n v="120"/>
    <n v="113.8"/>
    <n v="123.4"/>
    <n v="127.1"/>
    <n v="121"/>
    <n v="118"/>
    <n v="113.6"/>
    <n v="117.4"/>
    <s v="114.8"/>
    <n v="111.6"/>
    <n v="114.9"/>
    <n v="111.5"/>
    <n v="113"/>
    <n v="112.4"/>
    <n v="117.8"/>
    <n v="109.7"/>
    <n v="113.5"/>
    <n v="118.9"/>
    <n v="1599.5"/>
    <n v="349"/>
    <n v="339.5"/>
  </r>
  <r>
    <x v="2"/>
    <x v="1"/>
    <x v="6"/>
    <n v="122.4"/>
    <n v="123.9"/>
    <n v="117.8"/>
    <n v="121"/>
    <n v="107.9"/>
    <n v="131.19999999999999"/>
    <n v="157.69999999999999"/>
    <n v="113.2"/>
    <n v="104.1"/>
    <n v="115.5"/>
    <n v="114.8"/>
    <n v="122.1"/>
    <n v="124.7"/>
    <n v="118.8"/>
    <n v="119.6"/>
    <n v="116.3"/>
    <n v="119.1"/>
    <s v="114.8"/>
    <n v="113.9"/>
    <n v="115.2"/>
    <n v="112.7"/>
    <n v="113.1"/>
    <n v="112.1"/>
    <n v="116.8"/>
    <n v="109.2"/>
    <n v="113.3"/>
    <n v="119.2"/>
    <n v="1576.3"/>
    <n v="355"/>
    <n v="342.20000000000005"/>
  </r>
  <r>
    <x v="0"/>
    <x v="1"/>
    <x v="7"/>
    <n v="121.8"/>
    <n v="122.8"/>
    <n v="117.8"/>
    <n v="121.9"/>
    <n v="110.6"/>
    <n v="129.69999999999999"/>
    <n v="161.1"/>
    <n v="114.1"/>
    <n v="105.1"/>
    <n v="114.6"/>
    <n v="115.8"/>
    <n v="121.7"/>
    <n v="125.3"/>
    <n v="118.8"/>
    <n v="120.9"/>
    <n v="118.8"/>
    <n v="120.7"/>
    <s v="NA"/>
    <n v="115.4"/>
    <n v="115.9"/>
    <n v="114"/>
    <n v="113.2"/>
    <n v="112.2"/>
    <n v="116.2"/>
    <n v="109.4"/>
    <n v="113.5"/>
    <n v="120.7"/>
    <n v="1582.2999999999997"/>
    <n v="360.4"/>
    <n v="344.5"/>
  </r>
  <r>
    <x v="1"/>
    <x v="1"/>
    <x v="7"/>
    <n v="124.8"/>
    <n v="127.3"/>
    <n v="116.5"/>
    <n v="122.2"/>
    <n v="103.6"/>
    <n v="132.69999999999999"/>
    <n v="181.9"/>
    <n v="115.2"/>
    <n v="102.7"/>
    <n v="122.1"/>
    <n v="114.4"/>
    <n v="124.7"/>
    <n v="128.9"/>
    <n v="123"/>
    <n v="118.6"/>
    <n v="114.1"/>
    <n v="117.9"/>
    <s v="115.5"/>
    <n v="111.8"/>
    <n v="115.3"/>
    <n v="112.2"/>
    <n v="112.5"/>
    <n v="112.9"/>
    <n v="119.2"/>
    <n v="110.5"/>
    <n v="113.9"/>
    <n v="119.9"/>
    <n v="1617"/>
    <n v="350.6"/>
    <n v="339.6"/>
  </r>
  <r>
    <x v="2"/>
    <x v="1"/>
    <x v="7"/>
    <n v="122.7"/>
    <n v="124.4"/>
    <n v="117.3"/>
    <n v="122"/>
    <n v="108"/>
    <n v="131.1"/>
    <n v="168.2"/>
    <n v="114.5"/>
    <n v="104.3"/>
    <n v="117.1"/>
    <n v="115.2"/>
    <n v="123.1"/>
    <n v="126.6"/>
    <n v="119.9"/>
    <n v="120"/>
    <n v="116.8"/>
    <n v="119.6"/>
    <s v="115.5"/>
    <n v="114"/>
    <n v="115.6"/>
    <n v="113.3"/>
    <n v="112.8"/>
    <n v="112.6"/>
    <n v="118"/>
    <n v="109.9"/>
    <n v="113.7"/>
    <n v="120.3"/>
    <n v="1594.4999999999998"/>
    <n v="356.4"/>
    <n v="342.4"/>
  </r>
  <r>
    <x v="0"/>
    <x v="1"/>
    <x v="8"/>
    <n v="122.3"/>
    <n v="122.4"/>
    <n v="117.8"/>
    <n v="122.7"/>
    <n v="110.4"/>
    <n v="129.80000000000001"/>
    <n v="158.80000000000001"/>
    <n v="115"/>
    <n v="104.7"/>
    <n v="114.9"/>
    <n v="116.5"/>
    <n v="122.6"/>
    <n v="125.3"/>
    <n v="119.5"/>
    <n v="121.7"/>
    <n v="119.2"/>
    <n v="121.3"/>
    <s v="NA"/>
    <n v="115.8"/>
    <n v="116.7"/>
    <n v="114.5"/>
    <n v="112.8"/>
    <n v="112.6"/>
    <n v="116.6"/>
    <n v="109.1"/>
    <n v="113.7"/>
    <n v="120.9"/>
    <n v="1583.2"/>
    <n v="362.2"/>
    <n v="345.3"/>
  </r>
  <r>
    <x v="1"/>
    <x v="1"/>
    <x v="8"/>
    <n v="124.2"/>
    <n v="125.4"/>
    <n v="116.4"/>
    <n v="122.7"/>
    <n v="103.5"/>
    <n v="124.5"/>
    <n v="168.6"/>
    <n v="116.9"/>
    <n v="101.9"/>
    <n v="122.9"/>
    <n v="114.8"/>
    <n v="125.2"/>
    <n v="126.7"/>
    <n v="124.3"/>
    <n v="119.2"/>
    <n v="114.5"/>
    <n v="118.4"/>
    <s v="116.1"/>
    <n v="111.8"/>
    <n v="115.5"/>
    <n v="112.3"/>
    <n v="111.2"/>
    <n v="113.4"/>
    <n v="120"/>
    <n v="110"/>
    <n v="113.6"/>
    <n v="119.2"/>
    <n v="1593.7000000000003"/>
    <n v="352.1"/>
    <n v="338.5"/>
  </r>
  <r>
    <x v="2"/>
    <x v="1"/>
    <x v="8"/>
    <n v="122.9"/>
    <n v="123.5"/>
    <n v="117.3"/>
    <n v="122.7"/>
    <n v="107.9"/>
    <n v="127.3"/>
    <n v="162.1"/>
    <n v="115.6"/>
    <n v="103.8"/>
    <n v="117.6"/>
    <n v="115.8"/>
    <n v="123.8"/>
    <n v="125.8"/>
    <n v="120.8"/>
    <n v="120.7"/>
    <n v="117.2"/>
    <n v="120.1"/>
    <s v="116.1"/>
    <n v="114.3"/>
    <n v="116.1"/>
    <n v="113.7"/>
    <n v="112"/>
    <n v="113.1"/>
    <n v="118.6"/>
    <n v="109.5"/>
    <n v="113.7"/>
    <n v="120.1"/>
    <n v="1586.0999999999997"/>
    <n v="358"/>
    <n v="342.4"/>
  </r>
  <r>
    <x v="0"/>
    <x v="1"/>
    <x v="9"/>
    <n v="122.6"/>
    <n v="122.5"/>
    <n v="118.3"/>
    <n v="123.2"/>
    <n v="110.5"/>
    <n v="128.9"/>
    <n v="155.30000000000001"/>
    <n v="115.5"/>
    <n v="104"/>
    <n v="115.3"/>
    <n v="116.8"/>
    <n v="123.2"/>
    <n v="125.1"/>
    <n v="120"/>
    <n v="122.7"/>
    <n v="120.3"/>
    <n v="122.3"/>
    <s v="NA"/>
    <n v="116.4"/>
    <n v="117.5"/>
    <n v="115.3"/>
    <n v="112.6"/>
    <n v="113"/>
    <n v="116.9"/>
    <n v="109.3"/>
    <n v="114"/>
    <n v="121"/>
    <n v="1581.1999999999998"/>
    <n v="365.3"/>
    <n v="346.5"/>
  </r>
  <r>
    <x v="1"/>
    <x v="1"/>
    <x v="9"/>
    <n v="124.6"/>
    <n v="126.1"/>
    <n v="117.8"/>
    <n v="123.1"/>
    <n v="103.5"/>
    <n v="123.5"/>
    <n v="159.6"/>
    <n v="117.4"/>
    <n v="101.2"/>
    <n v="123.8"/>
    <n v="115.2"/>
    <n v="125.9"/>
    <n v="125.8"/>
    <n v="124.3"/>
    <n v="119.6"/>
    <n v="114.9"/>
    <n v="118.9"/>
    <s v="116.7"/>
    <n v="112"/>
    <n v="115.8"/>
    <n v="112.6"/>
    <n v="111"/>
    <n v="113.6"/>
    <n v="120.2"/>
    <n v="110.1"/>
    <n v="113.7"/>
    <n v="119.1"/>
    <n v="1587.5"/>
    <n v="353.4"/>
    <n v="338.8"/>
  </r>
  <r>
    <x v="2"/>
    <x v="1"/>
    <x v="9"/>
    <n v="123.2"/>
    <n v="123.8"/>
    <n v="118.1"/>
    <n v="123.2"/>
    <n v="107.9"/>
    <n v="126.4"/>
    <n v="156.80000000000001"/>
    <n v="116.1"/>
    <n v="103.1"/>
    <n v="118.1"/>
    <n v="116.1"/>
    <n v="124.5"/>
    <n v="125.4"/>
    <n v="121.1"/>
    <n v="121.5"/>
    <n v="118.1"/>
    <n v="121"/>
    <s v="116.7"/>
    <n v="114.7"/>
    <n v="116.7"/>
    <n v="114.3"/>
    <n v="111.8"/>
    <n v="113.3"/>
    <n v="118.8"/>
    <n v="109.6"/>
    <n v="113.9"/>
    <n v="120.1"/>
    <n v="1582.7"/>
    <n v="360.6"/>
    <n v="343.2"/>
  </r>
  <r>
    <x v="0"/>
    <x v="1"/>
    <x v="11"/>
    <n v="122.7"/>
    <n v="122.6"/>
    <n v="119.9"/>
    <n v="124"/>
    <n v="110.5"/>
    <n v="128.80000000000001"/>
    <n v="152"/>
    <n v="116.2"/>
    <n v="103.3"/>
    <n v="115.8"/>
    <n v="116.8"/>
    <n v="124.5"/>
    <n v="124.9"/>
    <n v="120.8"/>
    <n v="123.3"/>
    <n v="120.5"/>
    <n v="122.9"/>
    <s v="NA"/>
    <n v="117.3"/>
    <n v="118.1"/>
    <n v="115.9"/>
    <n v="112"/>
    <n v="113.3"/>
    <n v="117.2"/>
    <n v="108.8"/>
    <n v="114.1"/>
    <n v="121.1"/>
    <n v="1582"/>
    <n v="366.70000000000005"/>
    <n v="347.4"/>
  </r>
  <r>
    <x v="1"/>
    <x v="1"/>
    <x v="11"/>
    <n v="124.5"/>
    <n v="125.6"/>
    <n v="122.7"/>
    <n v="124.6"/>
    <n v="103.2"/>
    <n v="122.2"/>
    <n v="153.19999999999999"/>
    <n v="119.3"/>
    <n v="99.8"/>
    <n v="124.6"/>
    <n v="115.8"/>
    <n v="126.9"/>
    <n v="125.4"/>
    <n v="125.8"/>
    <n v="120.3"/>
    <n v="115.4"/>
    <n v="119.5"/>
    <s v="117.1"/>
    <n v="112.6"/>
    <n v="116.4"/>
    <n v="113"/>
    <n v="109.7"/>
    <n v="114"/>
    <n v="120.3"/>
    <n v="109.6"/>
    <n v="113.4"/>
    <n v="119"/>
    <n v="1587.8"/>
    <n v="355.2"/>
    <n v="338.7"/>
  </r>
  <r>
    <x v="2"/>
    <x v="1"/>
    <x v="11"/>
    <n v="123.3"/>
    <n v="123.7"/>
    <n v="121"/>
    <n v="124.2"/>
    <n v="107.8"/>
    <n v="125.7"/>
    <n v="152.4"/>
    <n v="117.2"/>
    <n v="102.1"/>
    <n v="118.7"/>
    <n v="116.4"/>
    <n v="125.6"/>
    <n v="125.1"/>
    <n v="122.1"/>
    <n v="122.1"/>
    <n v="118.4"/>
    <n v="121.6"/>
    <s v="117.1"/>
    <n v="115.5"/>
    <n v="117.3"/>
    <n v="114.8"/>
    <n v="110.8"/>
    <n v="113.7"/>
    <n v="119"/>
    <n v="109.1"/>
    <n v="113.8"/>
    <n v="120.1"/>
    <n v="1583.2"/>
    <n v="362.1"/>
    <n v="343.6"/>
  </r>
  <r>
    <x v="0"/>
    <x v="1"/>
    <x v="12"/>
    <n v="122.4"/>
    <n v="122.4"/>
    <n v="121.8"/>
    <n v="124.2"/>
    <n v="110.2"/>
    <n v="128.6"/>
    <n v="140.30000000000001"/>
    <n v="116.3"/>
    <n v="102"/>
    <n v="116"/>
    <n v="117.3"/>
    <n v="124.8"/>
    <n v="123.3"/>
    <n v="121.7"/>
    <n v="123.8"/>
    <n v="120.6"/>
    <n v="123.3"/>
    <s v="NA"/>
    <n v="117.4"/>
    <n v="118.2"/>
    <n v="116.2"/>
    <n v="111.5"/>
    <n v="113.3"/>
    <n v="117.7"/>
    <n v="109.4"/>
    <n v="114.2"/>
    <n v="120.3"/>
    <n v="1569.6"/>
    <n v="367.7"/>
    <n v="347.1"/>
  </r>
  <r>
    <x v="1"/>
    <x v="1"/>
    <x v="12"/>
    <n v="124"/>
    <n v="124.7"/>
    <n v="126.3"/>
    <n v="124.9"/>
    <n v="103"/>
    <n v="122.3"/>
    <n v="141"/>
    <n v="120.1"/>
    <n v="97.8"/>
    <n v="125.4"/>
    <n v="116.1"/>
    <n v="127.6"/>
    <n v="124"/>
    <n v="126.4"/>
    <n v="120.7"/>
    <n v="115.8"/>
    <n v="120"/>
    <s v="116.5"/>
    <n v="113"/>
    <n v="116.8"/>
    <n v="113.2"/>
    <n v="108.8"/>
    <n v="114.3"/>
    <n v="120.7"/>
    <n v="110.4"/>
    <n v="113.4"/>
    <n v="118.4"/>
    <n v="1577.1999999999998"/>
    <n v="356.5"/>
    <n v="338.6"/>
  </r>
  <r>
    <x v="2"/>
    <x v="1"/>
    <x v="12"/>
    <n v="122.9"/>
    <n v="123.2"/>
    <n v="123.5"/>
    <n v="124.5"/>
    <n v="107.6"/>
    <n v="125.7"/>
    <n v="140.5"/>
    <n v="117.6"/>
    <n v="100.6"/>
    <n v="119.1"/>
    <n v="116.8"/>
    <n v="126.1"/>
    <n v="123.6"/>
    <n v="123"/>
    <n v="122.6"/>
    <n v="118.6"/>
    <n v="122"/>
    <s v="116.5"/>
    <n v="115.7"/>
    <n v="117.5"/>
    <n v="115.1"/>
    <n v="110.1"/>
    <n v="113.9"/>
    <n v="119.5"/>
    <n v="109.8"/>
    <n v="113.8"/>
    <n v="119.4"/>
    <n v="1571.6999999999998"/>
    <n v="363.2"/>
    <n v="343.29999999999995"/>
  </r>
  <r>
    <x v="0"/>
    <x v="2"/>
    <x v="0"/>
    <n v="123.1"/>
    <n v="123.1"/>
    <n v="122.1"/>
    <n v="124.9"/>
    <n v="111"/>
    <n v="130.4"/>
    <n v="132.30000000000001"/>
    <n v="117.2"/>
    <n v="100.5"/>
    <n v="117.2"/>
    <n v="117.9"/>
    <n v="125.6"/>
    <n v="122.8"/>
    <n v="122.7"/>
    <n v="124.4"/>
    <n v="121.6"/>
    <n v="124"/>
    <s v="NA"/>
    <n v="118.4"/>
    <n v="118.9"/>
    <n v="116.6"/>
    <n v="111"/>
    <n v="114"/>
    <n v="118.2"/>
    <n v="110.2"/>
    <n v="114.5"/>
    <n v="120.3"/>
    <n v="1568.1"/>
    <n v="370"/>
    <n v="348.3"/>
  </r>
  <r>
    <x v="1"/>
    <x v="2"/>
    <x v="0"/>
    <n v="124"/>
    <n v="125.5"/>
    <n v="126.6"/>
    <n v="125.2"/>
    <n v="104.3"/>
    <n v="121.3"/>
    <n v="134.4"/>
    <n v="122.9"/>
    <n v="96.1"/>
    <n v="126.6"/>
    <n v="116.5"/>
    <n v="128"/>
    <n v="123.5"/>
    <n v="127.4"/>
    <n v="121"/>
    <n v="116.1"/>
    <n v="120.2"/>
    <s v="117.3"/>
    <n v="113.4"/>
    <n v="117.2"/>
    <n v="113.7"/>
    <n v="107.9"/>
    <n v="114.6"/>
    <n v="120.8"/>
    <n v="111.4"/>
    <n v="113.4"/>
    <n v="118.5"/>
    <n v="1574.8999999999999"/>
    <n v="357.3"/>
    <n v="338.5"/>
  </r>
  <r>
    <x v="2"/>
    <x v="2"/>
    <x v="0"/>
    <n v="123.4"/>
    <n v="123.9"/>
    <n v="123.8"/>
    <n v="125"/>
    <n v="108.5"/>
    <n v="126.2"/>
    <n v="133"/>
    <n v="119.1"/>
    <n v="99"/>
    <n v="120.3"/>
    <n v="117.3"/>
    <n v="126.7"/>
    <n v="123.1"/>
    <n v="124"/>
    <n v="123.1"/>
    <n v="119.3"/>
    <n v="122.5"/>
    <s v="117.3"/>
    <n v="116.5"/>
    <n v="118.1"/>
    <n v="115.5"/>
    <n v="109.4"/>
    <n v="114.3"/>
    <n v="119.7"/>
    <n v="110.7"/>
    <n v="114"/>
    <n v="119.5"/>
    <n v="1569.3"/>
    <n v="364.9"/>
    <n v="344"/>
  </r>
  <r>
    <x v="0"/>
    <x v="2"/>
    <x v="1"/>
    <n v="123.4"/>
    <n v="124.4"/>
    <n v="122.1"/>
    <n v="125.8"/>
    <n v="111.5"/>
    <n v="129.4"/>
    <n v="128.19999999999999"/>
    <n v="118.8"/>
    <n v="100"/>
    <n v="118.6"/>
    <n v="118.8"/>
    <n v="126.8"/>
    <n v="122.8"/>
    <n v="124.2"/>
    <n v="125.4"/>
    <n v="122.7"/>
    <n v="125"/>
    <s v="NA"/>
    <n v="120"/>
    <n v="119.6"/>
    <n v="117.7"/>
    <n v="110.9"/>
    <n v="114.8"/>
    <n v="118.7"/>
    <n v="110.8"/>
    <n v="115"/>
    <n v="120.6"/>
    <n v="1570.5999999999997"/>
    <n v="373.1"/>
    <n v="350.5"/>
  </r>
  <r>
    <x v="1"/>
    <x v="2"/>
    <x v="1"/>
    <n v="124.3"/>
    <n v="126.5"/>
    <n v="119.5"/>
    <n v="125.6"/>
    <n v="104.9"/>
    <n v="121.6"/>
    <n v="131.80000000000001"/>
    <n v="125.1"/>
    <n v="95"/>
    <n v="127.7"/>
    <n v="116.8"/>
    <n v="128.6"/>
    <n v="123.7"/>
    <n v="128.1"/>
    <n v="121.3"/>
    <n v="116.5"/>
    <n v="120.6"/>
    <s v="118.1"/>
    <n v="114"/>
    <n v="117.7"/>
    <n v="114.1"/>
    <n v="106.8"/>
    <n v="114.9"/>
    <n v="120.4"/>
    <n v="111.7"/>
    <n v="113.2"/>
    <n v="118.7"/>
    <n v="1571.1000000000001"/>
    <n v="358.4"/>
    <n v="338.5"/>
  </r>
  <r>
    <x v="2"/>
    <x v="2"/>
    <x v="1"/>
    <n v="123.7"/>
    <n v="125.1"/>
    <n v="121.1"/>
    <n v="125.7"/>
    <n v="109.1"/>
    <n v="125.8"/>
    <n v="129.4"/>
    <n v="120.9"/>
    <n v="98.3"/>
    <n v="121.6"/>
    <n v="118"/>
    <n v="127.6"/>
    <n v="123.1"/>
    <n v="125.2"/>
    <n v="123.8"/>
    <n v="120.1"/>
    <n v="123.3"/>
    <s v="118.1"/>
    <n v="117.7"/>
    <n v="118.7"/>
    <n v="116.3"/>
    <n v="108.7"/>
    <n v="114.9"/>
    <n v="119.7"/>
    <n v="111.2"/>
    <n v="114.1"/>
    <n v="119.7"/>
    <n v="1569.3999999999996"/>
    <n v="367.2"/>
    <n v="345.1"/>
  </r>
  <r>
    <x v="0"/>
    <x v="2"/>
    <x v="2"/>
    <n v="123.3"/>
    <n v="124.7"/>
    <n v="118.9"/>
    <n v="126"/>
    <n v="111.8"/>
    <n v="130.9"/>
    <n v="128"/>
    <n v="119.9"/>
    <n v="98.9"/>
    <n v="119.4"/>
    <n v="118.9"/>
    <n v="127.7"/>
    <n v="123.1"/>
    <n v="124.7"/>
    <n v="126"/>
    <n v="122.9"/>
    <n v="125.5"/>
    <s v="NA"/>
    <n v="120.6"/>
    <n v="120.2"/>
    <n v="118.2"/>
    <n v="111.6"/>
    <n v="115.5"/>
    <n v="119.4"/>
    <n v="110.8"/>
    <n v="115.5"/>
    <n v="121.1"/>
    <n v="1571.5"/>
    <n v="374.4"/>
    <n v="352.4"/>
  </r>
  <r>
    <x v="1"/>
    <x v="2"/>
    <x v="2"/>
    <n v="124"/>
    <n v="126.7"/>
    <n v="113.5"/>
    <n v="125.9"/>
    <n v="104.8"/>
    <n v="123.8"/>
    <n v="131.4"/>
    <n v="127.2"/>
    <n v="93.2"/>
    <n v="127.4"/>
    <n v="117"/>
    <n v="129.19999999999999"/>
    <n v="123.9"/>
    <n v="128.80000000000001"/>
    <n v="121.7"/>
    <n v="116.9"/>
    <n v="120.9"/>
    <s v="118.6"/>
    <n v="114.4"/>
    <n v="118"/>
    <n v="114.3"/>
    <n v="108.4"/>
    <n v="115.4"/>
    <n v="120.6"/>
    <n v="111.3"/>
    <n v="113.8"/>
    <n v="119.1"/>
    <n v="1568.0000000000002"/>
    <n v="359.5"/>
    <n v="340.8"/>
  </r>
  <r>
    <x v="2"/>
    <x v="2"/>
    <x v="2"/>
    <n v="123.5"/>
    <n v="125.4"/>
    <n v="116.8"/>
    <n v="126"/>
    <n v="109.2"/>
    <n v="127.6"/>
    <n v="129.19999999999999"/>
    <n v="122.4"/>
    <n v="97"/>
    <n v="122.1"/>
    <n v="118.1"/>
    <n v="128.4"/>
    <n v="123.4"/>
    <n v="125.8"/>
    <n v="124.3"/>
    <n v="120.4"/>
    <n v="123.7"/>
    <s v="118.6"/>
    <n v="118.3"/>
    <n v="119.2"/>
    <n v="116.7"/>
    <n v="109.9"/>
    <n v="115.4"/>
    <n v="120.1"/>
    <n v="111"/>
    <n v="114.7"/>
    <n v="120.2"/>
    <n v="1569.1"/>
    <n v="368.4"/>
    <n v="347.4"/>
  </r>
  <r>
    <x v="0"/>
    <x v="2"/>
    <x v="3"/>
    <n v="123.3"/>
    <n v="125.5"/>
    <n v="117.2"/>
    <n v="126.8"/>
    <n v="111.9"/>
    <n v="134.19999999999999"/>
    <n v="127.5"/>
    <n v="121.5"/>
    <n v="97.8"/>
    <n v="119.8"/>
    <n v="119.4"/>
    <n v="128.69999999999999"/>
    <n v="123.6"/>
    <n v="125.7"/>
    <n v="126.4"/>
    <n v="123.3"/>
    <n v="126"/>
    <s v="NA"/>
    <n v="121.2"/>
    <n v="120.9"/>
    <n v="118.6"/>
    <n v="111.9"/>
    <n v="116.2"/>
    <n v="119.9"/>
    <n v="111.6"/>
    <n v="116"/>
    <n v="121.5"/>
    <n v="1577.2"/>
    <n v="375.7"/>
    <n v="354"/>
  </r>
  <r>
    <x v="1"/>
    <x v="2"/>
    <x v="3"/>
    <n v="123.8"/>
    <n v="128.19999999999999"/>
    <n v="110"/>
    <n v="126.3"/>
    <n v="104.5"/>
    <n v="130.6"/>
    <n v="130.80000000000001"/>
    <n v="131.30000000000001"/>
    <n v="91.6"/>
    <n v="127.7"/>
    <n v="117.2"/>
    <n v="129.5"/>
    <n v="124.6"/>
    <n v="130.1"/>
    <n v="122.1"/>
    <n v="117.2"/>
    <n v="121.3"/>
    <s v="119.2"/>
    <n v="114.7"/>
    <n v="118.4"/>
    <n v="114.6"/>
    <n v="108.4"/>
    <n v="115.6"/>
    <n v="121.7"/>
    <n v="111.8"/>
    <n v="114.2"/>
    <n v="119.7"/>
    <n v="1576.1"/>
    <n v="360.6"/>
    <n v="341.5"/>
  </r>
  <r>
    <x v="2"/>
    <x v="2"/>
    <x v="3"/>
    <n v="123.5"/>
    <n v="126.4"/>
    <n v="114.4"/>
    <n v="126.6"/>
    <n v="109.2"/>
    <n v="132.5"/>
    <n v="128.6"/>
    <n v="124.8"/>
    <n v="95.7"/>
    <n v="122.4"/>
    <n v="118.5"/>
    <n v="129.1"/>
    <n v="124"/>
    <n v="126.9"/>
    <n v="124.7"/>
    <n v="120.8"/>
    <n v="124.1"/>
    <s v="119.2"/>
    <n v="118.7"/>
    <n v="119.7"/>
    <n v="117.1"/>
    <n v="110.1"/>
    <n v="115.9"/>
    <n v="121"/>
    <n v="111.7"/>
    <n v="115.1"/>
    <n v="120.7"/>
    <n v="1575.7"/>
    <n v="369.6"/>
    <n v="348.5"/>
  </r>
  <r>
    <x v="0"/>
    <x v="2"/>
    <x v="4"/>
    <n v="123.5"/>
    <n v="127.1"/>
    <n v="117.3"/>
    <n v="127.7"/>
    <n v="112.5"/>
    <n v="134.1"/>
    <n v="128.5"/>
    <n v="124.3"/>
    <n v="97.6"/>
    <n v="120.7"/>
    <n v="120.2"/>
    <n v="129.80000000000001"/>
    <n v="124.4"/>
    <n v="126.7"/>
    <n v="127.3"/>
    <n v="124.1"/>
    <n v="126.8"/>
    <s v="NA"/>
    <n v="121.9"/>
    <n v="121.5"/>
    <n v="119.4"/>
    <n v="113.3"/>
    <n v="116.7"/>
    <n v="120.5"/>
    <n v="112.3"/>
    <n v="116.9"/>
    <n v="122.4"/>
    <n v="1587.7"/>
    <n v="378.2"/>
    <n v="356.7"/>
  </r>
  <r>
    <x v="1"/>
    <x v="2"/>
    <x v="4"/>
    <n v="123.8"/>
    <n v="129.69999999999999"/>
    <n v="111.3"/>
    <n v="126.6"/>
    <n v="105.2"/>
    <n v="130.80000000000001"/>
    <n v="135.6"/>
    <n v="142.6"/>
    <n v="90.8"/>
    <n v="128.80000000000001"/>
    <n v="117.7"/>
    <n v="129.9"/>
    <n v="126.1"/>
    <n v="131.30000000000001"/>
    <n v="122.4"/>
    <n v="117.4"/>
    <n v="121.6"/>
    <s v="119.6"/>
    <n v="114.9"/>
    <n v="118.7"/>
    <n v="114.9"/>
    <n v="110.8"/>
    <n v="116"/>
    <n v="122"/>
    <n v="112.4"/>
    <n v="115.2"/>
    <n v="120.7"/>
    <n v="1598.9"/>
    <n v="361.4"/>
    <n v="344.40000000000003"/>
  </r>
  <r>
    <x v="2"/>
    <x v="2"/>
    <x v="4"/>
    <n v="123.6"/>
    <n v="128"/>
    <n v="115"/>
    <n v="127.3"/>
    <n v="109.8"/>
    <n v="132.6"/>
    <n v="130.9"/>
    <n v="130.5"/>
    <n v="95.3"/>
    <n v="123.4"/>
    <n v="119.2"/>
    <n v="129.80000000000001"/>
    <n v="125"/>
    <n v="127.9"/>
    <n v="125.4"/>
    <n v="121.3"/>
    <n v="124.7"/>
    <s v="119.6"/>
    <n v="119.2"/>
    <n v="120.2"/>
    <n v="117.7"/>
    <n v="112"/>
    <n v="116.3"/>
    <n v="121.4"/>
    <n v="112.3"/>
    <n v="116.1"/>
    <n v="121.6"/>
    <n v="1590.4"/>
    <n v="371.4"/>
    <n v="351.4"/>
  </r>
  <r>
    <x v="0"/>
    <x v="2"/>
    <x v="5"/>
    <n v="124.1"/>
    <n v="130.4"/>
    <n v="122.1"/>
    <n v="128.69999999999999"/>
    <n v="114.1"/>
    <n v="133.19999999999999"/>
    <n v="135.19999999999999"/>
    <n v="131.9"/>
    <n v="96.3"/>
    <n v="123"/>
    <n v="121.1"/>
    <n v="131.19999999999999"/>
    <n v="126.6"/>
    <n v="128.19999999999999"/>
    <n v="128.4"/>
    <n v="125.1"/>
    <n v="128"/>
    <s v="NA"/>
    <n v="122.6"/>
    <n v="122.8"/>
    <n v="120.4"/>
    <n v="114.2"/>
    <n v="117.9"/>
    <n v="122"/>
    <n v="113"/>
    <n v="117.9"/>
    <n v="124.1"/>
    <n v="1617.8999999999999"/>
    <n v="381.5"/>
    <n v="359.59999999999997"/>
  </r>
  <r>
    <x v="1"/>
    <x v="2"/>
    <x v="5"/>
    <n v="123.6"/>
    <n v="134.4"/>
    <n v="120.9"/>
    <n v="127.3"/>
    <n v="106"/>
    <n v="132.30000000000001"/>
    <n v="146.69999999999999"/>
    <n v="148.1"/>
    <n v="89.8"/>
    <n v="130.5"/>
    <n v="118"/>
    <n v="130.5"/>
    <n v="128.5"/>
    <n v="132.1"/>
    <n v="123.2"/>
    <n v="117.6"/>
    <n v="122.3"/>
    <s v="119"/>
    <n v="115.1"/>
    <n v="119.2"/>
    <n v="115.4"/>
    <n v="111.7"/>
    <n v="116.2"/>
    <n v="123.8"/>
    <n v="112.5"/>
    <n v="116"/>
    <n v="121.7"/>
    <n v="1636.6"/>
    <n v="363.1"/>
    <n v="346"/>
  </r>
  <r>
    <x v="2"/>
    <x v="2"/>
    <x v="5"/>
    <n v="123.9"/>
    <n v="131.80000000000001"/>
    <n v="121.6"/>
    <n v="128.19999999999999"/>
    <n v="111.1"/>
    <n v="132.80000000000001"/>
    <n v="139.1"/>
    <n v="137.4"/>
    <n v="94.1"/>
    <n v="125.5"/>
    <n v="119.8"/>
    <n v="130.9"/>
    <n v="127.3"/>
    <n v="129.19999999999999"/>
    <n v="126.4"/>
    <n v="122"/>
    <n v="125.7"/>
    <s v="119"/>
    <n v="119.8"/>
    <n v="121.1"/>
    <n v="118.5"/>
    <n v="112.9"/>
    <n v="116.9"/>
    <n v="123.1"/>
    <n v="112.8"/>
    <n v="117"/>
    <n v="123"/>
    <n v="1623.5"/>
    <n v="374.1"/>
    <n v="353.79999999999995"/>
  </r>
  <r>
    <x v="0"/>
    <x v="2"/>
    <x v="6"/>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n v="1625.3"/>
    <n v="382.6"/>
    <n v="360.1"/>
  </r>
  <r>
    <x v="1"/>
    <x v="2"/>
    <x v="6"/>
    <n v="123.2"/>
    <n v="134.30000000000001"/>
    <n v="119.5"/>
    <n v="127.7"/>
    <n v="106.3"/>
    <n v="132.80000000000001"/>
    <n v="153.5"/>
    <n v="149.5"/>
    <n v="85.7"/>
    <n v="131.5"/>
    <n v="118.3"/>
    <n v="131.1"/>
    <n v="129.5"/>
    <n v="133.1"/>
    <n v="123.5"/>
    <n v="117.9"/>
    <n v="122.7"/>
    <s v="119.9"/>
    <n v="115.3"/>
    <n v="119.5"/>
    <n v="116"/>
    <n v="111.5"/>
    <n v="116.6"/>
    <n v="125.4"/>
    <n v="111.7"/>
    <n v="116.3"/>
    <n v="122.4"/>
    <n v="1642.8999999999999"/>
    <n v="364.1"/>
    <n v="346.3"/>
  </r>
  <r>
    <x v="2"/>
    <x v="2"/>
    <x v="6"/>
    <n v="123.7"/>
    <n v="132.5"/>
    <n v="121"/>
    <n v="128.30000000000001"/>
    <n v="110.9"/>
    <n v="133.1"/>
    <n v="145.1"/>
    <n v="139.1"/>
    <n v="91.3"/>
    <n v="126.1"/>
    <n v="119.9"/>
    <n v="131.4"/>
    <n v="128.19999999999999"/>
    <n v="130.4"/>
    <n v="126.7"/>
    <n v="122.3"/>
    <n v="126.1"/>
    <s v="119.9"/>
    <n v="120.1"/>
    <n v="121.3"/>
    <n v="119"/>
    <n v="112.7"/>
    <n v="117.2"/>
    <n v="124.4"/>
    <n v="112.3"/>
    <n v="117.2"/>
    <n v="123.6"/>
    <n v="1630.6000000000001"/>
    <n v="375.1"/>
    <n v="354.09999999999997"/>
  </r>
  <r>
    <x v="0"/>
    <x v="2"/>
    <x v="7"/>
    <n v="124.7"/>
    <n v="131.30000000000001"/>
    <n v="121.3"/>
    <n v="128.80000000000001"/>
    <n v="114"/>
    <n v="134.19999999999999"/>
    <n v="153.6"/>
    <n v="137.9"/>
    <n v="93.1"/>
    <n v="123.9"/>
    <n v="121.5"/>
    <n v="132.5"/>
    <n v="129.80000000000001"/>
    <n v="130.1"/>
    <n v="129.5"/>
    <n v="126.3"/>
    <n v="129"/>
    <s v="NA"/>
    <n v="123.8"/>
    <n v="123.7"/>
    <n v="121.1"/>
    <n v="113.6"/>
    <n v="118.5"/>
    <n v="123.6"/>
    <n v="112.5"/>
    <n v="118.2"/>
    <n v="126.1"/>
    <n v="1646.6"/>
    <n v="384.8"/>
    <n v="361.1"/>
  </r>
  <r>
    <x v="1"/>
    <x v="2"/>
    <x v="7"/>
    <n v="123.1"/>
    <n v="131.69999999999999"/>
    <n v="118.1"/>
    <n v="128"/>
    <n v="106.8"/>
    <n v="130.1"/>
    <n v="165.5"/>
    <n v="156"/>
    <n v="85.3"/>
    <n v="132.69999999999999"/>
    <n v="118.8"/>
    <n v="131.69999999999999"/>
    <n v="131.1"/>
    <n v="134.19999999999999"/>
    <n v="123.7"/>
    <n v="118.2"/>
    <n v="122.9"/>
    <s v="120.9"/>
    <n v="115.3"/>
    <n v="120"/>
    <n v="116.6"/>
    <n v="109.9"/>
    <n v="117.2"/>
    <n v="126.2"/>
    <n v="112"/>
    <n v="116.2"/>
    <n v="123.2"/>
    <n v="1658.8999999999999"/>
    <n v="364.8"/>
    <n v="345.20000000000005"/>
  </r>
  <r>
    <x v="2"/>
    <x v="2"/>
    <x v="7"/>
    <n v="124.2"/>
    <n v="131.4"/>
    <n v="120.1"/>
    <n v="128.5"/>
    <n v="111.4"/>
    <n v="132.30000000000001"/>
    <n v="157.6"/>
    <n v="144"/>
    <n v="90.5"/>
    <n v="126.8"/>
    <n v="120.4"/>
    <n v="132.1"/>
    <n v="130.30000000000001"/>
    <n v="131.19999999999999"/>
    <n v="127.2"/>
    <n v="122.9"/>
    <n v="126.6"/>
    <s v="120.9"/>
    <n v="120.6"/>
    <n v="122"/>
    <n v="119.4"/>
    <n v="111.7"/>
    <n v="117.8"/>
    <n v="125.1"/>
    <n v="112.3"/>
    <n v="117.2"/>
    <n v="124.8"/>
    <n v="1649.6"/>
    <n v="376.70000000000005"/>
    <n v="354.3"/>
  </r>
  <r>
    <x v="0"/>
    <x v="2"/>
    <x v="8"/>
    <n v="125.1"/>
    <n v="131.1"/>
    <n v="120.7"/>
    <n v="129.19999999999999"/>
    <n v="114.7"/>
    <n v="132.30000000000001"/>
    <n v="158.9"/>
    <n v="142.1"/>
    <n v="92.5"/>
    <n v="125.4"/>
    <n v="121.9"/>
    <n v="132.69999999999999"/>
    <n v="131"/>
    <n v="131"/>
    <n v="130.4"/>
    <n v="126.8"/>
    <n v="129.9"/>
    <s v="NA"/>
    <n v="123.7"/>
    <n v="124.5"/>
    <n v="121.4"/>
    <n v="113.8"/>
    <n v="119.6"/>
    <n v="124.5"/>
    <n v="113.7"/>
    <n v="118.8"/>
    <n v="127"/>
    <n v="1657.6000000000001"/>
    <n v="387.1"/>
    <n v="362"/>
  </r>
  <r>
    <x v="1"/>
    <x v="2"/>
    <x v="8"/>
    <n v="123.4"/>
    <n v="129"/>
    <n v="115.6"/>
    <n v="128.30000000000001"/>
    <n v="107"/>
    <n v="124"/>
    <n v="168.5"/>
    <n v="165.4"/>
    <n v="86.3"/>
    <n v="134.4"/>
    <n v="119.1"/>
    <n v="132.30000000000001"/>
    <n v="131.5"/>
    <n v="134.69999999999999"/>
    <n v="124"/>
    <n v="118.6"/>
    <n v="123.2"/>
    <s v="121.6"/>
    <n v="115.1"/>
    <n v="120.4"/>
    <n v="117.1"/>
    <n v="109.1"/>
    <n v="117.3"/>
    <n v="126.5"/>
    <n v="112.9"/>
    <n v="116.2"/>
    <n v="123.5"/>
    <n v="1664.8"/>
    <n v="365.8"/>
    <n v="344.6"/>
  </r>
  <r>
    <x v="2"/>
    <x v="2"/>
    <x v="8"/>
    <n v="124.6"/>
    <n v="130.4"/>
    <n v="118.7"/>
    <n v="128.9"/>
    <n v="111.9"/>
    <n v="128.4"/>
    <n v="162.19999999999999"/>
    <n v="150"/>
    <n v="90.4"/>
    <n v="128.4"/>
    <n v="120.7"/>
    <n v="132.5"/>
    <n v="131.19999999999999"/>
    <n v="132"/>
    <n v="127.9"/>
    <n v="123.4"/>
    <n v="127.2"/>
    <s v="121.6"/>
    <n v="120.4"/>
    <n v="122.6"/>
    <n v="119.8"/>
    <n v="111.3"/>
    <n v="118.3"/>
    <n v="125.7"/>
    <n v="113.4"/>
    <n v="117.5"/>
    <n v="125.4"/>
    <n v="1658.3000000000002"/>
    <n v="378.5"/>
    <n v="354.3"/>
  </r>
  <r>
    <x v="0"/>
    <x v="2"/>
    <x v="9"/>
    <n v="125.6"/>
    <n v="130.4"/>
    <n v="120.8"/>
    <n v="129.4"/>
    <n v="115.8"/>
    <n v="133.19999999999999"/>
    <n v="157.69999999999999"/>
    <n v="154.19999999999999"/>
    <n v="93.7"/>
    <n v="126.6"/>
    <n v="122.3"/>
    <n v="133.1"/>
    <n v="131.80000000000001"/>
    <n v="131.5"/>
    <n v="131.1"/>
    <n v="127.3"/>
    <n v="130.6"/>
    <s v="NA"/>
    <n v="124.4"/>
    <n v="125.1"/>
    <n v="122"/>
    <n v="113.8"/>
    <n v="120.1"/>
    <n v="125.1"/>
    <n v="114.2"/>
    <n v="119.2"/>
    <n v="127.7"/>
    <n v="1674.6"/>
    <n v="389"/>
    <n v="363.3"/>
  </r>
  <r>
    <x v="1"/>
    <x v="2"/>
    <x v="9"/>
    <n v="123.6"/>
    <n v="128.6"/>
    <n v="115.9"/>
    <n v="128.5"/>
    <n v="109"/>
    <n v="124.1"/>
    <n v="165.8"/>
    <n v="187.2"/>
    <n v="89.4"/>
    <n v="135.80000000000001"/>
    <n v="119.4"/>
    <n v="132.9"/>
    <n v="132.6"/>
    <n v="135.30000000000001"/>
    <n v="124.4"/>
    <n v="118.8"/>
    <n v="123.6"/>
    <s v="122.4"/>
    <n v="114.9"/>
    <n v="120.7"/>
    <n v="117.7"/>
    <n v="109.3"/>
    <n v="117.7"/>
    <n v="126.5"/>
    <n v="113.5"/>
    <n v="116.5"/>
    <n v="124.2"/>
    <n v="1692.8000000000002"/>
    <n v="366.79999999999995"/>
    <n v="344.90000000000003"/>
  </r>
  <r>
    <x v="2"/>
    <x v="2"/>
    <x v="9"/>
    <n v="125"/>
    <n v="129.80000000000001"/>
    <n v="118.9"/>
    <n v="129.1"/>
    <n v="113.3"/>
    <n v="129"/>
    <n v="160.4"/>
    <n v="165.3"/>
    <n v="92.3"/>
    <n v="129.69999999999999"/>
    <n v="121.1"/>
    <n v="133"/>
    <n v="132.1"/>
    <n v="132.5"/>
    <n v="128.5"/>
    <n v="123.8"/>
    <n v="127.8"/>
    <s v="122.4"/>
    <n v="120.8"/>
    <n v="123"/>
    <n v="120.4"/>
    <n v="111.4"/>
    <n v="118.7"/>
    <n v="125.9"/>
    <n v="113.9"/>
    <n v="117.9"/>
    <n v="126.1"/>
    <n v="1678.9999999999998"/>
    <n v="380.1"/>
    <n v="355.20000000000005"/>
  </r>
  <r>
    <x v="0"/>
    <x v="2"/>
    <x v="11"/>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n v="1686.3"/>
    <n v="391.79999999999995"/>
    <n v="365.2"/>
  </r>
  <r>
    <x v="1"/>
    <x v="2"/>
    <x v="11"/>
    <n v="124"/>
    <n v="129.80000000000001"/>
    <n v="121.5"/>
    <n v="128.6"/>
    <n v="110"/>
    <n v="123.7"/>
    <n v="164.6"/>
    <n v="191.6"/>
    <n v="90.8"/>
    <n v="137.1"/>
    <n v="119.8"/>
    <n v="133.69999999999999"/>
    <n v="133.30000000000001"/>
    <n v="137.6"/>
    <n v="125"/>
    <n v="119.3"/>
    <n v="124.2"/>
    <s v="122.9"/>
    <n v="115.1"/>
    <n v="121"/>
    <n v="118.1"/>
    <n v="109.3"/>
    <n v="117.9"/>
    <n v="126.6"/>
    <n v="113.3"/>
    <n v="116.6"/>
    <n v="124.6"/>
    <n v="1708.4999999999998"/>
    <n v="368.5"/>
    <n v="345.4"/>
  </r>
  <r>
    <x v="2"/>
    <x v="2"/>
    <x v="11"/>
    <n v="125.4"/>
    <n v="130.30000000000001"/>
    <n v="121.6"/>
    <n v="129.19999999999999"/>
    <n v="114.9"/>
    <n v="128.19999999999999"/>
    <n v="158.4"/>
    <n v="171.2"/>
    <n v="93.3"/>
    <n v="131.19999999999999"/>
    <n v="121.7"/>
    <n v="134"/>
    <n v="132.69999999999999"/>
    <n v="133.6"/>
    <n v="129.30000000000001"/>
    <n v="124.5"/>
    <n v="128.6"/>
    <s v="122.9"/>
    <n v="121.6"/>
    <n v="123.4"/>
    <n v="120.9"/>
    <n v="111.5"/>
    <n v="119.2"/>
    <n v="126.3"/>
    <n v="113.8"/>
    <n v="118.1"/>
    <n v="126.6"/>
    <n v="1692.1"/>
    <n v="382.4"/>
    <n v="356.5"/>
  </r>
  <r>
    <x v="0"/>
    <x v="2"/>
    <x v="12"/>
    <n v="126.3"/>
    <n v="131.30000000000001"/>
    <n v="123.3"/>
    <n v="129.80000000000001"/>
    <n v="118.3"/>
    <n v="131.6"/>
    <n v="145.5"/>
    <n v="162.1"/>
    <n v="95.4"/>
    <n v="128.9"/>
    <n v="123.3"/>
    <n v="135.1"/>
    <n v="131.4"/>
    <n v="133.1"/>
    <n v="132.5"/>
    <n v="128.5"/>
    <n v="131.9"/>
    <s v="NA"/>
    <n v="125.7"/>
    <n v="126"/>
    <n v="123.1"/>
    <n v="114"/>
    <n v="121.6"/>
    <n v="125.6"/>
    <n v="114.1"/>
    <n v="119.8"/>
    <n v="127.9"/>
    <n v="1682.3000000000002"/>
    <n v="392.9"/>
    <n v="365.7"/>
  </r>
  <r>
    <x v="1"/>
    <x v="2"/>
    <x v="12"/>
    <n v="124.3"/>
    <n v="131.69999999999999"/>
    <n v="127.1"/>
    <n v="128.6"/>
    <n v="110"/>
    <n v="120.8"/>
    <n v="149"/>
    <n v="190.1"/>
    <n v="92.7"/>
    <n v="138.6"/>
    <n v="120.2"/>
    <n v="134.19999999999999"/>
    <n v="131.5"/>
    <n v="138.19999999999999"/>
    <n v="125.4"/>
    <n v="119.5"/>
    <n v="124.5"/>
    <s v="122.4"/>
    <n v="116"/>
    <n v="121"/>
    <n v="118.6"/>
    <n v="109.3"/>
    <n v="118.1"/>
    <n v="126.6"/>
    <n v="113.2"/>
    <n v="116.7"/>
    <n v="124"/>
    <n v="1698.8"/>
    <n v="369.4"/>
    <n v="346.3"/>
  </r>
  <r>
    <x v="2"/>
    <x v="2"/>
    <x v="12"/>
    <n v="125.7"/>
    <n v="131.4"/>
    <n v="124.8"/>
    <n v="129.4"/>
    <n v="115.3"/>
    <n v="126.6"/>
    <n v="146.69999999999999"/>
    <n v="171.5"/>
    <n v="94.5"/>
    <n v="132.1"/>
    <n v="122"/>
    <n v="134.69999999999999"/>
    <n v="131.4"/>
    <n v="134.5"/>
    <n v="129.69999999999999"/>
    <n v="124.8"/>
    <n v="129"/>
    <s v="122.4"/>
    <n v="122"/>
    <n v="123.6"/>
    <n v="121.4"/>
    <n v="111.5"/>
    <n v="119.6"/>
    <n v="126.2"/>
    <n v="113.7"/>
    <n v="118.3"/>
    <n v="126.1"/>
    <n v="1686.1000000000001"/>
    <n v="383.5"/>
    <n v="357.1"/>
  </r>
  <r>
    <x v="0"/>
    <x v="3"/>
    <x v="0"/>
    <n v="126.8"/>
    <n v="133.19999999999999"/>
    <n v="126.5"/>
    <n v="130.30000000000001"/>
    <n v="118.9"/>
    <n v="131.6"/>
    <n v="140.1"/>
    <n v="163.80000000000001"/>
    <n v="97.7"/>
    <n v="129.6"/>
    <n v="124.3"/>
    <n v="135.9"/>
    <n v="131.4"/>
    <n v="133.6"/>
    <n v="133.19999999999999"/>
    <n v="128.9"/>
    <n v="132.6"/>
    <s v="NA"/>
    <n v="126.2"/>
    <n v="126.6"/>
    <n v="123.7"/>
    <n v="113.6"/>
    <n v="121.4"/>
    <n v="126.2"/>
    <n v="114.9"/>
    <n v="120.1"/>
    <n v="128.1"/>
    <n v="1690.1000000000001"/>
    <n v="394.70000000000005"/>
    <n v="366.4"/>
  </r>
  <r>
    <x v="1"/>
    <x v="3"/>
    <x v="0"/>
    <n v="124.7"/>
    <n v="135.9"/>
    <n v="132"/>
    <n v="129.19999999999999"/>
    <n v="109.7"/>
    <n v="119"/>
    <n v="144.1"/>
    <n v="184.2"/>
    <n v="96.7"/>
    <n v="139.5"/>
    <n v="120.5"/>
    <n v="134.69999999999999"/>
    <n v="131.19999999999999"/>
    <n v="139.5"/>
    <n v="125.8"/>
    <n v="119.8"/>
    <n v="124.9"/>
    <s v="123.4"/>
    <n v="116.9"/>
    <n v="121.6"/>
    <n v="119.1"/>
    <n v="108.9"/>
    <n v="118.5"/>
    <n v="126.4"/>
    <n v="114"/>
    <n v="116.8"/>
    <n v="124.2"/>
    <n v="1701.4"/>
    <n v="370.5"/>
    <n v="347.4"/>
  </r>
  <r>
    <x v="2"/>
    <x v="3"/>
    <x v="0"/>
    <n v="126.1"/>
    <n v="134.1"/>
    <n v="128.6"/>
    <n v="129.9"/>
    <n v="115.5"/>
    <n v="125.7"/>
    <n v="141.5"/>
    <n v="170.7"/>
    <n v="97.4"/>
    <n v="132.9"/>
    <n v="122.7"/>
    <n v="135.30000000000001"/>
    <n v="131.30000000000001"/>
    <n v="135.19999999999999"/>
    <n v="130.30000000000001"/>
    <n v="125.1"/>
    <n v="129.5"/>
    <s v="123.4"/>
    <n v="122.7"/>
    <n v="124.2"/>
    <n v="122"/>
    <n v="111.1"/>
    <n v="119.8"/>
    <n v="126.3"/>
    <n v="114.5"/>
    <n v="118.5"/>
    <n v="126.3"/>
    <n v="1691.7"/>
    <n v="384.9"/>
    <n v="358"/>
  </r>
  <r>
    <x v="0"/>
    <x v="3"/>
    <x v="1"/>
    <n v="127.1"/>
    <n v="133.69999999999999"/>
    <n v="127.7"/>
    <n v="130.69999999999999"/>
    <n v="118.5"/>
    <n v="130.4"/>
    <n v="130.9"/>
    <n v="162.80000000000001"/>
    <n v="98.7"/>
    <n v="130.6"/>
    <n v="124.8"/>
    <n v="136.4"/>
    <n v="130.30000000000001"/>
    <n v="134.4"/>
    <n v="133.9"/>
    <n v="129.80000000000001"/>
    <n v="133.4"/>
    <s v="NA"/>
    <n v="127.5"/>
    <n v="127.1"/>
    <n v="124.3"/>
    <n v="113.9"/>
    <n v="122.3"/>
    <n v="127.1"/>
    <n v="116.8"/>
    <n v="120.9"/>
    <n v="127.9"/>
    <n v="1682.6"/>
    <n v="397.1"/>
    <n v="368.5"/>
  </r>
  <r>
    <x v="1"/>
    <x v="3"/>
    <x v="1"/>
    <n v="124.8"/>
    <n v="135.1"/>
    <n v="130.30000000000001"/>
    <n v="129.6"/>
    <n v="108.4"/>
    <n v="118.6"/>
    <n v="129.19999999999999"/>
    <n v="176.4"/>
    <n v="99.1"/>
    <n v="139.69999999999999"/>
    <n v="120.6"/>
    <n v="135.19999999999999"/>
    <n v="129.1"/>
    <n v="140"/>
    <n v="126.2"/>
    <n v="120.1"/>
    <n v="125.3"/>
    <s v="124.4"/>
    <n v="116"/>
    <n v="121.8"/>
    <n v="119.5"/>
    <n v="109.1"/>
    <n v="118.8"/>
    <n v="126.3"/>
    <n v="116.2"/>
    <n v="117.2"/>
    <n v="123.8"/>
    <n v="1676.1"/>
    <n v="371.6"/>
    <n v="346.9"/>
  </r>
  <r>
    <x v="2"/>
    <x v="3"/>
    <x v="1"/>
    <n v="126.4"/>
    <n v="134.19999999999999"/>
    <n v="128.69999999999999"/>
    <n v="130.30000000000001"/>
    <n v="114.8"/>
    <n v="124.9"/>
    <n v="130.30000000000001"/>
    <n v="167.4"/>
    <n v="98.8"/>
    <n v="133.6"/>
    <n v="123"/>
    <n v="135.80000000000001"/>
    <n v="129.9"/>
    <n v="135.9"/>
    <n v="130.9"/>
    <n v="125.8"/>
    <n v="130.19999999999999"/>
    <s v="124.4"/>
    <n v="123.1"/>
    <n v="124.6"/>
    <n v="122.5"/>
    <n v="111.4"/>
    <n v="120.3"/>
    <n v="126.6"/>
    <n v="116.6"/>
    <n v="119.1"/>
    <n v="126"/>
    <n v="1678.1"/>
    <n v="386.9"/>
    <n v="359.1"/>
  </r>
  <r>
    <x v="0"/>
    <x v="3"/>
    <x v="2"/>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n v="1682.7000000000003"/>
    <n v="398.40000000000003"/>
    <n v="368.29999999999995"/>
  </r>
  <r>
    <x v="1"/>
    <x v="3"/>
    <x v="2"/>
    <n v="124.8"/>
    <n v="136.30000000000001"/>
    <n v="123.7"/>
    <n v="129.69999999999999"/>
    <n v="107.9"/>
    <n v="119.9"/>
    <n v="128.1"/>
    <n v="170.3"/>
    <n v="101.8"/>
    <n v="140.1"/>
    <n v="120.7"/>
    <n v="135.4"/>
    <n v="128.9"/>
    <n v="140.6"/>
    <n v="126.4"/>
    <n v="120.3"/>
    <n v="125.5"/>
    <s v="124.9"/>
    <n v="114.8"/>
    <n v="122.3"/>
    <n v="119.7"/>
    <n v="108.5"/>
    <n v="119.1"/>
    <n v="126.4"/>
    <n v="117.1"/>
    <n v="117.3"/>
    <n v="123.8"/>
    <n v="1667.6000000000001"/>
    <n v="372.2"/>
    <n v="345.6"/>
  </r>
  <r>
    <x v="2"/>
    <x v="3"/>
    <x v="2"/>
    <n v="126.5"/>
    <n v="135.1"/>
    <n v="124.6"/>
    <n v="130.19999999999999"/>
    <n v="114.5"/>
    <n v="126.2"/>
    <n v="129.80000000000001"/>
    <n v="164.3"/>
    <n v="100.9"/>
    <n v="133.9"/>
    <n v="123.1"/>
    <n v="136.30000000000001"/>
    <n v="129.80000000000001"/>
    <n v="136.5"/>
    <n v="131.30000000000001"/>
    <n v="126.1"/>
    <n v="130.5"/>
    <s v="124.9"/>
    <n v="122.4"/>
    <n v="125.1"/>
    <n v="122.9"/>
    <n v="110.9"/>
    <n v="120.6"/>
    <n v="126.9"/>
    <n v="117.3"/>
    <n v="119.3"/>
    <n v="126"/>
    <n v="1675.2"/>
    <n v="387.9"/>
    <n v="358.4"/>
  </r>
  <r>
    <x v="0"/>
    <x v="3"/>
    <x v="3"/>
    <n v="127.4"/>
    <n v="135.4"/>
    <n v="123.4"/>
    <n v="131.30000000000001"/>
    <n v="118.2"/>
    <n v="138.1"/>
    <n v="134.1"/>
    <n v="162.69999999999999"/>
    <n v="105"/>
    <n v="131.4"/>
    <n v="125.4"/>
    <n v="137.4"/>
    <n v="131.80000000000001"/>
    <n v="135.5"/>
    <n v="135"/>
    <n v="130.6"/>
    <n v="134.4"/>
    <s v="NA"/>
    <n v="127"/>
    <n v="128"/>
    <n v="125.2"/>
    <n v="114.4"/>
    <n v="123.2"/>
    <n v="127.9"/>
    <n v="118.4"/>
    <n v="121.7"/>
    <n v="129"/>
    <n v="1701.6000000000004"/>
    <n v="400"/>
    <n v="369.4"/>
  </r>
  <r>
    <x v="1"/>
    <x v="3"/>
    <x v="3"/>
    <n v="124.9"/>
    <n v="139.30000000000001"/>
    <n v="119.9"/>
    <n v="130.19999999999999"/>
    <n v="108.9"/>
    <n v="131.1"/>
    <n v="136.80000000000001"/>
    <n v="176.9"/>
    <n v="109.1"/>
    <n v="140.4"/>
    <n v="121.1"/>
    <n v="135.9"/>
    <n v="131.80000000000001"/>
    <n v="141.5"/>
    <n v="126.8"/>
    <n v="120.5"/>
    <n v="125.8"/>
    <s v="125.6"/>
    <n v="114.6"/>
    <n v="122.8"/>
    <n v="120"/>
    <n v="110"/>
    <n v="119.5"/>
    <n v="127.6"/>
    <n v="117.6"/>
    <n v="118.2"/>
    <n v="125.3"/>
    <n v="1706.3"/>
    <n v="373.1"/>
    <n v="347.4"/>
  </r>
  <r>
    <x v="2"/>
    <x v="3"/>
    <x v="3"/>
    <n v="126.6"/>
    <n v="136.80000000000001"/>
    <n v="122"/>
    <n v="130.9"/>
    <n v="114.8"/>
    <n v="134.80000000000001"/>
    <n v="135"/>
    <n v="167.5"/>
    <n v="106.4"/>
    <n v="134.4"/>
    <n v="123.6"/>
    <n v="136.69999999999999"/>
    <n v="131.80000000000001"/>
    <n v="137.1"/>
    <n v="131.80000000000001"/>
    <n v="126.4"/>
    <n v="131"/>
    <s v="125.6"/>
    <n v="122.3"/>
    <n v="125.5"/>
    <n v="123.2"/>
    <n v="112.1"/>
    <n v="121.1"/>
    <n v="127.7"/>
    <n v="118.1"/>
    <n v="120"/>
    <n v="127.3"/>
    <n v="1701.3"/>
    <n v="389.20000000000005"/>
    <n v="359.9"/>
  </r>
  <r>
    <x v="0"/>
    <x v="3"/>
    <x v="4"/>
    <n v="127.6"/>
    <n v="137.5"/>
    <n v="124.4"/>
    <n v="132.4"/>
    <n v="118.2"/>
    <n v="138.1"/>
    <n v="141.80000000000001"/>
    <n v="166"/>
    <n v="107.5"/>
    <n v="132.19999999999999"/>
    <n v="126.1"/>
    <n v="138.30000000000001"/>
    <n v="133.6"/>
    <n v="136"/>
    <n v="135.4"/>
    <n v="131.1"/>
    <n v="134.80000000000001"/>
    <s v="NA"/>
    <n v="127.4"/>
    <n v="128.5"/>
    <n v="125.8"/>
    <n v="115.1"/>
    <n v="123.6"/>
    <n v="129.1"/>
    <n v="119.7"/>
    <n v="122.5"/>
    <n v="130.30000000000001"/>
    <n v="1723.6999999999998"/>
    <n v="401.3"/>
    <n v="371"/>
  </r>
  <r>
    <x v="1"/>
    <x v="3"/>
    <x v="4"/>
    <n v="125"/>
    <n v="142.1"/>
    <n v="127"/>
    <n v="130.4"/>
    <n v="109.6"/>
    <n v="133.5"/>
    <n v="151.4"/>
    <n v="182.8"/>
    <n v="111.1"/>
    <n v="141.5"/>
    <n v="121.5"/>
    <n v="136.30000000000001"/>
    <n v="134.6"/>
    <n v="142.19999999999999"/>
    <n v="127.2"/>
    <n v="120.7"/>
    <n v="126.2"/>
    <s v="126"/>
    <n v="115"/>
    <n v="123.2"/>
    <n v="120.3"/>
    <n v="110.7"/>
    <n v="119.8"/>
    <n v="128"/>
    <n v="118.5"/>
    <n v="118.7"/>
    <n v="126.6"/>
    <n v="1746.7999999999997"/>
    <n v="374.1"/>
    <n v="348.9"/>
  </r>
  <r>
    <x v="2"/>
    <x v="3"/>
    <x v="4"/>
    <n v="126.8"/>
    <n v="139.1"/>
    <n v="125.4"/>
    <n v="131.69999999999999"/>
    <n v="115"/>
    <n v="136"/>
    <n v="145.1"/>
    <n v="171.7"/>
    <n v="108.7"/>
    <n v="135.30000000000001"/>
    <n v="124.2"/>
    <n v="137.4"/>
    <n v="134"/>
    <n v="137.69999999999999"/>
    <n v="132.19999999999999"/>
    <n v="126.8"/>
    <n v="131.4"/>
    <s v="126"/>
    <n v="122.7"/>
    <n v="126"/>
    <n v="123.7"/>
    <n v="112.8"/>
    <n v="121.5"/>
    <n v="128.5"/>
    <n v="119.2"/>
    <n v="120.7"/>
    <n v="128.6"/>
    <n v="1730.4"/>
    <n v="390.4"/>
    <n v="361.5"/>
  </r>
  <r>
    <x v="0"/>
    <x v="3"/>
    <x v="5"/>
    <n v="128.6"/>
    <n v="138.6"/>
    <n v="126.6"/>
    <n v="133.6"/>
    <n v="118.6"/>
    <n v="137.4"/>
    <n v="152.5"/>
    <n v="169.2"/>
    <n v="108.8"/>
    <n v="133.1"/>
    <n v="126.4"/>
    <n v="139.19999999999999"/>
    <n v="136"/>
    <n v="137.19999999999999"/>
    <n v="136.30000000000001"/>
    <n v="131.6"/>
    <n v="135.6"/>
    <s v="NA"/>
    <n v="128"/>
    <n v="129.30000000000001"/>
    <n v="126.2"/>
    <n v="116.3"/>
    <n v="124.1"/>
    <n v="130.19999999999999"/>
    <n v="119.9"/>
    <n v="123.3"/>
    <n v="131.9"/>
    <n v="1748.6"/>
    <n v="403.5"/>
    <n v="373.6"/>
  </r>
  <r>
    <x v="1"/>
    <x v="3"/>
    <x v="5"/>
    <n v="125.9"/>
    <n v="143.9"/>
    <n v="130.9"/>
    <n v="131"/>
    <n v="110.2"/>
    <n v="135.5"/>
    <n v="173.7"/>
    <n v="184.4"/>
    <n v="112"/>
    <n v="142.80000000000001"/>
    <n v="121.6"/>
    <n v="136.9"/>
    <n v="138.19999999999999"/>
    <n v="142.69999999999999"/>
    <n v="127.6"/>
    <n v="121.1"/>
    <n v="126.6"/>
    <s v="125.5"/>
    <n v="115.5"/>
    <n v="123.2"/>
    <n v="120.6"/>
    <n v="112.3"/>
    <n v="119.9"/>
    <n v="129.30000000000001"/>
    <n v="118.8"/>
    <n v="119.6"/>
    <n v="128.1"/>
    <n v="1787.0000000000002"/>
    <n v="375.29999999999995"/>
    <n v="351"/>
  </r>
  <r>
    <x v="2"/>
    <x v="3"/>
    <x v="5"/>
    <n v="127.7"/>
    <n v="140.5"/>
    <n v="128.30000000000001"/>
    <n v="132.6"/>
    <n v="115.5"/>
    <n v="136.5"/>
    <n v="159.69999999999999"/>
    <n v="174.3"/>
    <n v="109.9"/>
    <n v="136.30000000000001"/>
    <n v="124.4"/>
    <n v="138.1"/>
    <n v="136.80000000000001"/>
    <n v="138.69999999999999"/>
    <n v="132.9"/>
    <n v="127.2"/>
    <n v="132"/>
    <s v="125.5"/>
    <n v="123.3"/>
    <n v="126.4"/>
    <n v="124.1"/>
    <n v="114.2"/>
    <n v="121.7"/>
    <n v="129.69999999999999"/>
    <n v="119.4"/>
    <n v="121.5"/>
    <n v="130.1"/>
    <n v="1760.6"/>
    <n v="392.1"/>
    <n v="363.9"/>
  </r>
  <r>
    <x v="0"/>
    <x v="3"/>
    <x v="6"/>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n v="1770.2999999999997"/>
    <n v="405.9"/>
    <n v="374.6"/>
  </r>
  <r>
    <x v="1"/>
    <x v="3"/>
    <x v="6"/>
    <n v="126.8"/>
    <n v="144.19999999999999"/>
    <n v="136.6"/>
    <n v="131.80000000000001"/>
    <n v="111"/>
    <n v="137"/>
    <n v="179.5"/>
    <n v="188.4"/>
    <n v="113.3"/>
    <n v="143.9"/>
    <n v="121.7"/>
    <n v="137.5"/>
    <n v="139.80000000000001"/>
    <n v="142.9"/>
    <n v="127.9"/>
    <n v="121.1"/>
    <n v="126.9"/>
    <s v="126.4"/>
    <n v="115.5"/>
    <n v="123.5"/>
    <n v="120.9"/>
    <n v="111.7"/>
    <n v="120.3"/>
    <n v="130.80000000000001"/>
    <n v="120"/>
    <n v="119.9"/>
    <n v="129"/>
    <n v="1811.5000000000002"/>
    <n v="375.9"/>
    <n v="350.7"/>
  </r>
  <r>
    <x v="2"/>
    <x v="3"/>
    <x v="6"/>
    <n v="128.5"/>
    <n v="141.19999999999999"/>
    <n v="132.30000000000001"/>
    <n v="133.5"/>
    <n v="116.4"/>
    <n v="137.80000000000001"/>
    <n v="165.4"/>
    <n v="177.4"/>
    <n v="111.3"/>
    <n v="137.5"/>
    <n v="125"/>
    <n v="138.80000000000001"/>
    <n v="138.4"/>
    <n v="139.30000000000001"/>
    <n v="133.5"/>
    <n v="127.6"/>
    <n v="132.69999999999999"/>
    <s v="126.4"/>
    <n v="123.4"/>
    <n v="126.9"/>
    <n v="124.5"/>
    <n v="113.9"/>
    <n v="122.4"/>
    <n v="130.80000000000001"/>
    <n v="120.5"/>
    <n v="121.9"/>
    <n v="131.1"/>
    <n v="1783.5"/>
    <n v="393.8"/>
    <n v="364.20000000000005"/>
  </r>
  <r>
    <x v="0"/>
    <x v="3"/>
    <x v="7"/>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n v="1777.4999999999998"/>
    <n v="407.9"/>
    <n v="375.7"/>
  </r>
  <r>
    <x v="1"/>
    <x v="3"/>
    <x v="7"/>
    <n v="127.6"/>
    <n v="140.30000000000001"/>
    <n v="133.69999999999999"/>
    <n v="132.19999999999999"/>
    <n v="111.8"/>
    <n v="135.80000000000001"/>
    <n v="163.5"/>
    <n v="182.3"/>
    <n v="114.6"/>
    <n v="144.6"/>
    <n v="121.9"/>
    <n v="138.1"/>
    <n v="137.6"/>
    <n v="143.6"/>
    <n v="128.30000000000001"/>
    <n v="121.4"/>
    <n v="127.3"/>
    <s v="127.3"/>
    <n v="114.7"/>
    <n v="123.9"/>
    <n v="121.2"/>
    <n v="110.4"/>
    <n v="120.6"/>
    <n v="131.5"/>
    <n v="120.9"/>
    <n v="119.9"/>
    <n v="128.4"/>
    <n v="1783.9999999999995"/>
    <n v="377"/>
    <n v="349"/>
  </r>
  <r>
    <x v="2"/>
    <x v="3"/>
    <x v="7"/>
    <n v="129.30000000000001"/>
    <n v="139.30000000000001"/>
    <n v="131.6"/>
    <n v="134.1"/>
    <n v="116.9"/>
    <n v="138.1"/>
    <n v="159.1"/>
    <n v="175.6"/>
    <n v="112.9"/>
    <n v="138.1"/>
    <n v="125.5"/>
    <n v="139.5"/>
    <n v="137.9"/>
    <n v="140.19999999999999"/>
    <n v="134.1"/>
    <n v="128.19999999999999"/>
    <n v="133.19999999999999"/>
    <s v="127.3"/>
    <n v="123.6"/>
    <n v="127.4"/>
    <n v="124.8"/>
    <n v="113.1"/>
    <n v="122.7"/>
    <n v="131.69999999999999"/>
    <n v="121.5"/>
    <n v="122.1"/>
    <n v="131.1"/>
    <n v="1777.9"/>
    <n v="395.49999999999994"/>
    <n v="364.1"/>
  </r>
  <r>
    <x v="0"/>
    <x v="3"/>
    <x v="8"/>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n v="1770.7"/>
    <n v="409.8"/>
    <n v="377.79999999999995"/>
  </r>
  <r>
    <x v="1"/>
    <x v="3"/>
    <x v="8"/>
    <n v="128.1"/>
    <n v="137.69999999999999"/>
    <n v="130.6"/>
    <n v="132.6"/>
    <n v="111.9"/>
    <n v="132.5"/>
    <n v="152.9"/>
    <n v="173.6"/>
    <n v="115.1"/>
    <n v="144.80000000000001"/>
    <n v="122.1"/>
    <n v="138.80000000000001"/>
    <n v="135.69999999999999"/>
    <n v="143.9"/>
    <n v="128.69999999999999"/>
    <n v="121.6"/>
    <n v="127.7"/>
    <s v="127.9"/>
    <n v="114.8"/>
    <n v="124.3"/>
    <n v="121.4"/>
    <n v="111.8"/>
    <n v="120.8"/>
    <n v="131.6"/>
    <n v="121.2"/>
    <n v="120.5"/>
    <n v="128"/>
    <n v="1756.3999999999996"/>
    <n v="378"/>
    <n v="350.9"/>
  </r>
  <r>
    <x v="2"/>
    <x v="3"/>
    <x v="8"/>
    <n v="129.9"/>
    <n v="138"/>
    <n v="130.5"/>
    <n v="134.4"/>
    <n v="117.2"/>
    <n v="136.1"/>
    <n v="150.69999999999999"/>
    <n v="171.5"/>
    <n v="113.8"/>
    <n v="138.80000000000001"/>
    <n v="126"/>
    <n v="140.19999999999999"/>
    <n v="136.6"/>
    <n v="141"/>
    <n v="134.6"/>
    <n v="128.6"/>
    <n v="133.80000000000001"/>
    <s v="127.9"/>
    <n v="124.1"/>
    <n v="127.9"/>
    <n v="125.4"/>
    <n v="114.3"/>
    <n v="122.9"/>
    <n v="131.80000000000001"/>
    <n v="122.1"/>
    <n v="122.8"/>
    <n v="130.9"/>
    <n v="1763.6999999999998"/>
    <n v="397"/>
    <n v="366.3"/>
  </r>
  <r>
    <x v="0"/>
    <x v="3"/>
    <x v="9"/>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n v="1771.8000000000002"/>
    <n v="412.7"/>
    <n v="379.40000000000003"/>
  </r>
  <r>
    <x v="1"/>
    <x v="3"/>
    <x v="9"/>
    <n v="128.69999999999999"/>
    <n v="138.4"/>
    <n v="130.30000000000001"/>
    <n v="132.69999999999999"/>
    <n v="112.5"/>
    <n v="130.4"/>
    <n v="155.1"/>
    <n v="175.7"/>
    <n v="115.4"/>
    <n v="145.30000000000001"/>
    <n v="122.5"/>
    <n v="139.6"/>
    <n v="136.30000000000001"/>
    <n v="144.30000000000001"/>
    <n v="129.1"/>
    <n v="121.9"/>
    <n v="128"/>
    <s v="128.7"/>
    <n v="115.2"/>
    <n v="124.5"/>
    <n v="121.8"/>
    <n v="112.8"/>
    <n v="121.2"/>
    <n v="131.9"/>
    <n v="120.8"/>
    <n v="120.9"/>
    <n v="128.6"/>
    <n v="1762.8999999999999"/>
    <n v="379"/>
    <n v="352.5"/>
  </r>
  <r>
    <x v="2"/>
    <x v="3"/>
    <x v="9"/>
    <n v="130.5"/>
    <n v="137.9"/>
    <n v="130.19999999999999"/>
    <n v="134.80000000000001"/>
    <n v="117.8"/>
    <n v="134.69999999999999"/>
    <n v="151.19999999999999"/>
    <n v="172.1"/>
    <n v="114.1"/>
    <n v="139.30000000000001"/>
    <n v="126.1"/>
    <n v="141.1"/>
    <n v="137"/>
    <n v="141.80000000000001"/>
    <n v="135.5"/>
    <n v="129.1"/>
    <n v="134.5"/>
    <s v="128.7"/>
    <n v="124.3"/>
    <n v="128.4"/>
    <n v="126.1"/>
    <n v="115.2"/>
    <n v="123.5"/>
    <n v="132.4"/>
    <n v="122.1"/>
    <n v="123.4"/>
    <n v="131.4"/>
    <n v="1766.7999999999995"/>
    <n v="399.1"/>
    <n v="367.9"/>
  </r>
  <r>
    <x v="0"/>
    <x v="3"/>
    <x v="11"/>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n v="1764.6"/>
    <n v="413.59999999999997"/>
    <n v="380.59999999999997"/>
  </r>
  <r>
    <x v="1"/>
    <x v="3"/>
    <x v="11"/>
    <n v="130.19999999999999"/>
    <n v="138.5"/>
    <n v="134.1"/>
    <n v="132.9"/>
    <n v="112.6"/>
    <n v="130.80000000000001"/>
    <n v="142"/>
    <n v="174.9"/>
    <n v="115.6"/>
    <n v="145.4"/>
    <n v="122.7"/>
    <n v="140.30000000000001"/>
    <n v="135.19999999999999"/>
    <n v="144.30000000000001"/>
    <n v="129.6"/>
    <n v="122.1"/>
    <n v="128.5"/>
    <s v="129.1"/>
    <n v="116.2"/>
    <n v="124.7"/>
    <n v="122.1"/>
    <n v="113.4"/>
    <n v="121.7"/>
    <n v="132.1"/>
    <n v="121.3"/>
    <n v="121.3"/>
    <n v="128.5"/>
    <n v="1755.2"/>
    <n v="380.2"/>
    <n v="354.3"/>
  </r>
  <r>
    <x v="2"/>
    <x v="3"/>
    <x v="11"/>
    <n v="131.4"/>
    <n v="137.80000000000001"/>
    <n v="132"/>
    <n v="135"/>
    <n v="118"/>
    <n v="134.1"/>
    <n v="141.9"/>
    <n v="171.7"/>
    <n v="114.1"/>
    <n v="139.69999999999999"/>
    <n v="126.2"/>
    <n v="141.80000000000001"/>
    <n v="136.1"/>
    <n v="142"/>
    <n v="135.80000000000001"/>
    <n v="129.30000000000001"/>
    <n v="135"/>
    <s v="129.1"/>
    <n v="125"/>
    <n v="128.6"/>
    <n v="126.4"/>
    <n v="115.7"/>
    <n v="124"/>
    <n v="132.80000000000001"/>
    <n v="122.6"/>
    <n v="123.8"/>
    <n v="131.19999999999999"/>
    <n v="1759.8"/>
    <n v="400.1"/>
    <n v="369.3"/>
  </r>
  <r>
    <x v="0"/>
    <x v="3"/>
    <x v="12"/>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n v="1749.1"/>
    <n v="415.3"/>
    <n v="383.5"/>
  </r>
  <r>
    <x v="1"/>
    <x v="3"/>
    <x v="12"/>
    <n v="131.6"/>
    <n v="138.19999999999999"/>
    <n v="134.9"/>
    <n v="133.1"/>
    <n v="113.5"/>
    <n v="129.30000000000001"/>
    <n v="121.1"/>
    <n v="170.3"/>
    <n v="115.5"/>
    <n v="145.5"/>
    <n v="123.1"/>
    <n v="140.9"/>
    <n v="132.80000000000001"/>
    <n v="145"/>
    <n v="130"/>
    <n v="122.2"/>
    <n v="128.80000000000001"/>
    <s v="128.5"/>
    <n v="117.8"/>
    <n v="125"/>
    <n v="122.3"/>
    <n v="113.7"/>
    <n v="121.8"/>
    <n v="132.30000000000001"/>
    <n v="119.9"/>
    <n v="121.4"/>
    <n v="127.6"/>
    <n v="1729.8"/>
    <n v="381"/>
    <n v="356.5"/>
  </r>
  <r>
    <x v="2"/>
    <x v="3"/>
    <x v="12"/>
    <n v="132.30000000000001"/>
    <n v="137.6"/>
    <n v="132.9"/>
    <n v="135.1"/>
    <n v="118.6"/>
    <n v="132.69999999999999"/>
    <n v="125.3"/>
    <n v="168.7"/>
    <n v="114.4"/>
    <n v="140.19999999999999"/>
    <n v="126.6"/>
    <n v="142.30000000000001"/>
    <n v="134"/>
    <n v="143.1"/>
    <n v="136.30000000000001"/>
    <n v="129.80000000000001"/>
    <n v="135.4"/>
    <s v="128.5"/>
    <n v="126.6"/>
    <n v="129.19999999999999"/>
    <n v="126.9"/>
    <n v="116"/>
    <n v="124.2"/>
    <n v="133.1"/>
    <n v="121.1"/>
    <n v="123.9"/>
    <n v="130.4"/>
    <n v="1740.7"/>
    <n v="401.5"/>
    <n v="371.79999999999995"/>
  </r>
  <r>
    <x v="0"/>
    <x v="4"/>
    <x v="0"/>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n v="1737.3000000000002"/>
    <n v="416.5"/>
    <n v="384.4"/>
  </r>
  <r>
    <x v="1"/>
    <x v="4"/>
    <x v="0"/>
    <n v="132.19999999999999"/>
    <n v="138.9"/>
    <n v="132.6"/>
    <n v="133.1"/>
    <n v="114"/>
    <n v="129.6"/>
    <n v="118.7"/>
    <n v="155.1"/>
    <n v="117.3"/>
    <n v="144.9"/>
    <n v="123.2"/>
    <n v="141.6"/>
    <n v="132"/>
    <n v="145.6"/>
    <n v="130.19999999999999"/>
    <n v="122.3"/>
    <n v="129"/>
    <s v="129.6"/>
    <n v="118"/>
    <n v="125.1"/>
    <n v="122.6"/>
    <n v="115.2"/>
    <n v="122"/>
    <n v="132.4"/>
    <n v="120.9"/>
    <n v="122.1"/>
    <n v="127.8"/>
    <n v="1713.2"/>
    <n v="381.5"/>
    <n v="358.3"/>
  </r>
  <r>
    <x v="2"/>
    <x v="4"/>
    <x v="0"/>
    <n v="132.80000000000001"/>
    <n v="138.19999999999999"/>
    <n v="132.19999999999999"/>
    <n v="135.4"/>
    <n v="119.1"/>
    <n v="133"/>
    <n v="119.4"/>
    <n v="159.5"/>
    <n v="115.6"/>
    <n v="139.6"/>
    <n v="126.6"/>
    <n v="142.80000000000001"/>
    <n v="133.1"/>
    <n v="143.80000000000001"/>
    <n v="136.6"/>
    <n v="130.19999999999999"/>
    <n v="135.6"/>
    <s v="129.6"/>
    <n v="126.8"/>
    <n v="129.4"/>
    <n v="127.1"/>
    <n v="117"/>
    <n v="124.2"/>
    <n v="133.30000000000001"/>
    <n v="121.7"/>
    <n v="124.4"/>
    <n v="130.30000000000001"/>
    <n v="1727.2999999999995"/>
    <n v="402.4"/>
    <n v="373.2"/>
  </r>
  <r>
    <x v="0"/>
    <x v="4"/>
    <x v="1"/>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n v="1734.5000000000002"/>
    <n v="416.90000000000003"/>
    <n v="386.29999999999995"/>
  </r>
  <r>
    <x v="1"/>
    <x v="4"/>
    <x v="1"/>
    <n v="132.80000000000001"/>
    <n v="139.80000000000001"/>
    <n v="129.30000000000001"/>
    <n v="133.5"/>
    <n v="114.3"/>
    <n v="131.4"/>
    <n v="120.2"/>
    <n v="143.1"/>
    <n v="119.5"/>
    <n v="144"/>
    <n v="123.4"/>
    <n v="141.9"/>
    <n v="132.1"/>
    <n v="146.30000000000001"/>
    <n v="130.5"/>
    <n v="122.5"/>
    <n v="129.30000000000001"/>
    <s v="130.5"/>
    <n v="119.2"/>
    <n v="125.3"/>
    <n v="122.9"/>
    <n v="115.5"/>
    <n v="122.2"/>
    <n v="132.4"/>
    <n v="121.7"/>
    <n v="122.4"/>
    <n v="128.19999999999999"/>
    <n v="1705.3000000000002"/>
    <n v="382.3"/>
    <n v="360"/>
  </r>
  <r>
    <x v="2"/>
    <x v="4"/>
    <x v="1"/>
    <n v="133.1"/>
    <n v="138.80000000000001"/>
    <n v="129.30000000000001"/>
    <n v="135.80000000000001"/>
    <n v="119.2"/>
    <n v="135.30000000000001"/>
    <n v="119.5"/>
    <n v="152.19999999999999"/>
    <n v="117.3"/>
    <n v="138.69999999999999"/>
    <n v="126.9"/>
    <n v="143.19999999999999"/>
    <n v="133"/>
    <n v="144.4"/>
    <n v="136.80000000000001"/>
    <n v="130.30000000000001"/>
    <n v="135.9"/>
    <s v="130.5"/>
    <n v="127.9"/>
    <n v="129.69999999999999"/>
    <n v="127.4"/>
    <n v="117.4"/>
    <n v="124.6"/>
    <n v="133.4"/>
    <n v="122.6"/>
    <n v="124.8"/>
    <n v="130.6"/>
    <n v="1722.3000000000002"/>
    <n v="403"/>
    <n v="375"/>
  </r>
  <r>
    <x v="0"/>
    <x v="4"/>
    <x v="2"/>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n v="1728.5000000000002"/>
    <n v="418.59999999999997"/>
    <n v="388.09999999999997"/>
  </r>
  <r>
    <x v="1"/>
    <x v="4"/>
    <x v="2"/>
    <n v="132.69999999999999"/>
    <n v="139.4"/>
    <n v="128.4"/>
    <n v="134.9"/>
    <n v="114"/>
    <n v="136.80000000000001"/>
    <n v="122.2"/>
    <n v="135.80000000000001"/>
    <n v="120.3"/>
    <n v="142.6"/>
    <n v="123.6"/>
    <n v="142.4"/>
    <n v="132.6"/>
    <n v="147.5"/>
    <n v="130.80000000000001"/>
    <n v="122.8"/>
    <n v="129.6"/>
    <s v="131.1"/>
    <n v="120.8"/>
    <n v="125.6"/>
    <n v="123.1"/>
    <n v="115.6"/>
    <n v="122.4"/>
    <n v="132.80000000000001"/>
    <n v="121.7"/>
    <n v="122.6"/>
    <n v="128.69999999999999"/>
    <n v="1705.6999999999998"/>
    <n v="383.20000000000005"/>
    <n v="362"/>
  </r>
  <r>
    <x v="2"/>
    <x v="4"/>
    <x v="2"/>
    <n v="133.30000000000001"/>
    <n v="139"/>
    <n v="128.6"/>
    <n v="136.30000000000001"/>
    <n v="118.8"/>
    <n v="138.30000000000001"/>
    <n v="120.5"/>
    <n v="143.9"/>
    <n v="118"/>
    <n v="137.9"/>
    <n v="127.2"/>
    <n v="144"/>
    <n v="133.1"/>
    <n v="145.1"/>
    <n v="137.30000000000001"/>
    <n v="130.6"/>
    <n v="136.4"/>
    <s v="131.1"/>
    <n v="129.1"/>
    <n v="130.1"/>
    <n v="127.8"/>
    <n v="117.6"/>
    <n v="125"/>
    <n v="133.80000000000001"/>
    <n v="122.6"/>
    <n v="125.1"/>
    <n v="130.9"/>
    <n v="1718.9"/>
    <n v="404.29999999999995"/>
    <n v="376.79999999999995"/>
  </r>
  <r>
    <x v="0"/>
    <x v="4"/>
    <x v="3"/>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n v="1726.3"/>
    <n v="420.80000000000007"/>
    <n v="388.5"/>
  </r>
  <r>
    <x v="1"/>
    <x v="4"/>
    <x v="3"/>
    <n v="132.69999999999999"/>
    <n v="140.6"/>
    <n v="124.5"/>
    <n v="136.30000000000001"/>
    <n v="113.5"/>
    <n v="137.69999999999999"/>
    <n v="127.1"/>
    <n v="133.80000000000001"/>
    <n v="120.8"/>
    <n v="141.30000000000001"/>
    <n v="123.8"/>
    <n v="142.6"/>
    <n v="133.4"/>
    <n v="148"/>
    <n v="131.19999999999999"/>
    <n v="123"/>
    <n v="130"/>
    <s v="131.7"/>
    <n v="121.4"/>
    <n v="126"/>
    <n v="123.4"/>
    <n v="114.3"/>
    <n v="122.6"/>
    <n v="133.6"/>
    <n v="122.2"/>
    <n v="122.5"/>
    <n v="129.1"/>
    <n v="1708.1"/>
    <n v="384.2"/>
    <n v="361.7"/>
  </r>
  <r>
    <x v="2"/>
    <x v="4"/>
    <x v="3"/>
    <n v="133"/>
    <n v="139.4"/>
    <n v="126.1"/>
    <n v="137.19999999999999"/>
    <n v="118.4"/>
    <n v="139.9"/>
    <n v="123.4"/>
    <n v="140.9"/>
    <n v="118.5"/>
    <n v="136.5"/>
    <n v="127.4"/>
    <n v="144.19999999999999"/>
    <n v="133.5"/>
    <n v="145.4"/>
    <n v="138"/>
    <n v="131.1"/>
    <n v="137"/>
    <s v="131.7"/>
    <n v="129.80000000000001"/>
    <n v="130.4"/>
    <n v="128.1"/>
    <n v="116.6"/>
    <n v="125.1"/>
    <n v="134.5"/>
    <n v="123.1"/>
    <n v="125.1"/>
    <n v="131.1"/>
    <n v="1718.4"/>
    <n v="406.1"/>
    <n v="376.80000000000007"/>
  </r>
  <r>
    <x v="0"/>
    <x v="4"/>
    <x v="4"/>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n v="1727.4999999999995"/>
    <n v="421.6"/>
    <n v="389.29999999999995"/>
  </r>
  <r>
    <x v="1"/>
    <x v="4"/>
    <x v="4"/>
    <n v="132.6"/>
    <n v="144.1"/>
    <n v="125.6"/>
    <n v="136.80000000000001"/>
    <n v="113.4"/>
    <n v="135.19999999999999"/>
    <n v="129.19999999999999"/>
    <n v="131.5"/>
    <n v="121"/>
    <n v="139.9"/>
    <n v="123.8"/>
    <n v="142.9"/>
    <n v="133.6"/>
    <n v="148.30000000000001"/>
    <n v="131.5"/>
    <n v="123.2"/>
    <n v="130.19999999999999"/>
    <s v="132.1"/>
    <n v="120.1"/>
    <n v="126.5"/>
    <n v="123.6"/>
    <n v="114.3"/>
    <n v="122.8"/>
    <n v="133.80000000000001"/>
    <n v="122"/>
    <n v="122.6"/>
    <n v="129.30000000000001"/>
    <n v="1709.6"/>
    <n v="384.9"/>
    <n v="360.9"/>
  </r>
  <r>
    <x v="2"/>
    <x v="4"/>
    <x v="4"/>
    <n v="132.9"/>
    <n v="141.6"/>
    <n v="126.3"/>
    <n v="137.69999999999999"/>
    <n v="118.1"/>
    <n v="137.9"/>
    <n v="125.6"/>
    <n v="138.30000000000001"/>
    <n v="119.4"/>
    <n v="136"/>
    <n v="127.6"/>
    <n v="144.5"/>
    <n v="133.69999999999999"/>
    <n v="146.19999999999999"/>
    <n v="138.19999999999999"/>
    <n v="131.4"/>
    <n v="137.19999999999999"/>
    <s v="132.1"/>
    <n v="129.4"/>
    <n v="130.9"/>
    <n v="128.4"/>
    <n v="116.7"/>
    <n v="125.7"/>
    <n v="134.80000000000001"/>
    <n v="123"/>
    <n v="125.3"/>
    <n v="131.4"/>
    <n v="1719.6000000000001"/>
    <n v="406.8"/>
    <n v="377"/>
  </r>
  <r>
    <x v="0"/>
    <x v="4"/>
    <x v="5"/>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n v="1738.8000000000002"/>
    <n v="423.09999999999997"/>
    <n v="389.4"/>
  </r>
  <r>
    <x v="1"/>
    <x v="4"/>
    <x v="5"/>
    <n v="132.9"/>
    <n v="148.69999999999999"/>
    <n v="128.30000000000001"/>
    <n v="137.30000000000001"/>
    <n v="113.5"/>
    <n v="137.19999999999999"/>
    <n v="142.19999999999999"/>
    <n v="128.19999999999999"/>
    <n v="120.9"/>
    <n v="138.80000000000001"/>
    <n v="124.2"/>
    <n v="143.1"/>
    <n v="135.69999999999999"/>
    <n v="148.6"/>
    <n v="131.5"/>
    <n v="123.2"/>
    <n v="130.19999999999999"/>
    <s v="131.4"/>
    <n v="119"/>
    <n v="126.8"/>
    <n v="123.8"/>
    <n v="113.9"/>
    <n v="122.9"/>
    <n v="134.30000000000001"/>
    <n v="122.5"/>
    <n v="122.7"/>
    <n v="129.9"/>
    <n v="1731.0000000000002"/>
    <n v="384.9"/>
    <n v="359.70000000000005"/>
  </r>
  <r>
    <x v="2"/>
    <x v="4"/>
    <x v="5"/>
    <n v="133.30000000000001"/>
    <n v="145.5"/>
    <n v="128.1"/>
    <n v="138.1"/>
    <n v="118.2"/>
    <n v="139.19999999999999"/>
    <n v="133.30000000000001"/>
    <n v="136.19999999999999"/>
    <n v="119.6"/>
    <n v="135.30000000000001"/>
    <n v="127.8"/>
    <n v="144.9"/>
    <n v="135.19999999999999"/>
    <n v="146.5"/>
    <n v="138.5"/>
    <n v="131.69999999999999"/>
    <n v="137.5"/>
    <s v="131.4"/>
    <n v="128.80000000000001"/>
    <n v="131.19999999999999"/>
    <n v="128.5"/>
    <n v="116.5"/>
    <n v="125.9"/>
    <n v="135.4"/>
    <n v="123.4"/>
    <n v="125.5"/>
    <n v="132"/>
    <n v="1734.7"/>
    <n v="407.7"/>
    <n v="376.5"/>
  </r>
  <r>
    <x v="0"/>
    <x v="4"/>
    <x v="6"/>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n v="1772.9"/>
    <n v="425.9"/>
    <n v="390.5"/>
  </r>
  <r>
    <x v="1"/>
    <x v="4"/>
    <x v="6"/>
    <n v="132.80000000000001"/>
    <n v="148.4"/>
    <n v="129.4"/>
    <n v="137.69999999999999"/>
    <n v="113.4"/>
    <n v="139.4"/>
    <n v="175.1"/>
    <n v="124.7"/>
    <n v="121.5"/>
    <n v="137.80000000000001"/>
    <n v="124.4"/>
    <n v="143.69999999999999"/>
    <n v="139.80000000000001"/>
    <n v="150.5"/>
    <n v="131.6"/>
    <n v="123.7"/>
    <n v="130.4"/>
    <s v="132.6"/>
    <n v="119.7"/>
    <n v="127.2"/>
    <n v="125"/>
    <n v="113.2"/>
    <n v="123.5"/>
    <n v="135.5"/>
    <n v="122.4"/>
    <n v="123"/>
    <n v="131.80000000000001"/>
    <n v="1768.1"/>
    <n v="385.70000000000005"/>
    <n v="360.1"/>
  </r>
  <r>
    <x v="2"/>
    <x v="4"/>
    <x v="6"/>
    <n v="133.6"/>
    <n v="145.69999999999999"/>
    <n v="129.6"/>
    <n v="138.5"/>
    <n v="118.1"/>
    <n v="141.80000000000001"/>
    <n v="159.5"/>
    <n v="133.6"/>
    <n v="120.5"/>
    <n v="135.19999999999999"/>
    <n v="128.5"/>
    <n v="145.80000000000001"/>
    <n v="139"/>
    <n v="148.19999999999999"/>
    <n v="139.30000000000001"/>
    <n v="132.1"/>
    <n v="138.30000000000001"/>
    <s v="132.6"/>
    <n v="129.4"/>
    <n v="131.9"/>
    <n v="129.4"/>
    <n v="116"/>
    <n v="126.6"/>
    <n v="136.80000000000001"/>
    <n v="123.6"/>
    <n v="125.9"/>
    <n v="134.19999999999999"/>
    <n v="1769.3999999999999"/>
    <n v="409.7"/>
    <n v="377.3"/>
  </r>
  <r>
    <x v="0"/>
    <x v="4"/>
    <x v="7"/>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n v="1792.4999999999998"/>
    <n v="429"/>
    <n v="394.00000000000006"/>
  </r>
  <r>
    <x v="1"/>
    <x v="4"/>
    <x v="7"/>
    <n v="133.19999999999999"/>
    <n v="143.9"/>
    <n v="128.30000000000001"/>
    <n v="138.30000000000001"/>
    <n v="114.1"/>
    <n v="142.69999999999999"/>
    <n v="179.8"/>
    <n v="123.5"/>
    <n v="122.1"/>
    <n v="137.5"/>
    <n v="124.6"/>
    <n v="144.5"/>
    <n v="140.5"/>
    <n v="152.1"/>
    <n v="132.69999999999999"/>
    <n v="124.3"/>
    <n v="131.4"/>
    <s v="134.4"/>
    <n v="118.9"/>
    <n v="127.7"/>
    <n v="125.7"/>
    <n v="114.6"/>
    <n v="124.1"/>
    <n v="135.69999999999999"/>
    <n v="123.3"/>
    <n v="123.8"/>
    <n v="132.69999999999999"/>
    <n v="1772.9999999999998"/>
    <n v="388.4"/>
    <n v="361.20000000000005"/>
  </r>
  <r>
    <x v="2"/>
    <x v="4"/>
    <x v="7"/>
    <n v="134.30000000000001"/>
    <n v="143.4"/>
    <n v="129.30000000000001"/>
    <n v="139"/>
    <n v="118.1"/>
    <n v="145.5"/>
    <n v="168.6"/>
    <n v="132.69999999999999"/>
    <n v="121.2"/>
    <n v="135.6"/>
    <n v="128.69999999999999"/>
    <n v="146.80000000000001"/>
    <n v="140.6"/>
    <n v="149.80000000000001"/>
    <n v="140.30000000000001"/>
    <n v="133"/>
    <n v="139.30000000000001"/>
    <s v="134.4"/>
    <n v="129.80000000000001"/>
    <n v="132.80000000000001"/>
    <n v="130.19999999999999"/>
    <n v="117.3"/>
    <n v="127.3"/>
    <n v="137.6"/>
    <n v="124.5"/>
    <n v="126.8"/>
    <n v="135.4"/>
    <n v="1783.8"/>
    <n v="412.6"/>
    <n v="379.90000000000003"/>
  </r>
  <r>
    <x v="0"/>
    <x v="4"/>
    <x v="8"/>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n v="1784.3"/>
    <n v="430.99999999999994"/>
    <n v="396.5"/>
  </r>
  <r>
    <x v="1"/>
    <x v="4"/>
    <x v="8"/>
    <n v="133.6"/>
    <n v="143"/>
    <n v="129.69999999999999"/>
    <n v="138.69999999999999"/>
    <n v="114.5"/>
    <n v="137.5"/>
    <n v="160.69999999999999"/>
    <n v="124.5"/>
    <n v="122.4"/>
    <n v="137.30000000000001"/>
    <n v="124.8"/>
    <n v="145"/>
    <n v="138"/>
    <n v="153.6"/>
    <n v="133.30000000000001"/>
    <n v="124.6"/>
    <n v="132"/>
    <s v="135.7"/>
    <n v="120.6"/>
    <n v="128.1"/>
    <n v="126.1"/>
    <n v="115.7"/>
    <n v="124.5"/>
    <n v="135.9"/>
    <n v="124.4"/>
    <n v="124.5"/>
    <n v="132.4"/>
    <n v="1749.7"/>
    <n v="389.9"/>
    <n v="364.4"/>
  </r>
  <r>
    <x v="2"/>
    <x v="4"/>
    <x v="8"/>
    <n v="134.69999999999999"/>
    <n v="142.4"/>
    <n v="130.19999999999999"/>
    <n v="139.6"/>
    <n v="118.4"/>
    <n v="143"/>
    <n v="156.6"/>
    <n v="132.9"/>
    <n v="121.5"/>
    <n v="135.6"/>
    <n v="128.80000000000001"/>
    <n v="147.30000000000001"/>
    <n v="139"/>
    <n v="150.80000000000001"/>
    <n v="141.1"/>
    <n v="133.4"/>
    <n v="140"/>
    <s v="135.7"/>
    <n v="131"/>
    <n v="133.30000000000001"/>
    <n v="130.6"/>
    <n v="118.3"/>
    <n v="127.9"/>
    <n v="137.4"/>
    <n v="125.7"/>
    <n v="127.5"/>
    <n v="135.19999999999999"/>
    <n v="1769.9999999999998"/>
    <n v="414.5"/>
    <n v="382.6"/>
  </r>
  <r>
    <x v="0"/>
    <x v="4"/>
    <x v="9"/>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n v="1790.8999999999999"/>
    <n v="433.99999999999994"/>
    <n v="397.5"/>
  </r>
  <r>
    <x v="1"/>
    <x v="4"/>
    <x v="9"/>
    <n v="133.9"/>
    <n v="142.80000000000001"/>
    <n v="131.4"/>
    <n v="139.1"/>
    <n v="114.9"/>
    <n v="135.6"/>
    <n v="173.2"/>
    <n v="124.1"/>
    <n v="122.6"/>
    <n v="137.80000000000001"/>
    <n v="125.1"/>
    <n v="145.5"/>
    <n v="139.69999999999999"/>
    <n v="154.6"/>
    <n v="134"/>
    <n v="124.9"/>
    <n v="132.6"/>
    <s v="137.3"/>
    <n v="122.6"/>
    <n v="128.30000000000001"/>
    <n v="126.6"/>
    <n v="115"/>
    <n v="124.8"/>
    <n v="136.30000000000001"/>
    <n v="124.6"/>
    <n v="124.5"/>
    <n v="133.5"/>
    <n v="1765.6999999999998"/>
    <n v="391.5"/>
    <n v="365.9"/>
  </r>
  <r>
    <x v="2"/>
    <x v="4"/>
    <x v="9"/>
    <n v="135.30000000000001"/>
    <n v="142.19999999999999"/>
    <n v="131.19999999999999"/>
    <n v="140.6"/>
    <n v="119"/>
    <n v="141.5"/>
    <n v="162.6"/>
    <n v="132.30000000000001"/>
    <n v="121.8"/>
    <n v="136.30000000000001"/>
    <n v="128.69999999999999"/>
    <n v="148.1"/>
    <n v="140.1"/>
    <n v="151.6"/>
    <n v="142"/>
    <n v="134.1"/>
    <n v="140.80000000000001"/>
    <s v="137.3"/>
    <n v="132.19999999999999"/>
    <n v="133.6"/>
    <n v="131.30000000000001"/>
    <n v="117.8"/>
    <n v="128.4"/>
    <n v="137.9"/>
    <n v="126.2"/>
    <n v="127.7"/>
    <n v="136.1"/>
    <n v="1779.6999999999998"/>
    <n v="416.90000000000003"/>
    <n v="383.59999999999997"/>
  </r>
  <r>
    <x v="0"/>
    <x v="4"/>
    <x v="11"/>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n v="1817.7000000000003"/>
    <n v="437"/>
    <n v="402.1"/>
  </r>
  <r>
    <x v="1"/>
    <x v="4"/>
    <x v="11"/>
    <n v="134.30000000000001"/>
    <n v="142.1"/>
    <n v="146.69999999999999"/>
    <n v="139.5"/>
    <n v="115.2"/>
    <n v="136.4"/>
    <n v="185.2"/>
    <n v="122.2"/>
    <n v="123.9"/>
    <n v="138.30000000000001"/>
    <n v="125.4"/>
    <n v="146"/>
    <n v="141.5"/>
    <n v="156.19999999999999"/>
    <n v="135"/>
    <n v="125.4"/>
    <n v="133.5"/>
    <s v="138.6"/>
    <n v="125.7"/>
    <n v="128.80000000000001"/>
    <n v="127.4"/>
    <n v="115.3"/>
    <n v="125.1"/>
    <n v="136.6"/>
    <n v="124.9"/>
    <n v="124.9"/>
    <n v="134.80000000000001"/>
    <n v="1796.7"/>
    <n v="393.9"/>
    <n v="369.8"/>
  </r>
  <r>
    <x v="2"/>
    <x v="4"/>
    <x v="11"/>
    <n v="135.69999999999999"/>
    <n v="142.4"/>
    <n v="142.9"/>
    <n v="140.80000000000001"/>
    <n v="119.2"/>
    <n v="142.19999999999999"/>
    <n v="173.8"/>
    <n v="131.19999999999999"/>
    <n v="123"/>
    <n v="136.80000000000001"/>
    <n v="129.19999999999999"/>
    <n v="148.9"/>
    <n v="142.1"/>
    <n v="153.19999999999999"/>
    <n v="143"/>
    <n v="134.80000000000001"/>
    <n v="141.80000000000001"/>
    <s v="138.6"/>
    <n v="135.30000000000001"/>
    <n v="134.4"/>
    <n v="132.6"/>
    <n v="118.3"/>
    <n v="128.9"/>
    <n v="138.6"/>
    <n v="126.8"/>
    <n v="128.4"/>
    <n v="137.6"/>
    <n v="1808.2"/>
    <n v="419.6"/>
    <n v="388.00000000000006"/>
  </r>
  <r>
    <x v="0"/>
    <x v="4"/>
    <x v="12"/>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n v="1813.6000000000001"/>
    <n v="437.09999999999997"/>
    <n v="404.1"/>
  </r>
  <r>
    <x v="1"/>
    <x v="4"/>
    <x v="12"/>
    <n v="134.4"/>
    <n v="142.6"/>
    <n v="145.9"/>
    <n v="139.5"/>
    <n v="115.9"/>
    <n v="135"/>
    <n v="163.19999999999999"/>
    <n v="119.8"/>
    <n v="120.7"/>
    <n v="139.69999999999999"/>
    <n v="125.7"/>
    <n v="146.30000000000001"/>
    <n v="138.80000000000001"/>
    <n v="157"/>
    <n v="135.6"/>
    <n v="125.6"/>
    <n v="134"/>
    <s v="139.1"/>
    <n v="126.8"/>
    <n v="129.30000000000001"/>
    <n v="128.19999999999999"/>
    <n v="115.3"/>
    <n v="125.6"/>
    <n v="136.69999999999999"/>
    <n v="124.6"/>
    <n v="125.1"/>
    <n v="134.1"/>
    <n v="1767.5"/>
    <n v="395.2"/>
    <n v="371.40000000000003"/>
  </r>
  <r>
    <x v="2"/>
    <x v="4"/>
    <x v="12"/>
    <n v="135.80000000000001"/>
    <n v="143.30000000000001"/>
    <n v="145.19999999999999"/>
    <n v="141"/>
    <n v="120.5"/>
    <n v="141.5"/>
    <n v="161.69999999999999"/>
    <n v="129.1"/>
    <n v="121.5"/>
    <n v="137.1"/>
    <n v="128.80000000000001"/>
    <n v="149"/>
    <n v="140.5"/>
    <n v="154.19999999999999"/>
    <n v="143.1"/>
    <n v="135.1"/>
    <n v="142"/>
    <s v="139.1"/>
    <n v="136.6"/>
    <n v="134.69999999999999"/>
    <n v="133.1"/>
    <n v="118.5"/>
    <n v="129"/>
    <n v="138.5"/>
    <n v="126.5"/>
    <n v="128.6"/>
    <n v="137.19999999999999"/>
    <n v="1794.9999999999998"/>
    <n v="420.2"/>
    <n v="389.79999999999995"/>
  </r>
  <r>
    <x v="0"/>
    <x v="5"/>
    <x v="0"/>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n v="1800.7"/>
    <n v="438.1"/>
    <n v="404.8"/>
  </r>
  <r>
    <x v="1"/>
    <x v="5"/>
    <x v="0"/>
    <n v="134.6"/>
    <n v="143.69999999999999"/>
    <n v="143.6"/>
    <n v="139.6"/>
    <n v="116.4"/>
    <n v="133.80000000000001"/>
    <n v="150.5"/>
    <n v="118.4"/>
    <n v="117.3"/>
    <n v="140.5"/>
    <n v="125.9"/>
    <n v="146.80000000000001"/>
    <n v="137.19999999999999"/>
    <n v="157.69999999999999"/>
    <n v="136"/>
    <n v="125.9"/>
    <n v="134.4"/>
    <s v="140.4"/>
    <n v="127.3"/>
    <n v="129.5"/>
    <n v="129"/>
    <n v="116.3"/>
    <n v="126.2"/>
    <n v="137.1"/>
    <n v="125.5"/>
    <n v="125.8"/>
    <n v="134.1"/>
    <n v="1748.3000000000002"/>
    <n v="396.29999999999995"/>
    <n v="373.1"/>
  </r>
  <r>
    <x v="2"/>
    <x v="5"/>
    <x v="0"/>
    <n v="136"/>
    <n v="144.19999999999999"/>
    <n v="143.69999999999999"/>
    <n v="141.1"/>
    <n v="120.7"/>
    <n v="141.30000000000001"/>
    <n v="151.6"/>
    <n v="127.3"/>
    <n v="118.8"/>
    <n v="137.5"/>
    <n v="129"/>
    <n v="149.5"/>
    <n v="139.19999999999999"/>
    <n v="154.69999999999999"/>
    <n v="143.5"/>
    <n v="135.5"/>
    <n v="142.30000000000001"/>
    <s v="140.4"/>
    <n v="136.6"/>
    <n v="134.9"/>
    <n v="133.30000000000001"/>
    <n v="119.3"/>
    <n v="129.69999999999999"/>
    <n v="139"/>
    <n v="127.3"/>
    <n v="129.1"/>
    <n v="136.9"/>
    <n v="1779.9"/>
    <n v="421.3"/>
    <n v="390.8"/>
  </r>
  <r>
    <x v="0"/>
    <x v="5"/>
    <x v="1"/>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n v="1781.5"/>
    <n v="438.90000000000003"/>
    <n v="405.6"/>
  </r>
  <r>
    <x v="1"/>
    <x v="5"/>
    <x v="1"/>
    <n v="134.80000000000001"/>
    <n v="143"/>
    <n v="139.9"/>
    <n v="139.9"/>
    <n v="116.2"/>
    <n v="135.5"/>
    <n v="136.9"/>
    <n v="117"/>
    <n v="115.4"/>
    <n v="140.69999999999999"/>
    <n v="125.9"/>
    <n v="147.1"/>
    <n v="135.6"/>
    <n v="159.30000000000001"/>
    <n v="136.30000000000001"/>
    <n v="126.1"/>
    <n v="134.69999999999999"/>
    <s v="141.3"/>
    <n v="127.3"/>
    <n v="129.9"/>
    <n v="129.80000000000001"/>
    <n v="117.4"/>
    <n v="126.5"/>
    <n v="137.19999999999999"/>
    <n v="126.2"/>
    <n v="126.5"/>
    <n v="134"/>
    <n v="1727.9"/>
    <n v="397.09999999999997"/>
    <n v="374.6"/>
  </r>
  <r>
    <x v="2"/>
    <x v="5"/>
    <x v="1"/>
    <n v="135.9"/>
    <n v="143.5"/>
    <n v="140.30000000000001"/>
    <n v="140.9"/>
    <n v="120.4"/>
    <n v="142.9"/>
    <n v="140.5"/>
    <n v="125.8"/>
    <n v="117.1"/>
    <n v="137.30000000000001"/>
    <n v="128.6"/>
    <n v="149.6"/>
    <n v="137.6"/>
    <n v="154.9"/>
    <n v="143.80000000000001"/>
    <n v="135.6"/>
    <n v="142.6"/>
    <s v="141.3"/>
    <n v="136.69999999999999"/>
    <n v="135.19999999999999"/>
    <n v="133.80000000000001"/>
    <n v="120.2"/>
    <n v="129.9"/>
    <n v="139"/>
    <n v="127.7"/>
    <n v="129.6"/>
    <n v="136.4"/>
    <n v="1760.3999999999996"/>
    <n v="422"/>
    <n v="392.09999999999997"/>
  </r>
  <r>
    <x v="0"/>
    <x v="5"/>
    <x v="2"/>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n v="1781.9999999999998"/>
    <n v="440.5"/>
    <n v="407.1"/>
  </r>
  <r>
    <x v="1"/>
    <x v="5"/>
    <x v="2"/>
    <n v="135"/>
    <n v="143.1"/>
    <n v="135.5"/>
    <n v="139.9"/>
    <n v="116.5"/>
    <n v="138.5"/>
    <n v="128"/>
    <n v="115.5"/>
    <n v="114.2"/>
    <n v="140.69999999999999"/>
    <n v="126.2"/>
    <n v="147.6"/>
    <n v="134.80000000000001"/>
    <n v="159.69999999999999"/>
    <n v="136.69999999999999"/>
    <n v="126.7"/>
    <n v="135.19999999999999"/>
    <s v="142"/>
    <n v="126.4"/>
    <n v="130.80000000000001"/>
    <n v="130.5"/>
    <n v="117.8"/>
    <n v="126.8"/>
    <n v="137.80000000000001"/>
    <n v="126.7"/>
    <n v="127.1"/>
    <n v="134"/>
    <n v="1715.5"/>
    <n v="398.59999999999997"/>
    <n v="375.00000000000006"/>
  </r>
  <r>
    <x v="2"/>
    <x v="5"/>
    <x v="2"/>
    <n v="136.19999999999999"/>
    <n v="143.6"/>
    <n v="138.30000000000001"/>
    <n v="141.19999999999999"/>
    <n v="120.7"/>
    <n v="146.19999999999999"/>
    <n v="134.6"/>
    <n v="124.6"/>
    <n v="116.1"/>
    <n v="137.80000000000001"/>
    <n v="129.1"/>
    <n v="150.4"/>
    <n v="137.19999999999999"/>
    <n v="156.30000000000001"/>
    <n v="144.30000000000001"/>
    <n v="136.19999999999999"/>
    <n v="143.1"/>
    <s v="142"/>
    <n v="136.5"/>
    <n v="135.6"/>
    <n v="134.30000000000001"/>
    <n v="121"/>
    <n v="130.4"/>
    <n v="139.80000000000001"/>
    <n v="128.19999999999999"/>
    <n v="130.30000000000001"/>
    <n v="136.5"/>
    <n v="1756"/>
    <n v="423.6"/>
    <n v="393.1"/>
  </r>
  <r>
    <x v="0"/>
    <x v="5"/>
    <x v="3"/>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n v="1780"/>
    <n v="442.5"/>
    <n v="410.00000000000006"/>
  </r>
  <r>
    <x v="1"/>
    <x v="5"/>
    <x v="3"/>
    <n v="135"/>
    <n v="144.30000000000001"/>
    <n v="130.80000000000001"/>
    <n v="140.30000000000001"/>
    <n v="116.6"/>
    <n v="150.1"/>
    <n v="127.6"/>
    <n v="114"/>
    <n v="110.6"/>
    <n v="140.19999999999999"/>
    <n v="126.5"/>
    <n v="148.30000000000001"/>
    <n v="135.69999999999999"/>
    <n v="159.19999999999999"/>
    <n v="137.80000000000001"/>
    <n v="127.4"/>
    <n v="136.19999999999999"/>
    <s v="142.9"/>
    <n v="124.6"/>
    <n v="131.80000000000001"/>
    <n v="131.30000000000001"/>
    <n v="118.9"/>
    <n v="127.6"/>
    <n v="139.69999999999999"/>
    <n v="127.6"/>
    <n v="128.19999999999999"/>
    <n v="134.80000000000001"/>
    <n v="1720.0000000000002"/>
    <n v="401.40000000000003"/>
    <n v="375.29999999999995"/>
  </r>
  <r>
    <x v="2"/>
    <x v="5"/>
    <x v="3"/>
    <n v="136.4"/>
    <n v="144.4"/>
    <n v="133.9"/>
    <n v="141.6"/>
    <n v="121"/>
    <n v="153.5"/>
    <n v="132.6"/>
    <n v="123.5"/>
    <n v="113.7"/>
    <n v="138.19999999999999"/>
    <n v="129.6"/>
    <n v="151.19999999999999"/>
    <n v="137.5"/>
    <n v="156.9"/>
    <n v="145.30000000000001"/>
    <n v="136.69999999999999"/>
    <n v="144"/>
    <s v="142.9"/>
    <n v="136.5"/>
    <n v="136.6"/>
    <n v="135.19999999999999"/>
    <n v="121.9"/>
    <n v="131.30000000000001"/>
    <n v="141.4"/>
    <n v="129.19999999999999"/>
    <n v="131.30000000000001"/>
    <n v="137.1"/>
    <n v="1757.1000000000001"/>
    <n v="426"/>
    <n v="395"/>
  </r>
  <r>
    <x v="0"/>
    <x v="5"/>
    <x v="4"/>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n v="1782.4"/>
    <n v="444.7"/>
    <n v="412.5"/>
  </r>
  <r>
    <x v="1"/>
    <x v="5"/>
    <x v="4"/>
    <n v="135"/>
    <n v="148.19999999999999"/>
    <n v="130.5"/>
    <n v="140.69999999999999"/>
    <n v="116.4"/>
    <n v="151.30000000000001"/>
    <n v="131.4"/>
    <n v="112.8"/>
    <n v="105.3"/>
    <n v="139.6"/>
    <n v="126.6"/>
    <n v="148.69999999999999"/>
    <n v="136.4"/>
    <n v="160.30000000000001"/>
    <n v="138.6"/>
    <n v="127.9"/>
    <n v="137"/>
    <s v="143.2"/>
    <n v="124.7"/>
    <n v="132.5"/>
    <n v="132"/>
    <n v="119.8"/>
    <n v="128"/>
    <n v="140.4"/>
    <n v="128.1"/>
    <n v="128.9"/>
    <n v="135.4"/>
    <n v="1722.8999999999999"/>
    <n v="403.5"/>
    <n v="377"/>
  </r>
  <r>
    <x v="2"/>
    <x v="5"/>
    <x v="4"/>
    <n v="136.6"/>
    <n v="146.6"/>
    <n v="133.6"/>
    <n v="142.1"/>
    <n v="121"/>
    <n v="154.6"/>
    <n v="135.6"/>
    <n v="122.3"/>
    <n v="109.6"/>
    <n v="138.1"/>
    <n v="129.9"/>
    <n v="151.69999999999999"/>
    <n v="138.1"/>
    <n v="157.9"/>
    <n v="146"/>
    <n v="137.4"/>
    <n v="144.69999999999999"/>
    <s v="143.2"/>
    <n v="136.9"/>
    <n v="137.4"/>
    <n v="136"/>
    <n v="122.9"/>
    <n v="131.80000000000001"/>
    <n v="142.1"/>
    <n v="129.9"/>
    <n v="132.1"/>
    <n v="137.80000000000001"/>
    <n v="1759.8"/>
    <n v="428.09999999999997"/>
    <n v="397.20000000000005"/>
  </r>
  <r>
    <x v="0"/>
    <x v="5"/>
    <x v="5"/>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n v="1790.2999999999997"/>
    <n v="446.3"/>
    <n v="414.69999999999993"/>
  </r>
  <r>
    <x v="1"/>
    <x v="5"/>
    <x v="5"/>
    <n v="135.30000000000001"/>
    <n v="149.69999999999999"/>
    <n v="133.9"/>
    <n v="140.80000000000001"/>
    <n v="116.6"/>
    <n v="152.19999999999999"/>
    <n v="144"/>
    <n v="112.3"/>
    <n v="108.4"/>
    <n v="140"/>
    <n v="126.7"/>
    <n v="149"/>
    <n v="138.4"/>
    <n v="161"/>
    <n v="138.9"/>
    <n v="128.69999999999999"/>
    <n v="137.4"/>
    <s v="142.5"/>
    <n v="126.5"/>
    <n v="133.1"/>
    <n v="132.6"/>
    <n v="120.4"/>
    <n v="128.5"/>
    <n v="141.19999999999999"/>
    <n v="128.19999999999999"/>
    <n v="129.5"/>
    <n v="136.19999999999999"/>
    <n v="1747.3000000000002"/>
    <n v="405"/>
    <n v="380"/>
  </r>
  <r>
    <x v="2"/>
    <x v="5"/>
    <x v="5"/>
    <n v="136.9"/>
    <n v="148.69999999999999"/>
    <n v="135.6"/>
    <n v="142.30000000000001"/>
    <n v="121.3"/>
    <n v="153.19999999999999"/>
    <n v="143.69999999999999"/>
    <n v="121.4"/>
    <n v="111.1"/>
    <n v="138.4"/>
    <n v="130.30000000000001"/>
    <n v="151.80000000000001"/>
    <n v="139.4"/>
    <n v="158.30000000000001"/>
    <n v="146.4"/>
    <n v="138.1"/>
    <n v="145.19999999999999"/>
    <s v="142.5"/>
    <n v="138.1"/>
    <n v="137.9"/>
    <n v="136.19999999999999"/>
    <n v="123.7"/>
    <n v="132.6"/>
    <n v="142.80000000000001"/>
    <n v="130.1"/>
    <n v="132.6"/>
    <n v="138.5"/>
    <n v="1774.1000000000001"/>
    <n v="429.7"/>
    <n v="399.7"/>
  </r>
  <r>
    <x v="0"/>
    <x v="5"/>
    <x v="6"/>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n v="1810.5000000000002"/>
    <n v="447.20000000000005"/>
    <n v="417.4"/>
  </r>
  <r>
    <x v="1"/>
    <x v="5"/>
    <x v="6"/>
    <n v="135.6"/>
    <n v="148.6"/>
    <n v="139.1"/>
    <n v="141"/>
    <n v="116.7"/>
    <n v="149.69999999999999"/>
    <n v="159.19999999999999"/>
    <n v="112.6"/>
    <n v="111.8"/>
    <n v="140.30000000000001"/>
    <n v="126.8"/>
    <n v="149.4"/>
    <n v="140.30000000000001"/>
    <n v="161.4"/>
    <n v="139.6"/>
    <n v="128.9"/>
    <n v="137.9"/>
    <s v="143.6"/>
    <n v="128.1"/>
    <n v="133.6"/>
    <n v="133.6"/>
    <n v="120.1"/>
    <n v="129"/>
    <n v="144"/>
    <n v="128.19999999999999"/>
    <n v="130.19999999999999"/>
    <n v="137.5"/>
    <n v="1771.1"/>
    <n v="406.4"/>
    <n v="381.79999999999995"/>
  </r>
  <r>
    <x v="2"/>
    <x v="5"/>
    <x v="6"/>
    <n v="137.5"/>
    <n v="149.1"/>
    <n v="139.19999999999999"/>
    <n v="142.5"/>
    <n v="121.4"/>
    <n v="151.6"/>
    <n v="155.9"/>
    <n v="121.7"/>
    <n v="113.5"/>
    <n v="138.9"/>
    <n v="130.30000000000001"/>
    <n v="152.30000000000001"/>
    <n v="141.4"/>
    <n v="157.5"/>
    <n v="146.80000000000001"/>
    <n v="138.4"/>
    <n v="145.6"/>
    <s v="143.6"/>
    <n v="139.69999999999999"/>
    <n v="138.6"/>
    <n v="137"/>
    <n v="123.6"/>
    <n v="133.1"/>
    <n v="144.69999999999999"/>
    <n v="130.1"/>
    <n v="133.19999999999999"/>
    <n v="139.80000000000001"/>
    <n v="1795.3"/>
    <n v="430.80000000000007"/>
    <n v="401.9"/>
  </r>
  <r>
    <x v="0"/>
    <x v="5"/>
    <x v="7"/>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n v="1818.8"/>
    <n v="449.2"/>
    <n v="419.8"/>
  </r>
  <r>
    <x v="1"/>
    <x v="5"/>
    <x v="7"/>
    <n v="136.5"/>
    <n v="146.4"/>
    <n v="136.6"/>
    <n v="141.19999999999999"/>
    <n v="117.4"/>
    <n v="146.30000000000001"/>
    <n v="157.30000000000001"/>
    <n v="113.6"/>
    <n v="113.3"/>
    <n v="141.1"/>
    <n v="127.4"/>
    <n v="150.4"/>
    <n v="140.1"/>
    <n v="162.1"/>
    <n v="140"/>
    <n v="129"/>
    <n v="138.30000000000001"/>
    <s v="144.6"/>
    <n v="129.80000000000001"/>
    <n v="134.4"/>
    <n v="134.9"/>
    <n v="120.7"/>
    <n v="129.80000000000001"/>
    <n v="145.30000000000001"/>
    <n v="128.30000000000001"/>
    <n v="131"/>
    <n v="138"/>
    <n v="1767.6"/>
    <n v="407.3"/>
    <n v="384.90000000000003"/>
  </r>
  <r>
    <x v="2"/>
    <x v="5"/>
    <x v="7"/>
    <n v="138.30000000000001"/>
    <n v="148"/>
    <n v="138.1"/>
    <n v="142.6"/>
    <n v="122.2"/>
    <n v="150.6"/>
    <n v="156.6"/>
    <n v="122.4"/>
    <n v="114.7"/>
    <n v="139.4"/>
    <n v="131.1"/>
    <n v="153"/>
    <n v="141.69999999999999"/>
    <n v="157.9"/>
    <n v="147.30000000000001"/>
    <n v="138.80000000000001"/>
    <n v="146.1"/>
    <s v="144.6"/>
    <n v="140.9"/>
    <n v="139.4"/>
    <n v="137.69999999999999"/>
    <n v="124.3"/>
    <n v="133.6"/>
    <n v="146"/>
    <n v="130.1"/>
    <n v="133.9"/>
    <n v="140.4"/>
    <n v="1798.7000000000003"/>
    <n v="432.20000000000005"/>
    <n v="404.6"/>
  </r>
  <r>
    <x v="0"/>
    <x v="5"/>
    <x v="8"/>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n v="1799.8000000000002"/>
    <n v="449.5"/>
    <n v="422.9"/>
  </r>
  <r>
    <x v="1"/>
    <x v="5"/>
    <x v="8"/>
    <n v="137"/>
    <n v="143.1"/>
    <n v="132.80000000000001"/>
    <n v="141.5"/>
    <n v="117.8"/>
    <n v="140"/>
    <n v="151.30000000000001"/>
    <n v="113.5"/>
    <n v="112.3"/>
    <n v="141.19999999999999"/>
    <n v="127.7"/>
    <n v="151.30000000000001"/>
    <n v="138.9"/>
    <n v="163.30000000000001"/>
    <n v="140.80000000000001"/>
    <n v="129.30000000000001"/>
    <n v="139.1"/>
    <s v="145.3"/>
    <n v="131.19999999999999"/>
    <n v="134.9"/>
    <n v="135.69999999999999"/>
    <n v="122.5"/>
    <n v="130.19999999999999"/>
    <n v="145.19999999999999"/>
    <n v="129.30000000000001"/>
    <n v="131.9"/>
    <n v="138.1"/>
    <n v="1748.4"/>
    <n v="409.20000000000005"/>
    <n v="388.6"/>
  </r>
  <r>
    <x v="2"/>
    <x v="5"/>
    <x v="8"/>
    <n v="138.6"/>
    <n v="145.80000000000001"/>
    <n v="135.1"/>
    <n v="142.9"/>
    <n v="122.1"/>
    <n v="145.4"/>
    <n v="150"/>
    <n v="121.4"/>
    <n v="113.7"/>
    <n v="139.5"/>
    <n v="130.80000000000001"/>
    <n v="153.80000000000001"/>
    <n v="140.4"/>
    <n v="159.19999999999999"/>
    <n v="147.69999999999999"/>
    <n v="139.1"/>
    <n v="146.5"/>
    <s v="145.3"/>
    <n v="142.30000000000001"/>
    <n v="139.69999999999999"/>
    <n v="138.4"/>
    <n v="126"/>
    <n v="134.5"/>
    <n v="146.19999999999999"/>
    <n v="130.9"/>
    <n v="134.69999999999999"/>
    <n v="140.19999999999999"/>
    <n v="1779.5"/>
    <n v="433.29999999999995"/>
    <n v="408"/>
  </r>
  <r>
    <x v="0"/>
    <x v="5"/>
    <x v="9"/>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n v="1782.2"/>
    <n v="445"/>
    <n v="428"/>
  </r>
  <r>
    <x v="1"/>
    <x v="5"/>
    <x v="9"/>
    <n v="137.6"/>
    <n v="144.9"/>
    <n v="133.5"/>
    <n v="141.5"/>
    <n v="118"/>
    <n v="139.5"/>
    <n v="153"/>
    <n v="113.2"/>
    <n v="112.8"/>
    <n v="141.1"/>
    <n v="127.6"/>
    <n v="152"/>
    <n v="139.4"/>
    <n v="164"/>
    <n v="141.5"/>
    <n v="129.80000000000001"/>
    <n v="139.69999999999999"/>
    <s v="146.3"/>
    <n v="133.4"/>
    <n v="135.1"/>
    <n v="136.19999999999999"/>
    <n v="123.3"/>
    <n v="130.69999999999999"/>
    <n v="145.5"/>
    <n v="130.4"/>
    <n v="132.5"/>
    <n v="138.9"/>
    <n v="1754.1"/>
    <n v="411"/>
    <n v="391.8"/>
  </r>
  <r>
    <x v="2"/>
    <x v="5"/>
    <x v="9"/>
    <n v="137.4"/>
    <n v="149.5"/>
    <n v="137.30000000000001"/>
    <n v="141.9"/>
    <n v="121.1"/>
    <n v="142.5"/>
    <n v="146.69999999999999"/>
    <n v="119.1"/>
    <n v="111.9"/>
    <n v="141"/>
    <n v="133.6"/>
    <n v="154.5"/>
    <n v="139.69999999999999"/>
    <n v="162.6"/>
    <n v="148"/>
    <n v="139.19999999999999"/>
    <n v="146.80000000000001"/>
    <s v="146.9"/>
    <n v="145.30000000000001"/>
    <n v="142.19999999999999"/>
    <n v="142.1"/>
    <n v="125.5"/>
    <n v="136.5"/>
    <n v="147.80000000000001"/>
    <n v="132"/>
    <n v="136.30000000000001"/>
    <n v="140.80000000000001"/>
    <n v="1776.2"/>
    <n v="434"/>
    <n v="413"/>
  </r>
  <r>
    <x v="0"/>
    <x v="5"/>
    <x v="11"/>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n v="1787.4999999999995"/>
    <n v="448"/>
    <n v="428.6"/>
  </r>
  <r>
    <x v="1"/>
    <x v="5"/>
    <x v="11"/>
    <n v="138.1"/>
    <n v="146.30000000000001"/>
    <n v="137.80000000000001"/>
    <n v="141.6"/>
    <n v="118.1"/>
    <n v="141.5"/>
    <n v="145.19999999999999"/>
    <n v="115.3"/>
    <n v="112.5"/>
    <n v="141.4"/>
    <n v="128"/>
    <n v="152.6"/>
    <n v="139.1"/>
    <n v="164.4"/>
    <n v="142.4"/>
    <n v="130.19999999999999"/>
    <n v="140.5"/>
    <s v="146.9"/>
    <n v="136.69999999999999"/>
    <n v="135.80000000000001"/>
    <n v="136.80000000000001"/>
    <n v="121.2"/>
    <n v="131.30000000000001"/>
    <n v="146.1"/>
    <n v="130.5"/>
    <n v="132.19999999999999"/>
    <n v="139"/>
    <n v="1757.4999999999998"/>
    <n v="413.1"/>
    <n v="393.7"/>
  </r>
  <r>
    <x v="2"/>
    <x v="5"/>
    <x v="11"/>
    <n v="137.4"/>
    <n v="149.19999999999999"/>
    <n v="137.1"/>
    <n v="141.80000000000001"/>
    <n v="121.1"/>
    <n v="142.80000000000001"/>
    <n v="146.69999999999999"/>
    <n v="119.1"/>
    <n v="111.9"/>
    <n v="140.9"/>
    <n v="133.5"/>
    <n v="154.5"/>
    <n v="139.69999999999999"/>
    <n v="162.6"/>
    <n v="148"/>
    <n v="139.1"/>
    <n v="146.69999999999999"/>
    <s v="146.9"/>
    <n v="145.1"/>
    <n v="142.19999999999999"/>
    <n v="142.1"/>
    <n v="125.5"/>
    <n v="136.5"/>
    <n v="147.80000000000001"/>
    <n v="132"/>
    <n v="136.30000000000001"/>
    <n v="140.80000000000001"/>
    <n v="1775.7000000000003"/>
    <n v="433.8"/>
    <n v="412.79999999999995"/>
  </r>
  <r>
    <x v="0"/>
    <x v="5"/>
    <x v="12"/>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n v="1773.1000000000001"/>
    <n v="448.3"/>
    <n v="427.4"/>
  </r>
  <r>
    <x v="1"/>
    <x v="5"/>
    <x v="12"/>
    <n v="138.5"/>
    <n v="147.80000000000001"/>
    <n v="141.1"/>
    <n v="141.6"/>
    <n v="118.1"/>
    <n v="138.5"/>
    <n v="132.4"/>
    <n v="117.5"/>
    <n v="111"/>
    <n v="141.5"/>
    <n v="128.1"/>
    <n v="152.9"/>
    <n v="137.6"/>
    <n v="164.6"/>
    <n v="142.69999999999999"/>
    <n v="130.30000000000001"/>
    <n v="140.80000000000001"/>
    <s v="146.5"/>
    <n v="132.4"/>
    <n v="136.19999999999999"/>
    <n v="137.30000000000001"/>
    <n v="118.8"/>
    <n v="131.69999999999999"/>
    <n v="146.5"/>
    <n v="130.80000000000001"/>
    <n v="131.69999999999999"/>
    <n v="138"/>
    <n v="1746.6"/>
    <n v="413.8"/>
    <n v="387.40000000000003"/>
  </r>
  <r>
    <x v="2"/>
    <x v="5"/>
    <x v="12"/>
    <n v="137.5"/>
    <n v="150.5"/>
    <n v="138.80000000000001"/>
    <n v="142.1"/>
    <n v="122"/>
    <n v="139.4"/>
    <n v="135.19999999999999"/>
    <n v="119.8"/>
    <n v="110.3"/>
    <n v="140.6"/>
    <n v="133.80000000000001"/>
    <n v="154.6"/>
    <n v="138.19999999999999"/>
    <n v="163"/>
    <n v="148.1"/>
    <n v="139.4"/>
    <n v="146.80000000000001"/>
    <s v="146.5"/>
    <n v="142.69999999999999"/>
    <n v="143.19999999999999"/>
    <n v="144.9"/>
    <n v="123.6"/>
    <n v="136.80000000000001"/>
    <n v="150.1"/>
    <n v="132.19999999999999"/>
    <n v="136.80000000000001"/>
    <n v="140.1"/>
    <n v="1762.7999999999997"/>
    <n v="434.3"/>
    <n v="409.5"/>
  </r>
  <r>
    <x v="0"/>
    <x v="6"/>
    <x v="0"/>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n v="1759.6000000000001"/>
    <n v="445.6"/>
    <n v="424.9"/>
  </r>
  <r>
    <x v="1"/>
    <x v="6"/>
    <x v="0"/>
    <n v="138.30000000000001"/>
    <n v="149.4"/>
    <n v="143.5"/>
    <n v="141.69999999999999"/>
    <n v="118.1"/>
    <n v="135.19999999999999"/>
    <n v="130.5"/>
    <n v="118.2"/>
    <n v="110.4"/>
    <n v="140.4"/>
    <n v="128.1"/>
    <n v="153.19999999999999"/>
    <n v="137.30000000000001"/>
    <n v="164.7"/>
    <n v="143"/>
    <n v="130.4"/>
    <n v="141.1"/>
    <s v="147.7"/>
    <n v="128.6"/>
    <n v="136.30000000000001"/>
    <n v="137.80000000000001"/>
    <n v="118.6"/>
    <n v="131.9"/>
    <n v="146.6"/>
    <n v="131.69999999999999"/>
    <n v="131.80000000000001"/>
    <n v="138"/>
    <n v="1744.3000000000002"/>
    <n v="414.5"/>
    <n v="383.5"/>
  </r>
  <r>
    <x v="2"/>
    <x v="6"/>
    <x v="0"/>
    <n v="137.1"/>
    <n v="151.4"/>
    <n v="140.19999999999999"/>
    <n v="142.1"/>
    <n v="121.8"/>
    <n v="135.4"/>
    <n v="131.30000000000001"/>
    <n v="120.3"/>
    <n v="109.1"/>
    <n v="139.4"/>
    <n v="133.30000000000001"/>
    <n v="154.6"/>
    <n v="137.4"/>
    <n v="163.19999999999999"/>
    <n v="147.6"/>
    <n v="139"/>
    <n v="146.4"/>
    <s v="147.7"/>
    <n v="139.5"/>
    <n v="143.6"/>
    <n v="145.1"/>
    <n v="123.3"/>
    <n v="136.69999999999999"/>
    <n v="150.19999999999999"/>
    <n v="132.80000000000001"/>
    <n v="136.9"/>
    <n v="139.6"/>
    <n v="1753.3999999999999"/>
    <n v="433"/>
    <n v="406.40000000000003"/>
  </r>
  <r>
    <x v="0"/>
    <x v="6"/>
    <x v="1"/>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n v="1759.8000000000002"/>
    <n v="446.5"/>
    <n v="424.59999999999997"/>
  </r>
  <r>
    <x v="1"/>
    <x v="6"/>
    <x v="1"/>
    <n v="139.4"/>
    <n v="150.1"/>
    <n v="145.30000000000001"/>
    <n v="141.69999999999999"/>
    <n v="118.4"/>
    <n v="137"/>
    <n v="131.6"/>
    <n v="119.9"/>
    <n v="110.4"/>
    <n v="140.80000000000001"/>
    <n v="128.30000000000001"/>
    <n v="153.5"/>
    <n v="138"/>
    <n v="164.9"/>
    <n v="143.30000000000001"/>
    <n v="130.80000000000001"/>
    <n v="141.4"/>
    <s v="148.5"/>
    <n v="127.1"/>
    <n v="136.6"/>
    <n v="138.5"/>
    <n v="119.2"/>
    <n v="132.19999999999999"/>
    <n v="146.6"/>
    <n v="133"/>
    <n v="132.4"/>
    <n v="138.6"/>
    <n v="1754.4"/>
    <n v="415.5"/>
    <n v="382.9"/>
  </r>
  <r>
    <x v="2"/>
    <x v="6"/>
    <x v="1"/>
    <n v="137.6"/>
    <n v="152"/>
    <n v="141.5"/>
    <n v="142.19999999999999"/>
    <n v="122"/>
    <n v="136.4"/>
    <n v="129.69999999999999"/>
    <n v="121"/>
    <n v="109"/>
    <n v="139.69999999999999"/>
    <n v="133.6"/>
    <n v="154.9"/>
    <n v="137.5"/>
    <n v="163.4"/>
    <n v="147.69999999999999"/>
    <n v="139.69999999999999"/>
    <n v="146.5"/>
    <s v="148.5"/>
    <n v="138.4"/>
    <n v="143.69999999999999"/>
    <n v="145.6"/>
    <n v="123.9"/>
    <n v="137.1"/>
    <n v="150.30000000000001"/>
    <n v="134.1"/>
    <n v="137.4"/>
    <n v="139.9"/>
    <n v="1757.1"/>
    <n v="433.9"/>
    <n v="406"/>
  </r>
  <r>
    <x v="0"/>
    <x v="6"/>
    <x v="2"/>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n v="1761.2000000000003"/>
    <n v="447"/>
    <n v="426.29999999999995"/>
  </r>
  <r>
    <x v="1"/>
    <x v="6"/>
    <x v="2"/>
    <n v="139.69999999999999"/>
    <n v="151.1"/>
    <n v="142.9"/>
    <n v="141.9"/>
    <n v="118.4"/>
    <n v="139.4"/>
    <n v="141.19999999999999"/>
    <n v="120.7"/>
    <n v="110.4"/>
    <n v="140.69999999999999"/>
    <n v="128.5"/>
    <n v="153.9"/>
    <n v="139.6"/>
    <n v="165.3"/>
    <n v="143.5"/>
    <n v="131.19999999999999"/>
    <n v="141.6"/>
    <s v="149"/>
    <n v="128.80000000000001"/>
    <n v="136.80000000000001"/>
    <n v="139.19999999999999"/>
    <n v="119.9"/>
    <n v="133"/>
    <n v="146.69999999999999"/>
    <n v="132.5"/>
    <n v="132.80000000000001"/>
    <n v="139.5"/>
    <n v="1768.4"/>
    <n v="416.29999999999995"/>
    <n v="385.5"/>
  </r>
  <r>
    <x v="2"/>
    <x v="6"/>
    <x v="2"/>
    <n v="137.80000000000001"/>
    <n v="153"/>
    <n v="140.30000000000001"/>
    <n v="142.30000000000001"/>
    <n v="122"/>
    <n v="137.6"/>
    <n v="132.6"/>
    <n v="121.8"/>
    <n v="109"/>
    <n v="139.5"/>
    <n v="133.69999999999999"/>
    <n v="155.19999999999999"/>
    <n v="138.1"/>
    <n v="163.5"/>
    <n v="147.9"/>
    <n v="139.9"/>
    <n v="146.69999999999999"/>
    <s v="149"/>
    <n v="139.69999999999999"/>
    <n v="143.80000000000001"/>
    <n v="146.19999999999999"/>
    <n v="124.6"/>
    <n v="137.69999999999999"/>
    <n v="150.30000000000001"/>
    <n v="133.4"/>
    <n v="137.69999999999999"/>
    <n v="140.4"/>
    <n v="1762.9"/>
    <n v="434.5"/>
    <n v="408.1"/>
  </r>
  <r>
    <x v="0"/>
    <x v="6"/>
    <x v="4"/>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n v="1782.1000000000001"/>
    <n v="448.59999999999997"/>
    <n v="426.59999999999997"/>
  </r>
  <r>
    <x v="1"/>
    <x v="6"/>
    <x v="4"/>
    <n v="140.4"/>
    <n v="156.69999999999999"/>
    <n v="138.30000000000001"/>
    <n v="142.4"/>
    <n v="118.6"/>
    <n v="149.69999999999999"/>
    <n v="161.6"/>
    <n v="124.4"/>
    <n v="111.2"/>
    <n v="141"/>
    <n v="128.9"/>
    <n v="154.5"/>
    <n v="143.80000000000001"/>
    <n v="166.2"/>
    <n v="144"/>
    <n v="131.69999999999999"/>
    <n v="142.19999999999999"/>
    <s v="150.1"/>
    <n v="129.4"/>
    <n v="137.19999999999999"/>
    <n v="139.80000000000001"/>
    <n v="120.1"/>
    <n v="134"/>
    <n v="148"/>
    <n v="132.6"/>
    <n v="133.30000000000001"/>
    <n v="141.5"/>
    <n v="1811.5000000000002"/>
    <n v="417.9"/>
    <n v="386.70000000000005"/>
  </r>
  <r>
    <x v="2"/>
    <x v="6"/>
    <x v="4"/>
    <n v="138.30000000000001"/>
    <n v="158.5"/>
    <n v="136"/>
    <n v="142.5"/>
    <n v="122"/>
    <n v="146.5"/>
    <n v="143"/>
    <n v="124.9"/>
    <n v="109.9"/>
    <n v="139.9"/>
    <n v="134"/>
    <n v="155.5"/>
    <n v="140.9"/>
    <n v="164.1"/>
    <n v="148.4"/>
    <n v="140.4"/>
    <n v="147.30000000000001"/>
    <s v="150.1"/>
    <n v="140.30000000000001"/>
    <n v="143.69999999999999"/>
    <n v="146.9"/>
    <n v="124.9"/>
    <n v="139.19999999999999"/>
    <n v="151.6"/>
    <n v="133.4"/>
    <n v="138.19999999999999"/>
    <n v="142"/>
    <n v="1791.9000000000003"/>
    <n v="436.1"/>
    <n v="408.9"/>
  </r>
  <r>
    <x v="0"/>
    <x v="6"/>
    <x v="5"/>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n v="1804.1999999999998"/>
    <n v="448.59999999999997"/>
    <n v="427.59999999999997"/>
  </r>
  <r>
    <x v="1"/>
    <x v="6"/>
    <x v="5"/>
    <n v="140.69999999999999"/>
    <n v="159.6"/>
    <n v="140.4"/>
    <n v="143.4"/>
    <n v="118.6"/>
    <n v="150.9"/>
    <n v="169.8"/>
    <n v="127.4"/>
    <n v="111.8"/>
    <n v="141"/>
    <n v="129"/>
    <n v="155.1"/>
    <n v="145.6"/>
    <n v="166.7"/>
    <n v="144.30000000000001"/>
    <n v="131.69999999999999"/>
    <n v="142.4"/>
    <s v="149.4"/>
    <n v="130.5"/>
    <n v="137.4"/>
    <n v="140.30000000000001"/>
    <n v="119.6"/>
    <n v="134.30000000000001"/>
    <n v="148.9"/>
    <n v="133.69999999999999"/>
    <n v="133.6"/>
    <n v="142.1"/>
    <n v="1833.2999999999997"/>
    <n v="418.4"/>
    <n v="387.5"/>
  </r>
  <r>
    <x v="2"/>
    <x v="6"/>
    <x v="5"/>
    <n v="138.69999999999999"/>
    <n v="162.1"/>
    <n v="137.80000000000001"/>
    <n v="143.30000000000001"/>
    <n v="122.2"/>
    <n v="146.80000000000001"/>
    <n v="150.5"/>
    <n v="128.30000000000001"/>
    <n v="111"/>
    <n v="140.6"/>
    <n v="134.19999999999999"/>
    <n v="155.9"/>
    <n v="142.69999999999999"/>
    <n v="164.9"/>
    <n v="148.6"/>
    <n v="140.4"/>
    <n v="147.4"/>
    <s v="149.4"/>
    <n v="141.19999999999999"/>
    <n v="143.80000000000001"/>
    <n v="147.4"/>
    <n v="124.6"/>
    <n v="139.6"/>
    <n v="152.5"/>
    <n v="134.30000000000001"/>
    <n v="138.6"/>
    <n v="142.9"/>
    <n v="1814.1000000000001"/>
    <n v="436.4"/>
    <n v="409.6"/>
  </r>
  <r>
    <x v="0"/>
    <x v="6"/>
    <x v="6"/>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n v="1826.8999999999999"/>
    <n v="449.1"/>
    <n v="428"/>
  </r>
  <r>
    <x v="1"/>
    <x v="6"/>
    <x v="6"/>
    <n v="141.4"/>
    <n v="160.19999999999999"/>
    <n v="142.5"/>
    <n v="144.1"/>
    <n v="119.3"/>
    <n v="154.69999999999999"/>
    <n v="180.1"/>
    <n v="128.9"/>
    <n v="111.8"/>
    <n v="141.6"/>
    <n v="129.5"/>
    <n v="155.6"/>
    <n v="147.69999999999999"/>
    <n v="167.2"/>
    <n v="144.69999999999999"/>
    <n v="131.9"/>
    <n v="142.69999999999999"/>
    <s v="150.6"/>
    <n v="127"/>
    <n v="137.69999999999999"/>
    <n v="140.80000000000001"/>
    <n v="120.6"/>
    <n v="135"/>
    <n v="150.4"/>
    <n v="135.1"/>
    <n v="134.5"/>
    <n v="143.30000000000001"/>
    <n v="1857.3999999999999"/>
    <n v="419.3"/>
    <n v="385.29999999999995"/>
  </r>
  <r>
    <x v="2"/>
    <x v="6"/>
    <x v="6"/>
    <n v="139.30000000000001"/>
    <n v="162.69999999999999"/>
    <n v="140"/>
    <n v="144"/>
    <n v="122.5"/>
    <n v="150.30000000000001"/>
    <n v="160.30000000000001"/>
    <n v="130"/>
    <n v="111.1"/>
    <n v="141.69999999999999"/>
    <n v="134.69999999999999"/>
    <n v="156.19999999999999"/>
    <n v="144.69999999999999"/>
    <n v="165.2"/>
    <n v="148.9"/>
    <n v="140.5"/>
    <n v="147.6"/>
    <s v="150.6"/>
    <n v="139.30000000000001"/>
    <n v="144.19999999999999"/>
    <n v="147.9"/>
    <n v="125.6"/>
    <n v="140.5"/>
    <n v="154"/>
    <n v="135.69999999999999"/>
    <n v="139.5"/>
    <n v="144.19999999999999"/>
    <n v="1837.5"/>
    <n v="437"/>
    <n v="409.1"/>
  </r>
  <r>
    <x v="0"/>
    <x v="6"/>
    <x v="7"/>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n v="1834.5000000000002"/>
    <n v="449.5"/>
    <n v="428"/>
  </r>
  <r>
    <x v="1"/>
    <x v="6"/>
    <x v="7"/>
    <n v="142.1"/>
    <n v="158.30000000000001"/>
    <n v="140.80000000000001"/>
    <n v="144.9"/>
    <n v="119.9"/>
    <n v="153.9"/>
    <n v="189.1"/>
    <n v="129.80000000000001"/>
    <n v="112.7"/>
    <n v="142.5"/>
    <n v="129.80000000000001"/>
    <n v="156.19999999999999"/>
    <n v="149.1"/>
    <n v="167.9"/>
    <n v="145"/>
    <n v="132.19999999999999"/>
    <n v="143"/>
    <s v="151.6"/>
    <n v="125.5"/>
    <n v="138.1"/>
    <n v="141.5"/>
    <n v="120.8"/>
    <n v="135.4"/>
    <n v="151.5"/>
    <n v="137.80000000000001"/>
    <n v="135.30000000000001"/>
    <n v="144.19999999999999"/>
    <n v="1869.1"/>
    <n v="420.2"/>
    <n v="384.40000000000003"/>
  </r>
  <r>
    <x v="2"/>
    <x v="6"/>
    <x v="7"/>
    <n v="140.1"/>
    <n v="160.6"/>
    <n v="138.5"/>
    <n v="144.69999999999999"/>
    <n v="122.9"/>
    <n v="149.4"/>
    <n v="167.4"/>
    <n v="130.9"/>
    <n v="112"/>
    <n v="142.6"/>
    <n v="134.9"/>
    <n v="156.6"/>
    <n v="145.9"/>
    <n v="165.8"/>
    <n v="149.1"/>
    <n v="140.6"/>
    <n v="147.9"/>
    <s v="151.6"/>
    <n v="138.5"/>
    <n v="144.5"/>
    <n v="148.5"/>
    <n v="125.8"/>
    <n v="140.9"/>
    <n v="154.9"/>
    <n v="138.4"/>
    <n v="140.19999999999999"/>
    <n v="145"/>
    <n v="1846.5"/>
    <n v="437.6"/>
    <n v="408.8"/>
  </r>
  <r>
    <x v="0"/>
    <x v="6"/>
    <x v="8"/>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n v="1848.7"/>
    <n v="449.29999999999995"/>
    <n v="428.80000000000007"/>
  </r>
  <r>
    <x v="1"/>
    <x v="6"/>
    <x v="8"/>
    <n v="142.69999999999999"/>
    <n v="158.69999999999999"/>
    <n v="141.6"/>
    <n v="144.9"/>
    <n v="120.8"/>
    <n v="149.80000000000001"/>
    <n v="192.4"/>
    <n v="130.30000000000001"/>
    <n v="114"/>
    <n v="143.80000000000001"/>
    <n v="130"/>
    <n v="156.4"/>
    <n v="149.5"/>
    <n v="168.6"/>
    <n v="145.30000000000001"/>
    <n v="132.19999999999999"/>
    <n v="143.30000000000001"/>
    <s v="152.2"/>
    <n v="126.6"/>
    <n v="138.30000000000001"/>
    <n v="141.9"/>
    <n v="121.2"/>
    <n v="135.9"/>
    <n v="151.6"/>
    <n v="139"/>
    <n v="135.69999999999999"/>
    <n v="144.69999999999999"/>
    <n v="1874.9"/>
    <n v="420.8"/>
    <n v="386.09999999999997"/>
  </r>
  <r>
    <x v="2"/>
    <x v="6"/>
    <x v="8"/>
    <n v="140.9"/>
    <n v="160.80000000000001"/>
    <n v="139.6"/>
    <n v="145.4"/>
    <n v="123.5"/>
    <n v="146.6"/>
    <n v="173.2"/>
    <n v="131.6"/>
    <n v="113.2"/>
    <n v="144.1"/>
    <n v="135"/>
    <n v="156.80000000000001"/>
    <n v="147"/>
    <n v="166.5"/>
    <n v="149.19999999999999"/>
    <n v="140.6"/>
    <n v="147.9"/>
    <s v="152.2"/>
    <n v="139.19999999999999"/>
    <n v="144.6"/>
    <n v="149"/>
    <n v="126.1"/>
    <n v="141.30000000000001"/>
    <n v="155.19999999999999"/>
    <n v="139.69999999999999"/>
    <n v="140.69999999999999"/>
    <n v="145.80000000000001"/>
    <n v="1857.6999999999998"/>
    <n v="437.69999999999993"/>
    <n v="409.9"/>
  </r>
  <r>
    <x v="0"/>
    <x v="6"/>
    <x v="9"/>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n v="1876.8999999999996"/>
    <n v="449.4"/>
    <n v="429.99999999999994"/>
  </r>
  <r>
    <x v="1"/>
    <x v="6"/>
    <x v="9"/>
    <n v="143.5"/>
    <n v="159.80000000000001"/>
    <n v="144.69999999999999"/>
    <n v="145.6"/>
    <n v="121.1"/>
    <n v="150.6"/>
    <n v="207.2"/>
    <n v="131.19999999999999"/>
    <n v="114.8"/>
    <n v="145.19999999999999"/>
    <n v="130.19999999999999"/>
    <n v="156.80000000000001"/>
    <n v="151.9"/>
    <n v="169.3"/>
    <n v="145.9"/>
    <n v="132.4"/>
    <n v="143.9"/>
    <s v="153"/>
    <n v="128.9"/>
    <n v="138.69999999999999"/>
    <n v="142.4"/>
    <n v="121.5"/>
    <n v="136.19999999999999"/>
    <n v="151.69999999999999"/>
    <n v="139.5"/>
    <n v="136"/>
    <n v="146"/>
    <n v="1902.6000000000001"/>
    <n v="422.20000000000005"/>
    <n v="389.1"/>
  </r>
  <r>
    <x v="2"/>
    <x v="6"/>
    <x v="9"/>
    <n v="141.80000000000001"/>
    <n v="161"/>
    <n v="142.6"/>
    <n v="146.19999999999999"/>
    <n v="123.9"/>
    <n v="148"/>
    <n v="188.4"/>
    <n v="132.5"/>
    <n v="114"/>
    <n v="145.4"/>
    <n v="135.1"/>
    <n v="157.1"/>
    <n v="149.6"/>
    <n v="167.1"/>
    <n v="149.4"/>
    <n v="140.80000000000001"/>
    <n v="148.19999999999999"/>
    <s v="153"/>
    <n v="140.6"/>
    <n v="145"/>
    <n v="149.4"/>
    <n v="126.3"/>
    <n v="141.69999999999999"/>
    <n v="155.4"/>
    <n v="140"/>
    <n v="141"/>
    <n v="147.19999999999999"/>
    <n v="1885.5999999999997"/>
    <n v="438.40000000000003"/>
    <n v="411.90000000000003"/>
  </r>
  <r>
    <x v="0"/>
    <x v="6"/>
    <x v="11"/>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n v="1904.6000000000001"/>
    <n v="450.8"/>
    <n v="431.4"/>
  </r>
  <r>
    <x v="1"/>
    <x v="6"/>
    <x v="11"/>
    <n v="144.1"/>
    <n v="162.4"/>
    <n v="148.4"/>
    <n v="145.9"/>
    <n v="121.5"/>
    <n v="148.80000000000001"/>
    <n v="215.7"/>
    <n v="134.6"/>
    <n v="115"/>
    <n v="146.30000000000001"/>
    <n v="130.5"/>
    <n v="157.19999999999999"/>
    <n v="153.6"/>
    <n v="169.9"/>
    <n v="146.30000000000001"/>
    <n v="132.6"/>
    <n v="144.19999999999999"/>
    <s v="153.5"/>
    <n v="132.19999999999999"/>
    <n v="139.1"/>
    <n v="142.80000000000001"/>
    <n v="121.7"/>
    <n v="136.69999999999999"/>
    <n v="151.80000000000001"/>
    <n v="139.80000000000001"/>
    <n v="136.30000000000001"/>
    <n v="147"/>
    <n v="1923.9999999999998"/>
    <n v="423.09999999999997"/>
    <n v="392.99999999999994"/>
  </r>
  <r>
    <x v="2"/>
    <x v="6"/>
    <x v="11"/>
    <n v="142.5"/>
    <n v="163.19999999999999"/>
    <n v="145.6"/>
    <n v="146.69999999999999"/>
    <n v="124.3"/>
    <n v="147.4"/>
    <n v="199.6"/>
    <n v="135.69999999999999"/>
    <n v="114.2"/>
    <n v="147"/>
    <n v="135.30000000000001"/>
    <n v="157.5"/>
    <n v="151.9"/>
    <n v="167.9"/>
    <n v="149.9"/>
    <n v="141"/>
    <n v="148.6"/>
    <s v="153.5"/>
    <n v="142.30000000000001"/>
    <n v="145.30000000000001"/>
    <n v="149.9"/>
    <n v="126.6"/>
    <n v="142.1"/>
    <n v="155.5"/>
    <n v="140.30000000000001"/>
    <n v="141.30000000000001"/>
    <n v="148.6"/>
    <n v="1910.9"/>
    <n v="439.5"/>
    <n v="414.20000000000005"/>
  </r>
  <r>
    <x v="0"/>
    <x v="6"/>
    <x v="12"/>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n v="1940.9999999999995"/>
    <n v="451.79999999999995"/>
    <n v="436.1"/>
  </r>
  <r>
    <x v="1"/>
    <x v="6"/>
    <x v="12"/>
    <n v="144.9"/>
    <n v="164.5"/>
    <n v="153.69999999999999"/>
    <n v="147.5"/>
    <n v="122.7"/>
    <n v="147.19999999999999"/>
    <n v="231.5"/>
    <n v="137.19999999999999"/>
    <n v="114.7"/>
    <n v="148"/>
    <n v="130.80000000000001"/>
    <n v="157.69999999999999"/>
    <n v="156.30000000000001"/>
    <n v="170.4"/>
    <n v="146.80000000000001"/>
    <n v="132.80000000000001"/>
    <n v="144.6"/>
    <s v="152.8"/>
    <n v="133.6"/>
    <n v="139.80000000000001"/>
    <n v="143.19999999999999"/>
    <n v="125.2"/>
    <n v="136.80000000000001"/>
    <n v="151.9"/>
    <n v="140.19999999999999"/>
    <n v="137.69999999999999"/>
    <n v="148.30000000000001"/>
    <n v="1956.7"/>
    <n v="424.20000000000005"/>
    <n v="398.59999999999997"/>
  </r>
  <r>
    <x v="2"/>
    <x v="6"/>
    <x v="12"/>
    <n v="143.5"/>
    <n v="165"/>
    <n v="151.1"/>
    <n v="148.30000000000001"/>
    <n v="125.7"/>
    <n v="145.69999999999999"/>
    <n v="217"/>
    <n v="138.30000000000001"/>
    <n v="114"/>
    <n v="148.69999999999999"/>
    <n v="135.80000000000001"/>
    <n v="158"/>
    <n v="155"/>
    <n v="168.5"/>
    <n v="150.30000000000001"/>
    <n v="141.30000000000001"/>
    <n v="149"/>
    <s v="152.8"/>
    <n v="143.69999999999999"/>
    <n v="145.80000000000001"/>
    <n v="150.4"/>
    <n v="129.80000000000001"/>
    <n v="142.30000000000001"/>
    <n v="155.69999999999999"/>
    <n v="140.4"/>
    <n v="142.5"/>
    <n v="150.4"/>
    <n v="1946.1000000000001"/>
    <n v="440.6"/>
    <n v="419.3"/>
  </r>
  <r>
    <x v="0"/>
    <x v="7"/>
    <x v="0"/>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n v="1938.6"/>
    <n v="452.30000000000007"/>
    <n v="438.40000000000003"/>
  </r>
  <r>
    <x v="1"/>
    <x v="7"/>
    <x v="0"/>
    <n v="145.6"/>
    <n v="167.6"/>
    <n v="157"/>
    <n v="149.30000000000001"/>
    <n v="126.3"/>
    <n v="144.4"/>
    <n v="207.8"/>
    <n v="139.1"/>
    <n v="114.8"/>
    <n v="149.5"/>
    <n v="131.1"/>
    <n v="158.5"/>
    <n v="154.4"/>
    <n v="170.8"/>
    <n v="147"/>
    <n v="133.19999999999999"/>
    <n v="144.9"/>
    <s v="153.9"/>
    <n v="135.1"/>
    <n v="140.1"/>
    <n v="143.80000000000001"/>
    <n v="126.1"/>
    <n v="137.19999999999999"/>
    <n v="152.1"/>
    <n v="142.1"/>
    <n v="138.4"/>
    <n v="148.19999999999999"/>
    <n v="1945.3999999999999"/>
    <n v="425.1"/>
    <n v="401.29999999999995"/>
  </r>
  <r>
    <x v="2"/>
    <x v="7"/>
    <x v="0"/>
    <n v="144.30000000000001"/>
    <n v="167.4"/>
    <n v="154.9"/>
    <n v="150.1"/>
    <n v="129.9"/>
    <n v="143.19999999999999"/>
    <n v="197"/>
    <n v="140.4"/>
    <n v="114.1"/>
    <n v="150.9"/>
    <n v="136.1"/>
    <n v="158.6"/>
    <n v="153.5"/>
    <n v="169.2"/>
    <n v="150.5"/>
    <n v="141.5"/>
    <n v="149.19999999999999"/>
    <s v="153.9"/>
    <n v="144.6"/>
    <n v="146.19999999999999"/>
    <n v="151.19999999999999"/>
    <n v="130.9"/>
    <n v="142.80000000000001"/>
    <n v="156.1"/>
    <n v="142.30000000000001"/>
    <n v="143.4"/>
    <n v="150.19999999999999"/>
    <n v="1940.3999999999999"/>
    <n v="441.2"/>
    <n v="421.69999999999993"/>
  </r>
  <r>
    <x v="0"/>
    <x v="7"/>
    <x v="1"/>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n v="1909.7999999999997"/>
    <n v="452.8"/>
    <n v="440.1"/>
  </r>
  <r>
    <x v="1"/>
    <x v="7"/>
    <x v="1"/>
    <n v="146.19999999999999"/>
    <n v="167.6"/>
    <n v="153.1"/>
    <n v="150.69999999999999"/>
    <n v="127.4"/>
    <n v="143.1"/>
    <n v="181.7"/>
    <n v="139.6"/>
    <n v="114.6"/>
    <n v="150.4"/>
    <n v="131.5"/>
    <n v="159"/>
    <n v="151.69999999999999"/>
    <n v="172"/>
    <n v="147.30000000000001"/>
    <n v="133.5"/>
    <n v="145.19999999999999"/>
    <s v="154.8"/>
    <n v="138.9"/>
    <n v="140.4"/>
    <n v="144.4"/>
    <n v="125.2"/>
    <n v="137.69999999999999"/>
    <n v="152.19999999999999"/>
    <n v="143.5"/>
    <n v="138.4"/>
    <n v="147.69999999999999"/>
    <n v="1916.6"/>
    <n v="426"/>
    <n v="404.5"/>
  </r>
  <r>
    <x v="2"/>
    <x v="7"/>
    <x v="1"/>
    <n v="144.80000000000001"/>
    <n v="167.5"/>
    <n v="151.80000000000001"/>
    <n v="150.80000000000001"/>
    <n v="131.4"/>
    <n v="141.80000000000001"/>
    <n v="170.7"/>
    <n v="141.1"/>
    <n v="113.6"/>
    <n v="152"/>
    <n v="136.5"/>
    <n v="159.1"/>
    <n v="150.5"/>
    <n v="170.1"/>
    <n v="150.80000000000001"/>
    <n v="141.69999999999999"/>
    <n v="149.5"/>
    <s v="154.8"/>
    <n v="147.19999999999999"/>
    <n v="146.4"/>
    <n v="151.69999999999999"/>
    <n v="130.30000000000001"/>
    <n v="143.19999999999999"/>
    <n v="156.19999999999999"/>
    <n v="143.4"/>
    <n v="143.6"/>
    <n v="149.1"/>
    <n v="1911.6"/>
    <n v="442"/>
    <n v="423.90000000000003"/>
  </r>
  <r>
    <x v="0"/>
    <x v="7"/>
    <x v="2"/>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n v="1894.5999999999997"/>
    <n v="453.5"/>
    <n v="440.7"/>
  </r>
  <r>
    <x v="1"/>
    <x v="7"/>
    <x v="2"/>
    <n v="146.5"/>
    <n v="167.5"/>
    <n v="148.9"/>
    <n v="151.1"/>
    <n v="127.5"/>
    <n v="143.30000000000001"/>
    <n v="167"/>
    <n v="139.69999999999999"/>
    <n v="114.4"/>
    <n v="151.5"/>
    <n v="131.9"/>
    <n v="159.1"/>
    <n v="150.1"/>
    <n v="173.3"/>
    <n v="147.69999999999999"/>
    <n v="133.80000000000001"/>
    <n v="145.6"/>
    <s v="154.5"/>
    <n v="141.4"/>
    <n v="140.80000000000001"/>
    <n v="145"/>
    <n v="124.6"/>
    <n v="137.9"/>
    <n v="152.5"/>
    <n v="145.30000000000001"/>
    <n v="138.69999999999999"/>
    <n v="147.30000000000001"/>
    <n v="1898.5"/>
    <n v="427.1"/>
    <n v="406.80000000000007"/>
  </r>
  <r>
    <x v="2"/>
    <x v="7"/>
    <x v="2"/>
    <n v="145.1"/>
    <n v="167"/>
    <n v="148.1"/>
    <n v="151.5"/>
    <n v="131.19999999999999"/>
    <n v="142.5"/>
    <n v="157.30000000000001"/>
    <n v="141.1"/>
    <n v="113.2"/>
    <n v="153.19999999999999"/>
    <n v="136.69999999999999"/>
    <n v="159.6"/>
    <n v="148.9"/>
    <n v="171.2"/>
    <n v="151.19999999999999"/>
    <n v="141.9"/>
    <n v="149.80000000000001"/>
    <s v="154.5"/>
    <n v="148.9"/>
    <n v="146.4"/>
    <n v="152.30000000000001"/>
    <n v="129.9"/>
    <n v="143.69999999999999"/>
    <n v="156.1"/>
    <n v="145.19999999999999"/>
    <n v="143.80000000000001"/>
    <n v="148.6"/>
    <n v="1895.4"/>
    <n v="442.90000000000003"/>
    <n v="425.20000000000005"/>
  </r>
  <r>
    <x v="0"/>
    <x v="7"/>
    <x v="3"/>
    <n v="147.19999999999999"/>
    <m/>
    <n v="146.9"/>
    <n v="155.6"/>
    <n v="137.1"/>
    <n v="147.30000000000001"/>
    <n v="162.69999999999999"/>
    <n v="150.19999999999999"/>
    <n v="119.8"/>
    <n v="158.69999999999999"/>
    <n v="139.19999999999999"/>
    <m/>
    <n v="150.1"/>
    <m/>
    <m/>
    <m/>
    <m/>
    <s v="NA"/>
    <n v="148.4"/>
    <m/>
    <n v="154.30000000000001"/>
    <m/>
    <m/>
    <m/>
    <m/>
    <m/>
    <m/>
    <n v="1614.8000000000002"/>
    <n v="0"/>
    <n v="148.4"/>
  </r>
  <r>
    <x v="1"/>
    <x v="7"/>
    <x v="3"/>
    <n v="151.80000000000001"/>
    <m/>
    <n v="151.9"/>
    <n v="155.5"/>
    <n v="131.6"/>
    <n v="152.9"/>
    <n v="180"/>
    <n v="150.80000000000001"/>
    <n v="121.2"/>
    <n v="154"/>
    <n v="133.5"/>
    <m/>
    <n v="153.5"/>
    <m/>
    <m/>
    <m/>
    <m/>
    <s v="155.6"/>
    <n v="137.1"/>
    <m/>
    <n v="144.80000000000001"/>
    <m/>
    <m/>
    <m/>
    <m/>
    <m/>
    <m/>
    <n v="1636.7"/>
    <n v="0"/>
    <n v="137.1"/>
  </r>
  <r>
    <x v="2"/>
    <x v="7"/>
    <x v="3"/>
    <n v="148.69999999999999"/>
    <m/>
    <n v="148.80000000000001"/>
    <n v="155.6"/>
    <n v="135.1"/>
    <n v="149.9"/>
    <n v="168.6"/>
    <n v="150.4"/>
    <n v="120.3"/>
    <n v="157.1"/>
    <n v="136.80000000000001"/>
    <m/>
    <n v="151.4"/>
    <m/>
    <m/>
    <m/>
    <m/>
    <s v="155.6"/>
    <n v="144.1"/>
    <m/>
    <n v="150.69999999999999"/>
    <m/>
    <m/>
    <m/>
    <m/>
    <m/>
    <m/>
    <n v="1622.7"/>
    <n v="0"/>
    <n v="144.1"/>
  </r>
  <r>
    <x v="0"/>
    <x v="7"/>
    <x v="4"/>
    <m/>
    <m/>
    <m/>
    <m/>
    <m/>
    <m/>
    <m/>
    <m/>
    <m/>
    <m/>
    <m/>
    <m/>
    <m/>
    <m/>
    <m/>
    <m/>
    <m/>
    <s v="NA"/>
    <m/>
    <m/>
    <m/>
    <m/>
    <m/>
    <m/>
    <m/>
    <m/>
    <m/>
    <n v="0"/>
    <n v="0"/>
    <n v="0"/>
  </r>
  <r>
    <x v="1"/>
    <x v="7"/>
    <x v="4"/>
    <m/>
    <m/>
    <m/>
    <m/>
    <m/>
    <m/>
    <m/>
    <m/>
    <m/>
    <m/>
    <m/>
    <m/>
    <m/>
    <m/>
    <m/>
    <m/>
    <m/>
    <s v="NA"/>
    <m/>
    <m/>
    <m/>
    <m/>
    <m/>
    <m/>
    <m/>
    <m/>
    <m/>
    <n v="0"/>
    <n v="0"/>
    <n v="0"/>
  </r>
  <r>
    <x v="2"/>
    <x v="7"/>
    <x v="4"/>
    <m/>
    <m/>
    <m/>
    <m/>
    <m/>
    <m/>
    <m/>
    <m/>
    <m/>
    <m/>
    <m/>
    <m/>
    <m/>
    <m/>
    <m/>
    <m/>
    <m/>
    <s v="NA"/>
    <m/>
    <m/>
    <m/>
    <m/>
    <m/>
    <m/>
    <m/>
    <m/>
    <m/>
    <n v="0"/>
    <n v="0"/>
    <n v="0"/>
  </r>
  <r>
    <x v="0"/>
    <x v="7"/>
    <x v="5"/>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1951"/>
    <n v="458.79999999999995"/>
    <n v="438"/>
  </r>
  <r>
    <x v="1"/>
    <x v="7"/>
    <x v="5"/>
    <n v="152.69999999999999"/>
    <n v="197"/>
    <n v="154.6"/>
    <n v="153.4"/>
    <n v="132.9"/>
    <n v="151.80000000000001"/>
    <n v="171.2"/>
    <n v="152"/>
    <n v="116.3"/>
    <n v="158.80000000000001"/>
    <n v="135.6"/>
    <n v="161.69999999999999"/>
    <n v="157"/>
    <n v="186.7"/>
    <n v="149.1"/>
    <n v="136.6"/>
    <n v="147.19999999999999"/>
    <s v="154.7"/>
    <n v="137.1"/>
    <n v="140.4"/>
    <n v="148.1"/>
    <n v="129.30000000000001"/>
    <n v="144.5"/>
    <n v="152.5"/>
    <n v="152.19999999999999"/>
    <n v="142"/>
    <n v="150.80000000000001"/>
    <n v="1994.9999999999998"/>
    <n v="432.9"/>
    <n v="406.8"/>
  </r>
  <r>
    <x v="2"/>
    <x v="7"/>
    <x v="5"/>
    <n v="149.6"/>
    <n v="192.7"/>
    <n v="151.4"/>
    <n v="153.30000000000001"/>
    <n v="136.30000000000001"/>
    <n v="147.19999999999999"/>
    <n v="156.5"/>
    <n v="150.9"/>
    <n v="114.2"/>
    <n v="159.5"/>
    <n v="139.4"/>
    <n v="161.80000000000001"/>
    <n v="154"/>
    <n v="183.5"/>
    <n v="152.5"/>
    <n v="144.4"/>
    <n v="151.4"/>
    <s v="154.7"/>
    <n v="141.9"/>
    <n v="146.4"/>
    <n v="154.4"/>
    <n v="135"/>
    <n v="148.30000000000001"/>
    <n v="156.4"/>
    <n v="151.6"/>
    <n v="147"/>
    <n v="151.80000000000001"/>
    <n v="1966.8000000000002"/>
    <n v="448.29999999999995"/>
    <n v="423.3"/>
  </r>
  <r>
    <x v="0"/>
    <x v="7"/>
    <x v="6"/>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1951"/>
    <n v="458.79999999999995"/>
    <n v="438"/>
  </r>
  <r>
    <x v="1"/>
    <x v="7"/>
    <x v="6"/>
    <n v="152.69999999999999"/>
    <n v="197"/>
    <n v="154.6"/>
    <n v="153.4"/>
    <n v="132.9"/>
    <n v="151.80000000000001"/>
    <n v="171.2"/>
    <n v="152"/>
    <n v="116.3"/>
    <n v="158.80000000000001"/>
    <n v="135.6"/>
    <n v="161.69999999999999"/>
    <n v="157"/>
    <n v="186.7"/>
    <n v="149.1"/>
    <n v="136.6"/>
    <n v="147.19999999999999"/>
    <s v="154.7"/>
    <n v="137.1"/>
    <n v="140.4"/>
    <n v="148.1"/>
    <n v="129.30000000000001"/>
    <n v="144.5"/>
    <n v="152.5"/>
    <n v="152.19999999999999"/>
    <n v="142"/>
    <n v="150.80000000000001"/>
    <n v="1994.9999999999998"/>
    <n v="432.9"/>
    <n v="406.8"/>
  </r>
  <r>
    <x v="2"/>
    <x v="7"/>
    <x v="6"/>
    <n v="149.6"/>
    <n v="192.7"/>
    <n v="151.4"/>
    <n v="153.30000000000001"/>
    <n v="136.30000000000001"/>
    <n v="147.19999999999999"/>
    <n v="156.5"/>
    <n v="150.9"/>
    <n v="114.2"/>
    <n v="159.5"/>
    <n v="139.4"/>
    <n v="161.80000000000001"/>
    <n v="154"/>
    <n v="183.5"/>
    <n v="152.5"/>
    <n v="144.4"/>
    <n v="151.4"/>
    <s v="154.7"/>
    <n v="141.9"/>
    <n v="146.4"/>
    <n v="154.4"/>
    <n v="135"/>
    <n v="148.30000000000001"/>
    <n v="156.4"/>
    <n v="151.6"/>
    <n v="147"/>
    <n v="151.80000000000001"/>
    <n v="1966.8000000000002"/>
    <n v="448.29999999999995"/>
    <n v="423.3"/>
  </r>
  <r>
    <x v="0"/>
    <x v="7"/>
    <x v="7"/>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n v="1978.6"/>
    <n v="458.7"/>
    <n v="441.30000000000007"/>
  </r>
  <r>
    <x v="1"/>
    <x v="7"/>
    <x v="7"/>
    <n v="151.6"/>
    <n v="197.8"/>
    <n v="154.5"/>
    <n v="153.4"/>
    <n v="133.4"/>
    <n v="154.5"/>
    <n v="191.9"/>
    <n v="151.30000000000001"/>
    <n v="116.8"/>
    <n v="160"/>
    <n v="136.5"/>
    <n v="163.30000000000001"/>
    <n v="159.9"/>
    <n v="187.2"/>
    <n v="150"/>
    <n v="135.19999999999999"/>
    <n v="147.80000000000001"/>
    <s v="155.5"/>
    <n v="138.30000000000001"/>
    <n v="144.5"/>
    <n v="148.69999999999999"/>
    <n v="133.9"/>
    <n v="141.19999999999999"/>
    <n v="155.5"/>
    <n v="155.19999999999999"/>
    <n v="144.80000000000001"/>
    <n v="152.9"/>
    <n v="2024.8999999999999"/>
    <n v="433"/>
    <n v="416.70000000000005"/>
  </r>
  <r>
    <x v="2"/>
    <x v="7"/>
    <x v="7"/>
    <n v="148.9"/>
    <n v="190.9"/>
    <n v="150.80000000000001"/>
    <n v="153.30000000000001"/>
    <n v="137.4"/>
    <n v="150.4"/>
    <n v="178.1"/>
    <n v="150.4"/>
    <n v="115.1"/>
    <n v="160"/>
    <n v="140.6"/>
    <n v="162.30000000000001"/>
    <n v="157"/>
    <n v="182.6"/>
    <n v="153.1"/>
    <n v="143.4"/>
    <n v="151.69999999999999"/>
    <s v="155.5"/>
    <n v="143"/>
    <n v="148.4"/>
    <n v="155"/>
    <n v="138.5"/>
    <n v="146"/>
    <n v="158.5"/>
    <n v="154.30000000000001"/>
    <n v="149"/>
    <n v="153.9"/>
    <n v="1995.1999999999998"/>
    <n v="448.2"/>
    <n v="429.9"/>
  </r>
  <r>
    <x v="0"/>
    <x v="7"/>
    <x v="8"/>
    <n v="146.9"/>
    <n v="183.9"/>
    <n v="149.5"/>
    <n v="153.4"/>
    <n v="140.4"/>
    <n v="147"/>
    <n v="178.8"/>
    <n v="149.30000000000001"/>
    <n v="115.1"/>
    <n v="160"/>
    <n v="145.4"/>
    <n v="161.6"/>
    <n v="156.1"/>
    <n v="182.9"/>
    <n v="155.4"/>
    <n v="149.9"/>
    <n v="154.6"/>
    <s v="NA"/>
    <n v="146.4"/>
    <n v="151.6"/>
    <n v="159.1"/>
    <n v="144.6"/>
    <n v="152.80000000000001"/>
    <n v="161.1"/>
    <n v="157.4"/>
    <n v="153.69999999999999"/>
    <n v="155.4"/>
    <n v="1987.3999999999999"/>
    <n v="459.9"/>
    <n v="442.6"/>
  </r>
  <r>
    <x v="1"/>
    <x v="7"/>
    <x v="8"/>
    <n v="151.5"/>
    <n v="193.1"/>
    <n v="157.30000000000001"/>
    <n v="153.9"/>
    <n v="134.4"/>
    <n v="155.4"/>
    <n v="202"/>
    <n v="150.80000000000001"/>
    <n v="118.9"/>
    <n v="160.9"/>
    <n v="137.69999999999999"/>
    <n v="164.4"/>
    <n v="161.30000000000001"/>
    <n v="188.7"/>
    <n v="150.19999999999999"/>
    <n v="136.30000000000001"/>
    <n v="148.1"/>
    <s v="156.3"/>
    <n v="137.19999999999999"/>
    <n v="145.4"/>
    <n v="150"/>
    <n v="135.1"/>
    <n v="141.80000000000001"/>
    <n v="154.9"/>
    <n v="159.80000000000001"/>
    <n v="146"/>
    <n v="154"/>
    <n v="2041.6000000000001"/>
    <n v="434.6"/>
    <n v="417.70000000000005"/>
  </r>
  <r>
    <x v="2"/>
    <x v="7"/>
    <x v="8"/>
    <n v="148.4"/>
    <n v="187.1"/>
    <n v="152.5"/>
    <n v="153.6"/>
    <n v="138.19999999999999"/>
    <n v="150.9"/>
    <n v="186.7"/>
    <n v="149.80000000000001"/>
    <n v="116.4"/>
    <n v="160.30000000000001"/>
    <n v="142.19999999999999"/>
    <n v="162.9"/>
    <n v="158"/>
    <n v="184.4"/>
    <n v="153.4"/>
    <n v="144.30000000000001"/>
    <n v="152"/>
    <s v="156.3"/>
    <n v="142.9"/>
    <n v="148.69999999999999"/>
    <n v="155.6"/>
    <n v="139.6"/>
    <n v="146.6"/>
    <n v="157.5"/>
    <n v="158.4"/>
    <n v="150"/>
    <n v="154.69999999999999"/>
    <n v="2007"/>
    <n v="449.70000000000005"/>
    <n v="431.20000000000005"/>
  </r>
  <r>
    <x v="0"/>
    <x v="7"/>
    <x v="9"/>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n v="2030.9"/>
    <n v="461.29999999999995"/>
    <n v="445.20000000000005"/>
  </r>
  <r>
    <x v="1"/>
    <x v="7"/>
    <x v="9"/>
    <n v="150.6"/>
    <n v="193.7"/>
    <n v="164.8"/>
    <n v="153.69999999999999"/>
    <n v="135.69999999999999"/>
    <n v="155.69999999999999"/>
    <n v="226"/>
    <n v="152.19999999999999"/>
    <n v="118.1"/>
    <n v="161.30000000000001"/>
    <n v="139.19999999999999"/>
    <n v="164.8"/>
    <n v="164.4"/>
    <n v="188.7"/>
    <n v="150.5"/>
    <n v="136.1"/>
    <n v="148.30000000000001"/>
    <s v="156.5"/>
    <n v="137.1"/>
    <n v="145.1"/>
    <n v="151"/>
    <n v="135.4"/>
    <n v="142"/>
    <n v="155.69999999999999"/>
    <n v="158.1"/>
    <n v="146.19999999999999"/>
    <n v="155.19999999999999"/>
    <n v="2080.1999999999998"/>
    <n v="434.90000000000003"/>
    <n v="417.6"/>
  </r>
  <r>
    <x v="2"/>
    <x v="7"/>
    <x v="9"/>
    <n v="147.5"/>
    <n v="188.9"/>
    <n v="161.4"/>
    <n v="153.6"/>
    <n v="140.1"/>
    <n v="151.19999999999999"/>
    <n v="209.2"/>
    <n v="150.9"/>
    <n v="116.2"/>
    <n v="161"/>
    <n v="144"/>
    <n v="163.19999999999999"/>
    <n v="161.4"/>
    <n v="184.3"/>
    <n v="153.69999999999999"/>
    <n v="144.6"/>
    <n v="152.30000000000001"/>
    <s v="156.5"/>
    <n v="143.1"/>
    <n v="148.69999999999999"/>
    <n v="156.30000000000001"/>
    <n v="140.6"/>
    <n v="146.5"/>
    <n v="158.5"/>
    <n v="157"/>
    <n v="150.4"/>
    <n v="156.4"/>
    <n v="2048.6000000000004"/>
    <n v="450.59999999999997"/>
    <n v="432.4"/>
  </r>
  <r>
    <x v="0"/>
    <x v="7"/>
    <x v="11"/>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n v="2082.4"/>
    <n v="462.8"/>
    <n v="446.4"/>
  </r>
  <r>
    <x v="1"/>
    <x v="7"/>
    <x v="11"/>
    <n v="149.69999999999999"/>
    <n v="195.5"/>
    <n v="176.9"/>
    <n v="153.9"/>
    <n v="138"/>
    <n v="150.5"/>
    <n v="245.3"/>
    <n v="158.69999999999999"/>
    <n v="117.2"/>
    <n v="161.4"/>
    <n v="141.5"/>
    <n v="165.1"/>
    <n v="167"/>
    <n v="188.8"/>
    <n v="151.1"/>
    <n v="136.4"/>
    <n v="148.80000000000001"/>
    <s v="158"/>
    <n v="137.30000000000001"/>
    <n v="145.1"/>
    <n v="152"/>
    <n v="135.19999999999999"/>
    <n v="144.4"/>
    <n v="156.4"/>
    <n v="157.9"/>
    <n v="146.6"/>
    <n v="156.69999999999999"/>
    <n v="2120.6999999999998"/>
    <n v="436.3"/>
    <n v="417.59999999999997"/>
  </r>
  <r>
    <x v="2"/>
    <x v="7"/>
    <x v="11"/>
    <n v="146.80000000000001"/>
    <n v="191"/>
    <n v="173.6"/>
    <n v="153.80000000000001"/>
    <n v="142.69999999999999"/>
    <n v="148.4"/>
    <n v="230"/>
    <n v="156.80000000000001"/>
    <n v="115.7"/>
    <n v="161.80000000000001"/>
    <n v="146.5"/>
    <n v="163.80000000000001"/>
    <n v="164.7"/>
    <n v="184.8"/>
    <n v="154.30000000000001"/>
    <n v="144.9"/>
    <n v="152.80000000000001"/>
    <s v="158"/>
    <n v="143.6"/>
    <n v="149.19999999999999"/>
    <n v="157.19999999999999"/>
    <n v="140.4"/>
    <n v="148.4"/>
    <n v="158.6"/>
    <n v="156.9"/>
    <n v="150.69999999999999"/>
    <n v="158.4"/>
    <n v="2095.6"/>
    <n v="452.00000000000006"/>
    <n v="433.19999999999993"/>
  </r>
  <r>
    <x v="0"/>
    <x v="7"/>
    <x v="12"/>
    <n v="144.6"/>
    <n v="188.5"/>
    <n v="173.4"/>
    <n v="154"/>
    <n v="150"/>
    <n v="145.9"/>
    <n v="225.2"/>
    <n v="159.5"/>
    <n v="114.4"/>
    <n v="163.5"/>
    <n v="153.4"/>
    <n v="163.6"/>
    <n v="164.5"/>
    <n v="183.6"/>
    <n v="157"/>
    <n v="151.6"/>
    <n v="156.30000000000001"/>
    <s v="NA"/>
    <n v="148.69999999999999"/>
    <n v="153.4"/>
    <n v="161.6"/>
    <n v="146.4"/>
    <n v="153.9"/>
    <n v="162.9"/>
    <n v="156.6"/>
    <n v="155.19999999999999"/>
    <n v="160.69999999999999"/>
    <n v="2100.5"/>
    <n v="464.90000000000003"/>
    <n v="448.5"/>
  </r>
  <r>
    <x v="1"/>
    <x v="7"/>
    <x v="12"/>
    <n v="149"/>
    <n v="195.7"/>
    <n v="178.3"/>
    <n v="154.19999999999999"/>
    <n v="140.69999999999999"/>
    <n v="149.69999999999999"/>
    <n v="240.9"/>
    <n v="161.5"/>
    <n v="117.1"/>
    <n v="161.9"/>
    <n v="143.30000000000001"/>
    <n v="166.1"/>
    <n v="167"/>
    <n v="190.2"/>
    <n v="151.9"/>
    <n v="136.69999999999999"/>
    <n v="149.6"/>
    <s v="158.4"/>
    <n v="137.9"/>
    <n v="145.5"/>
    <n v="152.9"/>
    <n v="135.5"/>
    <n v="144.30000000000001"/>
    <n v="156.9"/>
    <n v="157.9"/>
    <n v="146.9"/>
    <n v="156.9"/>
    <n v="2125.4"/>
    <n v="438.20000000000005"/>
    <n v="418.9"/>
  </r>
  <r>
    <x v="2"/>
    <x v="7"/>
    <x v="12"/>
    <n v="146"/>
    <n v="191"/>
    <n v="175.3"/>
    <n v="154.1"/>
    <n v="146.6"/>
    <n v="147.69999999999999"/>
    <n v="230.5"/>
    <n v="160.19999999999999"/>
    <n v="115.3"/>
    <n v="163"/>
    <n v="149.19999999999999"/>
    <n v="164.8"/>
    <n v="165.4"/>
    <n v="185.4"/>
    <n v="155"/>
    <n v="145.4"/>
    <n v="153.6"/>
    <s v="158.4"/>
    <n v="144.6"/>
    <n v="149.69999999999999"/>
    <n v="158.30000000000001"/>
    <n v="140.69999999999999"/>
    <n v="148.5"/>
    <n v="159.4"/>
    <n v="157.1"/>
    <n v="151.19999999999999"/>
    <n v="158.9"/>
    <n v="2109.1"/>
    <n v="454"/>
    <n v="434.99999999999994"/>
  </r>
  <r>
    <x v="0"/>
    <x v="8"/>
    <x v="0"/>
    <n v="143.4"/>
    <n v="187.5"/>
    <n v="173.4"/>
    <n v="154"/>
    <n v="154.80000000000001"/>
    <n v="147"/>
    <n v="187.8"/>
    <n v="159.5"/>
    <n v="113.8"/>
    <n v="164.5"/>
    <n v="156.1"/>
    <n v="164.3"/>
    <n v="159.6"/>
    <n v="184.6"/>
    <n v="157.5"/>
    <n v="152.4"/>
    <n v="156.80000000000001"/>
    <s v="NA"/>
    <n v="150.9"/>
    <n v="153.9"/>
    <n v="162.5"/>
    <n v="147.5"/>
    <n v="155.1"/>
    <n v="163.5"/>
    <n v="156.19999999999999"/>
    <n v="155.9"/>
    <n v="158.5"/>
    <n v="2065.6999999999998"/>
    <n v="466.7"/>
    <n v="452.3"/>
  </r>
  <r>
    <x v="1"/>
    <x v="8"/>
    <x v="0"/>
    <n v="148"/>
    <n v="194.8"/>
    <n v="178.4"/>
    <n v="154.4"/>
    <n v="144.1"/>
    <n v="152.6"/>
    <n v="206.8"/>
    <n v="162.1"/>
    <n v="116.3"/>
    <n v="163"/>
    <n v="145.9"/>
    <n v="167.2"/>
    <n v="163.4"/>
    <n v="191.8"/>
    <n v="152.5"/>
    <n v="137.30000000000001"/>
    <n v="150.19999999999999"/>
    <s v="157.7"/>
    <n v="142.9"/>
    <n v="145.69999999999999"/>
    <n v="154.1"/>
    <n v="136.9"/>
    <n v="145.4"/>
    <n v="156.1"/>
    <n v="157.69999999999999"/>
    <n v="147.6"/>
    <n v="156"/>
    <n v="2097"/>
    <n v="440"/>
    <n v="425.5"/>
  </r>
  <r>
    <x v="2"/>
    <x v="8"/>
    <x v="0"/>
    <n v="144.9"/>
    <n v="190.1"/>
    <n v="175.3"/>
    <n v="154.1"/>
    <n v="150.9"/>
    <n v="149.6"/>
    <n v="194.2"/>
    <n v="160.4"/>
    <n v="114.6"/>
    <n v="164"/>
    <n v="151.80000000000001"/>
    <n v="165.6"/>
    <n v="161"/>
    <n v="186.5"/>
    <n v="155.5"/>
    <n v="146.1"/>
    <n v="154.19999999999999"/>
    <s v="157.7"/>
    <n v="147.9"/>
    <n v="150"/>
    <n v="159.30000000000001"/>
    <n v="141.9"/>
    <n v="149.6"/>
    <n v="159.19999999999999"/>
    <n v="156.80000000000001"/>
    <n v="151.9"/>
    <n v="157.30000000000001"/>
    <n v="2076.5"/>
    <n v="455.8"/>
    <n v="439.79999999999995"/>
  </r>
  <r>
    <x v="0"/>
    <x v="8"/>
    <x v="1"/>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n v="2025.3"/>
    <n v="471.4"/>
    <n v="459.40000000000003"/>
  </r>
  <r>
    <x v="1"/>
    <x v="8"/>
    <x v="1"/>
    <n v="147.6"/>
    <n v="191.2"/>
    <n v="169.9"/>
    <n v="155.1"/>
    <n v="151.4"/>
    <n v="154"/>
    <n v="180.2"/>
    <n v="159.80000000000001"/>
    <n v="114.9"/>
    <n v="162.5"/>
    <n v="149.19999999999999"/>
    <n v="169.4"/>
    <n v="160.80000000000001"/>
    <n v="193.3"/>
    <n v="154.19999999999999"/>
    <n v="138.19999999999999"/>
    <n v="151.80000000000001"/>
    <s v="159.8"/>
    <n v="149.1"/>
    <n v="146.5"/>
    <n v="156.30000000000001"/>
    <n v="140.5"/>
    <n v="147.30000000000001"/>
    <n v="156.6"/>
    <n v="156.69999999999999"/>
    <n v="149.30000000000001"/>
    <n v="156.5"/>
    <n v="2066"/>
    <n v="444.2"/>
    <n v="436.1"/>
  </r>
  <r>
    <x v="2"/>
    <x v="8"/>
    <x v="1"/>
    <n v="144.30000000000001"/>
    <n v="186.5"/>
    <n v="168.7"/>
    <n v="154.69999999999999"/>
    <n v="158.69999999999999"/>
    <n v="150.69999999999999"/>
    <n v="160"/>
    <n v="158.80000000000001"/>
    <n v="112.8"/>
    <n v="164.2"/>
    <n v="155.5"/>
    <n v="167.5"/>
    <n v="156.9"/>
    <n v="188.3"/>
    <n v="157.19999999999999"/>
    <n v="147.4"/>
    <n v="155.80000000000001"/>
    <s v="159.8"/>
    <n v="152.4"/>
    <n v="150.9"/>
    <n v="161.30000000000001"/>
    <n v="145.1"/>
    <n v="151.5"/>
    <n v="159.5"/>
    <n v="155.80000000000001"/>
    <n v="153.4"/>
    <n v="156.6"/>
    <n v="2039.3000000000002"/>
    <n v="460.40000000000003"/>
    <n v="448.4"/>
  </r>
  <r>
    <x v="0"/>
    <x v="8"/>
    <x v="2"/>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n v="2025.7"/>
    <n v="472.9"/>
    <n v="462.1"/>
  </r>
  <r>
    <x v="1"/>
    <x v="8"/>
    <x v="2"/>
    <n v="147.5"/>
    <n v="197.5"/>
    <n v="164.7"/>
    <n v="155.6"/>
    <n v="156.4"/>
    <n v="157.30000000000001"/>
    <n v="166.1"/>
    <n v="161.1"/>
    <n v="114.3"/>
    <n v="162.6"/>
    <n v="150.69999999999999"/>
    <n v="170.3"/>
    <n v="160.4"/>
    <n v="193.5"/>
    <n v="155.1"/>
    <n v="138.69999999999999"/>
    <n v="152.6"/>
    <s v="159.9"/>
    <n v="154.80000000000001"/>
    <n v="147.19999999999999"/>
    <n v="156.9"/>
    <n v="141.69999999999999"/>
    <n v="148.6"/>
    <n v="157.6"/>
    <n v="154.9"/>
    <n v="150"/>
    <n v="156.9"/>
    <n v="2064.4999999999995"/>
    <n v="446.4"/>
    <n v="443.7"/>
  </r>
  <r>
    <x v="2"/>
    <x v="8"/>
    <x v="2"/>
    <n v="144.1"/>
    <n v="192.2"/>
    <n v="163.80000000000001"/>
    <n v="154.9"/>
    <n v="163.9"/>
    <n v="153.69999999999999"/>
    <n v="149.5"/>
    <n v="159.80000000000001"/>
    <n v="112.6"/>
    <n v="163.5"/>
    <n v="156.5"/>
    <n v="168.2"/>
    <n v="156.69999999999999"/>
    <n v="188.1"/>
    <n v="157.80000000000001"/>
    <n v="147.9"/>
    <n v="156.4"/>
    <s v="159.9"/>
    <n v="155.5"/>
    <n v="151.19999999999999"/>
    <n v="161.69999999999999"/>
    <n v="146.19999999999999"/>
    <n v="152.6"/>
    <n v="160.19999999999999"/>
    <n v="153.80000000000001"/>
    <n v="153.80000000000001"/>
    <n v="156.80000000000001"/>
    <n v="2039.3999999999999"/>
    <n v="462.1"/>
    <n v="452.9"/>
  </r>
  <r>
    <x v="0"/>
    <x v="8"/>
    <x v="3"/>
    <n v="142.69999999999999"/>
    <n v="195.5"/>
    <n v="163.4"/>
    <n v="155"/>
    <n v="175.2"/>
    <n v="160.6"/>
    <n v="135.1"/>
    <n v="161.1"/>
    <n v="112.2"/>
    <n v="164.4"/>
    <n v="161.9"/>
    <n v="166.8"/>
    <n v="155.6"/>
    <n v="186.8"/>
    <n v="160.69999999999999"/>
    <n v="155.1"/>
    <n v="159.9"/>
    <s v="-"/>
    <n v="156"/>
    <n v="155.5"/>
    <n v="165.3"/>
    <n v="151.69999999999999"/>
    <n v="158.6"/>
    <n v="164.1"/>
    <n v="154.6"/>
    <n v="158"/>
    <n v="157.6"/>
    <n v="2049.5"/>
    <n v="475.69999999999993"/>
    <n v="463.2"/>
  </r>
  <r>
    <x v="1"/>
    <x v="8"/>
    <x v="3"/>
    <n v="147.6"/>
    <n v="202.5"/>
    <n v="166.4"/>
    <n v="156"/>
    <n v="161.4"/>
    <n v="168.8"/>
    <n v="161.6"/>
    <n v="162.80000000000001"/>
    <n v="114.8"/>
    <n v="162.80000000000001"/>
    <n v="151.5"/>
    <n v="171.4"/>
    <n v="162"/>
    <n v="194.4"/>
    <n v="155.9"/>
    <n v="139.30000000000001"/>
    <n v="153.4"/>
    <s v="161.4"/>
    <n v="154.9"/>
    <n v="147.6"/>
    <n v="157.5"/>
    <n v="142.1"/>
    <n v="149.1"/>
    <n v="157.6"/>
    <n v="156.6"/>
    <n v="150.5"/>
    <n v="158"/>
    <n v="2089.6"/>
    <n v="448.6"/>
    <n v="444.6"/>
  </r>
  <r>
    <x v="2"/>
    <x v="8"/>
    <x v="3"/>
    <n v="144.30000000000001"/>
    <n v="198"/>
    <n v="164.6"/>
    <n v="155.4"/>
    <n v="170.1"/>
    <n v="164.4"/>
    <n v="144.1"/>
    <n v="161.69999999999999"/>
    <n v="113.1"/>
    <n v="163.9"/>
    <n v="157.6"/>
    <n v="168.9"/>
    <n v="158"/>
    <n v="188.8"/>
    <n v="158.80000000000001"/>
    <n v="148.5"/>
    <n v="157.30000000000001"/>
    <s v="161.4"/>
    <n v="155.6"/>
    <n v="151.80000000000001"/>
    <n v="162.30000000000001"/>
    <n v="146.6"/>
    <n v="153.19999999999999"/>
    <n v="160.30000000000001"/>
    <n v="155.4"/>
    <n v="154.4"/>
    <n v="157.80000000000001"/>
    <n v="2064.1"/>
    <n v="464.6"/>
    <n v="454"/>
  </r>
  <r>
    <x v="0"/>
    <x v="8"/>
    <x v="4"/>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n v="2095.2999999999997"/>
    <n v="490.4"/>
    <n v="473.7"/>
  </r>
  <r>
    <x v="1"/>
    <x v="8"/>
    <x v="4"/>
    <n v="148.80000000000001"/>
    <n v="204.3"/>
    <n v="173"/>
    <n v="156.5"/>
    <n v="168.8"/>
    <n v="172.5"/>
    <n v="166.5"/>
    <n v="165.9"/>
    <n v="115.9"/>
    <n v="165.2"/>
    <n v="152"/>
    <n v="171.1"/>
    <n v="164.2"/>
    <n v="198.2"/>
    <n v="156.5"/>
    <n v="140.19999999999999"/>
    <n v="154.1"/>
    <s v="161.6"/>
    <n v="155.5"/>
    <n v="150.1"/>
    <n v="160.4"/>
    <n v="145"/>
    <n v="152.6"/>
    <n v="156.6"/>
    <n v="157.5"/>
    <n v="152.30000000000001"/>
    <n v="159.5"/>
    <n v="2124.7000000000003"/>
    <n v="450.79999999999995"/>
    <n v="450.6"/>
  </r>
  <r>
    <x v="2"/>
    <x v="8"/>
    <x v="4"/>
    <n v="146.30000000000001"/>
    <n v="200.5"/>
    <n v="170.3"/>
    <n v="156.1"/>
    <n v="178.7"/>
    <n v="167.1"/>
    <n v="147.9"/>
    <n v="165.4"/>
    <n v="114.8"/>
    <n v="168.2"/>
    <n v="159.30000000000001"/>
    <n v="170.4"/>
    <n v="160.69999999999999"/>
    <n v="191.9"/>
    <n v="161.80000000000001"/>
    <n v="152.1"/>
    <n v="160.4"/>
    <s v="161.6"/>
    <n v="159.4"/>
    <n v="154.69999999999999"/>
    <n v="165.8"/>
    <n v="148.9"/>
    <n v="155.80000000000001"/>
    <n v="161.19999999999999"/>
    <n v="158.6"/>
    <n v="156.80000000000001"/>
    <n v="160.4"/>
    <n v="2105.7000000000003"/>
    <n v="474.29999999999995"/>
    <n v="463"/>
  </r>
  <r>
    <x v="0"/>
    <x v="8"/>
    <x v="5"/>
    <n v="145.6"/>
    <n v="200.1"/>
    <n v="179.3"/>
    <n v="156.1"/>
    <n v="190.4"/>
    <n v="158.6"/>
    <n v="144.69999999999999"/>
    <n v="165.5"/>
    <n v="114.6"/>
    <n v="170"/>
    <n v="165.5"/>
    <n v="171.7"/>
    <n v="160.5"/>
    <n v="189.1"/>
    <n v="165.3"/>
    <n v="159.9"/>
    <n v="164.6"/>
    <s v="NA"/>
    <n v="162.1"/>
    <n v="159.19999999999999"/>
    <n v="169.7"/>
    <n v="154.19999999999999"/>
    <n v="160.4"/>
    <n v="166.8"/>
    <n v="159.4"/>
    <n v="161.5"/>
    <n v="162.1"/>
    <n v="2122.6"/>
    <n v="489.80000000000007"/>
    <n v="475.49999999999994"/>
  </r>
  <r>
    <x v="1"/>
    <x v="8"/>
    <x v="5"/>
    <n v="149.19999999999999"/>
    <n v="205.5"/>
    <n v="182.8"/>
    <n v="156.5"/>
    <n v="172.2"/>
    <n v="171.5"/>
    <n v="176.2"/>
    <n v="166.9"/>
    <n v="116.1"/>
    <n v="165.5"/>
    <n v="152.30000000000001"/>
    <n v="173.3"/>
    <n v="166.2"/>
    <n v="195.6"/>
    <n v="157.30000000000001"/>
    <n v="140.5"/>
    <n v="154.80000000000001"/>
    <s v="160.5"/>
    <n v="156.1"/>
    <n v="149.80000000000001"/>
    <n v="160.80000000000001"/>
    <n v="147.5"/>
    <n v="150.69999999999999"/>
    <n v="158.1"/>
    <n v="158"/>
    <n v="153.4"/>
    <n v="160.4"/>
    <n v="2154.1999999999998"/>
    <n v="452.6"/>
    <n v="453.4"/>
  </r>
  <r>
    <x v="2"/>
    <x v="8"/>
    <x v="5"/>
    <n v="146.69999999999999"/>
    <n v="202"/>
    <n v="180.7"/>
    <n v="156.19999999999999"/>
    <n v="183.7"/>
    <n v="164.6"/>
    <n v="155.4"/>
    <n v="166"/>
    <n v="115.1"/>
    <n v="168.5"/>
    <n v="160"/>
    <n v="172.4"/>
    <n v="162.6"/>
    <n v="190.8"/>
    <n v="162.19999999999999"/>
    <n v="151.80000000000001"/>
    <n v="160.69999999999999"/>
    <s v="160.5"/>
    <n v="159.80000000000001"/>
    <n v="154.80000000000001"/>
    <n v="166.3"/>
    <n v="150.69999999999999"/>
    <n v="154.9"/>
    <n v="161.69999999999999"/>
    <n v="158.80000000000001"/>
    <n v="157.6"/>
    <n v="161.30000000000001"/>
    <n v="2133.9"/>
    <n v="474.7"/>
    <n v="465.3"/>
  </r>
  <r>
    <x v="0"/>
    <x v="8"/>
    <x v="6"/>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n v="2132.4"/>
    <n v="492.40000000000003"/>
    <n v="479.9"/>
  </r>
  <r>
    <x v="1"/>
    <x v="8"/>
    <x v="6"/>
    <n v="149.1"/>
    <n v="210.9"/>
    <n v="185"/>
    <n v="158.19999999999999"/>
    <n v="170.6"/>
    <n v="170.9"/>
    <n v="186.4"/>
    <n v="164.7"/>
    <n v="115.7"/>
    <n v="165.5"/>
    <n v="153.4"/>
    <n v="173.5"/>
    <n v="167.9"/>
    <n v="195.5"/>
    <n v="157.9"/>
    <n v="141.9"/>
    <n v="155.5"/>
    <s v="161.5"/>
    <n v="157.69999999999999"/>
    <n v="150.69999999999999"/>
    <n v="161.5"/>
    <n v="149.5"/>
    <n v="151.19999999999999"/>
    <n v="160.30000000000001"/>
    <n v="159.6"/>
    <n v="155"/>
    <n v="161.80000000000001"/>
    <n v="2171.8000000000002"/>
    <n v="455.3"/>
    <n v="457.9"/>
  </r>
  <r>
    <x v="2"/>
    <x v="8"/>
    <x v="6"/>
    <n v="146.4"/>
    <n v="206.8"/>
    <n v="182.2"/>
    <n v="157.5"/>
    <n v="182.1"/>
    <n v="163.9"/>
    <n v="164.2"/>
    <n v="164"/>
    <n v="114.5"/>
    <n v="168.3"/>
    <n v="160.9"/>
    <n v="172.2"/>
    <n v="164"/>
    <n v="191.2"/>
    <n v="162.80000000000001"/>
    <n v="153.1"/>
    <n v="161.4"/>
    <s v="161.5"/>
    <n v="160.69999999999999"/>
    <n v="155.80000000000001"/>
    <n v="167"/>
    <n v="153.1"/>
    <n v="155.30000000000001"/>
    <n v="163.19999999999999"/>
    <n v="160.1"/>
    <n v="159"/>
    <n v="162.5"/>
    <n v="2147"/>
    <n v="477.29999999999995"/>
    <n v="469.6"/>
  </r>
  <r>
    <x v="0"/>
    <x v="8"/>
    <x v="7"/>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n v="2130.8000000000002"/>
    <n v="495.90000000000003"/>
    <n v="481.7"/>
  </r>
  <r>
    <x v="1"/>
    <x v="8"/>
    <x v="7"/>
    <n v="149.30000000000001"/>
    <n v="207.4"/>
    <n v="174.1"/>
    <n v="159.19999999999999"/>
    <n v="175"/>
    <n v="161.30000000000001"/>
    <n v="183.3"/>
    <n v="164.5"/>
    <n v="120.4"/>
    <n v="166.2"/>
    <n v="154.80000000000001"/>
    <n v="175.1"/>
    <n v="167.3"/>
    <n v="196.5"/>
    <n v="159.80000000000001"/>
    <n v="143.6"/>
    <n v="157.30000000000001"/>
    <s v="162.1"/>
    <n v="160.69999999999999"/>
    <n v="153.19999999999999"/>
    <n v="162.80000000000001"/>
    <n v="150.4"/>
    <n v="153.69999999999999"/>
    <n v="160.4"/>
    <n v="159.6"/>
    <n v="156"/>
    <n v="162.30000000000001"/>
    <n v="2157.9"/>
    <n v="460.7"/>
    <n v="464.29999999999995"/>
  </r>
  <r>
    <x v="2"/>
    <x v="8"/>
    <x v="7"/>
    <n v="146.6"/>
    <n v="204"/>
    <n v="172.8"/>
    <n v="158.4"/>
    <n v="188"/>
    <n v="156.80000000000001"/>
    <n v="162.19999999999999"/>
    <n v="164.1"/>
    <n v="119.7"/>
    <n v="168.8"/>
    <n v="162.69999999999999"/>
    <n v="173.9"/>
    <n v="164"/>
    <n v="192.1"/>
    <n v="164.5"/>
    <n v="155.30000000000001"/>
    <n v="163.19999999999999"/>
    <s v="162.1"/>
    <n v="162.6"/>
    <n v="157.5"/>
    <n v="168.4"/>
    <n v="154"/>
    <n v="157.6"/>
    <n v="163.80000000000001"/>
    <n v="160"/>
    <n v="160"/>
    <n v="163.19999999999999"/>
    <n v="2142"/>
    <n v="483"/>
    <n v="474.1"/>
  </r>
  <r>
    <x v="0"/>
    <x v="8"/>
    <x v="8"/>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n v="2133.6"/>
    <n v="498.4"/>
    <n v="482.8"/>
  </r>
  <r>
    <x v="1"/>
    <x v="8"/>
    <x v="8"/>
    <n v="149.30000000000001"/>
    <n v="207.4"/>
    <n v="174.1"/>
    <n v="159.1"/>
    <n v="175"/>
    <n v="161.19999999999999"/>
    <n v="183.5"/>
    <n v="164.5"/>
    <n v="120.4"/>
    <n v="166.2"/>
    <n v="154.80000000000001"/>
    <n v="175.1"/>
    <n v="167.3"/>
    <n v="196.5"/>
    <n v="159.80000000000001"/>
    <n v="143.6"/>
    <n v="157.4"/>
    <s v="162.1"/>
    <n v="160.80000000000001"/>
    <n v="153.30000000000001"/>
    <n v="162.80000000000001"/>
    <n v="150.5"/>
    <n v="153.9"/>
    <n v="160.30000000000001"/>
    <n v="159.6"/>
    <n v="156"/>
    <n v="162.30000000000001"/>
    <n v="2157.9"/>
    <n v="460.79999999999995"/>
    <n v="464.6"/>
  </r>
  <r>
    <x v="2"/>
    <x v="8"/>
    <x v="8"/>
    <n v="146.6"/>
    <n v="204"/>
    <n v="172.8"/>
    <n v="158.4"/>
    <n v="188"/>
    <n v="156.69999999999999"/>
    <n v="162.30000000000001"/>
    <n v="164.1"/>
    <n v="119.7"/>
    <n v="168.8"/>
    <n v="162.69999999999999"/>
    <n v="173.9"/>
    <n v="164"/>
    <n v="192.1"/>
    <n v="164.6"/>
    <n v="155.30000000000001"/>
    <n v="163.30000000000001"/>
    <s v="162.1"/>
    <n v="162.6"/>
    <n v="157.5"/>
    <n v="168.4"/>
    <n v="154"/>
    <n v="157.69999999999999"/>
    <n v="163.69999999999999"/>
    <n v="160"/>
    <n v="160"/>
    <n v="163.19999999999999"/>
    <n v="2142"/>
    <n v="483.2"/>
    <n v="474.1"/>
  </r>
  <r>
    <x v="0"/>
    <x v="8"/>
    <x v="9"/>
    <n v="146.1"/>
    <n v="202.5"/>
    <n v="170.1"/>
    <n v="158.4"/>
    <n v="198.8"/>
    <n v="152.6"/>
    <n v="170.4"/>
    <n v="165.2"/>
    <n v="121.6"/>
    <n v="170.6"/>
    <n v="168.8"/>
    <n v="173.6"/>
    <n v="165.5"/>
    <n v="191.2"/>
    <n v="168.9"/>
    <n v="164.8"/>
    <n v="168.3"/>
    <s v="NA"/>
    <n v="165.5"/>
    <n v="162"/>
    <n v="172.5"/>
    <n v="159.5"/>
    <n v="163.19999999999999"/>
    <n v="169"/>
    <n v="161.1"/>
    <n v="164.7"/>
    <n v="166.3"/>
    <n v="2164.1999999999998"/>
    <n v="502.00000000000006"/>
    <n v="487"/>
  </r>
  <r>
    <x v="1"/>
    <x v="8"/>
    <x v="9"/>
    <n v="150.1"/>
    <n v="208.4"/>
    <n v="173"/>
    <n v="159.19999999999999"/>
    <n v="176.6"/>
    <n v="159.30000000000001"/>
    <n v="214.4"/>
    <n v="165.3"/>
    <n v="122.5"/>
    <n v="166.8"/>
    <n v="155.4"/>
    <n v="175.9"/>
    <n v="171.5"/>
    <n v="197"/>
    <n v="160.80000000000001"/>
    <n v="144.4"/>
    <n v="158.30000000000001"/>
    <s v="163.6"/>
    <n v="162.19999999999999"/>
    <n v="154.30000000000001"/>
    <n v="163.5"/>
    <n v="152.19999999999999"/>
    <n v="155.1"/>
    <n v="160.30000000000001"/>
    <n v="160.30000000000001"/>
    <n v="157"/>
    <n v="164.6"/>
    <n v="2198.4000000000005"/>
    <n v="463.50000000000006"/>
    <n v="468.7"/>
  </r>
  <r>
    <x v="2"/>
    <x v="8"/>
    <x v="9"/>
    <n v="147.4"/>
    <n v="204.6"/>
    <n v="171.2"/>
    <n v="158.69999999999999"/>
    <n v="190.6"/>
    <n v="155.69999999999999"/>
    <n v="185.3"/>
    <n v="165.2"/>
    <n v="121.9"/>
    <n v="169.3"/>
    <n v="163.19999999999999"/>
    <n v="174.7"/>
    <n v="167.7"/>
    <n v="192.7"/>
    <n v="165.7"/>
    <n v="156.30000000000001"/>
    <n v="164.3"/>
    <s v="163.6"/>
    <n v="164.2"/>
    <n v="158.4"/>
    <n v="169.1"/>
    <n v="155.69999999999999"/>
    <n v="158.6"/>
    <n v="163.9"/>
    <n v="160.80000000000001"/>
    <n v="161"/>
    <n v="165.5"/>
    <n v="2175.5"/>
    <n v="486.3"/>
    <n v="478.3"/>
  </r>
  <r>
    <x v="0"/>
    <x v="8"/>
    <x v="11"/>
    <n v="146.9"/>
    <n v="199.8"/>
    <n v="171.5"/>
    <n v="159.1"/>
    <n v="198.4"/>
    <n v="153.19999999999999"/>
    <n v="183.9"/>
    <n v="165.4"/>
    <n v="122.1"/>
    <n v="170.8"/>
    <n v="169.1"/>
    <n v="174.3"/>
    <n v="167.5"/>
    <n v="191.4"/>
    <n v="170.4"/>
    <n v="166"/>
    <n v="169.8"/>
    <s v="NA"/>
    <n v="165.3"/>
    <n v="162.9"/>
    <n v="173.4"/>
    <n v="158.9"/>
    <n v="163.80000000000001"/>
    <n v="169.3"/>
    <n v="162.4"/>
    <n v="165.2"/>
    <n v="167.6"/>
    <n v="2182"/>
    <n v="506.2"/>
    <n v="487.1"/>
  </r>
  <r>
    <x v="1"/>
    <x v="8"/>
    <x v="11"/>
    <n v="151"/>
    <n v="204.9"/>
    <n v="175.4"/>
    <n v="159.6"/>
    <n v="175.8"/>
    <n v="160.30000000000001"/>
    <n v="229.1"/>
    <n v="165.1"/>
    <n v="123.1"/>
    <n v="167.2"/>
    <n v="156.1"/>
    <n v="176.8"/>
    <n v="173.5"/>
    <n v="197"/>
    <n v="162.30000000000001"/>
    <n v="145.30000000000001"/>
    <n v="159.69999999999999"/>
    <s v="164.2"/>
    <n v="161.6"/>
    <n v="155.19999999999999"/>
    <n v="164.2"/>
    <n v="151.19999999999999"/>
    <n v="156.69999999999999"/>
    <n v="160.80000000000001"/>
    <n v="161.80000000000001"/>
    <n v="157.30000000000001"/>
    <n v="165.6"/>
    <n v="2217.8999999999996"/>
    <n v="467.3"/>
    <n v="467.99999999999994"/>
  </r>
  <r>
    <x v="2"/>
    <x v="8"/>
    <x v="11"/>
    <n v="148.19999999999999"/>
    <n v="201.6"/>
    <n v="173"/>
    <n v="159.30000000000001"/>
    <n v="190.1"/>
    <n v="156.5"/>
    <n v="199.2"/>
    <n v="165.3"/>
    <n v="122.4"/>
    <n v="169.6"/>
    <n v="163.69999999999999"/>
    <n v="175.5"/>
    <n v="169.7"/>
    <n v="192.9"/>
    <n v="167.2"/>
    <n v="157.4"/>
    <n v="165.8"/>
    <s v="164.2"/>
    <n v="163.9"/>
    <n v="159.30000000000001"/>
    <n v="169.9"/>
    <n v="154.80000000000001"/>
    <n v="159.80000000000001"/>
    <n v="164.3"/>
    <n v="162.19999999999999"/>
    <n v="161.4"/>
    <n v="166.7"/>
    <n v="2194.1"/>
    <n v="490.40000000000003"/>
    <n v="478.00000000000006"/>
  </r>
  <r>
    <x v="0"/>
    <x v="8"/>
    <x v="12"/>
    <n v="147.4"/>
    <n v="197"/>
    <n v="176.5"/>
    <n v="159.80000000000001"/>
    <n v="195.8"/>
    <n v="152"/>
    <n v="172.3"/>
    <n v="164.5"/>
    <n v="120.6"/>
    <n v="171.7"/>
    <n v="169.7"/>
    <n v="175.1"/>
    <n v="165.8"/>
    <n v="190.8"/>
    <n v="171.8"/>
    <n v="167.3"/>
    <n v="171.2"/>
    <s v="NA"/>
    <n v="165.6"/>
    <n v="163.9"/>
    <n v="174"/>
    <n v="160.1"/>
    <n v="164.5"/>
    <n v="169.7"/>
    <n v="162.80000000000001"/>
    <n v="166"/>
    <n v="167"/>
    <n v="2168.1999999999998"/>
    <n v="510.3"/>
    <n v="489.6"/>
  </r>
  <r>
    <x v="1"/>
    <x v="8"/>
    <x v="12"/>
    <n v="151.6"/>
    <n v="202.2"/>
    <n v="180"/>
    <n v="160"/>
    <n v="173.5"/>
    <n v="158.30000000000001"/>
    <n v="219.5"/>
    <n v="164.2"/>
    <n v="121.9"/>
    <n v="168.2"/>
    <n v="156.5"/>
    <n v="178.2"/>
    <n v="172.2"/>
    <n v="196.8"/>
    <n v="163.30000000000001"/>
    <n v="146.69999999999999"/>
    <n v="160.69999999999999"/>
    <s v="163.4"/>
    <n v="161.69999999999999"/>
    <n v="156"/>
    <n v="165.1"/>
    <n v="151.80000000000001"/>
    <n v="157.6"/>
    <n v="160.6"/>
    <n v="162.4"/>
    <n v="157.80000000000001"/>
    <n v="165.2"/>
    <n v="2206.3000000000002"/>
    <n v="470.7"/>
    <n v="469.5"/>
  </r>
  <r>
    <x v="2"/>
    <x v="8"/>
    <x v="12"/>
    <n v="148.69999999999999"/>
    <n v="198.8"/>
    <n v="177.9"/>
    <n v="159.9"/>
    <n v="187.6"/>
    <n v="154.9"/>
    <n v="188.3"/>
    <n v="164.4"/>
    <n v="121"/>
    <n v="170.5"/>
    <n v="164.2"/>
    <n v="176.5"/>
    <n v="168.2"/>
    <n v="192.4"/>
    <n v="168.5"/>
    <n v="158.69999999999999"/>
    <n v="167"/>
    <s v="163.4"/>
    <n v="164.1"/>
    <n v="160.19999999999999"/>
    <n v="170.6"/>
    <n v="155.69999999999999"/>
    <n v="160.6"/>
    <n v="164.4"/>
    <n v="162.6"/>
    <n v="162"/>
    <n v="166.2"/>
    <n v="2180.9"/>
    <n v="494.2"/>
    <n v="479.99999999999994"/>
  </r>
  <r>
    <x v="0"/>
    <x v="9"/>
    <x v="0"/>
    <n v="148.30000000000001"/>
    <n v="196.9"/>
    <n v="178"/>
    <n v="160.5"/>
    <n v="192.6"/>
    <n v="151.19999999999999"/>
    <n v="159.19999999999999"/>
    <n v="164"/>
    <n v="119.3"/>
    <n v="173.3"/>
    <n v="169.8"/>
    <n v="175.8"/>
    <n v="164.1"/>
    <n v="190.7"/>
    <n v="173.2"/>
    <n v="169.3"/>
    <n v="172.7"/>
    <s v="NA"/>
    <n v="165.8"/>
    <n v="164.9"/>
    <n v="174.7"/>
    <n v="160.80000000000001"/>
    <n v="164.9"/>
    <n v="169.9"/>
    <n v="163.19999999999999"/>
    <n v="166.6"/>
    <n v="166.4"/>
    <n v="2153"/>
    <n v="515.20000000000005"/>
    <n v="491.50000000000006"/>
  </r>
  <r>
    <x v="1"/>
    <x v="9"/>
    <x v="0"/>
    <n v="152.19999999999999"/>
    <n v="202.1"/>
    <n v="180.1"/>
    <n v="160.4"/>
    <n v="171"/>
    <n v="156.5"/>
    <n v="203.6"/>
    <n v="163.80000000000001"/>
    <n v="121.3"/>
    <n v="169.8"/>
    <n v="156.6"/>
    <n v="179"/>
    <n v="170.3"/>
    <n v="196.4"/>
    <n v="164.7"/>
    <n v="148.5"/>
    <n v="162.19999999999999"/>
    <s v="164.5"/>
    <n v="161.6"/>
    <n v="156.80000000000001"/>
    <n v="166.1"/>
    <n v="152.69999999999999"/>
    <n v="158.4"/>
    <n v="161"/>
    <n v="162.80000000000001"/>
    <n v="158.6"/>
    <n v="165"/>
    <n v="2186.6999999999998"/>
    <n v="475.4"/>
    <n v="471.09999999999997"/>
  </r>
  <r>
    <x v="2"/>
    <x v="9"/>
    <x v="0"/>
    <n v="149.5"/>
    <n v="198.7"/>
    <n v="178.8"/>
    <n v="160.5"/>
    <n v="184.7"/>
    <n v="153.69999999999999"/>
    <n v="174.3"/>
    <n v="163.9"/>
    <n v="120"/>
    <n v="172.1"/>
    <n v="164.3"/>
    <n v="177.3"/>
    <n v="166.4"/>
    <n v="192.2"/>
    <n v="169.9"/>
    <n v="160.69999999999999"/>
    <n v="168.5"/>
    <s v="164.5"/>
    <n v="164.2"/>
    <n v="161.1"/>
    <n v="171.4"/>
    <n v="156.5"/>
    <n v="161.19999999999999"/>
    <n v="164.7"/>
    <n v="163"/>
    <n v="162.69999999999999"/>
    <n v="165.7"/>
    <n v="2164.1999999999998"/>
    <n v="499.1"/>
    <n v="481.79999999999995"/>
  </r>
  <r>
    <x v="0"/>
    <x v="9"/>
    <x v="1"/>
    <n v="148.80000000000001"/>
    <n v="198.1"/>
    <n v="175.5"/>
    <n v="160.69999999999999"/>
    <n v="192.6"/>
    <n v="151.4"/>
    <n v="155.19999999999999"/>
    <n v="163.9"/>
    <n v="118.1"/>
    <n v="175.4"/>
    <n v="170.5"/>
    <n v="176.3"/>
    <n v="163.9"/>
    <n v="191.5"/>
    <n v="174.1"/>
    <n v="171"/>
    <n v="173.7"/>
    <s v="NA"/>
    <n v="167.4"/>
    <n v="165.7"/>
    <n v="175.3"/>
    <n v="161.19999999999999"/>
    <n v="165.5"/>
    <n v="170.3"/>
    <n v="164.5"/>
    <n v="167.3"/>
    <n v="166.7"/>
    <n v="2150.4"/>
    <n v="518.79999999999995"/>
    <n v="494.3"/>
  </r>
  <r>
    <x v="1"/>
    <x v="9"/>
    <x v="1"/>
    <n v="152.5"/>
    <n v="205.2"/>
    <n v="176.4"/>
    <n v="160.6"/>
    <n v="171.5"/>
    <n v="156.4"/>
    <n v="198"/>
    <n v="163.19999999999999"/>
    <n v="120.6"/>
    <n v="172.2"/>
    <n v="156.69999999999999"/>
    <n v="180"/>
    <n v="170.2"/>
    <n v="196.5"/>
    <n v="165.7"/>
    <n v="150.4"/>
    <n v="163.4"/>
    <s v="165.5"/>
    <n v="163"/>
    <n v="157.4"/>
    <n v="167.2"/>
    <n v="153.1"/>
    <n v="159.5"/>
    <n v="162"/>
    <n v="164.2"/>
    <n v="159.4"/>
    <n v="165.5"/>
    <n v="2183.5"/>
    <n v="479.5"/>
    <n v="473.5"/>
  </r>
  <r>
    <x v="2"/>
    <x v="9"/>
    <x v="1"/>
    <n v="150"/>
    <n v="200.6"/>
    <n v="175.8"/>
    <n v="160.69999999999999"/>
    <n v="184.9"/>
    <n v="153.69999999999999"/>
    <n v="169.7"/>
    <n v="163.69999999999999"/>
    <n v="118.9"/>
    <n v="174.3"/>
    <n v="164.7"/>
    <n v="178"/>
    <n v="166.2"/>
    <n v="192.8"/>
    <n v="170.8"/>
    <n v="162.4"/>
    <n v="169.6"/>
    <s v="165.5"/>
    <n v="165.7"/>
    <n v="161.80000000000001"/>
    <n v="172.2"/>
    <n v="156.9"/>
    <n v="162.1"/>
    <n v="165.4"/>
    <n v="164.4"/>
    <n v="163.5"/>
    <n v="166.1"/>
    <n v="2161.2000000000003"/>
    <n v="502.80000000000007"/>
    <n v="484.4"/>
  </r>
  <r>
    <x v="0"/>
    <x v="9"/>
    <x v="2"/>
    <n v="150.19999999999999"/>
    <n v="208"/>
    <n v="167.9"/>
    <n v="162"/>
    <n v="203.1"/>
    <n v="155.9"/>
    <n v="155.80000000000001"/>
    <n v="164.2"/>
    <n v="118.1"/>
    <n v="178.7"/>
    <n v="171.2"/>
    <n v="177.4"/>
    <n v="166.6"/>
    <n v="192.3"/>
    <n v="175.4"/>
    <n v="173.2"/>
    <n v="175.1"/>
    <s v="NA"/>
    <n v="168.9"/>
    <n v="166.5"/>
    <n v="176"/>
    <n v="162"/>
    <n v="166.6"/>
    <n v="170.6"/>
    <n v="167.4"/>
    <n v="168.3"/>
    <n v="168.7"/>
    <n v="2179.1000000000004"/>
    <n v="523.70000000000005"/>
    <n v="497.4"/>
  </r>
  <r>
    <x v="1"/>
    <x v="9"/>
    <x v="2"/>
    <n v="153.69999999999999"/>
    <n v="215.8"/>
    <n v="167.7"/>
    <n v="162.6"/>
    <n v="180"/>
    <n v="159.6"/>
    <n v="188.4"/>
    <n v="163.4"/>
    <n v="120.3"/>
    <n v="174.7"/>
    <n v="157.1"/>
    <n v="181.5"/>
    <n v="171.5"/>
    <n v="197.5"/>
    <n v="167.1"/>
    <n v="152.6"/>
    <n v="164.9"/>
    <s v="165.3"/>
    <n v="164.5"/>
    <n v="158.6"/>
    <n v="168.2"/>
    <n v="154.19999999999999"/>
    <n v="160.80000000000001"/>
    <n v="162.69999999999999"/>
    <n v="166.8"/>
    <n v="160.6"/>
    <n v="166.5"/>
    <n v="2196.3000000000002"/>
    <n v="484.6"/>
    <n v="477.3"/>
  </r>
  <r>
    <x v="2"/>
    <x v="9"/>
    <x v="2"/>
    <n v="151.30000000000001"/>
    <n v="210.7"/>
    <n v="167.8"/>
    <n v="162.19999999999999"/>
    <n v="194.6"/>
    <n v="157.6"/>
    <n v="166.9"/>
    <n v="163.9"/>
    <n v="118.8"/>
    <n v="177.4"/>
    <n v="165.3"/>
    <n v="179.3"/>
    <n v="168.4"/>
    <n v="193.7"/>
    <n v="172.1"/>
    <n v="164.6"/>
    <n v="171.1"/>
    <s v="165.3"/>
    <n v="167.2"/>
    <n v="162.80000000000001"/>
    <n v="173"/>
    <n v="157.9"/>
    <n v="163.30000000000001"/>
    <n v="166"/>
    <n v="167.2"/>
    <n v="164.6"/>
    <n v="167.7"/>
    <n v="2184.2000000000003"/>
    <n v="507.79999999999995"/>
    <n v="487.9"/>
  </r>
  <r>
    <x v="0"/>
    <x v="9"/>
    <x v="3"/>
    <n v="151.80000000000001"/>
    <n v="209.7"/>
    <n v="164.5"/>
    <n v="163.80000000000001"/>
    <n v="207.4"/>
    <n v="169.7"/>
    <n v="153.6"/>
    <n v="165.1"/>
    <n v="118.2"/>
    <n v="182.9"/>
    <n v="172.4"/>
    <n v="178.9"/>
    <n v="168.6"/>
    <n v="192.8"/>
    <n v="177.5"/>
    <n v="175.1"/>
    <n v="177.1"/>
    <s v="NA"/>
    <n v="173.3"/>
    <n v="167.7"/>
    <n v="177"/>
    <n v="166.2"/>
    <n v="167.2"/>
    <n v="170.9"/>
    <n v="169"/>
    <n v="170.2"/>
    <n v="170.8"/>
    <n v="2206.6"/>
    <n v="529.70000000000005"/>
    <n v="507.2"/>
  </r>
  <r>
    <x v="1"/>
    <x v="9"/>
    <x v="3"/>
    <n v="155.4"/>
    <n v="215.8"/>
    <n v="164.6"/>
    <n v="164.2"/>
    <n v="186"/>
    <n v="175.9"/>
    <n v="190.7"/>
    <n v="164"/>
    <n v="120.5"/>
    <n v="178"/>
    <n v="157.5"/>
    <n v="183.3"/>
    <n v="174.5"/>
    <n v="197.1"/>
    <n v="168.4"/>
    <n v="154.5"/>
    <n v="166.3"/>
    <s v="167"/>
    <n v="170.5"/>
    <n v="159.80000000000001"/>
    <n v="169"/>
    <n v="159.30000000000001"/>
    <n v="162.19999999999999"/>
    <n v="164"/>
    <n v="168.4"/>
    <n v="163.1"/>
    <n v="169.2"/>
    <n v="2230.4"/>
    <n v="489.2"/>
    <n v="489.6"/>
  </r>
  <r>
    <x v="2"/>
    <x v="9"/>
    <x v="3"/>
    <n v="152.9"/>
    <n v="211.8"/>
    <n v="164.5"/>
    <n v="163.9"/>
    <n v="199.5"/>
    <n v="172.6"/>
    <n v="166.2"/>
    <n v="164.7"/>
    <n v="119"/>
    <n v="181.3"/>
    <n v="166.2"/>
    <n v="180.9"/>
    <n v="170.8"/>
    <n v="193.9"/>
    <n v="173.9"/>
    <n v="166.5"/>
    <n v="172.8"/>
    <s v="167"/>
    <n v="172.2"/>
    <n v="164"/>
    <n v="174"/>
    <n v="162.6"/>
    <n v="164.4"/>
    <n v="166.9"/>
    <n v="168.8"/>
    <n v="166.8"/>
    <n v="170.1"/>
    <n v="2214.3000000000002"/>
    <n v="513.20000000000005"/>
    <n v="498.79999999999995"/>
  </r>
  <r>
    <x v="0"/>
    <x v="9"/>
    <x v="4"/>
    <n v="152.9"/>
    <n v="214.7"/>
    <n v="161.4"/>
    <n v="164.6"/>
    <n v="209.9"/>
    <n v="168"/>
    <n v="160.4"/>
    <n v="165"/>
    <n v="118.9"/>
    <n v="186.6"/>
    <n v="173.2"/>
    <n v="180.4"/>
    <n v="170.8"/>
    <n v="192.9"/>
    <n v="179.3"/>
    <n v="177.2"/>
    <n v="179"/>
    <s v="NA"/>
    <n v="175.3"/>
    <n v="168.9"/>
    <n v="177.7"/>
    <n v="167.1"/>
    <n v="167.6"/>
    <n v="171.8"/>
    <n v="168.5"/>
    <n v="170.9"/>
    <n v="172.5"/>
    <n v="2226.8000000000002"/>
    <n v="535.5"/>
    <n v="511.30000000000007"/>
  </r>
  <r>
    <x v="1"/>
    <x v="9"/>
    <x v="4"/>
    <n v="156.69999999999999"/>
    <n v="221.2"/>
    <n v="164.1"/>
    <n v="165.4"/>
    <n v="189.5"/>
    <n v="174.5"/>
    <n v="203.2"/>
    <n v="164.1"/>
    <n v="121.2"/>
    <n v="181.4"/>
    <n v="158.5"/>
    <n v="184.9"/>
    <n v="177.5"/>
    <n v="197.5"/>
    <n v="170"/>
    <n v="155.9"/>
    <n v="167.8"/>
    <s v="167.5"/>
    <n v="173.5"/>
    <n v="161.1"/>
    <n v="170.1"/>
    <n v="159.4"/>
    <n v="163.19999999999999"/>
    <n v="165.2"/>
    <n v="168.2"/>
    <n v="163.80000000000001"/>
    <n v="170.8"/>
    <n v="2262.2000000000003"/>
    <n v="493.7"/>
    <n v="494"/>
  </r>
  <r>
    <x v="2"/>
    <x v="9"/>
    <x v="4"/>
    <n v="154.1"/>
    <n v="217"/>
    <n v="162.4"/>
    <n v="164.9"/>
    <n v="202.4"/>
    <n v="171"/>
    <n v="174.9"/>
    <n v="164.7"/>
    <n v="119.7"/>
    <n v="184.9"/>
    <n v="167.1"/>
    <n v="182.5"/>
    <n v="173.3"/>
    <n v="194.1"/>
    <n v="175.6"/>
    <n v="168.4"/>
    <n v="174.6"/>
    <s v="167.5"/>
    <n v="174.6"/>
    <n v="165.2"/>
    <n v="174.8"/>
    <n v="163"/>
    <n v="165.1"/>
    <n v="167.9"/>
    <n v="168.4"/>
    <n v="167.5"/>
    <n v="171.7"/>
    <n v="2238.9000000000005"/>
    <n v="518.6"/>
    <n v="502.79999999999995"/>
  </r>
  <r>
    <x v="0"/>
    <x v="9"/>
    <x v="5"/>
    <n v="153.80000000000001"/>
    <n v="217.2"/>
    <n v="169.6"/>
    <n v="165.4"/>
    <n v="208.1"/>
    <n v="165.8"/>
    <n v="167.3"/>
    <n v="164.6"/>
    <n v="119.1"/>
    <n v="188.9"/>
    <n v="174.2"/>
    <n v="181.9"/>
    <n v="172.4"/>
    <n v="192.9"/>
    <n v="180.7"/>
    <n v="178.7"/>
    <n v="180.4"/>
    <s v="NA"/>
    <n v="176.7"/>
    <n v="170.3"/>
    <n v="178.2"/>
    <n v="165.5"/>
    <n v="168"/>
    <n v="172.6"/>
    <n v="169.5"/>
    <n v="171"/>
    <n v="173.6"/>
    <n v="2248.3000000000002"/>
    <n v="539.79999999999995"/>
    <n v="512.5"/>
  </r>
  <r>
    <x v="1"/>
    <x v="9"/>
    <x v="5"/>
    <n v="157.5"/>
    <n v="223.4"/>
    <n v="172.8"/>
    <n v="166.4"/>
    <n v="188.6"/>
    <n v="174.1"/>
    <n v="211.5"/>
    <n v="163.6"/>
    <n v="121.4"/>
    <n v="183.5"/>
    <n v="159.1"/>
    <n v="186.3"/>
    <n v="179.3"/>
    <n v="198.3"/>
    <n v="171.6"/>
    <n v="157.4"/>
    <n v="169.4"/>
    <s v="166.8"/>
    <n v="174.9"/>
    <n v="162.1"/>
    <n v="170.9"/>
    <n v="157.19999999999999"/>
    <n v="164.1"/>
    <n v="166.5"/>
    <n v="169.2"/>
    <n v="163.80000000000001"/>
    <n v="171.4"/>
    <n v="2287.5"/>
    <n v="498.4"/>
    <n v="494.2"/>
  </r>
  <r>
    <x v="2"/>
    <x v="9"/>
    <x v="5"/>
    <n v="155"/>
    <n v="219.4"/>
    <n v="170.8"/>
    <n v="165.8"/>
    <n v="200.9"/>
    <n v="169.7"/>
    <n v="182.3"/>
    <n v="164.3"/>
    <n v="119.9"/>
    <n v="187.1"/>
    <n v="167.9"/>
    <n v="183.9"/>
    <n v="174.9"/>
    <n v="194.3"/>
    <n v="177.1"/>
    <n v="169.9"/>
    <n v="176"/>
    <s v="166.8"/>
    <n v="176"/>
    <n v="166.4"/>
    <n v="175.4"/>
    <n v="161.1"/>
    <n v="165.8"/>
    <n v="169"/>
    <n v="169.4"/>
    <n v="167.5"/>
    <n v="172.6"/>
    <n v="2261.9"/>
    <n v="523"/>
    <n v="503.5"/>
  </r>
  <r>
    <x v="0"/>
    <x v="9"/>
    <x v="6"/>
    <n v="155.19999999999999"/>
    <n v="210.8"/>
    <n v="174.3"/>
    <n v="166.3"/>
    <n v="202.2"/>
    <n v="169.6"/>
    <n v="168.6"/>
    <n v="164.4"/>
    <n v="119.2"/>
    <n v="191.8"/>
    <n v="174.5"/>
    <n v="183.1"/>
    <n v="172.5"/>
    <n v="193.2"/>
    <n v="182"/>
    <n v="180.3"/>
    <n v="181.7"/>
    <s v="NA"/>
    <n v="179.6"/>
    <n v="171.3"/>
    <n v="178.8"/>
    <n v="166.3"/>
    <n v="168.6"/>
    <n v="174.7"/>
    <n v="169.7"/>
    <n v="171.8"/>
    <n v="174.3"/>
    <n v="2252.5"/>
    <n v="544"/>
    <n v="517.20000000000005"/>
  </r>
  <r>
    <x v="1"/>
    <x v="9"/>
    <x v="6"/>
    <n v="159.30000000000001"/>
    <n v="217.1"/>
    <n v="176.6"/>
    <n v="167.1"/>
    <n v="184.8"/>
    <n v="179.5"/>
    <n v="208.5"/>
    <n v="164"/>
    <n v="121.5"/>
    <n v="186.3"/>
    <n v="159.80000000000001"/>
    <n v="187.7"/>
    <n v="179.4"/>
    <n v="198.6"/>
    <n v="172.7"/>
    <n v="158.69999999999999"/>
    <n v="170.6"/>
    <s v="167.8"/>
    <n v="179.5"/>
    <n v="163.1"/>
    <n v="171.7"/>
    <n v="157.4"/>
    <n v="164.6"/>
    <n v="169.1"/>
    <n v="169.8"/>
    <n v="164.7"/>
    <n v="172.3"/>
    <n v="2291.6"/>
    <n v="502"/>
    <n v="500"/>
  </r>
  <r>
    <x v="2"/>
    <x v="9"/>
    <x v="6"/>
    <n v="156.5"/>
    <n v="213"/>
    <n v="175.2"/>
    <n v="166.6"/>
    <n v="195.8"/>
    <n v="174.2"/>
    <n v="182.1"/>
    <n v="164.3"/>
    <n v="120"/>
    <n v="190"/>
    <n v="168.4"/>
    <n v="185.2"/>
    <n v="175"/>
    <n v="194.6"/>
    <n v="178.3"/>
    <n v="171.3"/>
    <n v="177.3"/>
    <s v="167.8"/>
    <n v="179.6"/>
    <n v="167.4"/>
    <n v="176.1"/>
    <n v="161.6"/>
    <n v="166.3"/>
    <n v="171.4"/>
    <n v="169.7"/>
    <n v="168.4"/>
    <n v="173.4"/>
    <n v="2266.3000000000002"/>
    <n v="526.90000000000009"/>
    <n v="508.6"/>
  </r>
  <r>
    <x v="0"/>
    <x v="9"/>
    <x v="7"/>
    <n v="159.5"/>
    <n v="204.1"/>
    <n v="168.3"/>
    <n v="167.9"/>
    <n v="198.1"/>
    <n v="169.2"/>
    <n v="173.1"/>
    <n v="167.1"/>
    <n v="120.2"/>
    <n v="195.6"/>
    <n v="174.8"/>
    <n v="184"/>
    <n v="173.9"/>
    <n v="193.7"/>
    <n v="183.2"/>
    <n v="181.7"/>
    <n v="183"/>
    <s v="NA"/>
    <n v="179.1"/>
    <n v="172.3"/>
    <n v="179.4"/>
    <n v="166.6"/>
    <n v="169.3"/>
    <n v="175.7"/>
    <n v="171.1"/>
    <n v="172.6"/>
    <n v="175.3"/>
    <n v="2255.7999999999997"/>
    <n v="547.9"/>
    <n v="518"/>
  </r>
  <r>
    <x v="1"/>
    <x v="9"/>
    <x v="7"/>
    <n v="162.1"/>
    <n v="210.9"/>
    <n v="170.6"/>
    <n v="168.4"/>
    <n v="182.5"/>
    <n v="177.1"/>
    <n v="213.1"/>
    <n v="167.3"/>
    <n v="122.2"/>
    <n v="189.7"/>
    <n v="160.5"/>
    <n v="188.9"/>
    <n v="180.4"/>
    <n v="198.7"/>
    <n v="173.7"/>
    <n v="160"/>
    <n v="171.6"/>
    <s v="169"/>
    <n v="178.4"/>
    <n v="164.2"/>
    <n v="172.6"/>
    <n v="157.69999999999999"/>
    <n v="165.1"/>
    <n v="169.9"/>
    <n v="171.4"/>
    <n v="165.4"/>
    <n v="173.1"/>
    <n v="2293.6999999999998"/>
    <n v="505.29999999999995"/>
    <n v="500.3"/>
  </r>
  <r>
    <x v="2"/>
    <x v="9"/>
    <x v="7"/>
    <n v="160.30000000000001"/>
    <n v="206.5"/>
    <n v="169.2"/>
    <n v="168.1"/>
    <n v="192.4"/>
    <n v="172.9"/>
    <n v="186.7"/>
    <n v="167.2"/>
    <n v="120.9"/>
    <n v="193.6"/>
    <n v="168.8"/>
    <n v="186.3"/>
    <n v="176.3"/>
    <n v="195"/>
    <n v="179.5"/>
    <n v="172.7"/>
    <n v="178.5"/>
    <s v="169"/>
    <n v="178.8"/>
    <n v="168.5"/>
    <n v="176.8"/>
    <n v="161.9"/>
    <n v="166.9"/>
    <n v="172.3"/>
    <n v="171.2"/>
    <n v="169.1"/>
    <n v="174.3"/>
    <n v="2269.2000000000003"/>
    <n v="530.70000000000005"/>
    <n v="509.20000000000005"/>
  </r>
  <r>
    <x v="0"/>
    <x v="9"/>
    <x v="8"/>
    <n v="162.9"/>
    <n v="206.7"/>
    <n v="169"/>
    <n v="169.5"/>
    <n v="194.1"/>
    <n v="164.1"/>
    <n v="176.9"/>
    <n v="169"/>
    <n v="120.8"/>
    <n v="199.1"/>
    <n v="175.4"/>
    <n v="184.8"/>
    <n v="175.5"/>
    <n v="194.5"/>
    <n v="184.7"/>
    <n v="183.3"/>
    <n v="184.5"/>
    <s v="NA"/>
    <n v="179.7"/>
    <n v="173.6"/>
    <n v="180.2"/>
    <n v="166.9"/>
    <n v="170"/>
    <n v="176.2"/>
    <n v="170.8"/>
    <n v="173.1"/>
    <n v="176.4"/>
    <n v="2267.8000000000002"/>
    <n v="552.5"/>
    <n v="520.19999999999993"/>
  </r>
  <r>
    <x v="1"/>
    <x v="9"/>
    <x v="8"/>
    <n v="164.9"/>
    <n v="213.7"/>
    <n v="170.9"/>
    <n v="170.1"/>
    <n v="179.3"/>
    <n v="167.5"/>
    <n v="220.8"/>
    <n v="169.2"/>
    <n v="123.1"/>
    <n v="193.6"/>
    <n v="161.1"/>
    <n v="190.4"/>
    <n v="181.8"/>
    <n v="199.7"/>
    <n v="175"/>
    <n v="161.69999999999999"/>
    <n v="173"/>
    <s v="169.5"/>
    <n v="179.2"/>
    <n v="165"/>
    <n v="173.8"/>
    <n v="158.19999999999999"/>
    <n v="165.8"/>
    <n v="170.9"/>
    <n v="171.1"/>
    <n v="166.1"/>
    <n v="174.1"/>
    <n v="2306.4"/>
    <n v="509.7"/>
    <n v="502.4"/>
  </r>
  <r>
    <x v="2"/>
    <x v="9"/>
    <x v="8"/>
    <n v="163.5"/>
    <n v="209.2"/>
    <n v="169.7"/>
    <n v="169.7"/>
    <n v="188.7"/>
    <n v="165.7"/>
    <n v="191.8"/>
    <n v="169.1"/>
    <n v="121.6"/>
    <n v="197.3"/>
    <n v="169.4"/>
    <n v="187.4"/>
    <n v="177.8"/>
    <n v="195.9"/>
    <n v="180.9"/>
    <n v="174.3"/>
    <n v="179.9"/>
    <s v="169.5"/>
    <n v="179.5"/>
    <n v="169.5"/>
    <n v="177.8"/>
    <n v="162.30000000000001"/>
    <n v="167.6"/>
    <n v="173.1"/>
    <n v="170.9"/>
    <n v="169.7"/>
    <n v="175.3"/>
    <n v="2280.9"/>
    <n v="535.1"/>
    <n v="511.3"/>
  </r>
  <r>
    <x v="0"/>
    <x v="9"/>
    <x v="9"/>
    <n v="164.7"/>
    <n v="208.8"/>
    <n v="170.3"/>
    <n v="170.9"/>
    <n v="191.6"/>
    <n v="162.19999999999999"/>
    <n v="184.8"/>
    <n v="169.7"/>
    <n v="121.1"/>
    <n v="201.6"/>
    <n v="175.8"/>
    <n v="185.6"/>
    <n v="177.4"/>
    <n v="194.9"/>
    <n v="186.1"/>
    <n v="184.4"/>
    <n v="185.9"/>
    <s v="NA"/>
    <n v="180.8"/>
    <n v="174.4"/>
    <n v="181.2"/>
    <n v="167.4"/>
    <n v="170.6"/>
    <n v="176.5"/>
    <n v="172"/>
    <n v="173.9"/>
    <n v="177.9"/>
    <n v="2284.5"/>
    <n v="556.4"/>
    <n v="522.6"/>
  </r>
  <r>
    <x v="1"/>
    <x v="9"/>
    <x v="9"/>
    <n v="166.4"/>
    <n v="214.9"/>
    <n v="171.9"/>
    <n v="171"/>
    <n v="177.7"/>
    <n v="165.7"/>
    <n v="228.6"/>
    <n v="169.9"/>
    <n v="123.4"/>
    <n v="196.4"/>
    <n v="161.6"/>
    <n v="191.5"/>
    <n v="183.3"/>
    <n v="200.1"/>
    <n v="175.5"/>
    <n v="162.6"/>
    <n v="173.6"/>
    <s v="171.2"/>
    <n v="180"/>
    <n v="166"/>
    <n v="174.7"/>
    <n v="158.80000000000001"/>
    <n v="166.3"/>
    <n v="171.2"/>
    <n v="172.3"/>
    <n v="166.8"/>
    <n v="175.3"/>
    <n v="2322.3000000000002"/>
    <n v="511.70000000000005"/>
    <n v="504.8"/>
  </r>
  <r>
    <x v="2"/>
    <x v="9"/>
    <x v="9"/>
    <n v="165.2"/>
    <n v="210.9"/>
    <n v="170.9"/>
    <n v="170.9"/>
    <n v="186.5"/>
    <n v="163.80000000000001"/>
    <n v="199.7"/>
    <n v="169.8"/>
    <n v="121.9"/>
    <n v="199.9"/>
    <n v="169.9"/>
    <n v="188.3"/>
    <n v="179.6"/>
    <n v="196.3"/>
    <n v="181.9"/>
    <n v="175.3"/>
    <n v="181"/>
    <s v="171.2"/>
    <n v="180.5"/>
    <n v="170.4"/>
    <n v="178.7"/>
    <n v="162.9"/>
    <n v="168.2"/>
    <n v="173.4"/>
    <n v="172.1"/>
    <n v="170.5"/>
    <n v="176.7"/>
    <n v="2297.3000000000002"/>
    <n v="538.20000000000005"/>
    <n v="513.79999999999995"/>
  </r>
  <r>
    <x v="0"/>
    <x v="9"/>
    <x v="11"/>
    <n v="166.9"/>
    <n v="207.2"/>
    <n v="180.2"/>
    <n v="172.3"/>
    <n v="194"/>
    <n v="159.1"/>
    <n v="171.6"/>
    <n v="170.2"/>
    <n v="121.5"/>
    <n v="204.8"/>
    <n v="176.4"/>
    <n v="186.9"/>
    <n v="176.6"/>
    <n v="195.5"/>
    <n v="187.2"/>
    <n v="185.2"/>
    <n v="186.9"/>
    <s v="NA"/>
    <n v="181.9"/>
    <n v="175.5"/>
    <n v="182.3"/>
    <n v="167.5"/>
    <n v="170.8"/>
    <n v="176.9"/>
    <n v="173.4"/>
    <n v="174.6"/>
    <n v="177.8"/>
    <n v="2287.6999999999998"/>
    <n v="559.29999999999995"/>
    <n v="524.9"/>
  </r>
  <r>
    <x v="1"/>
    <x v="9"/>
    <x v="11"/>
    <n v="168.4"/>
    <n v="213.4"/>
    <n v="183.2"/>
    <n v="172.3"/>
    <n v="180"/>
    <n v="162.6"/>
    <n v="205.5"/>
    <n v="171"/>
    <n v="123.4"/>
    <n v="198.8"/>
    <n v="162.1"/>
    <n v="192.4"/>
    <n v="181.3"/>
    <n v="200.6"/>
    <n v="176.7"/>
    <n v="163.5"/>
    <n v="174.7"/>
    <s v="171.8"/>
    <n v="180.3"/>
    <n v="166.9"/>
    <n v="175.8"/>
    <n v="158.9"/>
    <n v="166.7"/>
    <n v="171.5"/>
    <n v="173.8"/>
    <n v="167.4"/>
    <n v="174.1"/>
    <n v="2314.4"/>
    <n v="514.9"/>
    <n v="506.1"/>
  </r>
  <r>
    <x v="2"/>
    <x v="9"/>
    <x v="11"/>
    <n v="167.4"/>
    <n v="209.4"/>
    <n v="181.4"/>
    <n v="172.3"/>
    <n v="188.9"/>
    <n v="160.69999999999999"/>
    <n v="183.1"/>
    <n v="170.5"/>
    <n v="122.1"/>
    <n v="202.8"/>
    <n v="170.4"/>
    <n v="189.5"/>
    <n v="178.3"/>
    <n v="196.9"/>
    <n v="183.1"/>
    <n v="176.2"/>
    <n v="182.1"/>
    <s v="171.8"/>
    <n v="181.3"/>
    <n v="171.4"/>
    <n v="179.8"/>
    <n v="163"/>
    <n v="168.5"/>
    <n v="173.7"/>
    <n v="173.6"/>
    <n v="171.1"/>
    <n v="176.5"/>
    <n v="2296.8000000000002"/>
    <n v="541.4"/>
    <n v="515.70000000000005"/>
  </r>
  <r>
    <x v="0"/>
    <x v="9"/>
    <x v="12"/>
    <n v="168.8"/>
    <n v="206.9"/>
    <n v="189.1"/>
    <n v="173.4"/>
    <n v="193.9"/>
    <n v="156.69999999999999"/>
    <n v="150.19999999999999"/>
    <n v="170.5"/>
    <n v="121.2"/>
    <n v="207.5"/>
    <n v="176.8"/>
    <n v="187.7"/>
    <n v="174.4"/>
    <n v="195.9"/>
    <n v="188.1"/>
    <n v="185.9"/>
    <n v="187.8"/>
    <s v="NA"/>
    <n v="182.8"/>
    <n v="176.4"/>
    <n v="183.5"/>
    <n v="167.8"/>
    <n v="171.2"/>
    <n v="177.3"/>
    <n v="175.7"/>
    <n v="175.5"/>
    <n v="177.1"/>
    <n v="2277.1"/>
    <n v="561.79999999999995"/>
    <n v="527"/>
  </r>
  <r>
    <x v="1"/>
    <x v="9"/>
    <x v="12"/>
    <n v="170.2"/>
    <n v="212.9"/>
    <n v="191.9"/>
    <n v="173.9"/>
    <n v="179.1"/>
    <n v="159.5"/>
    <n v="178.7"/>
    <n v="171.3"/>
    <n v="123.1"/>
    <n v="200.5"/>
    <n v="162.80000000000001"/>
    <n v="193.3"/>
    <n v="178.6"/>
    <n v="201.1"/>
    <n v="177.7"/>
    <n v="164.5"/>
    <n v="175.7"/>
    <s v="170.7"/>
    <n v="180.6"/>
    <n v="167.3"/>
    <n v="177.2"/>
    <n v="159.4"/>
    <n v="167.1"/>
    <n v="171.8"/>
    <n v="176"/>
    <n v="168.2"/>
    <n v="174.1"/>
    <n v="2295.7999999999997"/>
    <n v="517.9"/>
    <n v="507.29999999999995"/>
  </r>
  <r>
    <x v="2"/>
    <x v="9"/>
    <x v="12"/>
    <n v="169.2"/>
    <n v="209"/>
    <n v="190.2"/>
    <n v="173.6"/>
    <n v="188.5"/>
    <n v="158"/>
    <n v="159.9"/>
    <n v="170.8"/>
    <n v="121.8"/>
    <n v="205.2"/>
    <n v="171"/>
    <n v="190.3"/>
    <n v="175.9"/>
    <n v="197.3"/>
    <n v="184"/>
    <n v="177"/>
    <n v="183"/>
    <s v="170.7"/>
    <n v="182"/>
    <n v="172.1"/>
    <n v="181.1"/>
    <n v="163.4"/>
    <n v="168.9"/>
    <n v="174.1"/>
    <n v="175.8"/>
    <n v="172"/>
    <n v="175.7"/>
    <n v="2283.4"/>
    <n v="544"/>
    <n v="517.5"/>
  </r>
  <r>
    <x v="0"/>
    <x v="10"/>
    <x v="0"/>
    <n v="174"/>
    <n v="208.3"/>
    <n v="192.9"/>
    <n v="174.3"/>
    <n v="192.6"/>
    <n v="156.30000000000001"/>
    <n v="142.9"/>
    <n v="170.7"/>
    <n v="120.3"/>
    <n v="210.5"/>
    <n v="176.9"/>
    <n v="188.5"/>
    <n v="175"/>
    <n v="196.9"/>
    <n v="189"/>
    <n v="186.3"/>
    <n v="188.6"/>
    <s v="NA"/>
    <n v="183.2"/>
    <n v="177.2"/>
    <n v="184.7"/>
    <n v="168.2"/>
    <n v="171.8"/>
    <n v="177.8"/>
    <n v="178.4"/>
    <n v="176.5"/>
    <n v="177.8"/>
    <n v="2283.2000000000003"/>
    <n v="563.9"/>
    <n v="528.59999999999991"/>
  </r>
  <r>
    <x v="1"/>
    <x v="10"/>
    <x v="0"/>
    <n v="173.3"/>
    <n v="215.2"/>
    <n v="197"/>
    <n v="175.2"/>
    <n v="178"/>
    <n v="160.5"/>
    <n v="175.3"/>
    <n v="171.2"/>
    <n v="122.7"/>
    <n v="204.3"/>
    <n v="163.69999999999999"/>
    <n v="194.3"/>
    <n v="179.5"/>
    <n v="201.6"/>
    <n v="178.7"/>
    <n v="165.3"/>
    <n v="176.6"/>
    <s v="172.1"/>
    <n v="180.1"/>
    <n v="168"/>
    <n v="178.5"/>
    <n v="159.5"/>
    <n v="167.8"/>
    <n v="171.8"/>
    <n v="178.8"/>
    <n v="168.9"/>
    <n v="174.9"/>
    <n v="2310.2000000000003"/>
    <n v="520.6"/>
    <n v="507.6"/>
  </r>
  <r>
    <x v="2"/>
    <x v="10"/>
    <x v="0"/>
    <n v="173.8"/>
    <n v="210.7"/>
    <n v="194.5"/>
    <n v="174.6"/>
    <n v="187.2"/>
    <n v="158.30000000000001"/>
    <n v="153.9"/>
    <n v="170.9"/>
    <n v="121.1"/>
    <n v="208.4"/>
    <n v="171.4"/>
    <n v="191.2"/>
    <n v="176.7"/>
    <n v="198.2"/>
    <n v="184.9"/>
    <n v="177.6"/>
    <n v="183.8"/>
    <s v="172.1"/>
    <n v="182"/>
    <n v="172.9"/>
    <n v="182.3"/>
    <n v="163.6"/>
    <n v="169.5"/>
    <n v="174.3"/>
    <n v="178.6"/>
    <n v="172.8"/>
    <n v="176.5"/>
    <n v="2292.6999999999998"/>
    <n v="546.29999999999995"/>
    <n v="518.5"/>
  </r>
  <r>
    <x v="0"/>
    <x v="10"/>
    <x v="1"/>
    <n v="174.2"/>
    <n v="205.2"/>
    <n v="173.9"/>
    <n v="177"/>
    <n v="183.4"/>
    <n v="167.2"/>
    <n v="140.9"/>
    <n v="170.4"/>
    <n v="119.1"/>
    <n v="212.1"/>
    <n v="177.6"/>
    <n v="189.9"/>
    <n v="174.8"/>
    <n v="198.3"/>
    <n v="190"/>
    <n v="187"/>
    <n v="189.6"/>
    <s v="NA"/>
    <n v="181.6"/>
    <n v="178.6"/>
    <n v="186.6"/>
    <n v="169"/>
    <n v="172.8"/>
    <n v="178.5"/>
    <n v="180.7"/>
    <n v="177.9"/>
    <n v="178"/>
    <n v="2265.6999999999998"/>
    <n v="566.6"/>
    <n v="529.20000000000005"/>
  </r>
  <r>
    <x v="1"/>
    <x v="10"/>
    <x v="1"/>
    <n v="174.7"/>
    <n v="212.2"/>
    <n v="177.2"/>
    <n v="177.9"/>
    <n v="172.2"/>
    <n v="172.1"/>
    <n v="175.8"/>
    <n v="172.2"/>
    <n v="121.9"/>
    <n v="204.8"/>
    <n v="164.9"/>
    <n v="196.6"/>
    <n v="180.7"/>
    <n v="202.7"/>
    <n v="180.3"/>
    <n v="167"/>
    <n v="178.2"/>
    <s v="173.5"/>
    <n v="182.8"/>
    <n v="169.2"/>
    <n v="180.8"/>
    <n v="159.80000000000001"/>
    <n v="168.4"/>
    <n v="172.5"/>
    <n v="181.4"/>
    <n v="170"/>
    <n v="176.3"/>
    <n v="2303.1999999999998"/>
    <n v="525.5"/>
    <n v="511.8"/>
  </r>
  <r>
    <x v="2"/>
    <x v="10"/>
    <x v="1"/>
    <n v="174.4"/>
    <n v="207.7"/>
    <n v="175.2"/>
    <n v="177.3"/>
    <n v="179.3"/>
    <n v="169.5"/>
    <n v="152.69999999999999"/>
    <n v="171"/>
    <n v="120"/>
    <n v="209.7"/>
    <n v="172.3"/>
    <n v="193"/>
    <n v="177"/>
    <n v="199.5"/>
    <n v="186.2"/>
    <n v="178.7"/>
    <n v="185.1"/>
    <s v="173.5"/>
    <n v="182.1"/>
    <n v="174.2"/>
    <n v="184.4"/>
    <n v="164.2"/>
    <n v="170.3"/>
    <n v="175"/>
    <n v="181"/>
    <n v="174.1"/>
    <n v="177.2"/>
    <n v="2279.1"/>
    <n v="550"/>
    <n v="520.5"/>
  </r>
  <r>
    <x v="0"/>
    <x v="10"/>
    <x v="2"/>
    <n v="174.3"/>
    <n v="205.2"/>
    <n v="173.9"/>
    <n v="177"/>
    <n v="183.3"/>
    <n v="167.2"/>
    <n v="140.9"/>
    <n v="170.5"/>
    <n v="119.1"/>
    <n v="212.1"/>
    <n v="177.6"/>
    <n v="189.9"/>
    <n v="174.8"/>
    <n v="198.4"/>
    <n v="190"/>
    <n v="187"/>
    <n v="189.6"/>
    <s v="NA"/>
    <n v="181.4"/>
    <n v="178.6"/>
    <n v="186.6"/>
    <n v="169"/>
    <n v="172.8"/>
    <n v="178.5"/>
    <n v="180.7"/>
    <n v="177.9"/>
    <n v="178"/>
    <n v="2265.8000000000002"/>
    <n v="566.6"/>
    <n v="529"/>
  </r>
  <r>
    <x v="1"/>
    <x v="10"/>
    <x v="2"/>
    <n v="174.7"/>
    <n v="212.2"/>
    <n v="177.2"/>
    <n v="177.9"/>
    <n v="172.2"/>
    <n v="172.1"/>
    <n v="175.9"/>
    <n v="172.2"/>
    <n v="121.9"/>
    <n v="204.8"/>
    <n v="164.9"/>
    <n v="196.6"/>
    <n v="180.8"/>
    <n v="202.7"/>
    <n v="180.2"/>
    <n v="167"/>
    <n v="178.2"/>
    <s v="173.5"/>
    <n v="182.6"/>
    <n v="169.2"/>
    <n v="180.8"/>
    <n v="159.80000000000001"/>
    <n v="168.4"/>
    <n v="172.5"/>
    <n v="181.5"/>
    <n v="170"/>
    <n v="176.3"/>
    <n v="2303.4"/>
    <n v="525.4"/>
    <n v="511.59999999999997"/>
  </r>
  <r>
    <x v="2"/>
    <x v="10"/>
    <x v="2"/>
    <n v="174.4"/>
    <n v="207.7"/>
    <n v="175.2"/>
    <n v="177.3"/>
    <n v="179.2"/>
    <n v="169.5"/>
    <n v="152.80000000000001"/>
    <n v="171.1"/>
    <n v="120"/>
    <n v="209.7"/>
    <n v="172.3"/>
    <n v="193"/>
    <n v="177"/>
    <n v="199.5"/>
    <n v="186.1"/>
    <n v="178.7"/>
    <n v="185.1"/>
    <s v="173.5"/>
    <n v="181.9"/>
    <n v="174.2"/>
    <n v="184.4"/>
    <n v="164.2"/>
    <n v="170.3"/>
    <n v="175"/>
    <n v="181"/>
    <n v="174.1"/>
    <n v="177.2"/>
    <n v="2279.1999999999998"/>
    <n v="549.9"/>
    <n v="520.29999999999995"/>
  </r>
  <r>
    <x v="0"/>
    <x v="10"/>
    <x v="3"/>
    <n v="173.3"/>
    <n v="206.9"/>
    <n v="167.9"/>
    <n v="178.2"/>
    <n v="178.5"/>
    <n v="173.7"/>
    <n v="142.80000000000001"/>
    <n v="172.8"/>
    <n v="120.4"/>
    <n v="215.5"/>
    <n v="178.2"/>
    <n v="190.5"/>
    <n v="175.5"/>
    <n v="199.5"/>
    <n v="190.7"/>
    <n v="187.3"/>
    <n v="190.2"/>
    <s v="-"/>
    <n v="181.5"/>
    <n v="179.1"/>
    <n v="187.2"/>
    <n v="169.4"/>
    <n v="173.2"/>
    <n v="179.4"/>
    <n v="183.8"/>
    <n v="178.9"/>
    <n v="178.8"/>
    <n v="2274.1999999999998"/>
    <n v="568.20000000000005"/>
    <n v="530"/>
  </r>
  <r>
    <x v="1"/>
    <x v="10"/>
    <x v="3"/>
    <n v="174.8"/>
    <n v="213.7"/>
    <n v="172.4"/>
    <n v="178.8"/>
    <n v="168.7"/>
    <n v="179.2"/>
    <n v="179.9"/>
    <n v="174.7"/>
    <n v="123.1"/>
    <n v="207.8"/>
    <n v="165.5"/>
    <n v="197"/>
    <n v="182.1"/>
    <n v="203.5"/>
    <n v="181"/>
    <n v="167.7"/>
    <n v="178.9"/>
    <s v="175.2"/>
    <n v="182.1"/>
    <n v="169.6"/>
    <n v="181.5"/>
    <n v="160.1"/>
    <n v="168.8"/>
    <n v="174.2"/>
    <n v="184.4"/>
    <n v="170.9"/>
    <n v="177.4"/>
    <n v="2317.7000000000003"/>
    <n v="527.6"/>
    <n v="511.79999999999995"/>
  </r>
  <r>
    <x v="2"/>
    <x v="10"/>
    <x v="3"/>
    <n v="173.8"/>
    <n v="209.3"/>
    <n v="169.6"/>
    <n v="178.4"/>
    <n v="174.9"/>
    <n v="176.3"/>
    <n v="155.4"/>
    <n v="173.4"/>
    <n v="121.3"/>
    <n v="212.9"/>
    <n v="172.9"/>
    <n v="193.5"/>
    <n v="177.9"/>
    <n v="200.6"/>
    <n v="186.9"/>
    <n v="179.2"/>
    <n v="185.7"/>
    <s v="175.2"/>
    <n v="181.7"/>
    <n v="174.6"/>
    <n v="185"/>
    <n v="164.5"/>
    <n v="170.7"/>
    <n v="176.4"/>
    <n v="184"/>
    <n v="175"/>
    <n v="178.1"/>
    <n v="2289.6000000000004"/>
    <n v="551.79999999999995"/>
    <n v="520.79999999999995"/>
  </r>
  <r>
    <x v="0"/>
    <x v="10"/>
    <x v="4"/>
    <n v="173.2"/>
    <n v="211.5"/>
    <n v="171"/>
    <n v="179.6"/>
    <n v="173.3"/>
    <n v="169"/>
    <n v="148.69999999999999"/>
    <n v="174.9"/>
    <n v="121.9"/>
    <n v="221"/>
    <n v="178.7"/>
    <n v="191.1"/>
    <n v="176.8"/>
    <n v="199.9"/>
    <n v="191.2"/>
    <n v="187.9"/>
    <n v="190.8"/>
    <s v="-"/>
    <n v="182.5"/>
    <n v="179.8"/>
    <n v="187.8"/>
    <n v="169.7"/>
    <n v="173.8"/>
    <n v="180.3"/>
    <n v="184.9"/>
    <n v="179.5"/>
    <n v="179.8"/>
    <n v="2290.7000000000007"/>
    <n v="569.90000000000009"/>
    <n v="532"/>
  </r>
  <r>
    <x v="1"/>
    <x v="10"/>
    <x v="4"/>
    <n v="174.7"/>
    <n v="219.4"/>
    <n v="176.7"/>
    <n v="179.4"/>
    <n v="164.4"/>
    <n v="175.8"/>
    <n v="185"/>
    <n v="176.9"/>
    <n v="124.2"/>
    <n v="211.9"/>
    <n v="165.9"/>
    <n v="197.7"/>
    <n v="183.1"/>
    <n v="204.2"/>
    <n v="181.3"/>
    <n v="168.1"/>
    <n v="179.3"/>
    <s v="175.6"/>
    <n v="183.4"/>
    <n v="170.1"/>
    <n v="182.2"/>
    <n v="160.4"/>
    <n v="169.2"/>
    <n v="174.8"/>
    <n v="185.6"/>
    <n v="171.6"/>
    <n v="178.2"/>
    <n v="2335.1"/>
    <n v="528.70000000000005"/>
    <n v="513.9"/>
  </r>
  <r>
    <x v="2"/>
    <x v="10"/>
    <x v="4"/>
    <n v="173.7"/>
    <n v="214.3"/>
    <n v="173.2"/>
    <n v="179.5"/>
    <n v="170"/>
    <n v="172.2"/>
    <n v="161"/>
    <n v="175.6"/>
    <n v="122.7"/>
    <n v="218"/>
    <n v="173.4"/>
    <n v="194.2"/>
    <n v="179.1"/>
    <n v="201"/>
    <n v="187.3"/>
    <n v="179.7"/>
    <n v="186.2"/>
    <s v="175.6"/>
    <n v="182.8"/>
    <n v="175.2"/>
    <n v="185.7"/>
    <n v="164.8"/>
    <n v="171.2"/>
    <n v="177.1"/>
    <n v="185.2"/>
    <n v="175.7"/>
    <n v="179.1"/>
    <n v="2306.9"/>
    <n v="553.20000000000005"/>
    <n v="522.799999999999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x v="0"/>
    <x v="0"/>
    <x v="0"/>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n v="1780"/>
    <n v="442.5"/>
    <n v="410.00000000000006"/>
  </r>
  <r>
    <x v="1"/>
    <x v="0"/>
    <x v="0"/>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1720.0000000000002"/>
    <n v="401.40000000000003"/>
    <n v="518.20000000000005"/>
  </r>
  <r>
    <x v="2"/>
    <x v="0"/>
    <x v="0"/>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1757.1000000000001"/>
    <n v="426"/>
    <n v="537.9"/>
  </r>
  <r>
    <x v="0"/>
    <x v="0"/>
    <x v="1"/>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n v="1782.4"/>
    <n v="444.7"/>
    <n v="412.5"/>
  </r>
  <r>
    <x v="1"/>
    <x v="0"/>
    <x v="1"/>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n v="1722.8999999999999"/>
    <n v="403.5"/>
    <n v="520.19999999999993"/>
  </r>
  <r>
    <x v="2"/>
    <x v="0"/>
    <x v="1"/>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1759.8"/>
    <n v="428.09999999999997"/>
    <n v="540.4"/>
  </r>
  <r>
    <x v="0"/>
    <x v="0"/>
    <x v="2"/>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n v="1790.2999999999997"/>
    <n v="446.3"/>
    <n v="414.69999999999993"/>
  </r>
  <r>
    <x v="1"/>
    <x v="0"/>
    <x v="2"/>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n v="1747.3000000000002"/>
    <n v="405"/>
    <n v="522.5"/>
  </r>
  <r>
    <x v="2"/>
    <x v="0"/>
    <x v="2"/>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1774.1000000000001"/>
    <n v="429.7"/>
    <n v="542.20000000000005"/>
  </r>
  <r>
    <x v="0"/>
    <x v="0"/>
    <x v="3"/>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n v="1810.5000000000002"/>
    <n v="447.20000000000005"/>
    <n v="417.4"/>
  </r>
  <r>
    <x v="1"/>
    <x v="0"/>
    <x v="3"/>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n v="1771.1"/>
    <n v="406.4"/>
    <n v="525.4"/>
  </r>
  <r>
    <x v="2"/>
    <x v="0"/>
    <x v="3"/>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1795.3"/>
    <n v="430.80000000000007"/>
    <n v="545.5"/>
  </r>
  <r>
    <x v="0"/>
    <x v="0"/>
    <x v="4"/>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n v="1818.8"/>
    <n v="449.2"/>
    <n v="419.8"/>
  </r>
  <r>
    <x v="1"/>
    <x v="0"/>
    <x v="4"/>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n v="1767.6"/>
    <n v="407.3"/>
    <n v="529.5"/>
  </r>
  <r>
    <x v="2"/>
    <x v="0"/>
    <x v="4"/>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1798.7000000000003"/>
    <n v="432.20000000000005"/>
    <n v="549.19999999999993"/>
  </r>
  <r>
    <x v="0"/>
    <x v="0"/>
    <x v="5"/>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n v="1799.8000000000002"/>
    <n v="449.5"/>
    <n v="422.9"/>
  </r>
  <r>
    <x v="1"/>
    <x v="0"/>
    <x v="5"/>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1748.4"/>
    <n v="409.20000000000005"/>
    <n v="533.9"/>
  </r>
  <r>
    <x v="2"/>
    <x v="0"/>
    <x v="5"/>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1779.5"/>
    <n v="433.29999999999995"/>
    <n v="553.29999999999995"/>
  </r>
  <r>
    <x v="0"/>
    <x v="0"/>
    <x v="6"/>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n v="1782.2"/>
    <n v="445"/>
    <n v="428"/>
  </r>
  <r>
    <x v="1"/>
    <x v="0"/>
    <x v="6"/>
    <n v="137.6"/>
    <n v="144.9"/>
    <n v="133.5"/>
    <n v="141.5"/>
    <n v="118"/>
    <n v="139.5"/>
    <n v="153"/>
    <n v="113.2"/>
    <n v="112.8"/>
    <n v="141.1"/>
    <n v="127.6"/>
    <n v="152"/>
    <n v="139.4"/>
    <n v="164"/>
    <n v="141.5"/>
    <n v="129.80000000000001"/>
    <n v="139.69999999999999"/>
    <n v="146.30000000000001"/>
    <n v="133.4"/>
    <n v="135.1"/>
    <n v="136.19999999999999"/>
    <n v="123.3"/>
    <n v="130.69999999999999"/>
    <n v="145.5"/>
    <n v="130.4"/>
    <n v="132.5"/>
    <n v="138.9"/>
    <n v="1754.1"/>
    <n v="411"/>
    <n v="538.1"/>
  </r>
  <r>
    <x v="2"/>
    <x v="0"/>
    <x v="6"/>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1776.2"/>
    <n v="434"/>
    <n v="559.90000000000009"/>
  </r>
  <r>
    <x v="0"/>
    <x v="0"/>
    <x v="7"/>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n v="1787.4999999999995"/>
    <n v="448"/>
    <n v="428.6"/>
  </r>
  <r>
    <x v="1"/>
    <x v="0"/>
    <x v="7"/>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n v="1757.4999999999998"/>
    <n v="413.1"/>
    <n v="540.6"/>
  </r>
  <r>
    <x v="2"/>
    <x v="0"/>
    <x v="7"/>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1775.7000000000003"/>
    <n v="433.8"/>
    <n v="559.70000000000005"/>
  </r>
  <r>
    <x v="0"/>
    <x v="0"/>
    <x v="8"/>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n v="1773.1000000000001"/>
    <n v="448.3"/>
    <n v="427.4"/>
  </r>
  <r>
    <x v="1"/>
    <x v="0"/>
    <x v="8"/>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n v="1746.6"/>
    <n v="413.8"/>
    <n v="533.9"/>
  </r>
  <r>
    <x v="2"/>
    <x v="0"/>
    <x v="8"/>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1762.7999999999997"/>
    <n v="434.3"/>
    <n v="556"/>
  </r>
  <r>
    <x v="0"/>
    <x v="1"/>
    <x v="9"/>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n v="1759.6000000000001"/>
    <n v="445.6"/>
    <n v="424.9"/>
  </r>
  <r>
    <x v="1"/>
    <x v="1"/>
    <x v="9"/>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n v="1744.3000000000002"/>
    <n v="414.5"/>
    <n v="531.19999999999993"/>
  </r>
  <r>
    <x v="2"/>
    <x v="1"/>
    <x v="9"/>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1753.3999999999999"/>
    <n v="433"/>
    <n v="554.09999999999991"/>
  </r>
  <r>
    <x v="0"/>
    <x v="1"/>
    <x v="10"/>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n v="1759.8000000000002"/>
    <n v="446.5"/>
    <n v="424.59999999999997"/>
  </r>
  <r>
    <x v="1"/>
    <x v="1"/>
    <x v="10"/>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n v="1754.4"/>
    <n v="415.5"/>
    <n v="531.40000000000009"/>
  </r>
  <r>
    <x v="2"/>
    <x v="1"/>
    <x v="10"/>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1757.1"/>
    <n v="433.9"/>
    <n v="554.5"/>
  </r>
  <r>
    <x v="0"/>
    <x v="1"/>
    <x v="11"/>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n v="1761.2000000000003"/>
    <n v="447"/>
    <n v="426.29999999999995"/>
  </r>
  <r>
    <x v="1"/>
    <x v="1"/>
    <x v="11"/>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n v="1768.4"/>
    <n v="416.29999999999995"/>
    <n v="534.5"/>
  </r>
  <r>
    <x v="2"/>
    <x v="1"/>
    <x v="11"/>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1762.9"/>
    <n v="434.5"/>
    <n v="557.1"/>
  </r>
  <r>
    <x v="0"/>
    <x v="1"/>
    <x v="1"/>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n v="1782.1000000000001"/>
    <n v="448.59999999999997"/>
    <n v="426.59999999999997"/>
  </r>
  <r>
    <x v="1"/>
    <x v="1"/>
    <x v="1"/>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n v="1811.5000000000002"/>
    <n v="417.9"/>
    <n v="536.79999999999995"/>
  </r>
  <r>
    <x v="2"/>
    <x v="1"/>
    <x v="1"/>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1791.9000000000003"/>
    <n v="436.1"/>
    <n v="559"/>
  </r>
  <r>
    <x v="0"/>
    <x v="1"/>
    <x v="2"/>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n v="1804.1999999999998"/>
    <n v="448.59999999999997"/>
    <n v="427.59999999999997"/>
  </r>
  <r>
    <x v="1"/>
    <x v="1"/>
    <x v="2"/>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n v="1833.2999999999997"/>
    <n v="418.4"/>
    <n v="536.9"/>
  </r>
  <r>
    <x v="2"/>
    <x v="1"/>
    <x v="2"/>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1814.1000000000001"/>
    <n v="436.4"/>
    <n v="559"/>
  </r>
  <r>
    <x v="0"/>
    <x v="1"/>
    <x v="3"/>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n v="1826.8999999999999"/>
    <n v="449.1"/>
    <n v="428"/>
  </r>
  <r>
    <x v="1"/>
    <x v="1"/>
    <x v="3"/>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n v="1857.3999999999999"/>
    <n v="419.3"/>
    <n v="535.9"/>
  </r>
  <r>
    <x v="2"/>
    <x v="1"/>
    <x v="3"/>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1837.5"/>
    <n v="437"/>
    <n v="559.69999999999993"/>
  </r>
  <r>
    <x v="0"/>
    <x v="1"/>
    <x v="4"/>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n v="1834.5000000000002"/>
    <n v="449.5"/>
    <n v="428"/>
  </r>
  <r>
    <x v="1"/>
    <x v="1"/>
    <x v="4"/>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n v="1869.1"/>
    <n v="420.2"/>
    <n v="536"/>
  </r>
  <r>
    <x v="2"/>
    <x v="1"/>
    <x v="4"/>
    <n v="140.1"/>
    <n v="160.6"/>
    <n v="138.5"/>
    <n v="144.69999999999999"/>
    <n v="122.9"/>
    <n v="149.4"/>
    <n v="167.4"/>
    <n v="130.9"/>
    <n v="112"/>
    <n v="142.6"/>
    <n v="134.9"/>
    <n v="156.6"/>
    <n v="145.9"/>
    <n v="165.8"/>
    <n v="149.1"/>
    <n v="140.6"/>
    <n v="147.9"/>
    <n v="151.6"/>
    <n v="138.5"/>
    <n v="144.5"/>
    <n v="148.5"/>
    <n v="125.8"/>
    <n v="140.9"/>
    <n v="154.9"/>
    <n v="138.4"/>
    <n v="140.19999999999999"/>
    <n v="145"/>
    <n v="1846.5"/>
    <n v="437.6"/>
    <n v="560.4"/>
  </r>
  <r>
    <x v="0"/>
    <x v="1"/>
    <x v="5"/>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n v="1848.7"/>
    <n v="449.29999999999995"/>
    <n v="428.80000000000007"/>
  </r>
  <r>
    <x v="1"/>
    <x v="1"/>
    <x v="5"/>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n v="1874.9"/>
    <n v="420.8"/>
    <n v="538.29999999999995"/>
  </r>
  <r>
    <x v="2"/>
    <x v="1"/>
    <x v="5"/>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1857.6999999999998"/>
    <n v="437.69999999999993"/>
    <n v="562.1"/>
  </r>
  <r>
    <x v="0"/>
    <x v="1"/>
    <x v="6"/>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n v="1876.8999999999996"/>
    <n v="449.4"/>
    <n v="429.99999999999994"/>
  </r>
  <r>
    <x v="1"/>
    <x v="1"/>
    <x v="6"/>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n v="1902.6000000000001"/>
    <n v="422.20000000000005"/>
    <n v="542.09999999999991"/>
  </r>
  <r>
    <x v="2"/>
    <x v="1"/>
    <x v="6"/>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1885.5999999999997"/>
    <n v="438.40000000000003"/>
    <n v="564.9"/>
  </r>
  <r>
    <x v="0"/>
    <x v="1"/>
    <x v="7"/>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n v="1904.6000000000001"/>
    <n v="450.8"/>
    <n v="431.4"/>
  </r>
  <r>
    <x v="1"/>
    <x v="1"/>
    <x v="7"/>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1923.9999999999998"/>
    <n v="423.09999999999997"/>
    <n v="546.5"/>
  </r>
  <r>
    <x v="2"/>
    <x v="1"/>
    <x v="7"/>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1910.9"/>
    <n v="439.5"/>
    <n v="567.70000000000005"/>
  </r>
  <r>
    <x v="0"/>
    <x v="1"/>
    <x v="8"/>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n v="1940.9999999999995"/>
    <n v="451.79999999999995"/>
    <n v="436.1"/>
  </r>
  <r>
    <x v="1"/>
    <x v="1"/>
    <x v="8"/>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1956.7"/>
    <n v="424.20000000000005"/>
    <n v="551.4"/>
  </r>
  <r>
    <x v="2"/>
    <x v="1"/>
    <x v="8"/>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1946.1000000000001"/>
    <n v="440.6"/>
    <n v="572.1"/>
  </r>
  <r>
    <x v="0"/>
    <x v="2"/>
    <x v="9"/>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n v="1938.6"/>
    <n v="452.30000000000007"/>
    <n v="438.40000000000003"/>
  </r>
  <r>
    <x v="1"/>
    <x v="2"/>
    <x v="9"/>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n v="1945.3999999999999"/>
    <n v="425.1"/>
    <n v="555.20000000000005"/>
  </r>
  <r>
    <x v="2"/>
    <x v="2"/>
    <x v="9"/>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1940.3999999999999"/>
    <n v="441.2"/>
    <n v="575.6"/>
  </r>
  <r>
    <x v="0"/>
    <x v="2"/>
    <x v="10"/>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n v="1909.7999999999997"/>
    <n v="452.8"/>
    <n v="440.1"/>
  </r>
  <r>
    <x v="1"/>
    <x v="2"/>
    <x v="10"/>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n v="1916.6"/>
    <n v="426"/>
    <n v="559.30000000000007"/>
  </r>
  <r>
    <x v="2"/>
    <x v="2"/>
    <x v="10"/>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1911.6"/>
    <n v="442"/>
    <n v="578.70000000000005"/>
  </r>
  <r>
    <x v="0"/>
    <x v="2"/>
    <x v="11"/>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n v="1894.5999999999997"/>
    <n v="453.5"/>
    <n v="440.7"/>
  </r>
  <r>
    <x v="1"/>
    <x v="2"/>
    <x v="11"/>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n v="1898.5"/>
    <n v="427.1"/>
    <n v="561.29999999999995"/>
  </r>
  <r>
    <x v="2"/>
    <x v="2"/>
    <x v="11"/>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1895.4"/>
    <n v="442.90000000000003"/>
    <n v="579.69999999999993"/>
  </r>
  <r>
    <x v="0"/>
    <x v="2"/>
    <x v="0"/>
    <n v="147.19999999999999"/>
    <n v="178.23333333333335"/>
    <n v="146.9"/>
    <n v="155.6"/>
    <n v="137.1"/>
    <n v="147.30000000000001"/>
    <n v="162.69999999999999"/>
    <n v="150.19999999999999"/>
    <n v="119.8"/>
    <n v="158.69999999999999"/>
    <n v="139.19999999999999"/>
    <n v="160.5"/>
    <n v="150.1"/>
    <n v="175.70000000000002"/>
    <n v="153.94999999999999"/>
    <n v="148.63333333333333"/>
    <n v="153.23333333333335"/>
    <n v="0"/>
    <n v="148.4"/>
    <n v="151.71666666666667"/>
    <n v="154.30000000000001"/>
    <n v="139.08333333333334"/>
    <n v="151.7166666666667"/>
    <n v="161.85000000000002"/>
    <n v="147.83333333333334"/>
    <n v="150.25"/>
    <n v="152.03333333333333"/>
    <n v="1953.5333333333335"/>
    <n v="455.81666666666666"/>
    <n v="439.20000000000005"/>
  </r>
  <r>
    <x v="1"/>
    <x v="2"/>
    <x v="0"/>
    <n v="151.80000000000001"/>
    <n v="182.41666666666666"/>
    <n v="151.9"/>
    <n v="155.5"/>
    <n v="131.6"/>
    <n v="152.9"/>
    <n v="180"/>
    <n v="150.80000000000001"/>
    <n v="121.2"/>
    <n v="154"/>
    <n v="133.5"/>
    <n v="160.54999999999998"/>
    <n v="153.5"/>
    <n v="179.45000000000002"/>
    <n v="148.36666666666667"/>
    <n v="134.81666666666669"/>
    <n v="146.31666666666663"/>
    <n v="155.6"/>
    <n v="137.1"/>
    <n v="141.1"/>
    <n v="144.80000000000001"/>
    <n v="128.06666666666666"/>
    <n v="140.5"/>
    <n v="152.88333333333333"/>
    <n v="148.41666666666666"/>
    <n v="140.71666666666667"/>
    <n v="149.61666666666665"/>
    <n v="1979.6666666666667"/>
    <n v="429.5"/>
    <n v="561.86666666666656"/>
  </r>
  <r>
    <x v="2"/>
    <x v="2"/>
    <x v="0"/>
    <n v="147.78333333333333"/>
    <n v="181.75000000000003"/>
    <n v="150.38333333333333"/>
    <n v="152.96666666666667"/>
    <n v="134.61666666666665"/>
    <n v="146.49999999999997"/>
    <n v="164.61666666666665"/>
    <n v="147.46666666666667"/>
    <n v="115.10000000000001"/>
    <n v="156.88333333333333"/>
    <n v="138.23333333333332"/>
    <n v="160.85555555555553"/>
    <n v="152.63333333333333"/>
    <n v="177.93055555555554"/>
    <n v="151.97777777777779"/>
    <n v="143.11388888888888"/>
    <n v="150.71666666666667"/>
    <n v="0"/>
    <n v="144.5"/>
    <n v="146.78333333333333"/>
    <n v="153.08333333333334"/>
    <n v="133.66111111111113"/>
    <n v="145.81388888888887"/>
    <n v="156.70277777777775"/>
    <n v="149.0277777777778"/>
    <n v="146.00555555555556"/>
    <n v="151.01666666666668"/>
    <n v="1949.7888888888888"/>
    <n v="445.80833333333339"/>
    <n v="424.94444444444446"/>
  </r>
  <r>
    <x v="0"/>
    <x v="2"/>
    <x v="1"/>
    <n v="146.63333333333335"/>
    <n v="180.05555555555554"/>
    <n v="148.76666666666665"/>
    <n v="153.01666666666665"/>
    <n v="136.71666666666667"/>
    <n v="143.85"/>
    <n v="158.15"/>
    <n v="147.38333333333335"/>
    <n v="114.35000000000001"/>
    <n v="157.51666666666665"/>
    <n v="141.18333333333334"/>
    <n v="160.79999999999998"/>
    <n v="151.33333333333334"/>
    <n v="176.88333333333333"/>
    <n v="154.14166666666668"/>
    <n v="148.83888888888887"/>
    <n v="153.42222222222222"/>
    <n v="0"/>
    <n v="148.28333333333333"/>
    <n v="151.71944444444446"/>
    <n v="157.06666666666663"/>
    <n v="139.54722222222222"/>
    <n v="151.98611111111111"/>
    <n v="161.875"/>
    <n v="148.72222222222223"/>
    <n v="150.60833333333335"/>
    <n v="152.05555555555557"/>
    <n v="1939.7555555555555"/>
    <n v="456.40277777777777"/>
    <n v="439.55"/>
  </r>
  <r>
    <x v="1"/>
    <x v="2"/>
    <x v="1"/>
    <n v="150.25000000000003"/>
    <n v="184.88611111111109"/>
    <n v="152.93333333333334"/>
    <n v="152.91666666666666"/>
    <n v="130.94999999999999"/>
    <n v="149.56666666666669"/>
    <n v="177.16666666666671"/>
    <n v="147.56666666666669"/>
    <n v="116.60000000000001"/>
    <n v="155.58333333333334"/>
    <n v="134.1"/>
    <n v="160.89166666666665"/>
    <n v="154.86666666666665"/>
    <n v="180.89166666666668"/>
    <n v="148.59444444444446"/>
    <n v="135.08611111111111"/>
    <n v="146.55277777777778"/>
    <n v="0"/>
    <n v="138.31666666666669"/>
    <n v="141.26666666666665"/>
    <n v="146.51666666666668"/>
    <n v="128.39444444444445"/>
    <n v="141.04999999999998"/>
    <n v="153.01388888888889"/>
    <n v="149.46944444444446"/>
    <n v="141.10277777777776"/>
    <n v="149.85277777777779"/>
    <n v="1968.2777777777774"/>
    <n v="430.23333333333335"/>
    <n v="407.97777777777782"/>
  </r>
  <r>
    <x v="2"/>
    <x v="2"/>
    <x v="1"/>
    <n v="147.78333333333333"/>
    <n v="181.75000000000003"/>
    <n v="150.38333333333333"/>
    <n v="152.96666666666667"/>
    <n v="134.61666666666665"/>
    <n v="146.49999999999997"/>
    <n v="164.61666666666665"/>
    <n v="147.46666666666667"/>
    <n v="115.10000000000001"/>
    <n v="156.88333333333333"/>
    <n v="138.23333333333332"/>
    <n v="160.85555555555553"/>
    <n v="152.63333333333333"/>
    <n v="177.93055555555554"/>
    <n v="151.97777777777779"/>
    <n v="143.11388888888888"/>
    <n v="150.71666666666667"/>
    <n v="0"/>
    <n v="144.5"/>
    <n v="146.78333333333333"/>
    <n v="153.08333333333334"/>
    <n v="133.66111111111113"/>
    <n v="145.81388888888887"/>
    <n v="156.70277777777775"/>
    <n v="149.0277777777778"/>
    <n v="146.00555555555556"/>
    <n v="151.01666666666668"/>
    <n v="1949.7888888888888"/>
    <n v="445.80833333333339"/>
    <n v="424.94444444444446"/>
  </r>
  <r>
    <x v="0"/>
    <x v="2"/>
    <x v="2"/>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1951"/>
    <n v="458.79999999999995"/>
    <n v="438"/>
  </r>
  <r>
    <x v="1"/>
    <x v="2"/>
    <x v="2"/>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1994.9999999999998"/>
    <n v="432.9"/>
    <n v="561.5"/>
  </r>
  <r>
    <x v="2"/>
    <x v="2"/>
    <x v="2"/>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1966.8000000000002"/>
    <n v="448.29999999999995"/>
    <n v="578"/>
  </r>
  <r>
    <x v="0"/>
    <x v="2"/>
    <x v="3"/>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1951"/>
    <n v="458.79999999999995"/>
    <n v="438"/>
  </r>
  <r>
    <x v="1"/>
    <x v="2"/>
    <x v="3"/>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1994.9999999999998"/>
    <n v="432.9"/>
    <n v="561.5"/>
  </r>
  <r>
    <x v="2"/>
    <x v="2"/>
    <x v="3"/>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1966.8000000000002"/>
    <n v="448.29999999999995"/>
    <n v="578"/>
  </r>
  <r>
    <x v="0"/>
    <x v="2"/>
    <x v="4"/>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n v="1978.6"/>
    <n v="458.7"/>
    <n v="441.30000000000007"/>
  </r>
  <r>
    <x v="1"/>
    <x v="2"/>
    <x v="4"/>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n v="2024.8999999999999"/>
    <n v="433"/>
    <n v="572.20000000000005"/>
  </r>
  <r>
    <x v="2"/>
    <x v="2"/>
    <x v="4"/>
    <n v="148.9"/>
    <n v="190.9"/>
    <n v="150.80000000000001"/>
    <n v="153.30000000000001"/>
    <n v="137.4"/>
    <n v="150.4"/>
    <n v="178.1"/>
    <n v="150.4"/>
    <n v="115.1"/>
    <n v="160"/>
    <n v="140.6"/>
    <n v="162.30000000000001"/>
    <n v="157"/>
    <n v="182.6"/>
    <n v="153.1"/>
    <n v="143.4"/>
    <n v="151.69999999999999"/>
    <n v="155.5"/>
    <n v="143"/>
    <n v="148.4"/>
    <n v="155"/>
    <n v="138.5"/>
    <n v="146"/>
    <n v="158.5"/>
    <n v="154.30000000000001"/>
    <n v="149"/>
    <n v="153.9"/>
    <n v="1995.1999999999998"/>
    <n v="448.2"/>
    <n v="585.4"/>
  </r>
  <r>
    <x v="0"/>
    <x v="2"/>
    <x v="5"/>
    <n v="146.9"/>
    <n v="183.9"/>
    <n v="149.5"/>
    <n v="153.4"/>
    <n v="140.4"/>
    <n v="147"/>
    <n v="178.8"/>
    <n v="149.30000000000001"/>
    <n v="115.1"/>
    <n v="160"/>
    <n v="145.4"/>
    <n v="161.6"/>
    <n v="156.1"/>
    <n v="182.9"/>
    <n v="155.4"/>
    <n v="149.9"/>
    <n v="154.6"/>
    <s v="NA"/>
    <n v="146.4"/>
    <n v="151.6"/>
    <n v="159.1"/>
    <n v="144.6"/>
    <n v="152.80000000000001"/>
    <n v="161.1"/>
    <n v="157.4"/>
    <n v="153.69999999999999"/>
    <n v="155.4"/>
    <n v="1987.3999999999999"/>
    <n v="459.9"/>
    <n v="442.6"/>
  </r>
  <r>
    <x v="1"/>
    <x v="2"/>
    <x v="5"/>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n v="2041.6000000000001"/>
    <n v="434.6"/>
    <n v="574"/>
  </r>
  <r>
    <x v="2"/>
    <x v="2"/>
    <x v="5"/>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2007"/>
    <n v="449.70000000000005"/>
    <n v="587.5"/>
  </r>
  <r>
    <x v="0"/>
    <x v="2"/>
    <x v="6"/>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n v="2030.9"/>
    <n v="461.29999999999995"/>
    <n v="445.20000000000005"/>
  </r>
  <r>
    <x v="1"/>
    <x v="2"/>
    <x v="6"/>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n v="2080.1999999999998"/>
    <n v="434.90000000000003"/>
    <n v="574.1"/>
  </r>
  <r>
    <x v="2"/>
    <x v="2"/>
    <x v="6"/>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2048.6000000000004"/>
    <n v="450.59999999999997"/>
    <n v="588.9"/>
  </r>
  <r>
    <x v="0"/>
    <x v="2"/>
    <x v="7"/>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n v="2082.4"/>
    <n v="462.8"/>
    <n v="446.4"/>
  </r>
  <r>
    <x v="1"/>
    <x v="2"/>
    <x v="7"/>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n v="2120.6999999999998"/>
    <n v="436.3"/>
    <n v="575.59999999999991"/>
  </r>
  <r>
    <x v="2"/>
    <x v="2"/>
    <x v="7"/>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2095.6"/>
    <n v="452.00000000000006"/>
    <n v="591.20000000000005"/>
  </r>
  <r>
    <x v="0"/>
    <x v="2"/>
    <x v="8"/>
    <n v="144.6"/>
    <n v="188.5"/>
    <n v="173.4"/>
    <n v="154"/>
    <n v="150"/>
    <n v="145.9"/>
    <n v="225.2"/>
    <n v="159.5"/>
    <n v="114.4"/>
    <n v="163.5"/>
    <n v="153.4"/>
    <n v="163.6"/>
    <n v="164.5"/>
    <n v="183.6"/>
    <n v="157"/>
    <n v="151.6"/>
    <n v="156.30000000000001"/>
    <s v="NA"/>
    <n v="148.69999999999999"/>
    <n v="153.4"/>
    <n v="161.6"/>
    <n v="146.4"/>
    <n v="153.9"/>
    <n v="162.9"/>
    <n v="156.6"/>
    <n v="155.19999999999999"/>
    <n v="160.69999999999999"/>
    <n v="2100.5"/>
    <n v="464.90000000000003"/>
    <n v="448.5"/>
  </r>
  <r>
    <x v="1"/>
    <x v="2"/>
    <x v="8"/>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n v="2125.4"/>
    <n v="438.20000000000005"/>
    <n v="577.29999999999995"/>
  </r>
  <r>
    <x v="2"/>
    <x v="2"/>
    <x v="8"/>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2109.1"/>
    <n v="454"/>
    <n v="593.4"/>
  </r>
  <r>
    <x v="0"/>
    <x v="3"/>
    <x v="9"/>
    <n v="143.4"/>
    <n v="187.5"/>
    <n v="173.4"/>
    <n v="154"/>
    <n v="154.80000000000001"/>
    <n v="147"/>
    <n v="187.8"/>
    <n v="159.5"/>
    <n v="113.8"/>
    <n v="164.5"/>
    <n v="156.1"/>
    <n v="164.3"/>
    <n v="159.6"/>
    <n v="184.6"/>
    <n v="157.5"/>
    <n v="152.4"/>
    <n v="156.80000000000001"/>
    <s v="NA"/>
    <n v="150.9"/>
    <n v="153.9"/>
    <n v="162.5"/>
    <n v="147.5"/>
    <n v="155.1"/>
    <n v="163.5"/>
    <n v="156.19999999999999"/>
    <n v="155.9"/>
    <n v="158.5"/>
    <n v="2065.6999999999998"/>
    <n v="466.7"/>
    <n v="452.3"/>
  </r>
  <r>
    <x v="1"/>
    <x v="3"/>
    <x v="9"/>
    <n v="148"/>
    <n v="194.8"/>
    <n v="178.4"/>
    <n v="154.4"/>
    <n v="144.1"/>
    <n v="152.6"/>
    <n v="206.8"/>
    <n v="162.1"/>
    <n v="116.3"/>
    <n v="163"/>
    <n v="145.9"/>
    <n v="167.2"/>
    <n v="163.4"/>
    <n v="191.8"/>
    <n v="152.5"/>
    <n v="137.30000000000001"/>
    <n v="150.19999999999999"/>
    <n v="157.69999999999999"/>
    <n v="142.9"/>
    <n v="145.69999999999999"/>
    <n v="154.1"/>
    <n v="136.9"/>
    <n v="145.4"/>
    <n v="156.1"/>
    <n v="157.69999999999999"/>
    <n v="147.6"/>
    <n v="156"/>
    <n v="2097"/>
    <n v="440"/>
    <n v="583.20000000000005"/>
  </r>
  <r>
    <x v="2"/>
    <x v="3"/>
    <x v="9"/>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2076.5"/>
    <n v="455.8"/>
    <n v="597.5"/>
  </r>
  <r>
    <x v="0"/>
    <x v="3"/>
    <x v="10"/>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n v="2025.3"/>
    <n v="471.4"/>
    <n v="459.40000000000003"/>
  </r>
  <r>
    <x v="1"/>
    <x v="3"/>
    <x v="10"/>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2066"/>
    <n v="444.2"/>
    <n v="595.9"/>
  </r>
  <r>
    <x v="2"/>
    <x v="3"/>
    <x v="10"/>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2039.3000000000002"/>
    <n v="460.40000000000003"/>
    <n v="608.20000000000005"/>
  </r>
  <r>
    <x v="0"/>
    <x v="3"/>
    <x v="11"/>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n v="2025.7"/>
    <n v="472.9"/>
    <n v="462.1"/>
  </r>
  <r>
    <x v="1"/>
    <x v="3"/>
    <x v="11"/>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n v="2064.4999999999995"/>
    <n v="446.4"/>
    <n v="603.6"/>
  </r>
  <r>
    <x v="2"/>
    <x v="3"/>
    <x v="11"/>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2039.3999999999999"/>
    <n v="462.1"/>
    <n v="612.79999999999995"/>
  </r>
  <r>
    <x v="0"/>
    <x v="3"/>
    <x v="0"/>
    <n v="142.69999999999999"/>
    <n v="195.5"/>
    <n v="163.4"/>
    <n v="155"/>
    <n v="175.2"/>
    <n v="160.6"/>
    <n v="135.1"/>
    <n v="161.1"/>
    <n v="112.2"/>
    <n v="164.4"/>
    <n v="161.9"/>
    <n v="166.8"/>
    <n v="155.6"/>
    <n v="186.8"/>
    <n v="160.69999999999999"/>
    <n v="155.1"/>
    <n v="159.9"/>
    <s v="-"/>
    <n v="156"/>
    <n v="155.5"/>
    <n v="165.3"/>
    <n v="151.69999999999999"/>
    <n v="158.6"/>
    <n v="164.1"/>
    <n v="154.6"/>
    <n v="158"/>
    <n v="157.6"/>
    <n v="2049.5"/>
    <n v="475.69999999999993"/>
    <n v="463.2"/>
  </r>
  <r>
    <x v="1"/>
    <x v="3"/>
    <x v="0"/>
    <n v="147.6"/>
    <n v="202.5"/>
    <n v="166.4"/>
    <n v="156"/>
    <n v="161.4"/>
    <n v="168.8"/>
    <n v="161.6"/>
    <n v="162.80000000000001"/>
    <n v="114.8"/>
    <n v="162.80000000000001"/>
    <n v="151.5"/>
    <n v="171.4"/>
    <n v="162"/>
    <n v="194.4"/>
    <n v="155.9"/>
    <n v="139.30000000000001"/>
    <n v="153.4"/>
    <n v="161.4"/>
    <n v="154.9"/>
    <n v="147.6"/>
    <n v="157.5"/>
    <n v="142.1"/>
    <n v="149.1"/>
    <n v="157.6"/>
    <n v="156.6"/>
    <n v="150.5"/>
    <n v="158"/>
    <n v="2089.6"/>
    <n v="448.6"/>
    <n v="606"/>
  </r>
  <r>
    <x v="2"/>
    <x v="3"/>
    <x v="0"/>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2064.1"/>
    <n v="464.6"/>
    <n v="615.4"/>
  </r>
  <r>
    <x v="0"/>
    <x v="3"/>
    <x v="1"/>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n v="2095.2999999999997"/>
    <n v="490.4"/>
    <n v="473.7"/>
  </r>
  <r>
    <x v="1"/>
    <x v="3"/>
    <x v="1"/>
    <n v="148.80000000000001"/>
    <n v="204.3"/>
    <n v="173"/>
    <n v="156.5"/>
    <n v="168.8"/>
    <n v="172.5"/>
    <n v="166.5"/>
    <n v="165.9"/>
    <n v="115.9"/>
    <n v="165.2"/>
    <n v="152"/>
    <n v="171.1"/>
    <n v="164.2"/>
    <n v="198.2"/>
    <n v="156.5"/>
    <n v="140.19999999999999"/>
    <n v="154.1"/>
    <n v="161.6"/>
    <n v="155.5"/>
    <n v="150.1"/>
    <n v="160.4"/>
    <n v="145"/>
    <n v="152.6"/>
    <n v="156.6"/>
    <n v="157.5"/>
    <n v="152.30000000000001"/>
    <n v="159.5"/>
    <n v="2124.7000000000003"/>
    <n v="450.79999999999995"/>
    <n v="612.20000000000005"/>
  </r>
  <r>
    <x v="2"/>
    <x v="3"/>
    <x v="1"/>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2105.7000000000003"/>
    <n v="474.29999999999995"/>
    <n v="624.6"/>
  </r>
  <r>
    <x v="0"/>
    <x v="3"/>
    <x v="2"/>
    <n v="145.6"/>
    <n v="200.1"/>
    <n v="179.3"/>
    <n v="156.1"/>
    <n v="190.4"/>
    <n v="158.6"/>
    <n v="144.69999999999999"/>
    <n v="165.5"/>
    <n v="114.6"/>
    <n v="170"/>
    <n v="165.5"/>
    <n v="171.7"/>
    <n v="160.5"/>
    <n v="189.1"/>
    <n v="165.3"/>
    <n v="159.9"/>
    <n v="164.6"/>
    <s v="NA"/>
    <n v="162.1"/>
    <n v="159.19999999999999"/>
    <n v="169.7"/>
    <n v="154.19999999999999"/>
    <n v="160.4"/>
    <n v="166.8"/>
    <n v="159.4"/>
    <n v="161.5"/>
    <n v="162.1"/>
    <n v="2122.6"/>
    <n v="489.80000000000007"/>
    <n v="475.49999999999994"/>
  </r>
  <r>
    <x v="1"/>
    <x v="3"/>
    <x v="2"/>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n v="2154.1999999999998"/>
    <n v="452.6"/>
    <n v="613.90000000000009"/>
  </r>
  <r>
    <x v="2"/>
    <x v="3"/>
    <x v="2"/>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2133.9"/>
    <n v="474.7"/>
    <n v="625.79999999999995"/>
  </r>
  <r>
    <x v="0"/>
    <x v="3"/>
    <x v="3"/>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n v="2132.4"/>
    <n v="492.40000000000003"/>
    <n v="479.9"/>
  </r>
  <r>
    <x v="1"/>
    <x v="3"/>
    <x v="3"/>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n v="2171.8000000000002"/>
    <n v="455.3"/>
    <n v="619.4"/>
  </r>
  <r>
    <x v="2"/>
    <x v="3"/>
    <x v="3"/>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2147"/>
    <n v="477.29999999999995"/>
    <n v="631.1"/>
  </r>
  <r>
    <x v="0"/>
    <x v="3"/>
    <x v="4"/>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n v="2130.8000000000002"/>
    <n v="495.90000000000003"/>
    <n v="481.7"/>
  </r>
  <r>
    <x v="1"/>
    <x v="3"/>
    <x v="4"/>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n v="2157.9"/>
    <n v="460.7"/>
    <n v="626.4"/>
  </r>
  <r>
    <x v="2"/>
    <x v="3"/>
    <x v="4"/>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2142"/>
    <n v="483"/>
    <n v="636.20000000000005"/>
  </r>
  <r>
    <x v="0"/>
    <x v="3"/>
    <x v="5"/>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n v="2133.6"/>
    <n v="498.4"/>
    <n v="482.8"/>
  </r>
  <r>
    <x v="1"/>
    <x v="3"/>
    <x v="5"/>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n v="2157.9"/>
    <n v="460.79999999999995"/>
    <n v="626.70000000000005"/>
  </r>
  <r>
    <x v="2"/>
    <x v="3"/>
    <x v="5"/>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2142"/>
    <n v="483.2"/>
    <n v="636.20000000000005"/>
  </r>
  <r>
    <x v="0"/>
    <x v="3"/>
    <x v="6"/>
    <n v="146.1"/>
    <n v="202.5"/>
    <n v="170.1"/>
    <n v="158.4"/>
    <n v="198.8"/>
    <n v="152.6"/>
    <n v="170.4"/>
    <n v="165.2"/>
    <n v="121.6"/>
    <n v="170.6"/>
    <n v="168.8"/>
    <n v="173.6"/>
    <n v="165.5"/>
    <n v="191.2"/>
    <n v="168.9"/>
    <n v="164.8"/>
    <n v="168.3"/>
    <s v="NA"/>
    <n v="165.5"/>
    <n v="162"/>
    <n v="172.5"/>
    <n v="159.5"/>
    <n v="163.19999999999999"/>
    <n v="169"/>
    <n v="161.1"/>
    <n v="164.7"/>
    <n v="166.3"/>
    <n v="2164.1999999999998"/>
    <n v="502.00000000000006"/>
    <n v="487"/>
  </r>
  <r>
    <x v="1"/>
    <x v="3"/>
    <x v="6"/>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n v="2198.4000000000005"/>
    <n v="463.50000000000006"/>
    <n v="632.29999999999995"/>
  </r>
  <r>
    <x v="2"/>
    <x v="3"/>
    <x v="6"/>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2175.5"/>
    <n v="486.3"/>
    <n v="641.89999999999986"/>
  </r>
  <r>
    <x v="0"/>
    <x v="3"/>
    <x v="7"/>
    <n v="146.9"/>
    <n v="199.8"/>
    <n v="171.5"/>
    <n v="159.1"/>
    <n v="198.4"/>
    <n v="153.19999999999999"/>
    <n v="183.9"/>
    <n v="165.4"/>
    <n v="122.1"/>
    <n v="170.8"/>
    <n v="169.1"/>
    <n v="174.3"/>
    <n v="167.5"/>
    <n v="191.4"/>
    <n v="170.4"/>
    <n v="166"/>
    <n v="169.8"/>
    <s v="NA"/>
    <n v="165.3"/>
    <n v="162.9"/>
    <n v="173.4"/>
    <n v="158.9"/>
    <n v="163.80000000000001"/>
    <n v="169.3"/>
    <n v="162.4"/>
    <n v="165.2"/>
    <n v="167.6"/>
    <n v="2182"/>
    <n v="506.2"/>
    <n v="487.1"/>
  </r>
  <r>
    <x v="1"/>
    <x v="3"/>
    <x v="7"/>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2217.8999999999996"/>
    <n v="467.3"/>
    <n v="632.19999999999993"/>
  </r>
  <r>
    <x v="2"/>
    <x v="3"/>
    <x v="7"/>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2194.1"/>
    <n v="490.40000000000003"/>
    <n v="642.20000000000005"/>
  </r>
  <r>
    <x v="0"/>
    <x v="3"/>
    <x v="8"/>
    <n v="147.4"/>
    <n v="197"/>
    <n v="176.5"/>
    <n v="159.80000000000001"/>
    <n v="195.8"/>
    <n v="152"/>
    <n v="172.3"/>
    <n v="164.5"/>
    <n v="120.6"/>
    <n v="171.7"/>
    <n v="169.7"/>
    <n v="175.1"/>
    <n v="165.8"/>
    <n v="190.8"/>
    <n v="171.8"/>
    <n v="167.3"/>
    <n v="171.2"/>
    <s v="NA"/>
    <n v="165.6"/>
    <n v="163.9"/>
    <n v="174"/>
    <n v="160.1"/>
    <n v="164.5"/>
    <n v="169.7"/>
    <n v="162.80000000000001"/>
    <n v="166"/>
    <n v="167"/>
    <n v="2168.1999999999998"/>
    <n v="510.3"/>
    <n v="489.6"/>
  </r>
  <r>
    <x v="1"/>
    <x v="3"/>
    <x v="8"/>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n v="2206.3000000000002"/>
    <n v="470.7"/>
    <n v="632.90000000000009"/>
  </r>
  <r>
    <x v="2"/>
    <x v="3"/>
    <x v="8"/>
    <n v="148.69999999999999"/>
    <n v="198.8"/>
    <n v="177.9"/>
    <n v="159.9"/>
    <n v="187.6"/>
    <n v="154.9"/>
    <n v="188.3"/>
    <n v="164.4"/>
    <n v="121"/>
    <n v="170.5"/>
    <n v="164.2"/>
    <n v="176.5"/>
    <n v="168.2"/>
    <n v="192.4"/>
    <n v="168.5"/>
    <n v="158.69999999999999"/>
    <n v="167"/>
    <n v="163.4"/>
    <n v="164.1"/>
    <n v="160.19999999999999"/>
    <n v="170.6"/>
    <n v="155.69999999999999"/>
    <n v="160.6"/>
    <n v="164.4"/>
    <n v="162.6"/>
    <n v="162"/>
    <n v="166.2"/>
    <n v="2180.9"/>
    <n v="494.2"/>
    <n v="643.4"/>
  </r>
  <r>
    <x v="0"/>
    <x v="4"/>
    <x v="9"/>
    <n v="148.30000000000001"/>
    <n v="196.9"/>
    <n v="178"/>
    <n v="160.5"/>
    <n v="192.6"/>
    <n v="151.19999999999999"/>
    <n v="159.19999999999999"/>
    <n v="164"/>
    <n v="119.3"/>
    <n v="173.3"/>
    <n v="169.8"/>
    <n v="175.8"/>
    <n v="164.1"/>
    <n v="190.7"/>
    <n v="173.2"/>
    <n v="169.3"/>
    <n v="172.7"/>
    <s v="NA"/>
    <n v="165.8"/>
    <n v="164.9"/>
    <n v="174.7"/>
    <n v="160.80000000000001"/>
    <n v="164.9"/>
    <n v="169.9"/>
    <n v="163.19999999999999"/>
    <n v="166.6"/>
    <n v="166.4"/>
    <n v="2153"/>
    <n v="515.20000000000005"/>
    <n v="491.50000000000006"/>
  </r>
  <r>
    <x v="1"/>
    <x v="4"/>
    <x v="9"/>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n v="2186.6999999999998"/>
    <n v="475.4"/>
    <n v="635.6"/>
  </r>
  <r>
    <x v="2"/>
    <x v="4"/>
    <x v="9"/>
    <n v="149.5"/>
    <n v="198.7"/>
    <n v="178.8"/>
    <n v="160.5"/>
    <n v="184.7"/>
    <n v="153.69999999999999"/>
    <n v="174.3"/>
    <n v="163.9"/>
    <n v="120"/>
    <n v="172.1"/>
    <n v="164.3"/>
    <n v="177.3"/>
    <n v="166.4"/>
    <n v="192.2"/>
    <n v="169.9"/>
    <n v="160.69999999999999"/>
    <n v="168.5"/>
    <n v="164.5"/>
    <n v="164.2"/>
    <n v="161.1"/>
    <n v="171.4"/>
    <n v="156.5"/>
    <n v="161.19999999999999"/>
    <n v="164.7"/>
    <n v="163"/>
    <n v="162.69999999999999"/>
    <n v="165.7"/>
    <n v="2164.1999999999998"/>
    <n v="499.1"/>
    <n v="646.29999999999995"/>
  </r>
  <r>
    <x v="0"/>
    <x v="4"/>
    <x v="10"/>
    <n v="148.80000000000001"/>
    <n v="198.1"/>
    <n v="175.5"/>
    <n v="160.69999999999999"/>
    <n v="192.6"/>
    <n v="151.4"/>
    <n v="155.19999999999999"/>
    <n v="163.9"/>
    <n v="118.1"/>
    <n v="175.4"/>
    <n v="170.5"/>
    <n v="176.3"/>
    <n v="163.9"/>
    <n v="191.5"/>
    <n v="174.1"/>
    <n v="171"/>
    <n v="173.7"/>
    <s v="NA"/>
    <n v="167.4"/>
    <n v="165.7"/>
    <n v="175.3"/>
    <n v="161.19999999999999"/>
    <n v="165.5"/>
    <n v="170.3"/>
    <n v="164.5"/>
    <n v="167.3"/>
    <n v="166.7"/>
    <n v="2150.4"/>
    <n v="518.79999999999995"/>
    <n v="494.3"/>
  </r>
  <r>
    <x v="1"/>
    <x v="4"/>
    <x v="10"/>
    <n v="152.5"/>
    <n v="205.2"/>
    <n v="176.4"/>
    <n v="160.6"/>
    <n v="171.5"/>
    <n v="156.4"/>
    <n v="198"/>
    <n v="163.19999999999999"/>
    <n v="120.6"/>
    <n v="172.2"/>
    <n v="156.69999999999999"/>
    <n v="180"/>
    <n v="170.2"/>
    <n v="196.5"/>
    <n v="165.7"/>
    <n v="150.4"/>
    <n v="163.4"/>
    <n v="165.5"/>
    <n v="163"/>
    <n v="157.4"/>
    <n v="167.2"/>
    <n v="153.1"/>
    <n v="159.5"/>
    <n v="162"/>
    <n v="164.2"/>
    <n v="159.4"/>
    <n v="165.5"/>
    <n v="2183.5"/>
    <n v="479.5"/>
    <n v="639"/>
  </r>
  <r>
    <x v="2"/>
    <x v="4"/>
    <x v="10"/>
    <n v="150"/>
    <n v="200.6"/>
    <n v="175.8"/>
    <n v="160.69999999999999"/>
    <n v="184.9"/>
    <n v="153.69999999999999"/>
    <n v="169.7"/>
    <n v="163.69999999999999"/>
    <n v="118.9"/>
    <n v="174.3"/>
    <n v="164.7"/>
    <n v="178"/>
    <n v="166.2"/>
    <n v="192.8"/>
    <n v="170.8"/>
    <n v="162.4"/>
    <n v="169.6"/>
    <n v="165.5"/>
    <n v="165.7"/>
    <n v="161.80000000000001"/>
    <n v="172.2"/>
    <n v="156.9"/>
    <n v="162.1"/>
    <n v="165.4"/>
    <n v="164.4"/>
    <n v="163.5"/>
    <n v="166.1"/>
    <n v="2161.2000000000003"/>
    <n v="502.80000000000007"/>
    <n v="649.9"/>
  </r>
  <r>
    <x v="0"/>
    <x v="4"/>
    <x v="11"/>
    <n v="150.19999999999999"/>
    <n v="208"/>
    <n v="167.9"/>
    <n v="162"/>
    <n v="203.1"/>
    <n v="155.9"/>
    <n v="155.80000000000001"/>
    <n v="164.2"/>
    <n v="118.1"/>
    <n v="178.7"/>
    <n v="171.2"/>
    <n v="177.4"/>
    <n v="166.6"/>
    <n v="192.3"/>
    <n v="175.4"/>
    <n v="173.2"/>
    <n v="175.1"/>
    <s v="NA"/>
    <n v="168.9"/>
    <n v="166.5"/>
    <n v="176"/>
    <n v="162"/>
    <n v="166.6"/>
    <n v="170.6"/>
    <n v="167.4"/>
    <n v="168.3"/>
    <n v="168.7"/>
    <n v="2179.1000000000004"/>
    <n v="523.70000000000005"/>
    <n v="497.4"/>
  </r>
  <r>
    <x v="1"/>
    <x v="4"/>
    <x v="11"/>
    <n v="153.69999999999999"/>
    <n v="215.8"/>
    <n v="167.7"/>
    <n v="162.6"/>
    <n v="180"/>
    <n v="159.6"/>
    <n v="188.4"/>
    <n v="163.4"/>
    <n v="120.3"/>
    <n v="174.7"/>
    <n v="157.1"/>
    <n v="181.5"/>
    <n v="171.5"/>
    <n v="197.5"/>
    <n v="167.1"/>
    <n v="152.6"/>
    <n v="164.9"/>
    <n v="165.3"/>
    <n v="164.5"/>
    <n v="158.6"/>
    <n v="168.2"/>
    <n v="154.19999999999999"/>
    <n v="160.80000000000001"/>
    <n v="162.69999999999999"/>
    <n v="166.8"/>
    <n v="160.6"/>
    <n v="166.5"/>
    <n v="2196.3000000000002"/>
    <n v="484.6"/>
    <n v="642.59999999999991"/>
  </r>
  <r>
    <x v="2"/>
    <x v="4"/>
    <x v="11"/>
    <n v="151.30000000000001"/>
    <n v="210.7"/>
    <n v="167.8"/>
    <n v="162.19999999999999"/>
    <n v="194.6"/>
    <n v="157.6"/>
    <n v="166.9"/>
    <n v="163.9"/>
    <n v="118.8"/>
    <n v="177.4"/>
    <n v="165.3"/>
    <n v="179.3"/>
    <n v="168.4"/>
    <n v="193.7"/>
    <n v="172.1"/>
    <n v="164.6"/>
    <n v="171.1"/>
    <n v="165.3"/>
    <n v="167.2"/>
    <n v="162.80000000000001"/>
    <n v="173"/>
    <n v="157.9"/>
    <n v="163.30000000000001"/>
    <n v="166"/>
    <n v="167.2"/>
    <n v="164.6"/>
    <n v="167.7"/>
    <n v="2184.2000000000003"/>
    <n v="507.79999999999995"/>
    <n v="653.2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5B2D25-357B-46D2-A2DF-9487419BFA3C}" name="PivotTable21" cacheId="2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6:EI128" firstHeaderRow="1" firstDataRow="3" firstDataCol="0"/>
  <pivotFields count="33">
    <pivotField showAll="0"/>
    <pivotField axis="axisCol" showAll="0">
      <items count="12">
        <item x="0"/>
        <item x="1"/>
        <item x="2"/>
        <item x="3"/>
        <item x="4"/>
        <item x="5"/>
        <item x="6"/>
        <item x="7"/>
        <item x="8"/>
        <item x="9"/>
        <item x="10"/>
        <item t="default"/>
      </items>
    </pivotField>
    <pivotField axis="axisCol" showAll="0">
      <items count="15">
        <item x="0"/>
        <item x="1"/>
        <item x="2"/>
        <item x="3"/>
        <item x="4"/>
        <item x="5"/>
        <item x="6"/>
        <item x="7"/>
        <item x="8"/>
        <item x="9"/>
        <item x="11"/>
        <item x="12"/>
        <item x="10"/>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2">
    <field x="1"/>
    <field x="2"/>
  </colFields>
  <colItems count="138">
    <i>
      <x/>
      <x/>
    </i>
    <i r="1">
      <x v="1"/>
    </i>
    <i r="1">
      <x v="2"/>
    </i>
    <i r="1">
      <x v="3"/>
    </i>
    <i r="1">
      <x v="4"/>
    </i>
    <i r="1">
      <x v="5"/>
    </i>
    <i r="1">
      <x v="6"/>
    </i>
    <i r="1">
      <x v="7"/>
    </i>
    <i r="1">
      <x v="8"/>
    </i>
    <i r="1">
      <x v="9"/>
    </i>
    <i r="1">
      <x v="10"/>
    </i>
    <i r="1">
      <x v="11"/>
    </i>
    <i r="1">
      <x v="12"/>
    </i>
    <i t="default">
      <x/>
    </i>
    <i>
      <x v="1"/>
      <x/>
    </i>
    <i r="1">
      <x v="1"/>
    </i>
    <i r="1">
      <x v="2"/>
    </i>
    <i r="1">
      <x v="3"/>
    </i>
    <i r="1">
      <x v="4"/>
    </i>
    <i r="1">
      <x v="5"/>
    </i>
    <i r="1">
      <x v="6"/>
    </i>
    <i r="1">
      <x v="7"/>
    </i>
    <i r="1">
      <x v="8"/>
    </i>
    <i r="1">
      <x v="9"/>
    </i>
    <i r="1">
      <x v="10"/>
    </i>
    <i r="1">
      <x v="11"/>
    </i>
    <i r="1">
      <x v="13"/>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x v="6"/>
      <x/>
    </i>
    <i r="1">
      <x v="1"/>
    </i>
    <i r="1">
      <x v="2"/>
    </i>
    <i r="1">
      <x v="4"/>
    </i>
    <i r="1">
      <x v="5"/>
    </i>
    <i r="1">
      <x v="6"/>
    </i>
    <i r="1">
      <x v="7"/>
    </i>
    <i r="1">
      <x v="8"/>
    </i>
    <i r="1">
      <x v="9"/>
    </i>
    <i r="1">
      <x v="10"/>
    </i>
    <i r="1">
      <x v="11"/>
    </i>
    <i t="default">
      <x v="6"/>
    </i>
    <i>
      <x v="7"/>
      <x/>
    </i>
    <i r="1">
      <x v="1"/>
    </i>
    <i r="1">
      <x v="2"/>
    </i>
    <i r="1">
      <x v="3"/>
    </i>
    <i r="1">
      <x v="4"/>
    </i>
    <i r="1">
      <x v="5"/>
    </i>
    <i r="1">
      <x v="6"/>
    </i>
    <i r="1">
      <x v="7"/>
    </i>
    <i r="1">
      <x v="8"/>
    </i>
    <i r="1">
      <x v="9"/>
    </i>
    <i r="1">
      <x v="10"/>
    </i>
    <i r="1">
      <x v="11"/>
    </i>
    <i t="default">
      <x v="7"/>
    </i>
    <i>
      <x v="8"/>
      <x/>
    </i>
    <i r="1">
      <x v="1"/>
    </i>
    <i r="1">
      <x v="2"/>
    </i>
    <i r="1">
      <x v="3"/>
    </i>
    <i r="1">
      <x v="4"/>
    </i>
    <i r="1">
      <x v="5"/>
    </i>
    <i r="1">
      <x v="6"/>
    </i>
    <i r="1">
      <x v="7"/>
    </i>
    <i r="1">
      <x v="8"/>
    </i>
    <i r="1">
      <x v="9"/>
    </i>
    <i r="1">
      <x v="10"/>
    </i>
    <i r="1">
      <x v="11"/>
    </i>
    <i t="default">
      <x v="8"/>
    </i>
    <i>
      <x v="9"/>
      <x/>
    </i>
    <i r="1">
      <x v="1"/>
    </i>
    <i r="1">
      <x v="2"/>
    </i>
    <i r="1">
      <x v="3"/>
    </i>
    <i r="1">
      <x v="4"/>
    </i>
    <i r="1">
      <x v="5"/>
    </i>
    <i r="1">
      <x v="6"/>
    </i>
    <i r="1">
      <x v="7"/>
    </i>
    <i r="1">
      <x v="8"/>
    </i>
    <i r="1">
      <x v="9"/>
    </i>
    <i r="1">
      <x v="10"/>
    </i>
    <i r="1">
      <x v="11"/>
    </i>
    <i t="default">
      <x v="9"/>
    </i>
    <i>
      <x v="10"/>
      <x/>
    </i>
    <i r="1">
      <x v="1"/>
    </i>
    <i r="1">
      <x v="2"/>
    </i>
    <i r="1">
      <x v="3"/>
    </i>
    <i r="1">
      <x v="4"/>
    </i>
    <i t="default">
      <x v="10"/>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98B151-1E94-418D-A635-5C1E8B1DE8C8}" name="PivotTable2" cacheId="2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4" firstHeaderRow="0" firstDataRow="1" firstDataCol="0"/>
  <pivotFields count="33">
    <pivotField showAll="0">
      <items count="4">
        <item h="1" x="0"/>
        <item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showAll="0"/>
  </pivotFields>
  <rowItems count="1">
    <i/>
  </rowItems>
  <colFields count="1">
    <field x="-2"/>
  </colFields>
  <colItems count="12">
    <i>
      <x/>
    </i>
    <i i="1">
      <x v="1"/>
    </i>
    <i i="2">
      <x v="2"/>
    </i>
    <i i="3">
      <x v="3"/>
    </i>
    <i i="4">
      <x v="4"/>
    </i>
    <i i="5">
      <x v="5"/>
    </i>
    <i i="6">
      <x v="6"/>
    </i>
    <i i="7">
      <x v="7"/>
    </i>
    <i i="8">
      <x v="8"/>
    </i>
    <i i="9">
      <x v="9"/>
    </i>
    <i i="10">
      <x v="10"/>
    </i>
    <i i="11">
      <x v="11"/>
    </i>
  </colItems>
  <dataFields count="12">
    <dataField name="Sum of Food &amp; Drinks" fld="30" baseField="0" baseItem="0"/>
    <dataField name="Sum of Clothing &amp; Footwear (all)" fld="31" baseField="0" baseItem="0"/>
    <dataField name="Sum of Pan, tobacco and intoxicants" fld="16" baseField="0" baseItem="0"/>
    <dataField name="Sum of Housing" fld="20" baseField="0" baseItem="0"/>
    <dataField name="Sum of Household goods and services" fld="22" baseField="0" baseItem="0"/>
    <dataField name="Sum of Fuel and light" fld="21" baseField="0" baseItem="0"/>
    <dataField name="Sum of Health" fld="23" baseField="0" baseItem="0"/>
    <dataField name="Sum of Transport and communication" fld="24" baseField="0" baseItem="0"/>
    <dataField name="Sum of Recreation and amusement" fld="25" baseField="0" baseItem="0"/>
    <dataField name="Sum of Education" fld="26" baseField="0" baseItem="0"/>
    <dataField name="Sum of Personal care and effects" fld="27" baseField="0" baseItem="0"/>
    <dataField name="Sum of Miscellaneous"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EED330-E8D1-4A9C-A451-03F29B74BC66}" name="PivotTable17" cacheId="2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5" firstHeaderRow="1" firstDataRow="2" firstDataCol="1" rowPageCount="1" colPageCount="1"/>
  <pivotFields count="33">
    <pivotField axis="axisPage" multipleItemSelectionAllowed="1" showAll="0">
      <items count="4">
        <item h="1" x="0"/>
        <item x="2"/>
        <item h="1" x="1"/>
        <item t="default"/>
      </items>
    </pivotField>
    <pivotField axis="axisRow" showAll="0">
      <items count="12">
        <item h="1" x="0"/>
        <item h="1" x="1"/>
        <item h="1" x="2"/>
        <item h="1" x="3"/>
        <item x="4"/>
        <item x="5"/>
        <item x="6"/>
        <item x="7"/>
        <item x="8"/>
        <item x="9"/>
        <item h="1" x="10"/>
        <item t="default"/>
      </items>
    </pivotField>
    <pivotField axis="axisCol" showAll="0" defaultSubtotal="0">
      <items count="14">
        <item x="0"/>
        <item h="1" x="1"/>
        <item h="1" x="2"/>
        <item h="1" x="3"/>
        <item h="1" x="4"/>
        <item h="1" x="5"/>
        <item h="1" x="6"/>
        <item h="1" x="7"/>
        <item h="1" x="8"/>
        <item h="1" x="9"/>
        <item h="1" x="11"/>
        <item x="12"/>
        <item h="1" x="10"/>
        <item h="1" x="13"/>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7">
    <i>
      <x v="4"/>
    </i>
    <i>
      <x v="5"/>
    </i>
    <i>
      <x v="6"/>
    </i>
    <i>
      <x v="7"/>
    </i>
    <i>
      <x v="8"/>
    </i>
    <i>
      <x v="9"/>
    </i>
    <i t="grand">
      <x/>
    </i>
  </rowItems>
  <colFields count="1">
    <field x="2"/>
  </colFields>
  <colItems count="3">
    <i>
      <x/>
    </i>
    <i>
      <x v="11"/>
    </i>
    <i t="grand">
      <x/>
    </i>
  </colItems>
  <pageFields count="1">
    <pageField fld="0" hier="-1"/>
  </pageFields>
  <dataFields count="1">
    <dataField name="Sum of General index"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357E76-1FD0-4899-8A11-1A341935D672}" name="PivotTable25" cacheId="2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H17" firstHeaderRow="1" firstDataRow="1" firstDataCol="1"/>
  <pivotFields count="5">
    <pivotField showAll="0">
      <items count="4">
        <item x="0"/>
        <item h="1" x="1"/>
        <item h="1" x="2"/>
        <item t="default"/>
      </items>
    </pivotField>
    <pivotField axis="axisRow" showAll="0">
      <items count="3">
        <item x="0"/>
        <item x="1"/>
        <item t="default"/>
      </items>
    </pivotField>
    <pivotField axis="axisRow" showAll="0">
      <items count="13">
        <item x="7"/>
        <item x="8"/>
        <item x="9"/>
        <item x="10"/>
        <item x="11"/>
        <item x="0"/>
        <item x="1"/>
        <item x="2"/>
        <item x="3"/>
        <item x="4"/>
        <item x="5"/>
        <item x="6"/>
        <item t="default"/>
      </items>
    </pivotField>
    <pivotField showAll="0"/>
    <pivotField dataField="1" numFmtId="10" showAll="0"/>
  </pivotFields>
  <rowFields count="2">
    <field x="1"/>
    <field x="2"/>
  </rowFields>
  <rowItems count="15">
    <i>
      <x/>
    </i>
    <i r="1">
      <x v="5"/>
    </i>
    <i r="1">
      <x v="6"/>
    </i>
    <i r="1">
      <x v="7"/>
    </i>
    <i r="1">
      <x v="8"/>
    </i>
    <i r="1">
      <x v="9"/>
    </i>
    <i r="1">
      <x v="10"/>
    </i>
    <i r="1">
      <x v="11"/>
    </i>
    <i>
      <x v="1"/>
    </i>
    <i r="1">
      <x/>
    </i>
    <i r="1">
      <x v="1"/>
    </i>
    <i r="1">
      <x v="2"/>
    </i>
    <i r="1">
      <x v="3"/>
    </i>
    <i r="1">
      <x v="4"/>
    </i>
    <i t="grand">
      <x/>
    </i>
  </rowItems>
  <colItems count="1">
    <i/>
  </colItems>
  <dataFields count="1">
    <dataField name="Sum of % increase" fld="4"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381748-3D43-4125-BE09-8E3B8A5C8D89}" name="PivotTable29"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7:E200" firstHeaderRow="0" firstDataRow="1" firstDataCol="1"/>
  <pivotFields count="33">
    <pivotField showAll="0">
      <items count="4">
        <item h="1" x="0"/>
        <item x="2"/>
        <item h="1" x="1"/>
        <item t="default"/>
      </items>
    </pivotField>
    <pivotField axis="axisRow" showAll="0">
      <items count="6">
        <item x="0"/>
        <item x="1"/>
        <item x="2"/>
        <item x="3"/>
        <item x="4"/>
        <item t="default"/>
      </items>
    </pivotField>
    <pivotField axis="axisRow" showAll="0">
      <items count="13">
        <item x="9"/>
        <item x="10"/>
        <item x="11"/>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dataField="1" showAll="0"/>
  </pivotFields>
  <rowFields count="2">
    <field x="1"/>
    <field x="2"/>
  </rowFields>
  <rowItems count="53">
    <i>
      <x/>
    </i>
    <i r="1">
      <x v="3"/>
    </i>
    <i r="1">
      <x v="4"/>
    </i>
    <i r="1">
      <x v="5"/>
    </i>
    <i r="1">
      <x v="6"/>
    </i>
    <i r="1">
      <x v="7"/>
    </i>
    <i r="1">
      <x v="8"/>
    </i>
    <i r="1">
      <x v="9"/>
    </i>
    <i r="1">
      <x v="10"/>
    </i>
    <i r="1">
      <x v="11"/>
    </i>
    <i>
      <x v="1"/>
    </i>
    <i r="1">
      <x/>
    </i>
    <i r="1">
      <x v="1"/>
    </i>
    <i r="1">
      <x v="2"/>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t="grand">
      <x/>
    </i>
  </rowItems>
  <colFields count="1">
    <field x="-2"/>
  </colFields>
  <colItems count="3">
    <i>
      <x/>
    </i>
    <i i="1">
      <x v="1"/>
    </i>
    <i i="2">
      <x v="2"/>
    </i>
  </colItems>
  <dataFields count="3">
    <dataField name="Sum of Health" fld="23" baseField="0" baseItem="0"/>
    <dataField name="Sum of Food &amp; Drinks" fld="30" baseField="0" baseItem="0"/>
    <dataField name="Sum of Essential services"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61D06D-29F7-4C42-9CC0-3C5410FE6895}" autoFormatId="16" applyNumberFormats="0" applyBorderFormats="0" applyFontFormats="0" applyPatternFormats="0" applyAlignmentFormats="0" applyWidthHeightFormats="0">
  <queryTableRefresh nextId="35" unboundColumnsRight="3">
    <queryTableFields count="33">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 id="32" dataBound="0" tableColumnId="31"/>
      <queryTableField id="33" dataBound="0" tableColumnId="32"/>
      <queryTableField id="34" dataBound="0"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00019A08-8EE2-4701-9840-6BCBAFEEA97B}" sourceName="Sector">
  <pivotTables>
    <pivotTable tabId="7" name="PivotTable2"/>
    <pivotTable tabId="7" name="PivotTable17"/>
  </pivotTables>
  <data>
    <tabular pivotCacheId="1411181904">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294E22D0-F666-4B45-B3FB-E23971D9971A}" sourceName="Sector">
  <pivotTables>
    <pivotTable tabId="10" name="PivotTable25"/>
  </pivotTables>
  <data>
    <tabular pivotCacheId="1128296816">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2" xr10:uid="{AE9639F0-42A1-48EE-B237-9E1CF4CD6A68}" sourceName="Sector">
  <pivotTables>
    <pivotTable tabId="11" name="PivotTable29"/>
  </pivotTables>
  <data>
    <tabular pivotCacheId="37285360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D95BBB10-A586-495F-A05F-1E9026BC0488}" cache="Slicer_Sector" caption="Sector" rowHeight="234950"/>
  <slicer name="Sector 1" xr10:uid="{8BA68F2D-C5B0-4C48-A122-E23C153B746B}" cache="Slicer_Sector1" caption="Sector" rowHeight="234950"/>
  <slicer name="Sector 2" xr10:uid="{1C4D6F7A-CAB6-45E5-B03C-81B0E0D3C1C9}" cache="Slicer_Sector2" caption="Secto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43FF5-40C6-4573-9264-36072D88FA02}" name="All_India_Index_Upto_April23__1" displayName="All_India_Index_Upto_April23__1" ref="A2:AG374" tableType="queryTable" totalsRowShown="0">
  <autoFilter ref="A2:AG374" xr:uid="{27543FF5-40C6-4573-9264-36072D88FA02}">
    <filterColumn colId="0">
      <filters>
        <filter val="Rural+Urban"/>
      </filters>
    </filterColumn>
    <filterColumn colId="1">
      <filters>
        <filter val="2018"/>
        <filter val="2019"/>
        <filter val="2020"/>
      </filters>
    </filterColumn>
  </autoFilter>
  <tableColumns count="33">
    <tableColumn id="1" xr3:uid="{1A46DB0B-03F7-4BCE-B495-BA04C12AD35B}" uniqueName="1" name="Sector" queryTableFieldId="1" dataDxfId="5"/>
    <tableColumn id="2" xr3:uid="{55B1C477-3333-4C08-BA05-40A4E00C21EF}" uniqueName="2" name="Year" queryTableFieldId="2"/>
    <tableColumn id="3" xr3:uid="{849D30CD-70A1-4BCF-98D3-03351C70B4A8}" uniqueName="3" name="Month" queryTableFieldId="3" dataDxfId="4"/>
    <tableColumn id="4" xr3:uid="{3D96A4A8-8D72-43B1-979B-98E244C22B89}" uniqueName="4" name="Cereals and products" queryTableFieldId="4"/>
    <tableColumn id="5" xr3:uid="{A8A79352-EF96-4783-9D1C-152ED50B1FAD}" uniqueName="5" name="Meat and fish" queryTableFieldId="5"/>
    <tableColumn id="6" xr3:uid="{FDAB89C0-9A05-473E-9A1B-D6D308986B82}" uniqueName="6" name="Egg" queryTableFieldId="6"/>
    <tableColumn id="7" xr3:uid="{1CA59DE7-1FA9-4993-A664-F8F5EB3DB8C3}" uniqueName="7" name="Milk and products" queryTableFieldId="7"/>
    <tableColumn id="8" xr3:uid="{4D82CB77-8A89-43C8-A547-EDFC3686B4FF}" uniqueName="8" name="Oils and fats" queryTableFieldId="8"/>
    <tableColumn id="9" xr3:uid="{EDD6EEF7-7F33-484B-93E8-7538E6A8E9DF}" uniqueName="9" name="Fruits" queryTableFieldId="9"/>
    <tableColumn id="10" xr3:uid="{7729D38F-0F32-4577-9D1F-B18FA9ED1702}" uniqueName="10" name="Vegetables" queryTableFieldId="10"/>
    <tableColumn id="11" xr3:uid="{A2716D6E-1764-42D4-9AAE-5A088454C896}" uniqueName="11" name="Pulses and products" queryTableFieldId="11"/>
    <tableColumn id="12" xr3:uid="{0EFDC2FE-7F5E-468D-B972-83259A919E0A}" uniqueName="12" name="Sugar and Confectionery" queryTableFieldId="12"/>
    <tableColumn id="13" xr3:uid="{21FAFCF1-C518-47B7-AC1D-ABD2FBAC9075}" uniqueName="13" name="Spices" queryTableFieldId="13"/>
    <tableColumn id="14" xr3:uid="{AEDAFA6E-A53A-4971-B68C-08912A899793}" uniqueName="14" name="Non-alcoholic beverages" queryTableFieldId="14"/>
    <tableColumn id="15" xr3:uid="{8E315377-CBFC-44B3-8B35-C13C8EEBDCA4}" uniqueName="15" name="Prepared meals, snacks, sweets etc." queryTableFieldId="15"/>
    <tableColumn id="16" xr3:uid="{316C54BD-9B8F-4889-89E2-ABB98D3990DD}" uniqueName="16" name="Food and beverages" queryTableFieldId="16"/>
    <tableColumn id="17" xr3:uid="{15EB318E-8F51-4A29-94A8-8174EA98DC97}" uniqueName="17" name="Pan, tobacco and intoxicants" queryTableFieldId="17"/>
    <tableColumn id="18" xr3:uid="{EB89EB2F-2135-463A-8F95-3AEF88E1BCC0}" uniqueName="18" name="Clothing" queryTableFieldId="18"/>
    <tableColumn id="19" xr3:uid="{72AA5459-49B5-4487-80B8-58DBA90C651D}" uniqueName="19" name="Footwear" queryTableFieldId="19"/>
    <tableColumn id="20" xr3:uid="{2F1A8CF5-1C6A-4881-A746-FAE910D8D133}" uniqueName="20" name="Clothing and footwear" queryTableFieldId="20"/>
    <tableColumn id="21" xr3:uid="{D500E29C-E8DB-4E2F-ACAB-4E13DC9EBF4F}" uniqueName="21" name="Housing" queryTableFieldId="21" dataDxfId="3"/>
    <tableColumn id="22" xr3:uid="{0F9FF7FB-671A-44EB-B1EA-F6E3C2D8854F}" uniqueName="22" name="Fuel and light" queryTableFieldId="22"/>
    <tableColumn id="23" xr3:uid="{D0A70017-D323-4C23-A086-878B3FF70A79}" uniqueName="23" name="Household goods and services" queryTableFieldId="23"/>
    <tableColumn id="24" xr3:uid="{05D4A31F-6A20-4E94-AC70-6481EC2BC880}" uniqueName="24" name="Health" queryTableFieldId="24"/>
    <tableColumn id="25" xr3:uid="{5AF336FE-5EC0-4BF2-A344-8B9F1BBD5436}" uniqueName="25" name="Transport and communication" queryTableFieldId="25"/>
    <tableColumn id="26" xr3:uid="{66E72B81-F5AC-4F58-B999-CE831D6E7333}" uniqueName="26" name="Recreation and amusement" queryTableFieldId="26"/>
    <tableColumn id="27" xr3:uid="{E06B297F-743F-41A8-B79F-9A4533904771}" uniqueName="27" name="Education" queryTableFieldId="27"/>
    <tableColumn id="28" xr3:uid="{BE529839-480F-40A9-ADAD-C38EF74E2D3F}" uniqueName="28" name="Personal care and effects" queryTableFieldId="28"/>
    <tableColumn id="29" xr3:uid="{FE64F7E9-6F8C-4CF4-AE9A-02C1C60891AC}" uniqueName="29" name="Miscellaneous" queryTableFieldId="29"/>
    <tableColumn id="30" xr3:uid="{B3494C52-1C95-4E29-BFF2-A4CF33EB8906}" uniqueName="30" name="General index" queryTableFieldId="30"/>
    <tableColumn id="31" xr3:uid="{67D12BEE-69DE-4C57-882E-61E5AE5FB96D}" uniqueName="31" name="Food &amp; Drinks" queryTableFieldId="32" dataDxfId="2">
      <calculatedColumnFormula>SUM(All_India_Index_Upto_April23__1[[#This Row],[Cereals and products]:[Food and beverages]])</calculatedColumnFormula>
    </tableColumn>
    <tableColumn id="32" xr3:uid="{4A0AE481-F582-4EDD-BB08-BB8D31A79575}" uniqueName="32" name="Clothing &amp; Footwear (all)" queryTableFieldId="33" dataDxfId="1">
      <calculatedColumnFormula>SUM(All_India_Index_Upto_April23__1[[#This Row],[Clothing]:[Clothing and footwear]])</calculatedColumnFormula>
    </tableColumn>
    <tableColumn id="33" xr3:uid="{DFB53CFC-60C9-4011-B5B9-3257101566DD}" uniqueName="33" name="Essential services" queryTableFieldId="34" dataDxfId="0">
      <calculatedColumnFormula>SUM(U3:W3,Y3)</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25F1A-C550-4213-BA64-B36C878A419D}">
  <dimension ref="A1:BL374"/>
  <sheetViews>
    <sheetView workbookViewId="0">
      <pane xSplit="3" ySplit="2" topLeftCell="AB209" activePane="bottomRight" state="frozen"/>
      <selection pane="topRight" activeCell="D1" sqref="D1"/>
      <selection pane="bottomLeft" activeCell="A3" sqref="A3"/>
      <selection pane="bottomRight" activeCell="AE218" sqref="AE218"/>
    </sheetView>
  </sheetViews>
  <sheetFormatPr defaultRowHeight="14.4" x14ac:dyDescent="0.3"/>
  <cols>
    <col min="1" max="1" width="11.33203125" bestFit="1" customWidth="1"/>
    <col min="2" max="2" width="6.88671875" bestFit="1" customWidth="1"/>
    <col min="3" max="3" width="10.109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 min="31" max="31" width="15" bestFit="1" customWidth="1"/>
    <col min="32" max="32" width="24.44140625" bestFit="1" customWidth="1"/>
    <col min="33" max="33" width="17.5546875" bestFit="1" customWidth="1"/>
  </cols>
  <sheetData>
    <row r="1" spans="1:64" x14ac:dyDescent="0.3">
      <c r="AE1" s="23" t="s">
        <v>48</v>
      </c>
      <c r="AF1" s="23"/>
    </row>
    <row r="2" spans="1:64"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49</v>
      </c>
      <c r="AF2" t="s">
        <v>50</v>
      </c>
      <c r="AG2" t="s">
        <v>211</v>
      </c>
      <c r="AI2" s="1" t="s">
        <v>0</v>
      </c>
      <c r="AJ2" s="2" t="s">
        <v>1</v>
      </c>
      <c r="AK2" s="2" t="s">
        <v>2</v>
      </c>
      <c r="AL2" s="2" t="s">
        <v>3</v>
      </c>
      <c r="AM2" s="2" t="s">
        <v>4</v>
      </c>
      <c r="AN2" s="2" t="s">
        <v>5</v>
      </c>
      <c r="AO2" s="2" t="s">
        <v>6</v>
      </c>
      <c r="AP2" s="2" t="s">
        <v>7</v>
      </c>
      <c r="AQ2" s="2" t="s">
        <v>8</v>
      </c>
      <c r="AR2" s="2" t="s">
        <v>9</v>
      </c>
      <c r="AS2" s="2" t="s">
        <v>10</v>
      </c>
      <c r="AT2" s="2" t="s">
        <v>11</v>
      </c>
      <c r="AU2" s="2" t="s">
        <v>12</v>
      </c>
      <c r="AV2" s="2" t="s">
        <v>13</v>
      </c>
      <c r="AW2" s="2" t="s">
        <v>14</v>
      </c>
      <c r="AX2" s="2" t="s">
        <v>15</v>
      </c>
      <c r="AY2" s="2" t="s">
        <v>16</v>
      </c>
      <c r="AZ2" s="2" t="s">
        <v>17</v>
      </c>
      <c r="BA2" s="2" t="s">
        <v>18</v>
      </c>
      <c r="BB2" s="2" t="s">
        <v>19</v>
      </c>
      <c r="BC2" s="2" t="s">
        <v>20</v>
      </c>
      <c r="BD2" s="2" t="s">
        <v>21</v>
      </c>
      <c r="BE2" s="2" t="s">
        <v>22</v>
      </c>
      <c r="BF2" s="2" t="s">
        <v>23</v>
      </c>
      <c r="BG2" s="2" t="s">
        <v>24</v>
      </c>
      <c r="BH2" s="2" t="s">
        <v>25</v>
      </c>
      <c r="BI2" s="2" t="s">
        <v>26</v>
      </c>
      <c r="BJ2" s="2" t="s">
        <v>27</v>
      </c>
      <c r="BK2" s="2" t="s">
        <v>28</v>
      </c>
      <c r="BL2" s="3" t="s">
        <v>29</v>
      </c>
    </row>
    <row r="3" spans="1:64" hidden="1" x14ac:dyDescent="0.3">
      <c r="A3" t="s">
        <v>30</v>
      </c>
      <c r="B3">
        <v>2013</v>
      </c>
      <c r="C3" t="s">
        <v>31</v>
      </c>
      <c r="D3">
        <v>107.5</v>
      </c>
      <c r="E3">
        <v>106.3</v>
      </c>
      <c r="F3">
        <v>108.1</v>
      </c>
      <c r="G3">
        <v>104.9</v>
      </c>
      <c r="H3">
        <v>106.1</v>
      </c>
      <c r="I3">
        <v>103.9</v>
      </c>
      <c r="J3">
        <v>101.9</v>
      </c>
      <c r="K3">
        <v>106.1</v>
      </c>
      <c r="L3">
        <v>106.8</v>
      </c>
      <c r="M3">
        <v>103.1</v>
      </c>
      <c r="N3">
        <v>104.8</v>
      </c>
      <c r="O3">
        <v>106.7</v>
      </c>
      <c r="P3">
        <v>105.5</v>
      </c>
      <c r="Q3">
        <v>105.1</v>
      </c>
      <c r="R3">
        <v>106.5</v>
      </c>
      <c r="S3">
        <v>105.8</v>
      </c>
      <c r="T3">
        <v>106.4</v>
      </c>
      <c r="U3" t="s">
        <v>89</v>
      </c>
      <c r="V3">
        <v>105.5</v>
      </c>
      <c r="W3">
        <v>104.8</v>
      </c>
      <c r="X3">
        <v>104</v>
      </c>
      <c r="Y3">
        <v>103.3</v>
      </c>
      <c r="Z3">
        <v>103.4</v>
      </c>
      <c r="AA3">
        <v>103.8</v>
      </c>
      <c r="AB3">
        <v>104.7</v>
      </c>
      <c r="AC3">
        <v>104</v>
      </c>
      <c r="AD3">
        <v>105.1</v>
      </c>
      <c r="AE3">
        <f>SUM(All_India_Index_Upto_April23__1[[#This Row],[Cereals and products]:[Food and beverages]])</f>
        <v>1371.6999999999998</v>
      </c>
      <c r="AF3">
        <f>SUM(All_India_Index_Upto_April23__1[[#This Row],[Clothing]:[Clothing and footwear]])</f>
        <v>318.70000000000005</v>
      </c>
      <c r="AG3">
        <f t="shared" ref="AG3:AG66" si="0">SUM(U3:W3,Y3)</f>
        <v>313.60000000000002</v>
      </c>
      <c r="AI3">
        <f>TYPE(All_India_Index_Upto_April23__1[[#This Row],[Sector]])</f>
        <v>2</v>
      </c>
      <c r="AJ3">
        <f>TYPE(All_India_Index_Upto_April23__1[[#This Row],[Year]])</f>
        <v>1</v>
      </c>
      <c r="AK3">
        <f>TYPE(All_India_Index_Upto_April23__1[[#This Row],[Month]])</f>
        <v>2</v>
      </c>
      <c r="AL3">
        <f>TYPE(All_India_Index_Upto_April23__1[[#This Row],[Cereals and products]])</f>
        <v>1</v>
      </c>
      <c r="AM3">
        <f>TYPE(All_India_Index_Upto_April23__1[[#This Row],[Meat and fish]])</f>
        <v>1</v>
      </c>
      <c r="AN3">
        <f>TYPE(All_India_Index_Upto_April23__1[[#This Row],[Egg]])</f>
        <v>1</v>
      </c>
      <c r="AO3">
        <f>TYPE(All_India_Index_Upto_April23__1[[#This Row],[Milk and products]])</f>
        <v>1</v>
      </c>
      <c r="AP3">
        <f>TYPE(All_India_Index_Upto_April23__1[[#This Row],[Oils and fats]])</f>
        <v>1</v>
      </c>
      <c r="AQ3">
        <f>TYPE(All_India_Index_Upto_April23__1[[#This Row],[Fruits]])</f>
        <v>1</v>
      </c>
      <c r="AR3">
        <f>TYPE(All_India_Index_Upto_April23__1[[#This Row],[Vegetables]])</f>
        <v>1</v>
      </c>
      <c r="AS3">
        <f>TYPE(All_India_Index_Upto_April23__1[[#This Row],[Pulses and products]])</f>
        <v>1</v>
      </c>
      <c r="AT3">
        <f>TYPE(All_India_Index_Upto_April23__1[[#This Row],[Sugar and Confectionery]])</f>
        <v>1</v>
      </c>
      <c r="AU3">
        <f>TYPE(All_India_Index_Upto_April23__1[[#This Row],[Spices]])</f>
        <v>1</v>
      </c>
      <c r="AV3">
        <f>TYPE(All_India_Index_Upto_April23__1[[#This Row],[Non-alcoholic beverages]])</f>
        <v>1</v>
      </c>
      <c r="AW3">
        <f>TYPE(All_India_Index_Upto_April23__1[[#This Row],[Prepared meals, snacks, sweets etc.]])</f>
        <v>1</v>
      </c>
      <c r="AX3">
        <f>TYPE(All_India_Index_Upto_April23__1[[#This Row],[Food and beverages]])</f>
        <v>1</v>
      </c>
      <c r="AY3">
        <f>TYPE(All_India_Index_Upto_April23__1[[#This Row],[Pan, tobacco and intoxicants]])</f>
        <v>1</v>
      </c>
      <c r="AZ3">
        <f>TYPE(All_India_Index_Upto_April23__1[[#This Row],[Clothing]])</f>
        <v>1</v>
      </c>
      <c r="BA3">
        <f>TYPE(All_India_Index_Upto_April23__1[[#This Row],[Footwear]])</f>
        <v>1</v>
      </c>
      <c r="BB3">
        <f>TYPE(All_India_Index_Upto_April23__1[[#This Row],[Clothing and footwear]])</f>
        <v>1</v>
      </c>
      <c r="BC3">
        <f>TYPE(All_India_Index_Upto_April23__1[[#This Row],[Housing]])</f>
        <v>2</v>
      </c>
      <c r="BD3">
        <f>TYPE(All_India_Index_Upto_April23__1[[#This Row],[Fuel and light]])</f>
        <v>1</v>
      </c>
      <c r="BE3">
        <f>TYPE(All_India_Index_Upto_April23__1[[#This Row],[Household goods and services]])</f>
        <v>1</v>
      </c>
      <c r="BF3">
        <f>TYPE(All_India_Index_Upto_April23__1[[#This Row],[Health]])</f>
        <v>1</v>
      </c>
      <c r="BG3">
        <f>TYPE(All_India_Index_Upto_April23__1[[#This Row],[Transport and communication]])</f>
        <v>1</v>
      </c>
      <c r="BH3">
        <f>TYPE(All_India_Index_Upto_April23__1[[#This Row],[Recreation and amusement]])</f>
        <v>1</v>
      </c>
      <c r="BI3">
        <f>TYPE(All_India_Index_Upto_April23__1[[#This Row],[Education]])</f>
        <v>1</v>
      </c>
      <c r="BJ3">
        <f>TYPE(All_India_Index_Upto_April23__1[[#This Row],[Personal care and effects]])</f>
        <v>1</v>
      </c>
      <c r="BK3">
        <f>TYPE(All_India_Index_Upto_April23__1[[#This Row],[Miscellaneous]])</f>
        <v>1</v>
      </c>
      <c r="BL3">
        <f>TYPE(All_India_Index_Upto_April23__1[[#This Row],[General index]])</f>
        <v>1</v>
      </c>
    </row>
    <row r="4" spans="1:64" hidden="1" x14ac:dyDescent="0.3">
      <c r="A4" t="s">
        <v>32</v>
      </c>
      <c r="B4">
        <v>2013</v>
      </c>
      <c r="C4" t="s">
        <v>31</v>
      </c>
      <c r="D4">
        <v>110.5</v>
      </c>
      <c r="E4">
        <v>109.1</v>
      </c>
      <c r="F4">
        <v>113</v>
      </c>
      <c r="G4">
        <v>103.6</v>
      </c>
      <c r="H4">
        <v>103.4</v>
      </c>
      <c r="I4">
        <v>102.3</v>
      </c>
      <c r="J4">
        <v>102.9</v>
      </c>
      <c r="K4">
        <v>105.8</v>
      </c>
      <c r="L4">
        <v>105.1</v>
      </c>
      <c r="M4">
        <v>101.8</v>
      </c>
      <c r="N4">
        <v>105.1</v>
      </c>
      <c r="O4">
        <v>107.9</v>
      </c>
      <c r="P4">
        <v>105.9</v>
      </c>
      <c r="Q4">
        <v>105.2</v>
      </c>
      <c r="R4">
        <v>105.9</v>
      </c>
      <c r="S4">
        <v>105</v>
      </c>
      <c r="T4">
        <v>105.8</v>
      </c>
      <c r="U4" t="s">
        <v>90</v>
      </c>
      <c r="V4">
        <v>105.4</v>
      </c>
      <c r="W4">
        <v>104.8</v>
      </c>
      <c r="X4">
        <v>104.1</v>
      </c>
      <c r="Y4">
        <v>103.2</v>
      </c>
      <c r="Z4">
        <v>102.9</v>
      </c>
      <c r="AA4">
        <v>103.5</v>
      </c>
      <c r="AB4">
        <v>104.3</v>
      </c>
      <c r="AC4">
        <v>103.7</v>
      </c>
      <c r="AD4">
        <v>104</v>
      </c>
      <c r="AE4">
        <f>SUM(All_India_Index_Upto_April23__1[[#This Row],[Cereals and products]:[Food and beverages]])</f>
        <v>1376.4</v>
      </c>
      <c r="AF4">
        <f>SUM(All_India_Index_Upto_April23__1[[#This Row],[Clothing]:[Clothing and footwear]])</f>
        <v>316.7</v>
      </c>
      <c r="AG4">
        <f t="shared" si="0"/>
        <v>313.39999999999998</v>
      </c>
      <c r="AI4">
        <f>TYPE(All_India_Index_Upto_April23__1[[#This Row],[Sector]])</f>
        <v>2</v>
      </c>
      <c r="AJ4">
        <f>TYPE(All_India_Index_Upto_April23__1[[#This Row],[Year]])</f>
        <v>1</v>
      </c>
      <c r="AK4">
        <f>TYPE(All_India_Index_Upto_April23__1[[#This Row],[Month]])</f>
        <v>2</v>
      </c>
      <c r="AL4">
        <f>TYPE(All_India_Index_Upto_April23__1[[#This Row],[Cereals and products]])</f>
        <v>1</v>
      </c>
      <c r="AM4">
        <f>TYPE(All_India_Index_Upto_April23__1[[#This Row],[Meat and fish]])</f>
        <v>1</v>
      </c>
      <c r="AN4">
        <f>TYPE(All_India_Index_Upto_April23__1[[#This Row],[Egg]])</f>
        <v>1</v>
      </c>
      <c r="AO4">
        <f>TYPE(All_India_Index_Upto_April23__1[[#This Row],[Milk and products]])</f>
        <v>1</v>
      </c>
      <c r="AP4">
        <f>TYPE(All_India_Index_Upto_April23__1[[#This Row],[Oils and fats]])</f>
        <v>1</v>
      </c>
      <c r="AQ4">
        <f>TYPE(All_India_Index_Upto_April23__1[[#This Row],[Fruits]])</f>
        <v>1</v>
      </c>
      <c r="AR4">
        <f>TYPE(All_India_Index_Upto_April23__1[[#This Row],[Vegetables]])</f>
        <v>1</v>
      </c>
      <c r="AS4">
        <f>TYPE(All_India_Index_Upto_April23__1[[#This Row],[Pulses and products]])</f>
        <v>1</v>
      </c>
      <c r="AT4">
        <f>TYPE(All_India_Index_Upto_April23__1[[#This Row],[Sugar and Confectionery]])</f>
        <v>1</v>
      </c>
      <c r="AU4">
        <f>TYPE(All_India_Index_Upto_April23__1[[#This Row],[Spices]])</f>
        <v>1</v>
      </c>
      <c r="AV4">
        <f>TYPE(All_India_Index_Upto_April23__1[[#This Row],[Non-alcoholic beverages]])</f>
        <v>1</v>
      </c>
      <c r="AW4">
        <f>TYPE(All_India_Index_Upto_April23__1[[#This Row],[Prepared meals, snacks, sweets etc.]])</f>
        <v>1</v>
      </c>
      <c r="AX4">
        <f>TYPE(All_India_Index_Upto_April23__1[[#This Row],[Food and beverages]])</f>
        <v>1</v>
      </c>
      <c r="AY4">
        <f>TYPE(All_India_Index_Upto_April23__1[[#This Row],[Pan, tobacco and intoxicants]])</f>
        <v>1</v>
      </c>
      <c r="AZ4">
        <f>TYPE(All_India_Index_Upto_April23__1[[#This Row],[Clothing]])</f>
        <v>1</v>
      </c>
      <c r="BA4">
        <f>TYPE(All_India_Index_Upto_April23__1[[#This Row],[Footwear]])</f>
        <v>1</v>
      </c>
      <c r="BB4">
        <f>TYPE(All_India_Index_Upto_April23__1[[#This Row],[Clothing and footwear]])</f>
        <v>1</v>
      </c>
      <c r="BC4">
        <f>TYPE(All_India_Index_Upto_April23__1[[#This Row],[Housing]])</f>
        <v>2</v>
      </c>
      <c r="BD4">
        <f>TYPE(All_India_Index_Upto_April23__1[[#This Row],[Fuel and light]])</f>
        <v>1</v>
      </c>
      <c r="BE4">
        <f>TYPE(All_India_Index_Upto_April23__1[[#This Row],[Household goods and services]])</f>
        <v>1</v>
      </c>
      <c r="BF4">
        <f>TYPE(All_India_Index_Upto_April23__1[[#This Row],[Health]])</f>
        <v>1</v>
      </c>
      <c r="BG4">
        <f>TYPE(All_India_Index_Upto_April23__1[[#This Row],[Transport and communication]])</f>
        <v>1</v>
      </c>
      <c r="BH4">
        <f>TYPE(All_India_Index_Upto_April23__1[[#This Row],[Recreation and amusement]])</f>
        <v>1</v>
      </c>
      <c r="BI4">
        <f>TYPE(All_India_Index_Upto_April23__1[[#This Row],[Education]])</f>
        <v>1</v>
      </c>
      <c r="BJ4">
        <f>TYPE(All_India_Index_Upto_April23__1[[#This Row],[Personal care and effects]])</f>
        <v>1</v>
      </c>
      <c r="BK4">
        <f>TYPE(All_India_Index_Upto_April23__1[[#This Row],[Miscellaneous]])</f>
        <v>1</v>
      </c>
      <c r="BL4">
        <f>TYPE(All_India_Index_Upto_April23__1[[#This Row],[General index]])</f>
        <v>1</v>
      </c>
    </row>
    <row r="5" spans="1:64" hidden="1" x14ac:dyDescent="0.3">
      <c r="A5" t="s">
        <v>33</v>
      </c>
      <c r="B5">
        <v>2013</v>
      </c>
      <c r="C5" t="s">
        <v>31</v>
      </c>
      <c r="D5">
        <v>108.4</v>
      </c>
      <c r="E5">
        <v>107.3</v>
      </c>
      <c r="F5">
        <v>110</v>
      </c>
      <c r="G5">
        <v>104.4</v>
      </c>
      <c r="H5">
        <v>105.1</v>
      </c>
      <c r="I5">
        <v>103.2</v>
      </c>
      <c r="J5">
        <v>102.2</v>
      </c>
      <c r="K5">
        <v>106</v>
      </c>
      <c r="L5">
        <v>106.2</v>
      </c>
      <c r="M5">
        <v>102.7</v>
      </c>
      <c r="N5">
        <v>104.9</v>
      </c>
      <c r="O5">
        <v>107.3</v>
      </c>
      <c r="P5">
        <v>105.6</v>
      </c>
      <c r="Q5">
        <v>105.1</v>
      </c>
      <c r="R5">
        <v>106.3</v>
      </c>
      <c r="S5">
        <v>105.5</v>
      </c>
      <c r="T5">
        <v>106.2</v>
      </c>
      <c r="U5" t="s">
        <v>90</v>
      </c>
      <c r="V5">
        <v>105.5</v>
      </c>
      <c r="W5">
        <v>104.8</v>
      </c>
      <c r="X5">
        <v>104</v>
      </c>
      <c r="Y5">
        <v>103.2</v>
      </c>
      <c r="Z5">
        <v>103.1</v>
      </c>
      <c r="AA5">
        <v>103.6</v>
      </c>
      <c r="AB5">
        <v>104.5</v>
      </c>
      <c r="AC5">
        <v>103.9</v>
      </c>
      <c r="AD5">
        <v>104.6</v>
      </c>
      <c r="AE5">
        <f>SUM(All_India_Index_Upto_April23__1[[#This Row],[Cereals and products]:[Food and beverages]])</f>
        <v>1373.3000000000002</v>
      </c>
      <c r="AF5">
        <f>SUM(All_India_Index_Upto_April23__1[[#This Row],[Clothing]:[Clothing and footwear]])</f>
        <v>318</v>
      </c>
      <c r="AG5">
        <f t="shared" si="0"/>
        <v>313.5</v>
      </c>
      <c r="AI5">
        <f>TYPE(All_India_Index_Upto_April23__1[[#This Row],[Sector]])</f>
        <v>2</v>
      </c>
      <c r="AJ5">
        <f>TYPE(All_India_Index_Upto_April23__1[[#This Row],[Year]])</f>
        <v>1</v>
      </c>
      <c r="AK5">
        <f>TYPE(All_India_Index_Upto_April23__1[[#This Row],[Month]])</f>
        <v>2</v>
      </c>
      <c r="AL5">
        <f>TYPE(All_India_Index_Upto_April23__1[[#This Row],[Cereals and products]])</f>
        <v>1</v>
      </c>
      <c r="AM5">
        <f>TYPE(All_India_Index_Upto_April23__1[[#This Row],[Meat and fish]])</f>
        <v>1</v>
      </c>
      <c r="AN5">
        <f>TYPE(All_India_Index_Upto_April23__1[[#This Row],[Egg]])</f>
        <v>1</v>
      </c>
      <c r="AO5">
        <f>TYPE(All_India_Index_Upto_April23__1[[#This Row],[Milk and products]])</f>
        <v>1</v>
      </c>
      <c r="AP5">
        <f>TYPE(All_India_Index_Upto_April23__1[[#This Row],[Oils and fats]])</f>
        <v>1</v>
      </c>
      <c r="AQ5">
        <f>TYPE(All_India_Index_Upto_April23__1[[#This Row],[Fruits]])</f>
        <v>1</v>
      </c>
      <c r="AR5">
        <f>TYPE(All_India_Index_Upto_April23__1[[#This Row],[Vegetables]])</f>
        <v>1</v>
      </c>
      <c r="AS5">
        <f>TYPE(All_India_Index_Upto_April23__1[[#This Row],[Pulses and products]])</f>
        <v>1</v>
      </c>
      <c r="AT5">
        <f>TYPE(All_India_Index_Upto_April23__1[[#This Row],[Sugar and Confectionery]])</f>
        <v>1</v>
      </c>
      <c r="AU5">
        <f>TYPE(All_India_Index_Upto_April23__1[[#This Row],[Spices]])</f>
        <v>1</v>
      </c>
      <c r="AV5">
        <f>TYPE(All_India_Index_Upto_April23__1[[#This Row],[Non-alcoholic beverages]])</f>
        <v>1</v>
      </c>
      <c r="AW5">
        <f>TYPE(All_India_Index_Upto_April23__1[[#This Row],[Prepared meals, snacks, sweets etc.]])</f>
        <v>1</v>
      </c>
      <c r="AX5">
        <f>TYPE(All_India_Index_Upto_April23__1[[#This Row],[Food and beverages]])</f>
        <v>1</v>
      </c>
      <c r="AY5">
        <f>TYPE(All_India_Index_Upto_April23__1[[#This Row],[Pan, tobacco and intoxicants]])</f>
        <v>1</v>
      </c>
      <c r="AZ5">
        <f>TYPE(All_India_Index_Upto_April23__1[[#This Row],[Clothing]])</f>
        <v>1</v>
      </c>
      <c r="BA5">
        <f>TYPE(All_India_Index_Upto_April23__1[[#This Row],[Footwear]])</f>
        <v>1</v>
      </c>
      <c r="BB5">
        <f>TYPE(All_India_Index_Upto_April23__1[[#This Row],[Clothing and footwear]])</f>
        <v>1</v>
      </c>
      <c r="BC5">
        <f>TYPE(All_India_Index_Upto_April23__1[[#This Row],[Housing]])</f>
        <v>2</v>
      </c>
      <c r="BD5">
        <f>TYPE(All_India_Index_Upto_April23__1[[#This Row],[Fuel and light]])</f>
        <v>1</v>
      </c>
      <c r="BE5">
        <f>TYPE(All_India_Index_Upto_April23__1[[#This Row],[Household goods and services]])</f>
        <v>1</v>
      </c>
      <c r="BF5">
        <f>TYPE(All_India_Index_Upto_April23__1[[#This Row],[Health]])</f>
        <v>1</v>
      </c>
      <c r="BG5">
        <f>TYPE(All_India_Index_Upto_April23__1[[#This Row],[Transport and communication]])</f>
        <v>1</v>
      </c>
      <c r="BH5">
        <f>TYPE(All_India_Index_Upto_April23__1[[#This Row],[Recreation and amusement]])</f>
        <v>1</v>
      </c>
      <c r="BI5">
        <f>TYPE(All_India_Index_Upto_April23__1[[#This Row],[Education]])</f>
        <v>1</v>
      </c>
      <c r="BJ5">
        <f>TYPE(All_India_Index_Upto_April23__1[[#This Row],[Personal care and effects]])</f>
        <v>1</v>
      </c>
      <c r="BK5">
        <f>TYPE(All_India_Index_Upto_April23__1[[#This Row],[Miscellaneous]])</f>
        <v>1</v>
      </c>
      <c r="BL5">
        <f>TYPE(All_India_Index_Upto_April23__1[[#This Row],[General index]])</f>
        <v>1</v>
      </c>
    </row>
    <row r="6" spans="1:64" hidden="1" x14ac:dyDescent="0.3">
      <c r="A6" t="s">
        <v>30</v>
      </c>
      <c r="B6">
        <v>2013</v>
      </c>
      <c r="C6" t="s">
        <v>34</v>
      </c>
      <c r="D6">
        <v>109.2</v>
      </c>
      <c r="E6">
        <v>108.7</v>
      </c>
      <c r="F6">
        <v>110.2</v>
      </c>
      <c r="G6">
        <v>105.4</v>
      </c>
      <c r="H6">
        <v>106.7</v>
      </c>
      <c r="I6">
        <v>104</v>
      </c>
      <c r="J6">
        <v>102.4</v>
      </c>
      <c r="K6">
        <v>105.9</v>
      </c>
      <c r="L6">
        <v>105.7</v>
      </c>
      <c r="M6">
        <v>103.1</v>
      </c>
      <c r="N6">
        <v>105.1</v>
      </c>
      <c r="O6">
        <v>107.7</v>
      </c>
      <c r="P6">
        <v>106.3</v>
      </c>
      <c r="Q6">
        <v>105.6</v>
      </c>
      <c r="R6">
        <v>107.1</v>
      </c>
      <c r="S6">
        <v>106.3</v>
      </c>
      <c r="T6">
        <v>107</v>
      </c>
      <c r="U6" t="s">
        <v>89</v>
      </c>
      <c r="V6">
        <v>106.2</v>
      </c>
      <c r="W6">
        <v>105.2</v>
      </c>
      <c r="X6">
        <v>104.4</v>
      </c>
      <c r="Y6">
        <v>103.9</v>
      </c>
      <c r="Z6">
        <v>104</v>
      </c>
      <c r="AA6">
        <v>104.1</v>
      </c>
      <c r="AB6">
        <v>104.6</v>
      </c>
      <c r="AC6">
        <v>104.4</v>
      </c>
      <c r="AD6">
        <v>105.8</v>
      </c>
      <c r="AE6">
        <f>SUM(All_India_Index_Upto_April23__1[[#This Row],[Cereals and products]:[Food and beverages]])</f>
        <v>1380.3999999999999</v>
      </c>
      <c r="AF6">
        <f>SUM(All_India_Index_Upto_April23__1[[#This Row],[Clothing]:[Clothing and footwear]])</f>
        <v>320.39999999999998</v>
      </c>
      <c r="AG6">
        <f t="shared" si="0"/>
        <v>315.3</v>
      </c>
      <c r="AI6">
        <f>TYPE(All_India_Index_Upto_April23__1[[#This Row],[Sector]])</f>
        <v>2</v>
      </c>
      <c r="AJ6">
        <f>TYPE(All_India_Index_Upto_April23__1[[#This Row],[Year]])</f>
        <v>1</v>
      </c>
      <c r="AK6">
        <f>TYPE(All_India_Index_Upto_April23__1[[#This Row],[Month]])</f>
        <v>2</v>
      </c>
      <c r="AL6">
        <f>TYPE(All_India_Index_Upto_April23__1[[#This Row],[Cereals and products]])</f>
        <v>1</v>
      </c>
      <c r="AM6">
        <f>TYPE(All_India_Index_Upto_April23__1[[#This Row],[Meat and fish]])</f>
        <v>1</v>
      </c>
      <c r="AN6">
        <f>TYPE(All_India_Index_Upto_April23__1[[#This Row],[Egg]])</f>
        <v>1</v>
      </c>
      <c r="AO6">
        <f>TYPE(All_India_Index_Upto_April23__1[[#This Row],[Milk and products]])</f>
        <v>1</v>
      </c>
      <c r="AP6">
        <f>TYPE(All_India_Index_Upto_April23__1[[#This Row],[Oils and fats]])</f>
        <v>1</v>
      </c>
      <c r="AQ6">
        <f>TYPE(All_India_Index_Upto_April23__1[[#This Row],[Fruits]])</f>
        <v>1</v>
      </c>
      <c r="AR6">
        <f>TYPE(All_India_Index_Upto_April23__1[[#This Row],[Vegetables]])</f>
        <v>1</v>
      </c>
      <c r="AS6">
        <f>TYPE(All_India_Index_Upto_April23__1[[#This Row],[Pulses and products]])</f>
        <v>1</v>
      </c>
      <c r="AT6">
        <f>TYPE(All_India_Index_Upto_April23__1[[#This Row],[Sugar and Confectionery]])</f>
        <v>1</v>
      </c>
      <c r="AU6">
        <f>TYPE(All_India_Index_Upto_April23__1[[#This Row],[Spices]])</f>
        <v>1</v>
      </c>
      <c r="AV6">
        <f>TYPE(All_India_Index_Upto_April23__1[[#This Row],[Non-alcoholic beverages]])</f>
        <v>1</v>
      </c>
      <c r="AW6">
        <f>TYPE(All_India_Index_Upto_April23__1[[#This Row],[Prepared meals, snacks, sweets etc.]])</f>
        <v>1</v>
      </c>
      <c r="AX6">
        <f>TYPE(All_India_Index_Upto_April23__1[[#This Row],[Food and beverages]])</f>
        <v>1</v>
      </c>
      <c r="AY6">
        <f>TYPE(All_India_Index_Upto_April23__1[[#This Row],[Pan, tobacco and intoxicants]])</f>
        <v>1</v>
      </c>
      <c r="AZ6">
        <f>TYPE(All_India_Index_Upto_April23__1[[#This Row],[Clothing]])</f>
        <v>1</v>
      </c>
      <c r="BA6">
        <f>TYPE(All_India_Index_Upto_April23__1[[#This Row],[Footwear]])</f>
        <v>1</v>
      </c>
      <c r="BB6">
        <f>TYPE(All_India_Index_Upto_April23__1[[#This Row],[Clothing and footwear]])</f>
        <v>1</v>
      </c>
      <c r="BC6">
        <f>TYPE(All_India_Index_Upto_April23__1[[#This Row],[Housing]])</f>
        <v>2</v>
      </c>
      <c r="BD6">
        <f>TYPE(All_India_Index_Upto_April23__1[[#This Row],[Fuel and light]])</f>
        <v>1</v>
      </c>
      <c r="BE6">
        <f>TYPE(All_India_Index_Upto_April23__1[[#This Row],[Household goods and services]])</f>
        <v>1</v>
      </c>
      <c r="BF6">
        <f>TYPE(All_India_Index_Upto_April23__1[[#This Row],[Health]])</f>
        <v>1</v>
      </c>
      <c r="BG6">
        <f>TYPE(All_India_Index_Upto_April23__1[[#This Row],[Transport and communication]])</f>
        <v>1</v>
      </c>
      <c r="BH6">
        <f>TYPE(All_India_Index_Upto_April23__1[[#This Row],[Recreation and amusement]])</f>
        <v>1</v>
      </c>
      <c r="BI6">
        <f>TYPE(All_India_Index_Upto_April23__1[[#This Row],[Education]])</f>
        <v>1</v>
      </c>
      <c r="BJ6">
        <f>TYPE(All_India_Index_Upto_April23__1[[#This Row],[Personal care and effects]])</f>
        <v>1</v>
      </c>
      <c r="BK6">
        <f>TYPE(All_India_Index_Upto_April23__1[[#This Row],[Miscellaneous]])</f>
        <v>1</v>
      </c>
      <c r="BL6">
        <f>TYPE(All_India_Index_Upto_April23__1[[#This Row],[General index]])</f>
        <v>1</v>
      </c>
    </row>
    <row r="7" spans="1:64" hidden="1" x14ac:dyDescent="0.3">
      <c r="A7" t="s">
        <v>32</v>
      </c>
      <c r="B7">
        <v>2013</v>
      </c>
      <c r="C7" t="s">
        <v>34</v>
      </c>
      <c r="D7">
        <v>112.9</v>
      </c>
      <c r="E7">
        <v>112.9</v>
      </c>
      <c r="F7">
        <v>116.9</v>
      </c>
      <c r="G7">
        <v>104</v>
      </c>
      <c r="H7">
        <v>103.5</v>
      </c>
      <c r="I7">
        <v>103.1</v>
      </c>
      <c r="J7">
        <v>104.9</v>
      </c>
      <c r="K7">
        <v>104.1</v>
      </c>
      <c r="L7">
        <v>103.8</v>
      </c>
      <c r="M7">
        <v>102.3</v>
      </c>
      <c r="N7">
        <v>106</v>
      </c>
      <c r="O7">
        <v>109</v>
      </c>
      <c r="P7">
        <v>107.2</v>
      </c>
      <c r="Q7">
        <v>106</v>
      </c>
      <c r="R7">
        <v>106.6</v>
      </c>
      <c r="S7">
        <v>105.5</v>
      </c>
      <c r="T7">
        <v>106.4</v>
      </c>
      <c r="U7" t="s">
        <v>91</v>
      </c>
      <c r="V7">
        <v>105.7</v>
      </c>
      <c r="W7">
        <v>105.2</v>
      </c>
      <c r="X7">
        <v>104.7</v>
      </c>
      <c r="Y7">
        <v>104.4</v>
      </c>
      <c r="Z7">
        <v>103.3</v>
      </c>
      <c r="AA7">
        <v>103.7</v>
      </c>
      <c r="AB7">
        <v>104.3</v>
      </c>
      <c r="AC7">
        <v>104.3</v>
      </c>
      <c r="AD7">
        <v>104.7</v>
      </c>
      <c r="AE7">
        <f>SUM(All_India_Index_Upto_April23__1[[#This Row],[Cereals and products]:[Food and beverages]])</f>
        <v>1390.6000000000001</v>
      </c>
      <c r="AF7">
        <f>SUM(All_India_Index_Upto_April23__1[[#This Row],[Clothing]:[Clothing and footwear]])</f>
        <v>318.5</v>
      </c>
      <c r="AG7">
        <f t="shared" si="0"/>
        <v>315.3</v>
      </c>
      <c r="AI7">
        <f>TYPE(All_India_Index_Upto_April23__1[[#This Row],[Sector]])</f>
        <v>2</v>
      </c>
      <c r="AJ7">
        <f>TYPE(All_India_Index_Upto_April23__1[[#This Row],[Year]])</f>
        <v>1</v>
      </c>
      <c r="AK7">
        <f>TYPE(All_India_Index_Upto_April23__1[[#This Row],[Month]])</f>
        <v>2</v>
      </c>
      <c r="AL7">
        <f>TYPE(All_India_Index_Upto_April23__1[[#This Row],[Cereals and products]])</f>
        <v>1</v>
      </c>
      <c r="AM7">
        <f>TYPE(All_India_Index_Upto_April23__1[[#This Row],[Meat and fish]])</f>
        <v>1</v>
      </c>
      <c r="AN7">
        <f>TYPE(All_India_Index_Upto_April23__1[[#This Row],[Egg]])</f>
        <v>1</v>
      </c>
      <c r="AO7">
        <f>TYPE(All_India_Index_Upto_April23__1[[#This Row],[Milk and products]])</f>
        <v>1</v>
      </c>
      <c r="AP7">
        <f>TYPE(All_India_Index_Upto_April23__1[[#This Row],[Oils and fats]])</f>
        <v>1</v>
      </c>
      <c r="AQ7">
        <f>TYPE(All_India_Index_Upto_April23__1[[#This Row],[Fruits]])</f>
        <v>1</v>
      </c>
      <c r="AR7">
        <f>TYPE(All_India_Index_Upto_April23__1[[#This Row],[Vegetables]])</f>
        <v>1</v>
      </c>
      <c r="AS7">
        <f>TYPE(All_India_Index_Upto_April23__1[[#This Row],[Pulses and products]])</f>
        <v>1</v>
      </c>
      <c r="AT7">
        <f>TYPE(All_India_Index_Upto_April23__1[[#This Row],[Sugar and Confectionery]])</f>
        <v>1</v>
      </c>
      <c r="AU7">
        <f>TYPE(All_India_Index_Upto_April23__1[[#This Row],[Spices]])</f>
        <v>1</v>
      </c>
      <c r="AV7">
        <f>TYPE(All_India_Index_Upto_April23__1[[#This Row],[Non-alcoholic beverages]])</f>
        <v>1</v>
      </c>
      <c r="AW7">
        <f>TYPE(All_India_Index_Upto_April23__1[[#This Row],[Prepared meals, snacks, sweets etc.]])</f>
        <v>1</v>
      </c>
      <c r="AX7">
        <f>TYPE(All_India_Index_Upto_April23__1[[#This Row],[Food and beverages]])</f>
        <v>1</v>
      </c>
      <c r="AY7">
        <f>TYPE(All_India_Index_Upto_April23__1[[#This Row],[Pan, tobacco and intoxicants]])</f>
        <v>1</v>
      </c>
      <c r="AZ7">
        <f>TYPE(All_India_Index_Upto_April23__1[[#This Row],[Clothing]])</f>
        <v>1</v>
      </c>
      <c r="BA7">
        <f>TYPE(All_India_Index_Upto_April23__1[[#This Row],[Footwear]])</f>
        <v>1</v>
      </c>
      <c r="BB7">
        <f>TYPE(All_India_Index_Upto_April23__1[[#This Row],[Clothing and footwear]])</f>
        <v>1</v>
      </c>
      <c r="BC7">
        <f>TYPE(All_India_Index_Upto_April23__1[[#This Row],[Housing]])</f>
        <v>2</v>
      </c>
      <c r="BD7">
        <f>TYPE(All_India_Index_Upto_April23__1[[#This Row],[Fuel and light]])</f>
        <v>1</v>
      </c>
      <c r="BE7">
        <f>TYPE(All_India_Index_Upto_April23__1[[#This Row],[Household goods and services]])</f>
        <v>1</v>
      </c>
      <c r="BF7">
        <f>TYPE(All_India_Index_Upto_April23__1[[#This Row],[Health]])</f>
        <v>1</v>
      </c>
      <c r="BG7">
        <f>TYPE(All_India_Index_Upto_April23__1[[#This Row],[Transport and communication]])</f>
        <v>1</v>
      </c>
      <c r="BH7">
        <f>TYPE(All_India_Index_Upto_April23__1[[#This Row],[Recreation and amusement]])</f>
        <v>1</v>
      </c>
      <c r="BI7">
        <f>TYPE(All_India_Index_Upto_April23__1[[#This Row],[Education]])</f>
        <v>1</v>
      </c>
      <c r="BJ7">
        <f>TYPE(All_India_Index_Upto_April23__1[[#This Row],[Personal care and effects]])</f>
        <v>1</v>
      </c>
      <c r="BK7">
        <f>TYPE(All_India_Index_Upto_April23__1[[#This Row],[Miscellaneous]])</f>
        <v>1</v>
      </c>
      <c r="BL7">
        <f>TYPE(All_India_Index_Upto_April23__1[[#This Row],[General index]])</f>
        <v>1</v>
      </c>
    </row>
    <row r="8" spans="1:64" hidden="1" x14ac:dyDescent="0.3">
      <c r="A8" t="s">
        <v>33</v>
      </c>
      <c r="B8">
        <v>2013</v>
      </c>
      <c r="C8" t="s">
        <v>34</v>
      </c>
      <c r="D8">
        <v>110.4</v>
      </c>
      <c r="E8">
        <v>110.2</v>
      </c>
      <c r="F8">
        <v>112.8</v>
      </c>
      <c r="G8">
        <v>104.9</v>
      </c>
      <c r="H8">
        <v>105.5</v>
      </c>
      <c r="I8">
        <v>103.6</v>
      </c>
      <c r="J8">
        <v>103.2</v>
      </c>
      <c r="K8">
        <v>105.3</v>
      </c>
      <c r="L8">
        <v>105.1</v>
      </c>
      <c r="M8">
        <v>102.8</v>
      </c>
      <c r="N8">
        <v>105.5</v>
      </c>
      <c r="O8">
        <v>108.3</v>
      </c>
      <c r="P8">
        <v>106.6</v>
      </c>
      <c r="Q8">
        <v>105.7</v>
      </c>
      <c r="R8">
        <v>106.9</v>
      </c>
      <c r="S8">
        <v>106</v>
      </c>
      <c r="T8">
        <v>106.8</v>
      </c>
      <c r="U8" t="s">
        <v>91</v>
      </c>
      <c r="V8">
        <v>106</v>
      </c>
      <c r="W8">
        <v>105.2</v>
      </c>
      <c r="X8">
        <v>104.5</v>
      </c>
      <c r="Y8">
        <v>104.2</v>
      </c>
      <c r="Z8">
        <v>103.6</v>
      </c>
      <c r="AA8">
        <v>103.9</v>
      </c>
      <c r="AB8">
        <v>104.5</v>
      </c>
      <c r="AC8">
        <v>104.4</v>
      </c>
      <c r="AD8">
        <v>105.3</v>
      </c>
      <c r="AE8">
        <f>SUM(All_India_Index_Upto_April23__1[[#This Row],[Cereals and products]:[Food and beverages]])</f>
        <v>1384.2</v>
      </c>
      <c r="AF8">
        <f>SUM(All_India_Index_Upto_April23__1[[#This Row],[Clothing]:[Clothing and footwear]])</f>
        <v>319.7</v>
      </c>
      <c r="AG8">
        <f t="shared" si="0"/>
        <v>315.39999999999998</v>
      </c>
      <c r="AI8">
        <f>TYPE(All_India_Index_Upto_April23__1[[#This Row],[Sector]])</f>
        <v>2</v>
      </c>
      <c r="AJ8">
        <f>TYPE(All_India_Index_Upto_April23__1[[#This Row],[Year]])</f>
        <v>1</v>
      </c>
      <c r="AK8">
        <f>TYPE(All_India_Index_Upto_April23__1[[#This Row],[Month]])</f>
        <v>2</v>
      </c>
      <c r="AL8">
        <f>TYPE(All_India_Index_Upto_April23__1[[#This Row],[Cereals and products]])</f>
        <v>1</v>
      </c>
      <c r="AM8">
        <f>TYPE(All_India_Index_Upto_April23__1[[#This Row],[Meat and fish]])</f>
        <v>1</v>
      </c>
      <c r="AN8">
        <f>TYPE(All_India_Index_Upto_April23__1[[#This Row],[Egg]])</f>
        <v>1</v>
      </c>
      <c r="AO8">
        <f>TYPE(All_India_Index_Upto_April23__1[[#This Row],[Milk and products]])</f>
        <v>1</v>
      </c>
      <c r="AP8">
        <f>TYPE(All_India_Index_Upto_April23__1[[#This Row],[Oils and fats]])</f>
        <v>1</v>
      </c>
      <c r="AQ8">
        <f>TYPE(All_India_Index_Upto_April23__1[[#This Row],[Fruits]])</f>
        <v>1</v>
      </c>
      <c r="AR8">
        <f>TYPE(All_India_Index_Upto_April23__1[[#This Row],[Vegetables]])</f>
        <v>1</v>
      </c>
      <c r="AS8">
        <f>TYPE(All_India_Index_Upto_April23__1[[#This Row],[Pulses and products]])</f>
        <v>1</v>
      </c>
      <c r="AT8">
        <f>TYPE(All_India_Index_Upto_April23__1[[#This Row],[Sugar and Confectionery]])</f>
        <v>1</v>
      </c>
      <c r="AU8">
        <f>TYPE(All_India_Index_Upto_April23__1[[#This Row],[Spices]])</f>
        <v>1</v>
      </c>
      <c r="AV8">
        <f>TYPE(All_India_Index_Upto_April23__1[[#This Row],[Non-alcoholic beverages]])</f>
        <v>1</v>
      </c>
      <c r="AW8">
        <f>TYPE(All_India_Index_Upto_April23__1[[#This Row],[Prepared meals, snacks, sweets etc.]])</f>
        <v>1</v>
      </c>
      <c r="AX8">
        <f>TYPE(All_India_Index_Upto_April23__1[[#This Row],[Food and beverages]])</f>
        <v>1</v>
      </c>
      <c r="AY8">
        <f>TYPE(All_India_Index_Upto_April23__1[[#This Row],[Pan, tobacco and intoxicants]])</f>
        <v>1</v>
      </c>
      <c r="AZ8">
        <f>TYPE(All_India_Index_Upto_April23__1[[#This Row],[Clothing]])</f>
        <v>1</v>
      </c>
      <c r="BA8">
        <f>TYPE(All_India_Index_Upto_April23__1[[#This Row],[Footwear]])</f>
        <v>1</v>
      </c>
      <c r="BB8">
        <f>TYPE(All_India_Index_Upto_April23__1[[#This Row],[Clothing and footwear]])</f>
        <v>1</v>
      </c>
      <c r="BC8">
        <f>TYPE(All_India_Index_Upto_April23__1[[#This Row],[Housing]])</f>
        <v>2</v>
      </c>
      <c r="BD8">
        <f>TYPE(All_India_Index_Upto_April23__1[[#This Row],[Fuel and light]])</f>
        <v>1</v>
      </c>
      <c r="BE8">
        <f>TYPE(All_India_Index_Upto_April23__1[[#This Row],[Household goods and services]])</f>
        <v>1</v>
      </c>
      <c r="BF8">
        <f>TYPE(All_India_Index_Upto_April23__1[[#This Row],[Health]])</f>
        <v>1</v>
      </c>
      <c r="BG8">
        <f>TYPE(All_India_Index_Upto_April23__1[[#This Row],[Transport and communication]])</f>
        <v>1</v>
      </c>
      <c r="BH8">
        <f>TYPE(All_India_Index_Upto_April23__1[[#This Row],[Recreation and amusement]])</f>
        <v>1</v>
      </c>
      <c r="BI8">
        <f>TYPE(All_India_Index_Upto_April23__1[[#This Row],[Education]])</f>
        <v>1</v>
      </c>
      <c r="BJ8">
        <f>TYPE(All_India_Index_Upto_April23__1[[#This Row],[Personal care and effects]])</f>
        <v>1</v>
      </c>
      <c r="BK8">
        <f>TYPE(All_India_Index_Upto_April23__1[[#This Row],[Miscellaneous]])</f>
        <v>1</v>
      </c>
      <c r="BL8">
        <f>TYPE(All_India_Index_Upto_April23__1[[#This Row],[General index]])</f>
        <v>1</v>
      </c>
    </row>
    <row r="9" spans="1:64" hidden="1" x14ac:dyDescent="0.3">
      <c r="A9" t="s">
        <v>30</v>
      </c>
      <c r="B9">
        <v>2013</v>
      </c>
      <c r="C9" t="s">
        <v>35</v>
      </c>
      <c r="D9">
        <v>110.2</v>
      </c>
      <c r="E9">
        <v>108.8</v>
      </c>
      <c r="F9">
        <v>109.9</v>
      </c>
      <c r="G9">
        <v>105.6</v>
      </c>
      <c r="H9">
        <v>106.2</v>
      </c>
      <c r="I9">
        <v>105.7</v>
      </c>
      <c r="J9">
        <v>101.4</v>
      </c>
      <c r="K9">
        <v>105.7</v>
      </c>
      <c r="L9">
        <v>105</v>
      </c>
      <c r="M9">
        <v>103.3</v>
      </c>
      <c r="N9">
        <v>105.6</v>
      </c>
      <c r="O9">
        <v>108.2</v>
      </c>
      <c r="P9">
        <v>106.6</v>
      </c>
      <c r="Q9">
        <v>106.5</v>
      </c>
      <c r="R9">
        <v>107.6</v>
      </c>
      <c r="S9">
        <v>106.8</v>
      </c>
      <c r="T9">
        <v>107.5</v>
      </c>
      <c r="U9" t="s">
        <v>89</v>
      </c>
      <c r="V9">
        <v>106.1</v>
      </c>
      <c r="W9">
        <v>105.6</v>
      </c>
      <c r="X9">
        <v>104.7</v>
      </c>
      <c r="Y9">
        <v>104.6</v>
      </c>
      <c r="Z9">
        <v>104</v>
      </c>
      <c r="AA9">
        <v>104.3</v>
      </c>
      <c r="AB9">
        <v>104.3</v>
      </c>
      <c r="AC9">
        <v>104.6</v>
      </c>
      <c r="AD9">
        <v>106</v>
      </c>
      <c r="AE9">
        <f>SUM(All_India_Index_Upto_April23__1[[#This Row],[Cereals and products]:[Food and beverages]])</f>
        <v>1382.2</v>
      </c>
      <c r="AF9">
        <f>SUM(All_India_Index_Upto_April23__1[[#This Row],[Clothing]:[Clothing and footwear]])</f>
        <v>321.89999999999998</v>
      </c>
      <c r="AG9">
        <f t="shared" si="0"/>
        <v>316.29999999999995</v>
      </c>
      <c r="AI9">
        <f>TYPE(All_India_Index_Upto_April23__1[[#This Row],[Sector]])</f>
        <v>2</v>
      </c>
      <c r="AJ9">
        <f>TYPE(All_India_Index_Upto_April23__1[[#This Row],[Year]])</f>
        <v>1</v>
      </c>
      <c r="AK9">
        <f>TYPE(All_India_Index_Upto_April23__1[[#This Row],[Month]])</f>
        <v>2</v>
      </c>
      <c r="AL9">
        <f>TYPE(All_India_Index_Upto_April23__1[[#This Row],[Cereals and products]])</f>
        <v>1</v>
      </c>
      <c r="AM9">
        <f>TYPE(All_India_Index_Upto_April23__1[[#This Row],[Meat and fish]])</f>
        <v>1</v>
      </c>
      <c r="AN9">
        <f>TYPE(All_India_Index_Upto_April23__1[[#This Row],[Egg]])</f>
        <v>1</v>
      </c>
      <c r="AO9">
        <f>TYPE(All_India_Index_Upto_April23__1[[#This Row],[Milk and products]])</f>
        <v>1</v>
      </c>
      <c r="AP9">
        <f>TYPE(All_India_Index_Upto_April23__1[[#This Row],[Oils and fats]])</f>
        <v>1</v>
      </c>
      <c r="AQ9">
        <f>TYPE(All_India_Index_Upto_April23__1[[#This Row],[Fruits]])</f>
        <v>1</v>
      </c>
      <c r="AR9">
        <f>TYPE(All_India_Index_Upto_April23__1[[#This Row],[Vegetables]])</f>
        <v>1</v>
      </c>
      <c r="AS9">
        <f>TYPE(All_India_Index_Upto_April23__1[[#This Row],[Pulses and products]])</f>
        <v>1</v>
      </c>
      <c r="AT9">
        <f>TYPE(All_India_Index_Upto_April23__1[[#This Row],[Sugar and Confectionery]])</f>
        <v>1</v>
      </c>
      <c r="AU9">
        <f>TYPE(All_India_Index_Upto_April23__1[[#This Row],[Spices]])</f>
        <v>1</v>
      </c>
      <c r="AV9">
        <f>TYPE(All_India_Index_Upto_April23__1[[#This Row],[Non-alcoholic beverages]])</f>
        <v>1</v>
      </c>
      <c r="AW9">
        <f>TYPE(All_India_Index_Upto_April23__1[[#This Row],[Prepared meals, snacks, sweets etc.]])</f>
        <v>1</v>
      </c>
      <c r="AX9">
        <f>TYPE(All_India_Index_Upto_April23__1[[#This Row],[Food and beverages]])</f>
        <v>1</v>
      </c>
      <c r="AY9">
        <f>TYPE(All_India_Index_Upto_April23__1[[#This Row],[Pan, tobacco and intoxicants]])</f>
        <v>1</v>
      </c>
      <c r="AZ9">
        <f>TYPE(All_India_Index_Upto_April23__1[[#This Row],[Clothing]])</f>
        <v>1</v>
      </c>
      <c r="BA9">
        <f>TYPE(All_India_Index_Upto_April23__1[[#This Row],[Footwear]])</f>
        <v>1</v>
      </c>
      <c r="BB9">
        <f>TYPE(All_India_Index_Upto_April23__1[[#This Row],[Clothing and footwear]])</f>
        <v>1</v>
      </c>
      <c r="BC9">
        <f>TYPE(All_India_Index_Upto_April23__1[[#This Row],[Housing]])</f>
        <v>2</v>
      </c>
      <c r="BD9">
        <f>TYPE(All_India_Index_Upto_April23__1[[#This Row],[Fuel and light]])</f>
        <v>1</v>
      </c>
      <c r="BE9">
        <f>TYPE(All_India_Index_Upto_April23__1[[#This Row],[Household goods and services]])</f>
        <v>1</v>
      </c>
      <c r="BF9">
        <f>TYPE(All_India_Index_Upto_April23__1[[#This Row],[Health]])</f>
        <v>1</v>
      </c>
      <c r="BG9">
        <f>TYPE(All_India_Index_Upto_April23__1[[#This Row],[Transport and communication]])</f>
        <v>1</v>
      </c>
      <c r="BH9">
        <f>TYPE(All_India_Index_Upto_April23__1[[#This Row],[Recreation and amusement]])</f>
        <v>1</v>
      </c>
      <c r="BI9">
        <f>TYPE(All_India_Index_Upto_April23__1[[#This Row],[Education]])</f>
        <v>1</v>
      </c>
      <c r="BJ9">
        <f>TYPE(All_India_Index_Upto_April23__1[[#This Row],[Personal care and effects]])</f>
        <v>1</v>
      </c>
      <c r="BK9">
        <f>TYPE(All_India_Index_Upto_April23__1[[#This Row],[Miscellaneous]])</f>
        <v>1</v>
      </c>
      <c r="BL9">
        <f>TYPE(All_India_Index_Upto_April23__1[[#This Row],[General index]])</f>
        <v>1</v>
      </c>
    </row>
    <row r="10" spans="1:64" hidden="1" x14ac:dyDescent="0.3">
      <c r="A10" t="s">
        <v>32</v>
      </c>
      <c r="B10">
        <v>2013</v>
      </c>
      <c r="C10" t="s">
        <v>35</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t="s">
        <v>91</v>
      </c>
      <c r="V10">
        <v>106</v>
      </c>
      <c r="W10">
        <v>105.7</v>
      </c>
      <c r="X10">
        <v>105.2</v>
      </c>
      <c r="Y10">
        <v>105.5</v>
      </c>
      <c r="Z10">
        <v>103.5</v>
      </c>
      <c r="AA10">
        <v>103.8</v>
      </c>
      <c r="AB10">
        <v>104.2</v>
      </c>
      <c r="AC10">
        <v>104.9</v>
      </c>
      <c r="AD10">
        <v>105</v>
      </c>
      <c r="AE10">
        <f>SUM(All_India_Index_Upto_April23__1[[#This Row],[Cereals and products]:[Food and beverages]])</f>
        <v>1386.8</v>
      </c>
      <c r="AF10">
        <f>SUM(All_India_Index_Upto_April23__1[[#This Row],[Clothing]:[Clothing and footwear]])</f>
        <v>320.2</v>
      </c>
      <c r="AG10">
        <f t="shared" si="0"/>
        <v>317.2</v>
      </c>
      <c r="AI10">
        <f>TYPE(All_India_Index_Upto_April23__1[[#This Row],[Sector]])</f>
        <v>2</v>
      </c>
      <c r="AJ10">
        <f>TYPE(All_India_Index_Upto_April23__1[[#This Row],[Year]])</f>
        <v>1</v>
      </c>
      <c r="AK10">
        <f>TYPE(All_India_Index_Upto_April23__1[[#This Row],[Month]])</f>
        <v>2</v>
      </c>
      <c r="AL10">
        <f>TYPE(All_India_Index_Upto_April23__1[[#This Row],[Cereals and products]])</f>
        <v>1</v>
      </c>
      <c r="AM10">
        <f>TYPE(All_India_Index_Upto_April23__1[[#This Row],[Meat and fish]])</f>
        <v>1</v>
      </c>
      <c r="AN10">
        <f>TYPE(All_India_Index_Upto_April23__1[[#This Row],[Egg]])</f>
        <v>1</v>
      </c>
      <c r="AO10">
        <f>TYPE(All_India_Index_Upto_April23__1[[#This Row],[Milk and products]])</f>
        <v>1</v>
      </c>
      <c r="AP10">
        <f>TYPE(All_India_Index_Upto_April23__1[[#This Row],[Oils and fats]])</f>
        <v>1</v>
      </c>
      <c r="AQ10">
        <f>TYPE(All_India_Index_Upto_April23__1[[#This Row],[Fruits]])</f>
        <v>1</v>
      </c>
      <c r="AR10">
        <f>TYPE(All_India_Index_Upto_April23__1[[#This Row],[Vegetables]])</f>
        <v>1</v>
      </c>
      <c r="AS10">
        <f>TYPE(All_India_Index_Upto_April23__1[[#This Row],[Pulses and products]])</f>
        <v>1</v>
      </c>
      <c r="AT10">
        <f>TYPE(All_India_Index_Upto_April23__1[[#This Row],[Sugar and Confectionery]])</f>
        <v>1</v>
      </c>
      <c r="AU10">
        <f>TYPE(All_India_Index_Upto_April23__1[[#This Row],[Spices]])</f>
        <v>1</v>
      </c>
      <c r="AV10">
        <f>TYPE(All_India_Index_Upto_April23__1[[#This Row],[Non-alcoholic beverages]])</f>
        <v>1</v>
      </c>
      <c r="AW10">
        <f>TYPE(All_India_Index_Upto_April23__1[[#This Row],[Prepared meals, snacks, sweets etc.]])</f>
        <v>1</v>
      </c>
      <c r="AX10">
        <f>TYPE(All_India_Index_Upto_April23__1[[#This Row],[Food and beverages]])</f>
        <v>1</v>
      </c>
      <c r="AY10">
        <f>TYPE(All_India_Index_Upto_April23__1[[#This Row],[Pan, tobacco and intoxicants]])</f>
        <v>1</v>
      </c>
      <c r="AZ10">
        <f>TYPE(All_India_Index_Upto_April23__1[[#This Row],[Clothing]])</f>
        <v>1</v>
      </c>
      <c r="BA10">
        <f>TYPE(All_India_Index_Upto_April23__1[[#This Row],[Footwear]])</f>
        <v>1</v>
      </c>
      <c r="BB10">
        <f>TYPE(All_India_Index_Upto_April23__1[[#This Row],[Clothing and footwear]])</f>
        <v>1</v>
      </c>
      <c r="BC10">
        <f>TYPE(All_India_Index_Upto_April23__1[[#This Row],[Housing]])</f>
        <v>2</v>
      </c>
      <c r="BD10">
        <f>TYPE(All_India_Index_Upto_April23__1[[#This Row],[Fuel and light]])</f>
        <v>1</v>
      </c>
      <c r="BE10">
        <f>TYPE(All_India_Index_Upto_April23__1[[#This Row],[Household goods and services]])</f>
        <v>1</v>
      </c>
      <c r="BF10">
        <f>TYPE(All_India_Index_Upto_April23__1[[#This Row],[Health]])</f>
        <v>1</v>
      </c>
      <c r="BG10">
        <f>TYPE(All_India_Index_Upto_April23__1[[#This Row],[Transport and communication]])</f>
        <v>1</v>
      </c>
      <c r="BH10">
        <f>TYPE(All_India_Index_Upto_April23__1[[#This Row],[Recreation and amusement]])</f>
        <v>1</v>
      </c>
      <c r="BI10">
        <f>TYPE(All_India_Index_Upto_April23__1[[#This Row],[Education]])</f>
        <v>1</v>
      </c>
      <c r="BJ10">
        <f>TYPE(All_India_Index_Upto_April23__1[[#This Row],[Personal care and effects]])</f>
        <v>1</v>
      </c>
      <c r="BK10">
        <f>TYPE(All_India_Index_Upto_April23__1[[#This Row],[Miscellaneous]])</f>
        <v>1</v>
      </c>
      <c r="BL10">
        <f>TYPE(All_India_Index_Upto_April23__1[[#This Row],[General index]])</f>
        <v>1</v>
      </c>
    </row>
    <row r="11" spans="1:64" hidden="1" x14ac:dyDescent="0.3">
      <c r="A11" t="s">
        <v>33</v>
      </c>
      <c r="B11">
        <v>2013</v>
      </c>
      <c r="C11" t="s">
        <v>35</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t="s">
        <v>91</v>
      </c>
      <c r="V11">
        <v>106.1</v>
      </c>
      <c r="W11">
        <v>105.6</v>
      </c>
      <c r="X11">
        <v>104.9</v>
      </c>
      <c r="Y11">
        <v>105.1</v>
      </c>
      <c r="Z11">
        <v>103.7</v>
      </c>
      <c r="AA11">
        <v>104</v>
      </c>
      <c r="AB11">
        <v>104.3</v>
      </c>
      <c r="AC11">
        <v>104.7</v>
      </c>
      <c r="AD11">
        <v>105.5</v>
      </c>
      <c r="AE11">
        <f>SUM(All_India_Index_Upto_April23__1[[#This Row],[Cereals and products]:[Food and beverages]])</f>
        <v>1384.0000000000002</v>
      </c>
      <c r="AF11">
        <f>SUM(All_India_Index_Upto_April23__1[[#This Row],[Clothing]:[Clothing and footwear]])</f>
        <v>321.2</v>
      </c>
      <c r="AG11">
        <f t="shared" si="0"/>
        <v>316.79999999999995</v>
      </c>
      <c r="AI11">
        <f>TYPE(All_India_Index_Upto_April23__1[[#This Row],[Sector]])</f>
        <v>2</v>
      </c>
      <c r="AJ11">
        <f>TYPE(All_India_Index_Upto_April23__1[[#This Row],[Year]])</f>
        <v>1</v>
      </c>
      <c r="AK11">
        <f>TYPE(All_India_Index_Upto_April23__1[[#This Row],[Month]])</f>
        <v>2</v>
      </c>
      <c r="AL11">
        <f>TYPE(All_India_Index_Upto_April23__1[[#This Row],[Cereals and products]])</f>
        <v>1</v>
      </c>
      <c r="AM11">
        <f>TYPE(All_India_Index_Upto_April23__1[[#This Row],[Meat and fish]])</f>
        <v>1</v>
      </c>
      <c r="AN11">
        <f>TYPE(All_India_Index_Upto_April23__1[[#This Row],[Egg]])</f>
        <v>1</v>
      </c>
      <c r="AO11">
        <f>TYPE(All_India_Index_Upto_April23__1[[#This Row],[Milk and products]])</f>
        <v>1</v>
      </c>
      <c r="AP11">
        <f>TYPE(All_India_Index_Upto_April23__1[[#This Row],[Oils and fats]])</f>
        <v>1</v>
      </c>
      <c r="AQ11">
        <f>TYPE(All_India_Index_Upto_April23__1[[#This Row],[Fruits]])</f>
        <v>1</v>
      </c>
      <c r="AR11">
        <f>TYPE(All_India_Index_Upto_April23__1[[#This Row],[Vegetables]])</f>
        <v>1</v>
      </c>
      <c r="AS11">
        <f>TYPE(All_India_Index_Upto_April23__1[[#This Row],[Pulses and products]])</f>
        <v>1</v>
      </c>
      <c r="AT11">
        <f>TYPE(All_India_Index_Upto_April23__1[[#This Row],[Sugar and Confectionery]])</f>
        <v>1</v>
      </c>
      <c r="AU11">
        <f>TYPE(All_India_Index_Upto_April23__1[[#This Row],[Spices]])</f>
        <v>1</v>
      </c>
      <c r="AV11">
        <f>TYPE(All_India_Index_Upto_April23__1[[#This Row],[Non-alcoholic beverages]])</f>
        <v>1</v>
      </c>
      <c r="AW11">
        <f>TYPE(All_India_Index_Upto_April23__1[[#This Row],[Prepared meals, snacks, sweets etc.]])</f>
        <v>1</v>
      </c>
      <c r="AX11">
        <f>TYPE(All_India_Index_Upto_April23__1[[#This Row],[Food and beverages]])</f>
        <v>1</v>
      </c>
      <c r="AY11">
        <f>TYPE(All_India_Index_Upto_April23__1[[#This Row],[Pan, tobacco and intoxicants]])</f>
        <v>1</v>
      </c>
      <c r="AZ11">
        <f>TYPE(All_India_Index_Upto_April23__1[[#This Row],[Clothing]])</f>
        <v>1</v>
      </c>
      <c r="BA11">
        <f>TYPE(All_India_Index_Upto_April23__1[[#This Row],[Footwear]])</f>
        <v>1</v>
      </c>
      <c r="BB11">
        <f>TYPE(All_India_Index_Upto_April23__1[[#This Row],[Clothing and footwear]])</f>
        <v>1</v>
      </c>
      <c r="BC11">
        <f>TYPE(All_India_Index_Upto_April23__1[[#This Row],[Housing]])</f>
        <v>2</v>
      </c>
      <c r="BD11">
        <f>TYPE(All_India_Index_Upto_April23__1[[#This Row],[Fuel and light]])</f>
        <v>1</v>
      </c>
      <c r="BE11">
        <f>TYPE(All_India_Index_Upto_April23__1[[#This Row],[Household goods and services]])</f>
        <v>1</v>
      </c>
      <c r="BF11">
        <f>TYPE(All_India_Index_Upto_April23__1[[#This Row],[Health]])</f>
        <v>1</v>
      </c>
      <c r="BG11">
        <f>TYPE(All_India_Index_Upto_April23__1[[#This Row],[Transport and communication]])</f>
        <v>1</v>
      </c>
      <c r="BH11">
        <f>TYPE(All_India_Index_Upto_April23__1[[#This Row],[Recreation and amusement]])</f>
        <v>1</v>
      </c>
      <c r="BI11">
        <f>TYPE(All_India_Index_Upto_April23__1[[#This Row],[Education]])</f>
        <v>1</v>
      </c>
      <c r="BJ11">
        <f>TYPE(All_India_Index_Upto_April23__1[[#This Row],[Personal care and effects]])</f>
        <v>1</v>
      </c>
      <c r="BK11">
        <f>TYPE(All_India_Index_Upto_April23__1[[#This Row],[Miscellaneous]])</f>
        <v>1</v>
      </c>
      <c r="BL11">
        <f>TYPE(All_India_Index_Upto_April23__1[[#This Row],[General index]])</f>
        <v>1</v>
      </c>
    </row>
    <row r="12" spans="1:64" hidden="1" x14ac:dyDescent="0.3">
      <c r="A12" t="s">
        <v>30</v>
      </c>
      <c r="B12">
        <v>2013</v>
      </c>
      <c r="C12" t="s">
        <v>36</v>
      </c>
      <c r="D12">
        <v>110.2</v>
      </c>
      <c r="E12">
        <v>109.5</v>
      </c>
      <c r="F12">
        <v>106.9</v>
      </c>
      <c r="G12">
        <v>106.3</v>
      </c>
      <c r="H12">
        <v>105.7</v>
      </c>
      <c r="I12">
        <v>108.3</v>
      </c>
      <c r="J12">
        <v>103.4</v>
      </c>
      <c r="K12">
        <v>105.7</v>
      </c>
      <c r="L12">
        <v>104.2</v>
      </c>
      <c r="M12">
        <v>103.2</v>
      </c>
      <c r="N12">
        <v>106.5</v>
      </c>
      <c r="O12">
        <v>108.8</v>
      </c>
      <c r="P12">
        <v>107.1</v>
      </c>
      <c r="Q12">
        <v>107.1</v>
      </c>
      <c r="R12">
        <v>108.1</v>
      </c>
      <c r="S12">
        <v>107.4</v>
      </c>
      <c r="T12">
        <v>108</v>
      </c>
      <c r="U12" t="s">
        <v>89</v>
      </c>
      <c r="V12">
        <v>106.5</v>
      </c>
      <c r="W12">
        <v>106.1</v>
      </c>
      <c r="X12">
        <v>105.1</v>
      </c>
      <c r="Y12">
        <v>104.4</v>
      </c>
      <c r="Z12">
        <v>104.5</v>
      </c>
      <c r="AA12">
        <v>104.8</v>
      </c>
      <c r="AB12">
        <v>102.7</v>
      </c>
      <c r="AC12">
        <v>104.6</v>
      </c>
      <c r="AD12">
        <v>106.4</v>
      </c>
      <c r="AE12">
        <f>SUM(All_India_Index_Upto_April23__1[[#This Row],[Cereals and products]:[Food and beverages]])</f>
        <v>1385.8</v>
      </c>
      <c r="AF12">
        <f>SUM(All_India_Index_Upto_April23__1[[#This Row],[Clothing]:[Clothing and footwear]])</f>
        <v>323.5</v>
      </c>
      <c r="AG12">
        <f t="shared" si="0"/>
        <v>317</v>
      </c>
      <c r="AI12">
        <f>TYPE(All_India_Index_Upto_April23__1[[#This Row],[Sector]])</f>
        <v>2</v>
      </c>
      <c r="AJ12">
        <f>TYPE(All_India_Index_Upto_April23__1[[#This Row],[Year]])</f>
        <v>1</v>
      </c>
      <c r="AK12">
        <f>TYPE(All_India_Index_Upto_April23__1[[#This Row],[Month]])</f>
        <v>2</v>
      </c>
      <c r="AL12">
        <f>TYPE(All_India_Index_Upto_April23__1[[#This Row],[Cereals and products]])</f>
        <v>1</v>
      </c>
      <c r="AM12">
        <f>TYPE(All_India_Index_Upto_April23__1[[#This Row],[Meat and fish]])</f>
        <v>1</v>
      </c>
      <c r="AN12">
        <f>TYPE(All_India_Index_Upto_April23__1[[#This Row],[Egg]])</f>
        <v>1</v>
      </c>
      <c r="AO12">
        <f>TYPE(All_India_Index_Upto_April23__1[[#This Row],[Milk and products]])</f>
        <v>1</v>
      </c>
      <c r="AP12">
        <f>TYPE(All_India_Index_Upto_April23__1[[#This Row],[Oils and fats]])</f>
        <v>1</v>
      </c>
      <c r="AQ12">
        <f>TYPE(All_India_Index_Upto_April23__1[[#This Row],[Fruits]])</f>
        <v>1</v>
      </c>
      <c r="AR12">
        <f>TYPE(All_India_Index_Upto_April23__1[[#This Row],[Vegetables]])</f>
        <v>1</v>
      </c>
      <c r="AS12">
        <f>TYPE(All_India_Index_Upto_April23__1[[#This Row],[Pulses and products]])</f>
        <v>1</v>
      </c>
      <c r="AT12">
        <f>TYPE(All_India_Index_Upto_April23__1[[#This Row],[Sugar and Confectionery]])</f>
        <v>1</v>
      </c>
      <c r="AU12">
        <f>TYPE(All_India_Index_Upto_April23__1[[#This Row],[Spices]])</f>
        <v>1</v>
      </c>
      <c r="AV12">
        <f>TYPE(All_India_Index_Upto_April23__1[[#This Row],[Non-alcoholic beverages]])</f>
        <v>1</v>
      </c>
      <c r="AW12">
        <f>TYPE(All_India_Index_Upto_April23__1[[#This Row],[Prepared meals, snacks, sweets etc.]])</f>
        <v>1</v>
      </c>
      <c r="AX12">
        <f>TYPE(All_India_Index_Upto_April23__1[[#This Row],[Food and beverages]])</f>
        <v>1</v>
      </c>
      <c r="AY12">
        <f>TYPE(All_India_Index_Upto_April23__1[[#This Row],[Pan, tobacco and intoxicants]])</f>
        <v>1</v>
      </c>
      <c r="AZ12">
        <f>TYPE(All_India_Index_Upto_April23__1[[#This Row],[Clothing]])</f>
        <v>1</v>
      </c>
      <c r="BA12">
        <f>TYPE(All_India_Index_Upto_April23__1[[#This Row],[Footwear]])</f>
        <v>1</v>
      </c>
      <c r="BB12">
        <f>TYPE(All_India_Index_Upto_April23__1[[#This Row],[Clothing and footwear]])</f>
        <v>1</v>
      </c>
      <c r="BC12">
        <f>TYPE(All_India_Index_Upto_April23__1[[#This Row],[Housing]])</f>
        <v>2</v>
      </c>
      <c r="BD12">
        <f>TYPE(All_India_Index_Upto_April23__1[[#This Row],[Fuel and light]])</f>
        <v>1</v>
      </c>
      <c r="BE12">
        <f>TYPE(All_India_Index_Upto_April23__1[[#This Row],[Household goods and services]])</f>
        <v>1</v>
      </c>
      <c r="BF12">
        <f>TYPE(All_India_Index_Upto_April23__1[[#This Row],[Health]])</f>
        <v>1</v>
      </c>
      <c r="BG12">
        <f>TYPE(All_India_Index_Upto_April23__1[[#This Row],[Transport and communication]])</f>
        <v>1</v>
      </c>
      <c r="BH12">
        <f>TYPE(All_India_Index_Upto_April23__1[[#This Row],[Recreation and amusement]])</f>
        <v>1</v>
      </c>
      <c r="BI12">
        <f>TYPE(All_India_Index_Upto_April23__1[[#This Row],[Education]])</f>
        <v>1</v>
      </c>
      <c r="BJ12">
        <f>TYPE(All_India_Index_Upto_April23__1[[#This Row],[Personal care and effects]])</f>
        <v>1</v>
      </c>
      <c r="BK12">
        <f>TYPE(All_India_Index_Upto_April23__1[[#This Row],[Miscellaneous]])</f>
        <v>1</v>
      </c>
      <c r="BL12">
        <f>TYPE(All_India_Index_Upto_April23__1[[#This Row],[General index]])</f>
        <v>1</v>
      </c>
    </row>
    <row r="13" spans="1:64" hidden="1" x14ac:dyDescent="0.3">
      <c r="A13" t="s">
        <v>32</v>
      </c>
      <c r="B13">
        <v>2013</v>
      </c>
      <c r="C13" t="s">
        <v>36</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t="s">
        <v>92</v>
      </c>
      <c r="V13">
        <v>106.4</v>
      </c>
      <c r="W13">
        <v>106.5</v>
      </c>
      <c r="X13">
        <v>105.7</v>
      </c>
      <c r="Y13">
        <v>105</v>
      </c>
      <c r="Z13">
        <v>104</v>
      </c>
      <c r="AA13">
        <v>105.2</v>
      </c>
      <c r="AB13">
        <v>103.2</v>
      </c>
      <c r="AC13">
        <v>105.1</v>
      </c>
      <c r="AD13">
        <v>105.7</v>
      </c>
      <c r="AE13">
        <f>SUM(All_India_Index_Upto_April23__1[[#This Row],[Cereals and products]:[Food and beverages]])</f>
        <v>1397.6999999999998</v>
      </c>
      <c r="AF13">
        <f>SUM(All_India_Index_Upto_April23__1[[#This Row],[Clothing]:[Clothing and footwear]])</f>
        <v>322</v>
      </c>
      <c r="AG13">
        <f t="shared" si="0"/>
        <v>317.89999999999998</v>
      </c>
      <c r="AI13">
        <f>TYPE(All_India_Index_Upto_April23__1[[#This Row],[Sector]])</f>
        <v>2</v>
      </c>
      <c r="AJ13">
        <f>TYPE(All_India_Index_Upto_April23__1[[#This Row],[Year]])</f>
        <v>1</v>
      </c>
      <c r="AK13">
        <f>TYPE(All_India_Index_Upto_April23__1[[#This Row],[Month]])</f>
        <v>2</v>
      </c>
      <c r="AL13">
        <f>TYPE(All_India_Index_Upto_April23__1[[#This Row],[Cereals and products]])</f>
        <v>1</v>
      </c>
      <c r="AM13">
        <f>TYPE(All_India_Index_Upto_April23__1[[#This Row],[Meat and fish]])</f>
        <v>1</v>
      </c>
      <c r="AN13">
        <f>TYPE(All_India_Index_Upto_April23__1[[#This Row],[Egg]])</f>
        <v>1</v>
      </c>
      <c r="AO13">
        <f>TYPE(All_India_Index_Upto_April23__1[[#This Row],[Milk and products]])</f>
        <v>1</v>
      </c>
      <c r="AP13">
        <f>TYPE(All_India_Index_Upto_April23__1[[#This Row],[Oils and fats]])</f>
        <v>1</v>
      </c>
      <c r="AQ13">
        <f>TYPE(All_India_Index_Upto_April23__1[[#This Row],[Fruits]])</f>
        <v>1</v>
      </c>
      <c r="AR13">
        <f>TYPE(All_India_Index_Upto_April23__1[[#This Row],[Vegetables]])</f>
        <v>1</v>
      </c>
      <c r="AS13">
        <f>TYPE(All_India_Index_Upto_April23__1[[#This Row],[Pulses and products]])</f>
        <v>1</v>
      </c>
      <c r="AT13">
        <f>TYPE(All_India_Index_Upto_April23__1[[#This Row],[Sugar and Confectionery]])</f>
        <v>1</v>
      </c>
      <c r="AU13">
        <f>TYPE(All_India_Index_Upto_April23__1[[#This Row],[Spices]])</f>
        <v>1</v>
      </c>
      <c r="AV13">
        <f>TYPE(All_India_Index_Upto_April23__1[[#This Row],[Non-alcoholic beverages]])</f>
        <v>1</v>
      </c>
      <c r="AW13">
        <f>TYPE(All_India_Index_Upto_April23__1[[#This Row],[Prepared meals, snacks, sweets etc.]])</f>
        <v>1</v>
      </c>
      <c r="AX13">
        <f>TYPE(All_India_Index_Upto_April23__1[[#This Row],[Food and beverages]])</f>
        <v>1</v>
      </c>
      <c r="AY13">
        <f>TYPE(All_India_Index_Upto_April23__1[[#This Row],[Pan, tobacco and intoxicants]])</f>
        <v>1</v>
      </c>
      <c r="AZ13">
        <f>TYPE(All_India_Index_Upto_April23__1[[#This Row],[Clothing]])</f>
        <v>1</v>
      </c>
      <c r="BA13">
        <f>TYPE(All_India_Index_Upto_April23__1[[#This Row],[Footwear]])</f>
        <v>1</v>
      </c>
      <c r="BB13">
        <f>TYPE(All_India_Index_Upto_April23__1[[#This Row],[Clothing and footwear]])</f>
        <v>1</v>
      </c>
      <c r="BC13">
        <f>TYPE(All_India_Index_Upto_April23__1[[#This Row],[Housing]])</f>
        <v>2</v>
      </c>
      <c r="BD13">
        <f>TYPE(All_India_Index_Upto_April23__1[[#This Row],[Fuel and light]])</f>
        <v>1</v>
      </c>
      <c r="BE13">
        <f>TYPE(All_India_Index_Upto_April23__1[[#This Row],[Household goods and services]])</f>
        <v>1</v>
      </c>
      <c r="BF13">
        <f>TYPE(All_India_Index_Upto_April23__1[[#This Row],[Health]])</f>
        <v>1</v>
      </c>
      <c r="BG13">
        <f>TYPE(All_India_Index_Upto_April23__1[[#This Row],[Transport and communication]])</f>
        <v>1</v>
      </c>
      <c r="BH13">
        <f>TYPE(All_India_Index_Upto_April23__1[[#This Row],[Recreation and amusement]])</f>
        <v>1</v>
      </c>
      <c r="BI13">
        <f>TYPE(All_India_Index_Upto_April23__1[[#This Row],[Education]])</f>
        <v>1</v>
      </c>
      <c r="BJ13">
        <f>TYPE(All_India_Index_Upto_April23__1[[#This Row],[Personal care and effects]])</f>
        <v>1</v>
      </c>
      <c r="BK13">
        <f>TYPE(All_India_Index_Upto_April23__1[[#This Row],[Miscellaneous]])</f>
        <v>1</v>
      </c>
      <c r="BL13">
        <f>TYPE(All_India_Index_Upto_April23__1[[#This Row],[General index]])</f>
        <v>1</v>
      </c>
    </row>
    <row r="14" spans="1:64" hidden="1" x14ac:dyDescent="0.3">
      <c r="A14" t="s">
        <v>33</v>
      </c>
      <c r="B14">
        <v>2013</v>
      </c>
      <c r="C14" t="s">
        <v>36</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t="s">
        <v>92</v>
      </c>
      <c r="V14">
        <v>106.5</v>
      </c>
      <c r="W14">
        <v>106.3</v>
      </c>
      <c r="X14">
        <v>105.3</v>
      </c>
      <c r="Y14">
        <v>104.7</v>
      </c>
      <c r="Z14">
        <v>104.2</v>
      </c>
      <c r="AA14">
        <v>105</v>
      </c>
      <c r="AB14">
        <v>102.9</v>
      </c>
      <c r="AC14">
        <v>104.8</v>
      </c>
      <c r="AD14">
        <v>106.1</v>
      </c>
      <c r="AE14">
        <f>SUM(All_India_Index_Upto_April23__1[[#This Row],[Cereals and products]:[Food and beverages]])</f>
        <v>1390.2</v>
      </c>
      <c r="AF14">
        <f>SUM(All_India_Index_Upto_April23__1[[#This Row],[Clothing]:[Clothing and footwear]])</f>
        <v>322.89999999999998</v>
      </c>
      <c r="AG14">
        <f t="shared" si="0"/>
        <v>317.5</v>
      </c>
      <c r="AI14">
        <f>TYPE(All_India_Index_Upto_April23__1[[#This Row],[Sector]])</f>
        <v>2</v>
      </c>
      <c r="AJ14">
        <f>TYPE(All_India_Index_Upto_April23__1[[#This Row],[Year]])</f>
        <v>1</v>
      </c>
      <c r="AK14">
        <f>TYPE(All_India_Index_Upto_April23__1[[#This Row],[Month]])</f>
        <v>2</v>
      </c>
      <c r="AL14">
        <f>TYPE(All_India_Index_Upto_April23__1[[#This Row],[Cereals and products]])</f>
        <v>1</v>
      </c>
      <c r="AM14">
        <f>TYPE(All_India_Index_Upto_April23__1[[#This Row],[Meat and fish]])</f>
        <v>1</v>
      </c>
      <c r="AN14">
        <f>TYPE(All_India_Index_Upto_April23__1[[#This Row],[Egg]])</f>
        <v>1</v>
      </c>
      <c r="AO14">
        <f>TYPE(All_India_Index_Upto_April23__1[[#This Row],[Milk and products]])</f>
        <v>1</v>
      </c>
      <c r="AP14">
        <f>TYPE(All_India_Index_Upto_April23__1[[#This Row],[Oils and fats]])</f>
        <v>1</v>
      </c>
      <c r="AQ14">
        <f>TYPE(All_India_Index_Upto_April23__1[[#This Row],[Fruits]])</f>
        <v>1</v>
      </c>
      <c r="AR14">
        <f>TYPE(All_India_Index_Upto_April23__1[[#This Row],[Vegetables]])</f>
        <v>1</v>
      </c>
      <c r="AS14">
        <f>TYPE(All_India_Index_Upto_April23__1[[#This Row],[Pulses and products]])</f>
        <v>1</v>
      </c>
      <c r="AT14">
        <f>TYPE(All_India_Index_Upto_April23__1[[#This Row],[Sugar and Confectionery]])</f>
        <v>1</v>
      </c>
      <c r="AU14">
        <f>TYPE(All_India_Index_Upto_April23__1[[#This Row],[Spices]])</f>
        <v>1</v>
      </c>
      <c r="AV14">
        <f>TYPE(All_India_Index_Upto_April23__1[[#This Row],[Non-alcoholic beverages]])</f>
        <v>1</v>
      </c>
      <c r="AW14">
        <f>TYPE(All_India_Index_Upto_April23__1[[#This Row],[Prepared meals, snacks, sweets etc.]])</f>
        <v>1</v>
      </c>
      <c r="AX14">
        <f>TYPE(All_India_Index_Upto_April23__1[[#This Row],[Food and beverages]])</f>
        <v>1</v>
      </c>
      <c r="AY14">
        <f>TYPE(All_India_Index_Upto_April23__1[[#This Row],[Pan, tobacco and intoxicants]])</f>
        <v>1</v>
      </c>
      <c r="AZ14">
        <f>TYPE(All_India_Index_Upto_April23__1[[#This Row],[Clothing]])</f>
        <v>1</v>
      </c>
      <c r="BA14">
        <f>TYPE(All_India_Index_Upto_April23__1[[#This Row],[Footwear]])</f>
        <v>1</v>
      </c>
      <c r="BB14">
        <f>TYPE(All_India_Index_Upto_April23__1[[#This Row],[Clothing and footwear]])</f>
        <v>1</v>
      </c>
      <c r="BC14">
        <f>TYPE(All_India_Index_Upto_April23__1[[#This Row],[Housing]])</f>
        <v>2</v>
      </c>
      <c r="BD14">
        <f>TYPE(All_India_Index_Upto_April23__1[[#This Row],[Fuel and light]])</f>
        <v>1</v>
      </c>
      <c r="BE14">
        <f>TYPE(All_India_Index_Upto_April23__1[[#This Row],[Household goods and services]])</f>
        <v>1</v>
      </c>
      <c r="BF14">
        <f>TYPE(All_India_Index_Upto_April23__1[[#This Row],[Health]])</f>
        <v>1</v>
      </c>
      <c r="BG14">
        <f>TYPE(All_India_Index_Upto_April23__1[[#This Row],[Transport and communication]])</f>
        <v>1</v>
      </c>
      <c r="BH14">
        <f>TYPE(All_India_Index_Upto_April23__1[[#This Row],[Recreation and amusement]])</f>
        <v>1</v>
      </c>
      <c r="BI14">
        <f>TYPE(All_India_Index_Upto_April23__1[[#This Row],[Education]])</f>
        <v>1</v>
      </c>
      <c r="BJ14">
        <f>TYPE(All_India_Index_Upto_April23__1[[#This Row],[Personal care and effects]])</f>
        <v>1</v>
      </c>
      <c r="BK14">
        <f>TYPE(All_India_Index_Upto_April23__1[[#This Row],[Miscellaneous]])</f>
        <v>1</v>
      </c>
      <c r="BL14">
        <f>TYPE(All_India_Index_Upto_April23__1[[#This Row],[General index]])</f>
        <v>1</v>
      </c>
    </row>
    <row r="15" spans="1:64" hidden="1" x14ac:dyDescent="0.3">
      <c r="A15" t="s">
        <v>30</v>
      </c>
      <c r="B15">
        <v>2013</v>
      </c>
      <c r="C15" t="s">
        <v>37</v>
      </c>
      <c r="D15">
        <v>110.9</v>
      </c>
      <c r="E15">
        <v>109.8</v>
      </c>
      <c r="F15">
        <v>105.9</v>
      </c>
      <c r="G15">
        <v>107.5</v>
      </c>
      <c r="H15">
        <v>105.3</v>
      </c>
      <c r="I15">
        <v>108.1</v>
      </c>
      <c r="J15">
        <v>107.3</v>
      </c>
      <c r="K15">
        <v>106.1</v>
      </c>
      <c r="L15">
        <v>103.7</v>
      </c>
      <c r="M15">
        <v>104</v>
      </c>
      <c r="N15">
        <v>107.4</v>
      </c>
      <c r="O15">
        <v>109.9</v>
      </c>
      <c r="P15">
        <v>108.1</v>
      </c>
      <c r="Q15">
        <v>108.1</v>
      </c>
      <c r="R15">
        <v>108.8</v>
      </c>
      <c r="S15">
        <v>107.9</v>
      </c>
      <c r="T15">
        <v>108.6</v>
      </c>
      <c r="U15" t="s">
        <v>89</v>
      </c>
      <c r="V15">
        <v>107.5</v>
      </c>
      <c r="W15">
        <v>106.8</v>
      </c>
      <c r="X15">
        <v>105.7</v>
      </c>
      <c r="Y15">
        <v>104.1</v>
      </c>
      <c r="Z15">
        <v>105</v>
      </c>
      <c r="AA15">
        <v>105.5</v>
      </c>
      <c r="AB15">
        <v>102.1</v>
      </c>
      <c r="AC15">
        <v>104.8</v>
      </c>
      <c r="AD15">
        <v>107.2</v>
      </c>
      <c r="AE15">
        <f>SUM(All_India_Index_Upto_April23__1[[#This Row],[Cereals and products]:[Food and beverages]])</f>
        <v>1394</v>
      </c>
      <c r="AF15">
        <f>SUM(All_India_Index_Upto_April23__1[[#This Row],[Clothing]:[Clothing and footwear]])</f>
        <v>325.29999999999995</v>
      </c>
      <c r="AG15">
        <f t="shared" si="0"/>
        <v>318.39999999999998</v>
      </c>
      <c r="AI15">
        <f>TYPE(All_India_Index_Upto_April23__1[[#This Row],[Sector]])</f>
        <v>2</v>
      </c>
      <c r="AJ15">
        <f>TYPE(All_India_Index_Upto_April23__1[[#This Row],[Year]])</f>
        <v>1</v>
      </c>
      <c r="AK15">
        <f>TYPE(All_India_Index_Upto_April23__1[[#This Row],[Month]])</f>
        <v>2</v>
      </c>
      <c r="AL15">
        <f>TYPE(All_India_Index_Upto_April23__1[[#This Row],[Cereals and products]])</f>
        <v>1</v>
      </c>
      <c r="AM15">
        <f>TYPE(All_India_Index_Upto_April23__1[[#This Row],[Meat and fish]])</f>
        <v>1</v>
      </c>
      <c r="AN15">
        <f>TYPE(All_India_Index_Upto_April23__1[[#This Row],[Egg]])</f>
        <v>1</v>
      </c>
      <c r="AO15">
        <f>TYPE(All_India_Index_Upto_April23__1[[#This Row],[Milk and products]])</f>
        <v>1</v>
      </c>
      <c r="AP15">
        <f>TYPE(All_India_Index_Upto_April23__1[[#This Row],[Oils and fats]])</f>
        <v>1</v>
      </c>
      <c r="AQ15">
        <f>TYPE(All_India_Index_Upto_April23__1[[#This Row],[Fruits]])</f>
        <v>1</v>
      </c>
      <c r="AR15">
        <f>TYPE(All_India_Index_Upto_April23__1[[#This Row],[Vegetables]])</f>
        <v>1</v>
      </c>
      <c r="AS15">
        <f>TYPE(All_India_Index_Upto_April23__1[[#This Row],[Pulses and products]])</f>
        <v>1</v>
      </c>
      <c r="AT15">
        <f>TYPE(All_India_Index_Upto_April23__1[[#This Row],[Sugar and Confectionery]])</f>
        <v>1</v>
      </c>
      <c r="AU15">
        <f>TYPE(All_India_Index_Upto_April23__1[[#This Row],[Spices]])</f>
        <v>1</v>
      </c>
      <c r="AV15">
        <f>TYPE(All_India_Index_Upto_April23__1[[#This Row],[Non-alcoholic beverages]])</f>
        <v>1</v>
      </c>
      <c r="AW15">
        <f>TYPE(All_India_Index_Upto_April23__1[[#This Row],[Prepared meals, snacks, sweets etc.]])</f>
        <v>1</v>
      </c>
      <c r="AX15">
        <f>TYPE(All_India_Index_Upto_April23__1[[#This Row],[Food and beverages]])</f>
        <v>1</v>
      </c>
      <c r="AY15">
        <f>TYPE(All_India_Index_Upto_April23__1[[#This Row],[Pan, tobacco and intoxicants]])</f>
        <v>1</v>
      </c>
      <c r="AZ15">
        <f>TYPE(All_India_Index_Upto_April23__1[[#This Row],[Clothing]])</f>
        <v>1</v>
      </c>
      <c r="BA15">
        <f>TYPE(All_India_Index_Upto_April23__1[[#This Row],[Footwear]])</f>
        <v>1</v>
      </c>
      <c r="BB15">
        <f>TYPE(All_India_Index_Upto_April23__1[[#This Row],[Clothing and footwear]])</f>
        <v>1</v>
      </c>
      <c r="BC15">
        <f>TYPE(All_India_Index_Upto_April23__1[[#This Row],[Housing]])</f>
        <v>2</v>
      </c>
      <c r="BD15">
        <f>TYPE(All_India_Index_Upto_April23__1[[#This Row],[Fuel and light]])</f>
        <v>1</v>
      </c>
      <c r="BE15">
        <f>TYPE(All_India_Index_Upto_April23__1[[#This Row],[Household goods and services]])</f>
        <v>1</v>
      </c>
      <c r="BF15">
        <f>TYPE(All_India_Index_Upto_April23__1[[#This Row],[Health]])</f>
        <v>1</v>
      </c>
      <c r="BG15">
        <f>TYPE(All_India_Index_Upto_April23__1[[#This Row],[Transport and communication]])</f>
        <v>1</v>
      </c>
      <c r="BH15">
        <f>TYPE(All_India_Index_Upto_April23__1[[#This Row],[Recreation and amusement]])</f>
        <v>1</v>
      </c>
      <c r="BI15">
        <f>TYPE(All_India_Index_Upto_April23__1[[#This Row],[Education]])</f>
        <v>1</v>
      </c>
      <c r="BJ15">
        <f>TYPE(All_India_Index_Upto_April23__1[[#This Row],[Personal care and effects]])</f>
        <v>1</v>
      </c>
      <c r="BK15">
        <f>TYPE(All_India_Index_Upto_April23__1[[#This Row],[Miscellaneous]])</f>
        <v>1</v>
      </c>
      <c r="BL15">
        <f>TYPE(All_India_Index_Upto_April23__1[[#This Row],[General index]])</f>
        <v>1</v>
      </c>
    </row>
    <row r="16" spans="1:64" hidden="1" x14ac:dyDescent="0.3">
      <c r="A16" t="s">
        <v>32</v>
      </c>
      <c r="B16">
        <v>2013</v>
      </c>
      <c r="C16" t="s">
        <v>37</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t="s">
        <v>92</v>
      </c>
      <c r="V16">
        <v>107.2</v>
      </c>
      <c r="W16">
        <v>107.1</v>
      </c>
      <c r="X16">
        <v>106.2</v>
      </c>
      <c r="Y16">
        <v>103.9</v>
      </c>
      <c r="Z16">
        <v>104.6</v>
      </c>
      <c r="AA16">
        <v>105.7</v>
      </c>
      <c r="AB16">
        <v>102.6</v>
      </c>
      <c r="AC16">
        <v>104.9</v>
      </c>
      <c r="AD16">
        <v>106.6</v>
      </c>
      <c r="AE16">
        <f>SUM(All_India_Index_Upto_April23__1[[#This Row],[Cereals and products]:[Food and beverages]])</f>
        <v>1417.1999999999998</v>
      </c>
      <c r="AF16">
        <f>SUM(All_India_Index_Upto_April23__1[[#This Row],[Clothing]:[Clothing and footwear]])</f>
        <v>323.5</v>
      </c>
      <c r="AG16">
        <f t="shared" si="0"/>
        <v>318.20000000000005</v>
      </c>
      <c r="AI16">
        <f>TYPE(All_India_Index_Upto_April23__1[[#This Row],[Sector]])</f>
        <v>2</v>
      </c>
      <c r="AJ16">
        <f>TYPE(All_India_Index_Upto_April23__1[[#This Row],[Year]])</f>
        <v>1</v>
      </c>
      <c r="AK16">
        <f>TYPE(All_India_Index_Upto_April23__1[[#This Row],[Month]])</f>
        <v>2</v>
      </c>
      <c r="AL16">
        <f>TYPE(All_India_Index_Upto_April23__1[[#This Row],[Cereals and products]])</f>
        <v>1</v>
      </c>
      <c r="AM16">
        <f>TYPE(All_India_Index_Upto_April23__1[[#This Row],[Meat and fish]])</f>
        <v>1</v>
      </c>
      <c r="AN16">
        <f>TYPE(All_India_Index_Upto_April23__1[[#This Row],[Egg]])</f>
        <v>1</v>
      </c>
      <c r="AO16">
        <f>TYPE(All_India_Index_Upto_April23__1[[#This Row],[Milk and products]])</f>
        <v>1</v>
      </c>
      <c r="AP16">
        <f>TYPE(All_India_Index_Upto_April23__1[[#This Row],[Oils and fats]])</f>
        <v>1</v>
      </c>
      <c r="AQ16">
        <f>TYPE(All_India_Index_Upto_April23__1[[#This Row],[Fruits]])</f>
        <v>1</v>
      </c>
      <c r="AR16">
        <f>TYPE(All_India_Index_Upto_April23__1[[#This Row],[Vegetables]])</f>
        <v>1</v>
      </c>
      <c r="AS16">
        <f>TYPE(All_India_Index_Upto_April23__1[[#This Row],[Pulses and products]])</f>
        <v>1</v>
      </c>
      <c r="AT16">
        <f>TYPE(All_India_Index_Upto_April23__1[[#This Row],[Sugar and Confectionery]])</f>
        <v>1</v>
      </c>
      <c r="AU16">
        <f>TYPE(All_India_Index_Upto_April23__1[[#This Row],[Spices]])</f>
        <v>1</v>
      </c>
      <c r="AV16">
        <f>TYPE(All_India_Index_Upto_April23__1[[#This Row],[Non-alcoholic beverages]])</f>
        <v>1</v>
      </c>
      <c r="AW16">
        <f>TYPE(All_India_Index_Upto_April23__1[[#This Row],[Prepared meals, snacks, sweets etc.]])</f>
        <v>1</v>
      </c>
      <c r="AX16">
        <f>TYPE(All_India_Index_Upto_April23__1[[#This Row],[Food and beverages]])</f>
        <v>1</v>
      </c>
      <c r="AY16">
        <f>TYPE(All_India_Index_Upto_April23__1[[#This Row],[Pan, tobacco and intoxicants]])</f>
        <v>1</v>
      </c>
      <c r="AZ16">
        <f>TYPE(All_India_Index_Upto_April23__1[[#This Row],[Clothing]])</f>
        <v>1</v>
      </c>
      <c r="BA16">
        <f>TYPE(All_India_Index_Upto_April23__1[[#This Row],[Footwear]])</f>
        <v>1</v>
      </c>
      <c r="BB16">
        <f>TYPE(All_India_Index_Upto_April23__1[[#This Row],[Clothing and footwear]])</f>
        <v>1</v>
      </c>
      <c r="BC16">
        <f>TYPE(All_India_Index_Upto_April23__1[[#This Row],[Housing]])</f>
        <v>2</v>
      </c>
      <c r="BD16">
        <f>TYPE(All_India_Index_Upto_April23__1[[#This Row],[Fuel and light]])</f>
        <v>1</v>
      </c>
      <c r="BE16">
        <f>TYPE(All_India_Index_Upto_April23__1[[#This Row],[Household goods and services]])</f>
        <v>1</v>
      </c>
      <c r="BF16">
        <f>TYPE(All_India_Index_Upto_April23__1[[#This Row],[Health]])</f>
        <v>1</v>
      </c>
      <c r="BG16">
        <f>TYPE(All_India_Index_Upto_April23__1[[#This Row],[Transport and communication]])</f>
        <v>1</v>
      </c>
      <c r="BH16">
        <f>TYPE(All_India_Index_Upto_April23__1[[#This Row],[Recreation and amusement]])</f>
        <v>1</v>
      </c>
      <c r="BI16">
        <f>TYPE(All_India_Index_Upto_April23__1[[#This Row],[Education]])</f>
        <v>1</v>
      </c>
      <c r="BJ16">
        <f>TYPE(All_India_Index_Upto_April23__1[[#This Row],[Personal care and effects]])</f>
        <v>1</v>
      </c>
      <c r="BK16">
        <f>TYPE(All_India_Index_Upto_April23__1[[#This Row],[Miscellaneous]])</f>
        <v>1</v>
      </c>
      <c r="BL16">
        <f>TYPE(All_India_Index_Upto_April23__1[[#This Row],[General index]])</f>
        <v>1</v>
      </c>
    </row>
    <row r="17" spans="1:64" hidden="1" x14ac:dyDescent="0.3">
      <c r="A17" t="s">
        <v>33</v>
      </c>
      <c r="B17">
        <v>2013</v>
      </c>
      <c r="C17" t="s">
        <v>37</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t="s">
        <v>92</v>
      </c>
      <c r="V17">
        <v>107.4</v>
      </c>
      <c r="W17">
        <v>106.9</v>
      </c>
      <c r="X17">
        <v>105.9</v>
      </c>
      <c r="Y17">
        <v>104</v>
      </c>
      <c r="Z17">
        <v>104.8</v>
      </c>
      <c r="AA17">
        <v>105.6</v>
      </c>
      <c r="AB17">
        <v>102.3</v>
      </c>
      <c r="AC17">
        <v>104.8</v>
      </c>
      <c r="AD17">
        <v>106.9</v>
      </c>
      <c r="AE17">
        <f>SUM(All_India_Index_Upto_April23__1[[#This Row],[Cereals and products]:[Food and beverages]])</f>
        <v>1402.1999999999998</v>
      </c>
      <c r="AF17">
        <f>SUM(All_India_Index_Upto_April23__1[[#This Row],[Clothing]:[Clothing and footwear]])</f>
        <v>324.60000000000002</v>
      </c>
      <c r="AG17">
        <f t="shared" si="0"/>
        <v>318.3</v>
      </c>
      <c r="AI17">
        <f>TYPE(All_India_Index_Upto_April23__1[[#This Row],[Sector]])</f>
        <v>2</v>
      </c>
      <c r="AJ17">
        <f>TYPE(All_India_Index_Upto_April23__1[[#This Row],[Year]])</f>
        <v>1</v>
      </c>
      <c r="AK17">
        <f>TYPE(All_India_Index_Upto_April23__1[[#This Row],[Month]])</f>
        <v>2</v>
      </c>
      <c r="AL17">
        <f>TYPE(All_India_Index_Upto_April23__1[[#This Row],[Cereals and products]])</f>
        <v>1</v>
      </c>
      <c r="AM17">
        <f>TYPE(All_India_Index_Upto_April23__1[[#This Row],[Meat and fish]])</f>
        <v>1</v>
      </c>
      <c r="AN17">
        <f>TYPE(All_India_Index_Upto_April23__1[[#This Row],[Egg]])</f>
        <v>1</v>
      </c>
      <c r="AO17">
        <f>TYPE(All_India_Index_Upto_April23__1[[#This Row],[Milk and products]])</f>
        <v>1</v>
      </c>
      <c r="AP17">
        <f>TYPE(All_India_Index_Upto_April23__1[[#This Row],[Oils and fats]])</f>
        <v>1</v>
      </c>
      <c r="AQ17">
        <f>TYPE(All_India_Index_Upto_April23__1[[#This Row],[Fruits]])</f>
        <v>1</v>
      </c>
      <c r="AR17">
        <f>TYPE(All_India_Index_Upto_April23__1[[#This Row],[Vegetables]])</f>
        <v>1</v>
      </c>
      <c r="AS17">
        <f>TYPE(All_India_Index_Upto_April23__1[[#This Row],[Pulses and products]])</f>
        <v>1</v>
      </c>
      <c r="AT17">
        <f>TYPE(All_India_Index_Upto_April23__1[[#This Row],[Sugar and Confectionery]])</f>
        <v>1</v>
      </c>
      <c r="AU17">
        <f>TYPE(All_India_Index_Upto_April23__1[[#This Row],[Spices]])</f>
        <v>1</v>
      </c>
      <c r="AV17">
        <f>TYPE(All_India_Index_Upto_April23__1[[#This Row],[Non-alcoholic beverages]])</f>
        <v>1</v>
      </c>
      <c r="AW17">
        <f>TYPE(All_India_Index_Upto_April23__1[[#This Row],[Prepared meals, snacks, sweets etc.]])</f>
        <v>1</v>
      </c>
      <c r="AX17">
        <f>TYPE(All_India_Index_Upto_April23__1[[#This Row],[Food and beverages]])</f>
        <v>1</v>
      </c>
      <c r="AY17">
        <f>TYPE(All_India_Index_Upto_April23__1[[#This Row],[Pan, tobacco and intoxicants]])</f>
        <v>1</v>
      </c>
      <c r="AZ17">
        <f>TYPE(All_India_Index_Upto_April23__1[[#This Row],[Clothing]])</f>
        <v>1</v>
      </c>
      <c r="BA17">
        <f>TYPE(All_India_Index_Upto_April23__1[[#This Row],[Footwear]])</f>
        <v>1</v>
      </c>
      <c r="BB17">
        <f>TYPE(All_India_Index_Upto_April23__1[[#This Row],[Clothing and footwear]])</f>
        <v>1</v>
      </c>
      <c r="BC17">
        <f>TYPE(All_India_Index_Upto_April23__1[[#This Row],[Housing]])</f>
        <v>2</v>
      </c>
      <c r="BD17">
        <f>TYPE(All_India_Index_Upto_April23__1[[#This Row],[Fuel and light]])</f>
        <v>1</v>
      </c>
      <c r="BE17">
        <f>TYPE(All_India_Index_Upto_April23__1[[#This Row],[Household goods and services]])</f>
        <v>1</v>
      </c>
      <c r="BF17">
        <f>TYPE(All_India_Index_Upto_April23__1[[#This Row],[Health]])</f>
        <v>1</v>
      </c>
      <c r="BG17">
        <f>TYPE(All_India_Index_Upto_April23__1[[#This Row],[Transport and communication]])</f>
        <v>1</v>
      </c>
      <c r="BH17">
        <f>TYPE(All_India_Index_Upto_April23__1[[#This Row],[Recreation and amusement]])</f>
        <v>1</v>
      </c>
      <c r="BI17">
        <f>TYPE(All_India_Index_Upto_April23__1[[#This Row],[Education]])</f>
        <v>1</v>
      </c>
      <c r="BJ17">
        <f>TYPE(All_India_Index_Upto_April23__1[[#This Row],[Personal care and effects]])</f>
        <v>1</v>
      </c>
      <c r="BK17">
        <f>TYPE(All_India_Index_Upto_April23__1[[#This Row],[Miscellaneous]])</f>
        <v>1</v>
      </c>
      <c r="BL17">
        <f>TYPE(All_India_Index_Upto_April23__1[[#This Row],[General index]])</f>
        <v>1</v>
      </c>
    </row>
    <row r="18" spans="1:64" hidden="1" x14ac:dyDescent="0.3">
      <c r="A18" t="s">
        <v>30</v>
      </c>
      <c r="B18">
        <v>2013</v>
      </c>
      <c r="C18" t="s">
        <v>38</v>
      </c>
      <c r="D18">
        <v>112.3</v>
      </c>
      <c r="E18">
        <v>112.1</v>
      </c>
      <c r="F18">
        <v>108.1</v>
      </c>
      <c r="G18">
        <v>108.3</v>
      </c>
      <c r="H18">
        <v>105.9</v>
      </c>
      <c r="I18">
        <v>109.2</v>
      </c>
      <c r="J18">
        <v>118</v>
      </c>
      <c r="K18">
        <v>106.8</v>
      </c>
      <c r="L18">
        <v>104.1</v>
      </c>
      <c r="M18">
        <v>105.4</v>
      </c>
      <c r="N18">
        <v>108.2</v>
      </c>
      <c r="O18">
        <v>111</v>
      </c>
      <c r="P18">
        <v>110.6</v>
      </c>
      <c r="Q18">
        <v>109</v>
      </c>
      <c r="R18">
        <v>109.7</v>
      </c>
      <c r="S18">
        <v>108.8</v>
      </c>
      <c r="T18">
        <v>109.5</v>
      </c>
      <c r="U18" t="s">
        <v>89</v>
      </c>
      <c r="V18">
        <v>108.5</v>
      </c>
      <c r="W18">
        <v>107.5</v>
      </c>
      <c r="X18">
        <v>106.3</v>
      </c>
      <c r="Y18">
        <v>105</v>
      </c>
      <c r="Z18">
        <v>105.6</v>
      </c>
      <c r="AA18">
        <v>106.5</v>
      </c>
      <c r="AB18">
        <v>102.5</v>
      </c>
      <c r="AC18">
        <v>105.5</v>
      </c>
      <c r="AD18">
        <v>108.9</v>
      </c>
      <c r="AE18">
        <f>SUM(All_India_Index_Upto_April23__1[[#This Row],[Cereals and products]:[Food and beverages]])</f>
        <v>1420</v>
      </c>
      <c r="AF18">
        <f>SUM(All_India_Index_Upto_April23__1[[#This Row],[Clothing]:[Clothing and footwear]])</f>
        <v>328</v>
      </c>
      <c r="AG18">
        <f t="shared" si="0"/>
        <v>321</v>
      </c>
      <c r="AI18">
        <f>TYPE(All_India_Index_Upto_April23__1[[#This Row],[Sector]])</f>
        <v>2</v>
      </c>
      <c r="AJ18">
        <f>TYPE(All_India_Index_Upto_April23__1[[#This Row],[Year]])</f>
        <v>1</v>
      </c>
      <c r="AK18">
        <f>TYPE(All_India_Index_Upto_April23__1[[#This Row],[Month]])</f>
        <v>2</v>
      </c>
      <c r="AL18">
        <f>TYPE(All_India_Index_Upto_April23__1[[#This Row],[Cereals and products]])</f>
        <v>1</v>
      </c>
      <c r="AM18">
        <f>TYPE(All_India_Index_Upto_April23__1[[#This Row],[Meat and fish]])</f>
        <v>1</v>
      </c>
      <c r="AN18">
        <f>TYPE(All_India_Index_Upto_April23__1[[#This Row],[Egg]])</f>
        <v>1</v>
      </c>
      <c r="AO18">
        <f>TYPE(All_India_Index_Upto_April23__1[[#This Row],[Milk and products]])</f>
        <v>1</v>
      </c>
      <c r="AP18">
        <f>TYPE(All_India_Index_Upto_April23__1[[#This Row],[Oils and fats]])</f>
        <v>1</v>
      </c>
      <c r="AQ18">
        <f>TYPE(All_India_Index_Upto_April23__1[[#This Row],[Fruits]])</f>
        <v>1</v>
      </c>
      <c r="AR18">
        <f>TYPE(All_India_Index_Upto_April23__1[[#This Row],[Vegetables]])</f>
        <v>1</v>
      </c>
      <c r="AS18">
        <f>TYPE(All_India_Index_Upto_April23__1[[#This Row],[Pulses and products]])</f>
        <v>1</v>
      </c>
      <c r="AT18">
        <f>TYPE(All_India_Index_Upto_April23__1[[#This Row],[Sugar and Confectionery]])</f>
        <v>1</v>
      </c>
      <c r="AU18">
        <f>TYPE(All_India_Index_Upto_April23__1[[#This Row],[Spices]])</f>
        <v>1</v>
      </c>
      <c r="AV18">
        <f>TYPE(All_India_Index_Upto_April23__1[[#This Row],[Non-alcoholic beverages]])</f>
        <v>1</v>
      </c>
      <c r="AW18">
        <f>TYPE(All_India_Index_Upto_April23__1[[#This Row],[Prepared meals, snacks, sweets etc.]])</f>
        <v>1</v>
      </c>
      <c r="AX18">
        <f>TYPE(All_India_Index_Upto_April23__1[[#This Row],[Food and beverages]])</f>
        <v>1</v>
      </c>
      <c r="AY18">
        <f>TYPE(All_India_Index_Upto_April23__1[[#This Row],[Pan, tobacco and intoxicants]])</f>
        <v>1</v>
      </c>
      <c r="AZ18">
        <f>TYPE(All_India_Index_Upto_April23__1[[#This Row],[Clothing]])</f>
        <v>1</v>
      </c>
      <c r="BA18">
        <f>TYPE(All_India_Index_Upto_April23__1[[#This Row],[Footwear]])</f>
        <v>1</v>
      </c>
      <c r="BB18">
        <f>TYPE(All_India_Index_Upto_April23__1[[#This Row],[Clothing and footwear]])</f>
        <v>1</v>
      </c>
      <c r="BC18">
        <f>TYPE(All_India_Index_Upto_April23__1[[#This Row],[Housing]])</f>
        <v>2</v>
      </c>
      <c r="BD18">
        <f>TYPE(All_India_Index_Upto_April23__1[[#This Row],[Fuel and light]])</f>
        <v>1</v>
      </c>
      <c r="BE18">
        <f>TYPE(All_India_Index_Upto_April23__1[[#This Row],[Household goods and services]])</f>
        <v>1</v>
      </c>
      <c r="BF18">
        <f>TYPE(All_India_Index_Upto_April23__1[[#This Row],[Health]])</f>
        <v>1</v>
      </c>
      <c r="BG18">
        <f>TYPE(All_India_Index_Upto_April23__1[[#This Row],[Transport and communication]])</f>
        <v>1</v>
      </c>
      <c r="BH18">
        <f>TYPE(All_India_Index_Upto_April23__1[[#This Row],[Recreation and amusement]])</f>
        <v>1</v>
      </c>
      <c r="BI18">
        <f>TYPE(All_India_Index_Upto_April23__1[[#This Row],[Education]])</f>
        <v>1</v>
      </c>
      <c r="BJ18">
        <f>TYPE(All_India_Index_Upto_April23__1[[#This Row],[Personal care and effects]])</f>
        <v>1</v>
      </c>
      <c r="BK18">
        <f>TYPE(All_India_Index_Upto_April23__1[[#This Row],[Miscellaneous]])</f>
        <v>1</v>
      </c>
      <c r="BL18">
        <f>TYPE(All_India_Index_Upto_April23__1[[#This Row],[General index]])</f>
        <v>1</v>
      </c>
    </row>
    <row r="19" spans="1:64" hidden="1" x14ac:dyDescent="0.3">
      <c r="A19" t="s">
        <v>32</v>
      </c>
      <c r="B19">
        <v>2013</v>
      </c>
      <c r="C19" t="s">
        <v>38</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t="s">
        <v>93</v>
      </c>
      <c r="V19">
        <v>108</v>
      </c>
      <c r="W19">
        <v>107.7</v>
      </c>
      <c r="X19">
        <v>106.5</v>
      </c>
      <c r="Y19">
        <v>105.2</v>
      </c>
      <c r="Z19">
        <v>105.2</v>
      </c>
      <c r="AA19">
        <v>108.1</v>
      </c>
      <c r="AB19">
        <v>103.3</v>
      </c>
      <c r="AC19">
        <v>106.1</v>
      </c>
      <c r="AD19">
        <v>109.7</v>
      </c>
      <c r="AE19">
        <f>SUM(All_India_Index_Upto_April23__1[[#This Row],[Cereals and products]:[Food and beverages]])</f>
        <v>1464.6000000000001</v>
      </c>
      <c r="AF19">
        <f>SUM(All_India_Index_Upto_April23__1[[#This Row],[Clothing]:[Clothing and footwear]])</f>
        <v>325.3</v>
      </c>
      <c r="AG19">
        <f t="shared" si="0"/>
        <v>320.89999999999998</v>
      </c>
      <c r="AI19">
        <f>TYPE(All_India_Index_Upto_April23__1[[#This Row],[Sector]])</f>
        <v>2</v>
      </c>
      <c r="AJ19">
        <f>TYPE(All_India_Index_Upto_April23__1[[#This Row],[Year]])</f>
        <v>1</v>
      </c>
      <c r="AK19">
        <f>TYPE(All_India_Index_Upto_April23__1[[#This Row],[Month]])</f>
        <v>2</v>
      </c>
      <c r="AL19">
        <f>TYPE(All_India_Index_Upto_April23__1[[#This Row],[Cereals and products]])</f>
        <v>1</v>
      </c>
      <c r="AM19">
        <f>TYPE(All_India_Index_Upto_April23__1[[#This Row],[Meat and fish]])</f>
        <v>1</v>
      </c>
      <c r="AN19">
        <f>TYPE(All_India_Index_Upto_April23__1[[#This Row],[Egg]])</f>
        <v>1</v>
      </c>
      <c r="AO19">
        <f>TYPE(All_India_Index_Upto_April23__1[[#This Row],[Milk and products]])</f>
        <v>1</v>
      </c>
      <c r="AP19">
        <f>TYPE(All_India_Index_Upto_April23__1[[#This Row],[Oils and fats]])</f>
        <v>1</v>
      </c>
      <c r="AQ19">
        <f>TYPE(All_India_Index_Upto_April23__1[[#This Row],[Fruits]])</f>
        <v>1</v>
      </c>
      <c r="AR19">
        <f>TYPE(All_India_Index_Upto_April23__1[[#This Row],[Vegetables]])</f>
        <v>1</v>
      </c>
      <c r="AS19">
        <f>TYPE(All_India_Index_Upto_April23__1[[#This Row],[Pulses and products]])</f>
        <v>1</v>
      </c>
      <c r="AT19">
        <f>TYPE(All_India_Index_Upto_April23__1[[#This Row],[Sugar and Confectionery]])</f>
        <v>1</v>
      </c>
      <c r="AU19">
        <f>TYPE(All_India_Index_Upto_April23__1[[#This Row],[Spices]])</f>
        <v>1</v>
      </c>
      <c r="AV19">
        <f>TYPE(All_India_Index_Upto_April23__1[[#This Row],[Non-alcoholic beverages]])</f>
        <v>1</v>
      </c>
      <c r="AW19">
        <f>TYPE(All_India_Index_Upto_April23__1[[#This Row],[Prepared meals, snacks, sweets etc.]])</f>
        <v>1</v>
      </c>
      <c r="AX19">
        <f>TYPE(All_India_Index_Upto_April23__1[[#This Row],[Food and beverages]])</f>
        <v>1</v>
      </c>
      <c r="AY19">
        <f>TYPE(All_India_Index_Upto_April23__1[[#This Row],[Pan, tobacco and intoxicants]])</f>
        <v>1</v>
      </c>
      <c r="AZ19">
        <f>TYPE(All_India_Index_Upto_April23__1[[#This Row],[Clothing]])</f>
        <v>1</v>
      </c>
      <c r="BA19">
        <f>TYPE(All_India_Index_Upto_April23__1[[#This Row],[Footwear]])</f>
        <v>1</v>
      </c>
      <c r="BB19">
        <f>TYPE(All_India_Index_Upto_April23__1[[#This Row],[Clothing and footwear]])</f>
        <v>1</v>
      </c>
      <c r="BC19">
        <f>TYPE(All_India_Index_Upto_April23__1[[#This Row],[Housing]])</f>
        <v>2</v>
      </c>
      <c r="BD19">
        <f>TYPE(All_India_Index_Upto_April23__1[[#This Row],[Fuel and light]])</f>
        <v>1</v>
      </c>
      <c r="BE19">
        <f>TYPE(All_India_Index_Upto_April23__1[[#This Row],[Household goods and services]])</f>
        <v>1</v>
      </c>
      <c r="BF19">
        <f>TYPE(All_India_Index_Upto_April23__1[[#This Row],[Health]])</f>
        <v>1</v>
      </c>
      <c r="BG19">
        <f>TYPE(All_India_Index_Upto_April23__1[[#This Row],[Transport and communication]])</f>
        <v>1</v>
      </c>
      <c r="BH19">
        <f>TYPE(All_India_Index_Upto_April23__1[[#This Row],[Recreation and amusement]])</f>
        <v>1</v>
      </c>
      <c r="BI19">
        <f>TYPE(All_India_Index_Upto_April23__1[[#This Row],[Education]])</f>
        <v>1</v>
      </c>
      <c r="BJ19">
        <f>TYPE(All_India_Index_Upto_April23__1[[#This Row],[Personal care and effects]])</f>
        <v>1</v>
      </c>
      <c r="BK19">
        <f>TYPE(All_India_Index_Upto_April23__1[[#This Row],[Miscellaneous]])</f>
        <v>1</v>
      </c>
      <c r="BL19">
        <f>TYPE(All_India_Index_Upto_April23__1[[#This Row],[General index]])</f>
        <v>1</v>
      </c>
    </row>
    <row r="20" spans="1:64" hidden="1" x14ac:dyDescent="0.3">
      <c r="A20" t="s">
        <v>33</v>
      </c>
      <c r="B20">
        <v>2013</v>
      </c>
      <c r="C20" t="s">
        <v>38</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t="s">
        <v>93</v>
      </c>
      <c r="V20">
        <v>108.3</v>
      </c>
      <c r="W20">
        <v>107.6</v>
      </c>
      <c r="X20">
        <v>106.4</v>
      </c>
      <c r="Y20">
        <v>105.1</v>
      </c>
      <c r="Z20">
        <v>105.4</v>
      </c>
      <c r="AA20">
        <v>107.4</v>
      </c>
      <c r="AB20">
        <v>102.8</v>
      </c>
      <c r="AC20">
        <v>105.8</v>
      </c>
      <c r="AD20">
        <v>109.3</v>
      </c>
      <c r="AE20">
        <f>SUM(All_India_Index_Upto_April23__1[[#This Row],[Cereals and products]:[Food and beverages]])</f>
        <v>1436</v>
      </c>
      <c r="AF20">
        <f>SUM(All_India_Index_Upto_April23__1[[#This Row],[Clothing]:[Clothing and footwear]])</f>
        <v>326.89999999999998</v>
      </c>
      <c r="AG20">
        <f t="shared" si="0"/>
        <v>321</v>
      </c>
      <c r="AI20">
        <f>TYPE(All_India_Index_Upto_April23__1[[#This Row],[Sector]])</f>
        <v>2</v>
      </c>
      <c r="AJ20">
        <f>TYPE(All_India_Index_Upto_April23__1[[#This Row],[Year]])</f>
        <v>1</v>
      </c>
      <c r="AK20">
        <f>TYPE(All_India_Index_Upto_April23__1[[#This Row],[Month]])</f>
        <v>2</v>
      </c>
      <c r="AL20">
        <f>TYPE(All_India_Index_Upto_April23__1[[#This Row],[Cereals and products]])</f>
        <v>1</v>
      </c>
      <c r="AM20">
        <f>TYPE(All_India_Index_Upto_April23__1[[#This Row],[Meat and fish]])</f>
        <v>1</v>
      </c>
      <c r="AN20">
        <f>TYPE(All_India_Index_Upto_April23__1[[#This Row],[Egg]])</f>
        <v>1</v>
      </c>
      <c r="AO20">
        <f>TYPE(All_India_Index_Upto_April23__1[[#This Row],[Milk and products]])</f>
        <v>1</v>
      </c>
      <c r="AP20">
        <f>TYPE(All_India_Index_Upto_April23__1[[#This Row],[Oils and fats]])</f>
        <v>1</v>
      </c>
      <c r="AQ20">
        <f>TYPE(All_India_Index_Upto_April23__1[[#This Row],[Fruits]])</f>
        <v>1</v>
      </c>
      <c r="AR20">
        <f>TYPE(All_India_Index_Upto_April23__1[[#This Row],[Vegetables]])</f>
        <v>1</v>
      </c>
      <c r="AS20">
        <f>TYPE(All_India_Index_Upto_April23__1[[#This Row],[Pulses and products]])</f>
        <v>1</v>
      </c>
      <c r="AT20">
        <f>TYPE(All_India_Index_Upto_April23__1[[#This Row],[Sugar and Confectionery]])</f>
        <v>1</v>
      </c>
      <c r="AU20">
        <f>TYPE(All_India_Index_Upto_April23__1[[#This Row],[Spices]])</f>
        <v>1</v>
      </c>
      <c r="AV20">
        <f>TYPE(All_India_Index_Upto_April23__1[[#This Row],[Non-alcoholic beverages]])</f>
        <v>1</v>
      </c>
      <c r="AW20">
        <f>TYPE(All_India_Index_Upto_April23__1[[#This Row],[Prepared meals, snacks, sweets etc.]])</f>
        <v>1</v>
      </c>
      <c r="AX20">
        <f>TYPE(All_India_Index_Upto_April23__1[[#This Row],[Food and beverages]])</f>
        <v>1</v>
      </c>
      <c r="AY20">
        <f>TYPE(All_India_Index_Upto_April23__1[[#This Row],[Pan, tobacco and intoxicants]])</f>
        <v>1</v>
      </c>
      <c r="AZ20">
        <f>TYPE(All_India_Index_Upto_April23__1[[#This Row],[Clothing]])</f>
        <v>1</v>
      </c>
      <c r="BA20">
        <f>TYPE(All_India_Index_Upto_April23__1[[#This Row],[Footwear]])</f>
        <v>1</v>
      </c>
      <c r="BB20">
        <f>TYPE(All_India_Index_Upto_April23__1[[#This Row],[Clothing and footwear]])</f>
        <v>1</v>
      </c>
      <c r="BC20">
        <f>TYPE(All_India_Index_Upto_April23__1[[#This Row],[Housing]])</f>
        <v>2</v>
      </c>
      <c r="BD20">
        <f>TYPE(All_India_Index_Upto_April23__1[[#This Row],[Fuel and light]])</f>
        <v>1</v>
      </c>
      <c r="BE20">
        <f>TYPE(All_India_Index_Upto_April23__1[[#This Row],[Household goods and services]])</f>
        <v>1</v>
      </c>
      <c r="BF20">
        <f>TYPE(All_India_Index_Upto_April23__1[[#This Row],[Health]])</f>
        <v>1</v>
      </c>
      <c r="BG20">
        <f>TYPE(All_India_Index_Upto_April23__1[[#This Row],[Transport and communication]])</f>
        <v>1</v>
      </c>
      <c r="BH20">
        <f>TYPE(All_India_Index_Upto_April23__1[[#This Row],[Recreation and amusement]])</f>
        <v>1</v>
      </c>
      <c r="BI20">
        <f>TYPE(All_India_Index_Upto_April23__1[[#This Row],[Education]])</f>
        <v>1</v>
      </c>
      <c r="BJ20">
        <f>TYPE(All_India_Index_Upto_April23__1[[#This Row],[Personal care and effects]])</f>
        <v>1</v>
      </c>
      <c r="BK20">
        <f>TYPE(All_India_Index_Upto_April23__1[[#This Row],[Miscellaneous]])</f>
        <v>1</v>
      </c>
      <c r="BL20">
        <f>TYPE(All_India_Index_Upto_April23__1[[#This Row],[General index]])</f>
        <v>1</v>
      </c>
    </row>
    <row r="21" spans="1:64" hidden="1" x14ac:dyDescent="0.3">
      <c r="A21" t="s">
        <v>30</v>
      </c>
      <c r="B21">
        <v>2013</v>
      </c>
      <c r="C21" t="s">
        <v>39</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U21" t="s">
        <v>89</v>
      </c>
      <c r="V21">
        <v>109.5</v>
      </c>
      <c r="W21">
        <v>108.3</v>
      </c>
      <c r="X21">
        <v>106.9</v>
      </c>
      <c r="Y21">
        <v>106.8</v>
      </c>
      <c r="Z21">
        <v>106.4</v>
      </c>
      <c r="AA21">
        <v>107.8</v>
      </c>
      <c r="AB21">
        <v>102.5</v>
      </c>
      <c r="AC21">
        <v>106.5</v>
      </c>
      <c r="AD21">
        <v>110.7</v>
      </c>
      <c r="AE21">
        <f>SUM(All_India_Index_Upto_April23__1[[#This Row],[Cereals and products]:[Food and beverages]])</f>
        <v>1445.8999999999996</v>
      </c>
      <c r="AF21">
        <f>SUM(All_India_Index_Upto_April23__1[[#This Row],[Clothing]:[Clothing and footwear]])</f>
        <v>330.3</v>
      </c>
      <c r="AG21">
        <f t="shared" si="0"/>
        <v>324.60000000000002</v>
      </c>
      <c r="AI21">
        <f>TYPE(All_India_Index_Upto_April23__1[[#This Row],[Sector]])</f>
        <v>2</v>
      </c>
      <c r="AJ21">
        <f>TYPE(All_India_Index_Upto_April23__1[[#This Row],[Year]])</f>
        <v>1</v>
      </c>
      <c r="AK21">
        <f>TYPE(All_India_Index_Upto_April23__1[[#This Row],[Month]])</f>
        <v>2</v>
      </c>
      <c r="AL21">
        <f>TYPE(All_India_Index_Upto_April23__1[[#This Row],[Cereals and products]])</f>
        <v>1</v>
      </c>
      <c r="AM21">
        <f>TYPE(All_India_Index_Upto_April23__1[[#This Row],[Meat and fish]])</f>
        <v>1</v>
      </c>
      <c r="AN21">
        <f>TYPE(All_India_Index_Upto_April23__1[[#This Row],[Egg]])</f>
        <v>1</v>
      </c>
      <c r="AO21">
        <f>TYPE(All_India_Index_Upto_April23__1[[#This Row],[Milk and products]])</f>
        <v>1</v>
      </c>
      <c r="AP21">
        <f>TYPE(All_India_Index_Upto_April23__1[[#This Row],[Oils and fats]])</f>
        <v>1</v>
      </c>
      <c r="AQ21">
        <f>TYPE(All_India_Index_Upto_April23__1[[#This Row],[Fruits]])</f>
        <v>1</v>
      </c>
      <c r="AR21">
        <f>TYPE(All_India_Index_Upto_April23__1[[#This Row],[Vegetables]])</f>
        <v>1</v>
      </c>
      <c r="AS21">
        <f>TYPE(All_India_Index_Upto_April23__1[[#This Row],[Pulses and products]])</f>
        <v>1</v>
      </c>
      <c r="AT21">
        <f>TYPE(All_India_Index_Upto_April23__1[[#This Row],[Sugar and Confectionery]])</f>
        <v>1</v>
      </c>
      <c r="AU21">
        <f>TYPE(All_India_Index_Upto_April23__1[[#This Row],[Spices]])</f>
        <v>1</v>
      </c>
      <c r="AV21">
        <f>TYPE(All_India_Index_Upto_April23__1[[#This Row],[Non-alcoholic beverages]])</f>
        <v>1</v>
      </c>
      <c r="AW21">
        <f>TYPE(All_India_Index_Upto_April23__1[[#This Row],[Prepared meals, snacks, sweets etc.]])</f>
        <v>1</v>
      </c>
      <c r="AX21">
        <f>TYPE(All_India_Index_Upto_April23__1[[#This Row],[Food and beverages]])</f>
        <v>1</v>
      </c>
      <c r="AY21">
        <f>TYPE(All_India_Index_Upto_April23__1[[#This Row],[Pan, tobacco and intoxicants]])</f>
        <v>1</v>
      </c>
      <c r="AZ21">
        <f>TYPE(All_India_Index_Upto_April23__1[[#This Row],[Clothing]])</f>
        <v>1</v>
      </c>
      <c r="BA21">
        <f>TYPE(All_India_Index_Upto_April23__1[[#This Row],[Footwear]])</f>
        <v>1</v>
      </c>
      <c r="BB21">
        <f>TYPE(All_India_Index_Upto_April23__1[[#This Row],[Clothing and footwear]])</f>
        <v>1</v>
      </c>
      <c r="BC21">
        <f>TYPE(All_India_Index_Upto_April23__1[[#This Row],[Housing]])</f>
        <v>2</v>
      </c>
      <c r="BD21">
        <f>TYPE(All_India_Index_Upto_April23__1[[#This Row],[Fuel and light]])</f>
        <v>1</v>
      </c>
      <c r="BE21">
        <f>TYPE(All_India_Index_Upto_April23__1[[#This Row],[Household goods and services]])</f>
        <v>1</v>
      </c>
      <c r="BF21">
        <f>TYPE(All_India_Index_Upto_April23__1[[#This Row],[Health]])</f>
        <v>1</v>
      </c>
      <c r="BG21">
        <f>TYPE(All_India_Index_Upto_April23__1[[#This Row],[Transport and communication]])</f>
        <v>1</v>
      </c>
      <c r="BH21">
        <f>TYPE(All_India_Index_Upto_April23__1[[#This Row],[Recreation and amusement]])</f>
        <v>1</v>
      </c>
      <c r="BI21">
        <f>TYPE(All_India_Index_Upto_April23__1[[#This Row],[Education]])</f>
        <v>1</v>
      </c>
      <c r="BJ21">
        <f>TYPE(All_India_Index_Upto_April23__1[[#This Row],[Personal care and effects]])</f>
        <v>1</v>
      </c>
      <c r="BK21">
        <f>TYPE(All_India_Index_Upto_April23__1[[#This Row],[Miscellaneous]])</f>
        <v>1</v>
      </c>
      <c r="BL21">
        <f>TYPE(All_India_Index_Upto_April23__1[[#This Row],[General index]])</f>
        <v>1</v>
      </c>
    </row>
    <row r="22" spans="1:64" hidden="1" x14ac:dyDescent="0.3">
      <c r="A22" t="s">
        <v>32</v>
      </c>
      <c r="B22">
        <v>2013</v>
      </c>
      <c r="C22" t="s">
        <v>39</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t="s">
        <v>94</v>
      </c>
      <c r="V22">
        <v>108.6</v>
      </c>
      <c r="W22">
        <v>108.1</v>
      </c>
      <c r="X22">
        <v>107.1</v>
      </c>
      <c r="Y22">
        <v>107.3</v>
      </c>
      <c r="Z22">
        <v>105.9</v>
      </c>
      <c r="AA22">
        <v>110.1</v>
      </c>
      <c r="AB22">
        <v>103.2</v>
      </c>
      <c r="AC22">
        <v>107.3</v>
      </c>
      <c r="AD22">
        <v>111.4</v>
      </c>
      <c r="AE22">
        <f>SUM(All_India_Index_Upto_April23__1[[#This Row],[Cereals and products]:[Food and beverages]])</f>
        <v>1489.4</v>
      </c>
      <c r="AF22">
        <f>SUM(All_India_Index_Upto_April23__1[[#This Row],[Clothing]:[Clothing and footwear]])</f>
        <v>327.10000000000002</v>
      </c>
      <c r="AG22">
        <f t="shared" si="0"/>
        <v>324</v>
      </c>
      <c r="AI22">
        <f>TYPE(All_India_Index_Upto_April23__1[[#This Row],[Sector]])</f>
        <v>2</v>
      </c>
      <c r="AJ22">
        <f>TYPE(All_India_Index_Upto_April23__1[[#This Row],[Year]])</f>
        <v>1</v>
      </c>
      <c r="AK22">
        <f>TYPE(All_India_Index_Upto_April23__1[[#This Row],[Month]])</f>
        <v>2</v>
      </c>
      <c r="AL22">
        <f>TYPE(All_India_Index_Upto_April23__1[[#This Row],[Cereals and products]])</f>
        <v>1</v>
      </c>
      <c r="AM22">
        <f>TYPE(All_India_Index_Upto_April23__1[[#This Row],[Meat and fish]])</f>
        <v>1</v>
      </c>
      <c r="AN22">
        <f>TYPE(All_India_Index_Upto_April23__1[[#This Row],[Egg]])</f>
        <v>1</v>
      </c>
      <c r="AO22">
        <f>TYPE(All_India_Index_Upto_April23__1[[#This Row],[Milk and products]])</f>
        <v>1</v>
      </c>
      <c r="AP22">
        <f>TYPE(All_India_Index_Upto_April23__1[[#This Row],[Oils and fats]])</f>
        <v>1</v>
      </c>
      <c r="AQ22">
        <f>TYPE(All_India_Index_Upto_April23__1[[#This Row],[Fruits]])</f>
        <v>1</v>
      </c>
      <c r="AR22">
        <f>TYPE(All_India_Index_Upto_April23__1[[#This Row],[Vegetables]])</f>
        <v>1</v>
      </c>
      <c r="AS22">
        <f>TYPE(All_India_Index_Upto_April23__1[[#This Row],[Pulses and products]])</f>
        <v>1</v>
      </c>
      <c r="AT22">
        <f>TYPE(All_India_Index_Upto_April23__1[[#This Row],[Sugar and Confectionery]])</f>
        <v>1</v>
      </c>
      <c r="AU22">
        <f>TYPE(All_India_Index_Upto_April23__1[[#This Row],[Spices]])</f>
        <v>1</v>
      </c>
      <c r="AV22">
        <f>TYPE(All_India_Index_Upto_April23__1[[#This Row],[Non-alcoholic beverages]])</f>
        <v>1</v>
      </c>
      <c r="AW22">
        <f>TYPE(All_India_Index_Upto_April23__1[[#This Row],[Prepared meals, snacks, sweets etc.]])</f>
        <v>1</v>
      </c>
      <c r="AX22">
        <f>TYPE(All_India_Index_Upto_April23__1[[#This Row],[Food and beverages]])</f>
        <v>1</v>
      </c>
      <c r="AY22">
        <f>TYPE(All_India_Index_Upto_April23__1[[#This Row],[Pan, tobacco and intoxicants]])</f>
        <v>1</v>
      </c>
      <c r="AZ22">
        <f>TYPE(All_India_Index_Upto_April23__1[[#This Row],[Clothing]])</f>
        <v>1</v>
      </c>
      <c r="BA22">
        <f>TYPE(All_India_Index_Upto_April23__1[[#This Row],[Footwear]])</f>
        <v>1</v>
      </c>
      <c r="BB22">
        <f>TYPE(All_India_Index_Upto_April23__1[[#This Row],[Clothing and footwear]])</f>
        <v>1</v>
      </c>
      <c r="BC22">
        <f>TYPE(All_India_Index_Upto_April23__1[[#This Row],[Housing]])</f>
        <v>2</v>
      </c>
      <c r="BD22">
        <f>TYPE(All_India_Index_Upto_April23__1[[#This Row],[Fuel and light]])</f>
        <v>1</v>
      </c>
      <c r="BE22">
        <f>TYPE(All_India_Index_Upto_April23__1[[#This Row],[Household goods and services]])</f>
        <v>1</v>
      </c>
      <c r="BF22">
        <f>TYPE(All_India_Index_Upto_April23__1[[#This Row],[Health]])</f>
        <v>1</v>
      </c>
      <c r="BG22">
        <f>TYPE(All_India_Index_Upto_April23__1[[#This Row],[Transport and communication]])</f>
        <v>1</v>
      </c>
      <c r="BH22">
        <f>TYPE(All_India_Index_Upto_April23__1[[#This Row],[Recreation and amusement]])</f>
        <v>1</v>
      </c>
      <c r="BI22">
        <f>TYPE(All_India_Index_Upto_April23__1[[#This Row],[Education]])</f>
        <v>1</v>
      </c>
      <c r="BJ22">
        <f>TYPE(All_India_Index_Upto_April23__1[[#This Row],[Personal care and effects]])</f>
        <v>1</v>
      </c>
      <c r="BK22">
        <f>TYPE(All_India_Index_Upto_April23__1[[#This Row],[Miscellaneous]])</f>
        <v>1</v>
      </c>
      <c r="BL22">
        <f>TYPE(All_India_Index_Upto_April23__1[[#This Row],[General index]])</f>
        <v>1</v>
      </c>
    </row>
    <row r="23" spans="1:64" hidden="1" x14ac:dyDescent="0.3">
      <c r="A23" t="s">
        <v>33</v>
      </c>
      <c r="B23">
        <v>2013</v>
      </c>
      <c r="C23" t="s">
        <v>39</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t="s">
        <v>94</v>
      </c>
      <c r="V23">
        <v>109.2</v>
      </c>
      <c r="W23">
        <v>108.2</v>
      </c>
      <c r="X23">
        <v>107</v>
      </c>
      <c r="Y23">
        <v>107.1</v>
      </c>
      <c r="Z23">
        <v>106.1</v>
      </c>
      <c r="AA23">
        <v>109.1</v>
      </c>
      <c r="AB23">
        <v>102.8</v>
      </c>
      <c r="AC23">
        <v>106.9</v>
      </c>
      <c r="AD23">
        <v>111</v>
      </c>
      <c r="AE23">
        <f>SUM(All_India_Index_Upto_April23__1[[#This Row],[Cereals and products]:[Food and beverages]])</f>
        <v>1461.3999999999999</v>
      </c>
      <c r="AF23">
        <f>SUM(All_India_Index_Upto_April23__1[[#This Row],[Clothing]:[Clothing and footwear]])</f>
        <v>329</v>
      </c>
      <c r="AG23">
        <f t="shared" si="0"/>
        <v>324.5</v>
      </c>
      <c r="AI23">
        <f>TYPE(All_India_Index_Upto_April23__1[[#This Row],[Sector]])</f>
        <v>2</v>
      </c>
      <c r="AJ23">
        <f>TYPE(All_India_Index_Upto_April23__1[[#This Row],[Year]])</f>
        <v>1</v>
      </c>
      <c r="AK23">
        <f>TYPE(All_India_Index_Upto_April23__1[[#This Row],[Month]])</f>
        <v>2</v>
      </c>
      <c r="AL23">
        <f>TYPE(All_India_Index_Upto_April23__1[[#This Row],[Cereals and products]])</f>
        <v>1</v>
      </c>
      <c r="AM23">
        <f>TYPE(All_India_Index_Upto_April23__1[[#This Row],[Meat and fish]])</f>
        <v>1</v>
      </c>
      <c r="AN23">
        <f>TYPE(All_India_Index_Upto_April23__1[[#This Row],[Egg]])</f>
        <v>1</v>
      </c>
      <c r="AO23">
        <f>TYPE(All_India_Index_Upto_April23__1[[#This Row],[Milk and products]])</f>
        <v>1</v>
      </c>
      <c r="AP23">
        <f>TYPE(All_India_Index_Upto_April23__1[[#This Row],[Oils and fats]])</f>
        <v>1</v>
      </c>
      <c r="AQ23">
        <f>TYPE(All_India_Index_Upto_April23__1[[#This Row],[Fruits]])</f>
        <v>1</v>
      </c>
      <c r="AR23">
        <f>TYPE(All_India_Index_Upto_April23__1[[#This Row],[Vegetables]])</f>
        <v>1</v>
      </c>
      <c r="AS23">
        <f>TYPE(All_India_Index_Upto_April23__1[[#This Row],[Pulses and products]])</f>
        <v>1</v>
      </c>
      <c r="AT23">
        <f>TYPE(All_India_Index_Upto_April23__1[[#This Row],[Sugar and Confectionery]])</f>
        <v>1</v>
      </c>
      <c r="AU23">
        <f>TYPE(All_India_Index_Upto_April23__1[[#This Row],[Spices]])</f>
        <v>1</v>
      </c>
      <c r="AV23">
        <f>TYPE(All_India_Index_Upto_April23__1[[#This Row],[Non-alcoholic beverages]])</f>
        <v>1</v>
      </c>
      <c r="AW23">
        <f>TYPE(All_India_Index_Upto_April23__1[[#This Row],[Prepared meals, snacks, sweets etc.]])</f>
        <v>1</v>
      </c>
      <c r="AX23">
        <f>TYPE(All_India_Index_Upto_April23__1[[#This Row],[Food and beverages]])</f>
        <v>1</v>
      </c>
      <c r="AY23">
        <f>TYPE(All_India_Index_Upto_April23__1[[#This Row],[Pan, tobacco and intoxicants]])</f>
        <v>1</v>
      </c>
      <c r="AZ23">
        <f>TYPE(All_India_Index_Upto_April23__1[[#This Row],[Clothing]])</f>
        <v>1</v>
      </c>
      <c r="BA23">
        <f>TYPE(All_India_Index_Upto_April23__1[[#This Row],[Footwear]])</f>
        <v>1</v>
      </c>
      <c r="BB23">
        <f>TYPE(All_India_Index_Upto_April23__1[[#This Row],[Clothing and footwear]])</f>
        <v>1</v>
      </c>
      <c r="BC23">
        <f>TYPE(All_India_Index_Upto_April23__1[[#This Row],[Housing]])</f>
        <v>2</v>
      </c>
      <c r="BD23">
        <f>TYPE(All_India_Index_Upto_April23__1[[#This Row],[Fuel and light]])</f>
        <v>1</v>
      </c>
      <c r="BE23">
        <f>TYPE(All_India_Index_Upto_April23__1[[#This Row],[Household goods and services]])</f>
        <v>1</v>
      </c>
      <c r="BF23">
        <f>TYPE(All_India_Index_Upto_April23__1[[#This Row],[Health]])</f>
        <v>1</v>
      </c>
      <c r="BG23">
        <f>TYPE(All_India_Index_Upto_April23__1[[#This Row],[Transport and communication]])</f>
        <v>1</v>
      </c>
      <c r="BH23">
        <f>TYPE(All_India_Index_Upto_April23__1[[#This Row],[Recreation and amusement]])</f>
        <v>1</v>
      </c>
      <c r="BI23">
        <f>TYPE(All_India_Index_Upto_April23__1[[#This Row],[Education]])</f>
        <v>1</v>
      </c>
      <c r="BJ23">
        <f>TYPE(All_India_Index_Upto_April23__1[[#This Row],[Personal care and effects]])</f>
        <v>1</v>
      </c>
      <c r="BK23">
        <f>TYPE(All_India_Index_Upto_April23__1[[#This Row],[Miscellaneous]])</f>
        <v>1</v>
      </c>
      <c r="BL23">
        <f>TYPE(All_India_Index_Upto_April23__1[[#This Row],[General index]])</f>
        <v>1</v>
      </c>
    </row>
    <row r="24" spans="1:64" hidden="1" x14ac:dyDescent="0.3">
      <c r="A24" t="s">
        <v>30</v>
      </c>
      <c r="B24">
        <v>2013</v>
      </c>
      <c r="C24" t="s">
        <v>40</v>
      </c>
      <c r="D24">
        <v>114.3</v>
      </c>
      <c r="E24">
        <v>115.4</v>
      </c>
      <c r="F24">
        <v>111.1</v>
      </c>
      <c r="G24">
        <v>110</v>
      </c>
      <c r="H24">
        <v>106.4</v>
      </c>
      <c r="I24">
        <v>110.8</v>
      </c>
      <c r="J24">
        <v>138.9</v>
      </c>
      <c r="K24">
        <v>107.4</v>
      </c>
      <c r="L24">
        <v>104.1</v>
      </c>
      <c r="M24">
        <v>106.9</v>
      </c>
      <c r="N24">
        <v>109.7</v>
      </c>
      <c r="O24">
        <v>112.6</v>
      </c>
      <c r="P24">
        <v>114.9</v>
      </c>
      <c r="Q24">
        <v>110.7</v>
      </c>
      <c r="R24">
        <v>111.3</v>
      </c>
      <c r="S24">
        <v>110.2</v>
      </c>
      <c r="T24">
        <v>111.1</v>
      </c>
      <c r="U24" t="s">
        <v>89</v>
      </c>
      <c r="V24">
        <v>109.9</v>
      </c>
      <c r="W24">
        <v>108.7</v>
      </c>
      <c r="X24">
        <v>107.5</v>
      </c>
      <c r="Y24">
        <v>107.8</v>
      </c>
      <c r="Z24">
        <v>106.8</v>
      </c>
      <c r="AA24">
        <v>108.7</v>
      </c>
      <c r="AB24">
        <v>105</v>
      </c>
      <c r="AC24">
        <v>107.5</v>
      </c>
      <c r="AD24">
        <v>112.1</v>
      </c>
      <c r="AE24">
        <f>SUM(All_India_Index_Upto_April23__1[[#This Row],[Cereals and products]:[Food and beverages]])</f>
        <v>1462.5</v>
      </c>
      <c r="AF24">
        <f>SUM(All_India_Index_Upto_April23__1[[#This Row],[Clothing]:[Clothing and footwear]])</f>
        <v>332.6</v>
      </c>
      <c r="AG24">
        <f t="shared" si="0"/>
        <v>326.40000000000003</v>
      </c>
      <c r="AI24">
        <f>TYPE(All_India_Index_Upto_April23__1[[#This Row],[Sector]])</f>
        <v>2</v>
      </c>
      <c r="AJ24">
        <f>TYPE(All_India_Index_Upto_April23__1[[#This Row],[Year]])</f>
        <v>1</v>
      </c>
      <c r="AK24">
        <f>TYPE(All_India_Index_Upto_April23__1[[#This Row],[Month]])</f>
        <v>2</v>
      </c>
      <c r="AL24">
        <f>TYPE(All_India_Index_Upto_April23__1[[#This Row],[Cereals and products]])</f>
        <v>1</v>
      </c>
      <c r="AM24">
        <f>TYPE(All_India_Index_Upto_April23__1[[#This Row],[Meat and fish]])</f>
        <v>1</v>
      </c>
      <c r="AN24">
        <f>TYPE(All_India_Index_Upto_April23__1[[#This Row],[Egg]])</f>
        <v>1</v>
      </c>
      <c r="AO24">
        <f>TYPE(All_India_Index_Upto_April23__1[[#This Row],[Milk and products]])</f>
        <v>1</v>
      </c>
      <c r="AP24">
        <f>TYPE(All_India_Index_Upto_April23__1[[#This Row],[Oils and fats]])</f>
        <v>1</v>
      </c>
      <c r="AQ24">
        <f>TYPE(All_India_Index_Upto_April23__1[[#This Row],[Fruits]])</f>
        <v>1</v>
      </c>
      <c r="AR24">
        <f>TYPE(All_India_Index_Upto_April23__1[[#This Row],[Vegetables]])</f>
        <v>1</v>
      </c>
      <c r="AS24">
        <f>TYPE(All_India_Index_Upto_April23__1[[#This Row],[Pulses and products]])</f>
        <v>1</v>
      </c>
      <c r="AT24">
        <f>TYPE(All_India_Index_Upto_April23__1[[#This Row],[Sugar and Confectionery]])</f>
        <v>1</v>
      </c>
      <c r="AU24">
        <f>TYPE(All_India_Index_Upto_April23__1[[#This Row],[Spices]])</f>
        <v>1</v>
      </c>
      <c r="AV24">
        <f>TYPE(All_India_Index_Upto_April23__1[[#This Row],[Non-alcoholic beverages]])</f>
        <v>1</v>
      </c>
      <c r="AW24">
        <f>TYPE(All_India_Index_Upto_April23__1[[#This Row],[Prepared meals, snacks, sweets etc.]])</f>
        <v>1</v>
      </c>
      <c r="AX24">
        <f>TYPE(All_India_Index_Upto_April23__1[[#This Row],[Food and beverages]])</f>
        <v>1</v>
      </c>
      <c r="AY24">
        <f>TYPE(All_India_Index_Upto_April23__1[[#This Row],[Pan, tobacco and intoxicants]])</f>
        <v>1</v>
      </c>
      <c r="AZ24">
        <f>TYPE(All_India_Index_Upto_April23__1[[#This Row],[Clothing]])</f>
        <v>1</v>
      </c>
      <c r="BA24">
        <f>TYPE(All_India_Index_Upto_April23__1[[#This Row],[Footwear]])</f>
        <v>1</v>
      </c>
      <c r="BB24">
        <f>TYPE(All_India_Index_Upto_April23__1[[#This Row],[Clothing and footwear]])</f>
        <v>1</v>
      </c>
      <c r="BC24">
        <f>TYPE(All_India_Index_Upto_April23__1[[#This Row],[Housing]])</f>
        <v>2</v>
      </c>
      <c r="BD24">
        <f>TYPE(All_India_Index_Upto_April23__1[[#This Row],[Fuel and light]])</f>
        <v>1</v>
      </c>
      <c r="BE24">
        <f>TYPE(All_India_Index_Upto_April23__1[[#This Row],[Household goods and services]])</f>
        <v>1</v>
      </c>
      <c r="BF24">
        <f>TYPE(All_India_Index_Upto_April23__1[[#This Row],[Health]])</f>
        <v>1</v>
      </c>
      <c r="BG24">
        <f>TYPE(All_India_Index_Upto_April23__1[[#This Row],[Transport and communication]])</f>
        <v>1</v>
      </c>
      <c r="BH24">
        <f>TYPE(All_India_Index_Upto_April23__1[[#This Row],[Recreation and amusement]])</f>
        <v>1</v>
      </c>
      <c r="BI24">
        <f>TYPE(All_India_Index_Upto_April23__1[[#This Row],[Education]])</f>
        <v>1</v>
      </c>
      <c r="BJ24">
        <f>TYPE(All_India_Index_Upto_April23__1[[#This Row],[Personal care and effects]])</f>
        <v>1</v>
      </c>
      <c r="BK24">
        <f>TYPE(All_India_Index_Upto_April23__1[[#This Row],[Miscellaneous]])</f>
        <v>1</v>
      </c>
      <c r="BL24">
        <f>TYPE(All_India_Index_Upto_April23__1[[#This Row],[General index]])</f>
        <v>1</v>
      </c>
    </row>
    <row r="25" spans="1:64" hidden="1" x14ac:dyDescent="0.3">
      <c r="A25" t="s">
        <v>32</v>
      </c>
      <c r="B25">
        <v>2013</v>
      </c>
      <c r="C25" t="s">
        <v>40</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t="s">
        <v>95</v>
      </c>
      <c r="V25">
        <v>109.3</v>
      </c>
      <c r="W25">
        <v>108.7</v>
      </c>
      <c r="X25">
        <v>107.6</v>
      </c>
      <c r="Y25">
        <v>108.1</v>
      </c>
      <c r="Z25">
        <v>106.5</v>
      </c>
      <c r="AA25">
        <v>110.8</v>
      </c>
      <c r="AB25">
        <v>106</v>
      </c>
      <c r="AC25">
        <v>108.3</v>
      </c>
      <c r="AD25">
        <v>112.7</v>
      </c>
      <c r="AE25">
        <f>SUM(All_India_Index_Upto_April23__1[[#This Row],[Cereals and products]:[Food and beverages]])</f>
        <v>1506.1000000000001</v>
      </c>
      <c r="AF25">
        <f>SUM(All_India_Index_Upto_April23__1[[#This Row],[Clothing]:[Clothing and footwear]])</f>
        <v>329.09999999999997</v>
      </c>
      <c r="AG25">
        <f t="shared" si="0"/>
        <v>326.10000000000002</v>
      </c>
      <c r="AI25">
        <f>TYPE(All_India_Index_Upto_April23__1[[#This Row],[Sector]])</f>
        <v>2</v>
      </c>
      <c r="AJ25">
        <f>TYPE(All_India_Index_Upto_April23__1[[#This Row],[Year]])</f>
        <v>1</v>
      </c>
      <c r="AK25">
        <f>TYPE(All_India_Index_Upto_April23__1[[#This Row],[Month]])</f>
        <v>2</v>
      </c>
      <c r="AL25">
        <f>TYPE(All_India_Index_Upto_April23__1[[#This Row],[Cereals and products]])</f>
        <v>1</v>
      </c>
      <c r="AM25">
        <f>TYPE(All_India_Index_Upto_April23__1[[#This Row],[Meat and fish]])</f>
        <v>1</v>
      </c>
      <c r="AN25">
        <f>TYPE(All_India_Index_Upto_April23__1[[#This Row],[Egg]])</f>
        <v>1</v>
      </c>
      <c r="AO25">
        <f>TYPE(All_India_Index_Upto_April23__1[[#This Row],[Milk and products]])</f>
        <v>1</v>
      </c>
      <c r="AP25">
        <f>TYPE(All_India_Index_Upto_April23__1[[#This Row],[Oils and fats]])</f>
        <v>1</v>
      </c>
      <c r="AQ25">
        <f>TYPE(All_India_Index_Upto_April23__1[[#This Row],[Fruits]])</f>
        <v>1</v>
      </c>
      <c r="AR25">
        <f>TYPE(All_India_Index_Upto_April23__1[[#This Row],[Vegetables]])</f>
        <v>1</v>
      </c>
      <c r="AS25">
        <f>TYPE(All_India_Index_Upto_April23__1[[#This Row],[Pulses and products]])</f>
        <v>1</v>
      </c>
      <c r="AT25">
        <f>TYPE(All_India_Index_Upto_April23__1[[#This Row],[Sugar and Confectionery]])</f>
        <v>1</v>
      </c>
      <c r="AU25">
        <f>TYPE(All_India_Index_Upto_April23__1[[#This Row],[Spices]])</f>
        <v>1</v>
      </c>
      <c r="AV25">
        <f>TYPE(All_India_Index_Upto_April23__1[[#This Row],[Non-alcoholic beverages]])</f>
        <v>1</v>
      </c>
      <c r="AW25">
        <f>TYPE(All_India_Index_Upto_April23__1[[#This Row],[Prepared meals, snacks, sweets etc.]])</f>
        <v>1</v>
      </c>
      <c r="AX25">
        <f>TYPE(All_India_Index_Upto_April23__1[[#This Row],[Food and beverages]])</f>
        <v>1</v>
      </c>
      <c r="AY25">
        <f>TYPE(All_India_Index_Upto_April23__1[[#This Row],[Pan, tobacco and intoxicants]])</f>
        <v>1</v>
      </c>
      <c r="AZ25">
        <f>TYPE(All_India_Index_Upto_April23__1[[#This Row],[Clothing]])</f>
        <v>1</v>
      </c>
      <c r="BA25">
        <f>TYPE(All_India_Index_Upto_April23__1[[#This Row],[Footwear]])</f>
        <v>1</v>
      </c>
      <c r="BB25">
        <f>TYPE(All_India_Index_Upto_April23__1[[#This Row],[Clothing and footwear]])</f>
        <v>1</v>
      </c>
      <c r="BC25">
        <f>TYPE(All_India_Index_Upto_April23__1[[#This Row],[Housing]])</f>
        <v>2</v>
      </c>
      <c r="BD25">
        <f>TYPE(All_India_Index_Upto_April23__1[[#This Row],[Fuel and light]])</f>
        <v>1</v>
      </c>
      <c r="BE25">
        <f>TYPE(All_India_Index_Upto_April23__1[[#This Row],[Household goods and services]])</f>
        <v>1</v>
      </c>
      <c r="BF25">
        <f>TYPE(All_India_Index_Upto_April23__1[[#This Row],[Health]])</f>
        <v>1</v>
      </c>
      <c r="BG25">
        <f>TYPE(All_India_Index_Upto_April23__1[[#This Row],[Transport and communication]])</f>
        <v>1</v>
      </c>
      <c r="BH25">
        <f>TYPE(All_India_Index_Upto_April23__1[[#This Row],[Recreation and amusement]])</f>
        <v>1</v>
      </c>
      <c r="BI25">
        <f>TYPE(All_India_Index_Upto_April23__1[[#This Row],[Education]])</f>
        <v>1</v>
      </c>
      <c r="BJ25">
        <f>TYPE(All_India_Index_Upto_April23__1[[#This Row],[Personal care and effects]])</f>
        <v>1</v>
      </c>
      <c r="BK25">
        <f>TYPE(All_India_Index_Upto_April23__1[[#This Row],[Miscellaneous]])</f>
        <v>1</v>
      </c>
      <c r="BL25">
        <f>TYPE(All_India_Index_Upto_April23__1[[#This Row],[General index]])</f>
        <v>1</v>
      </c>
    </row>
    <row r="26" spans="1:64" hidden="1" x14ac:dyDescent="0.3">
      <c r="A26" t="s">
        <v>33</v>
      </c>
      <c r="B26">
        <v>2013</v>
      </c>
      <c r="C26" t="s">
        <v>40</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t="s">
        <v>95</v>
      </c>
      <c r="V26">
        <v>109.7</v>
      </c>
      <c r="W26">
        <v>108.7</v>
      </c>
      <c r="X26">
        <v>107.5</v>
      </c>
      <c r="Y26">
        <v>108</v>
      </c>
      <c r="Z26">
        <v>106.6</v>
      </c>
      <c r="AA26">
        <v>109.9</v>
      </c>
      <c r="AB26">
        <v>105.4</v>
      </c>
      <c r="AC26">
        <v>107.9</v>
      </c>
      <c r="AD26">
        <v>112.4</v>
      </c>
      <c r="AE26">
        <f>SUM(All_India_Index_Upto_April23__1[[#This Row],[Cereals and products]:[Food and beverages]])</f>
        <v>1477.4</v>
      </c>
      <c r="AF26">
        <f>SUM(All_India_Index_Upto_April23__1[[#This Row],[Clothing]:[Clothing and footwear]])</f>
        <v>331.1</v>
      </c>
      <c r="AG26">
        <f t="shared" si="0"/>
        <v>326.39999999999998</v>
      </c>
      <c r="AI26">
        <f>TYPE(All_India_Index_Upto_April23__1[[#This Row],[Sector]])</f>
        <v>2</v>
      </c>
      <c r="AJ26">
        <f>TYPE(All_India_Index_Upto_April23__1[[#This Row],[Year]])</f>
        <v>1</v>
      </c>
      <c r="AK26">
        <f>TYPE(All_India_Index_Upto_April23__1[[#This Row],[Month]])</f>
        <v>2</v>
      </c>
      <c r="AL26">
        <f>TYPE(All_India_Index_Upto_April23__1[[#This Row],[Cereals and products]])</f>
        <v>1</v>
      </c>
      <c r="AM26">
        <f>TYPE(All_India_Index_Upto_April23__1[[#This Row],[Meat and fish]])</f>
        <v>1</v>
      </c>
      <c r="AN26">
        <f>TYPE(All_India_Index_Upto_April23__1[[#This Row],[Egg]])</f>
        <v>1</v>
      </c>
      <c r="AO26">
        <f>TYPE(All_India_Index_Upto_April23__1[[#This Row],[Milk and products]])</f>
        <v>1</v>
      </c>
      <c r="AP26">
        <f>TYPE(All_India_Index_Upto_April23__1[[#This Row],[Oils and fats]])</f>
        <v>1</v>
      </c>
      <c r="AQ26">
        <f>TYPE(All_India_Index_Upto_April23__1[[#This Row],[Fruits]])</f>
        <v>1</v>
      </c>
      <c r="AR26">
        <f>TYPE(All_India_Index_Upto_April23__1[[#This Row],[Vegetables]])</f>
        <v>1</v>
      </c>
      <c r="AS26">
        <f>TYPE(All_India_Index_Upto_April23__1[[#This Row],[Pulses and products]])</f>
        <v>1</v>
      </c>
      <c r="AT26">
        <f>TYPE(All_India_Index_Upto_April23__1[[#This Row],[Sugar and Confectionery]])</f>
        <v>1</v>
      </c>
      <c r="AU26">
        <f>TYPE(All_India_Index_Upto_April23__1[[#This Row],[Spices]])</f>
        <v>1</v>
      </c>
      <c r="AV26">
        <f>TYPE(All_India_Index_Upto_April23__1[[#This Row],[Non-alcoholic beverages]])</f>
        <v>1</v>
      </c>
      <c r="AW26">
        <f>TYPE(All_India_Index_Upto_April23__1[[#This Row],[Prepared meals, snacks, sweets etc.]])</f>
        <v>1</v>
      </c>
      <c r="AX26">
        <f>TYPE(All_India_Index_Upto_April23__1[[#This Row],[Food and beverages]])</f>
        <v>1</v>
      </c>
      <c r="AY26">
        <f>TYPE(All_India_Index_Upto_April23__1[[#This Row],[Pan, tobacco and intoxicants]])</f>
        <v>1</v>
      </c>
      <c r="AZ26">
        <f>TYPE(All_India_Index_Upto_April23__1[[#This Row],[Clothing]])</f>
        <v>1</v>
      </c>
      <c r="BA26">
        <f>TYPE(All_India_Index_Upto_April23__1[[#This Row],[Footwear]])</f>
        <v>1</v>
      </c>
      <c r="BB26">
        <f>TYPE(All_India_Index_Upto_April23__1[[#This Row],[Clothing and footwear]])</f>
        <v>1</v>
      </c>
      <c r="BC26">
        <f>TYPE(All_India_Index_Upto_April23__1[[#This Row],[Housing]])</f>
        <v>2</v>
      </c>
      <c r="BD26">
        <f>TYPE(All_India_Index_Upto_April23__1[[#This Row],[Fuel and light]])</f>
        <v>1</v>
      </c>
      <c r="BE26">
        <f>TYPE(All_India_Index_Upto_April23__1[[#This Row],[Household goods and services]])</f>
        <v>1</v>
      </c>
      <c r="BF26">
        <f>TYPE(All_India_Index_Upto_April23__1[[#This Row],[Health]])</f>
        <v>1</v>
      </c>
      <c r="BG26">
        <f>TYPE(All_India_Index_Upto_April23__1[[#This Row],[Transport and communication]])</f>
        <v>1</v>
      </c>
      <c r="BH26">
        <f>TYPE(All_India_Index_Upto_April23__1[[#This Row],[Recreation and amusement]])</f>
        <v>1</v>
      </c>
      <c r="BI26">
        <f>TYPE(All_India_Index_Upto_April23__1[[#This Row],[Education]])</f>
        <v>1</v>
      </c>
      <c r="BJ26">
        <f>TYPE(All_India_Index_Upto_April23__1[[#This Row],[Personal care and effects]])</f>
        <v>1</v>
      </c>
      <c r="BK26">
        <f>TYPE(All_India_Index_Upto_April23__1[[#This Row],[Miscellaneous]])</f>
        <v>1</v>
      </c>
      <c r="BL26">
        <f>TYPE(All_India_Index_Upto_April23__1[[#This Row],[General index]])</f>
        <v>1</v>
      </c>
    </row>
    <row r="27" spans="1:64" hidden="1" x14ac:dyDescent="0.3">
      <c r="A27" t="s">
        <v>30</v>
      </c>
      <c r="B27">
        <v>2013</v>
      </c>
      <c r="C27" t="s">
        <v>41</v>
      </c>
      <c r="D27">
        <v>115.4</v>
      </c>
      <c r="E27">
        <v>115.7</v>
      </c>
      <c r="F27">
        <v>111.7</v>
      </c>
      <c r="G27">
        <v>111</v>
      </c>
      <c r="H27">
        <v>107.4</v>
      </c>
      <c r="I27">
        <v>110.9</v>
      </c>
      <c r="J27">
        <v>154</v>
      </c>
      <c r="K27">
        <v>108.1</v>
      </c>
      <c r="L27">
        <v>104.2</v>
      </c>
      <c r="M27">
        <v>107.9</v>
      </c>
      <c r="N27">
        <v>110.4</v>
      </c>
      <c r="O27">
        <v>114</v>
      </c>
      <c r="P27">
        <v>117.8</v>
      </c>
      <c r="Q27">
        <v>111.7</v>
      </c>
      <c r="R27">
        <v>112.7</v>
      </c>
      <c r="S27">
        <v>111.4</v>
      </c>
      <c r="T27">
        <v>112.5</v>
      </c>
      <c r="U27" t="s">
        <v>89</v>
      </c>
      <c r="V27">
        <v>111.1</v>
      </c>
      <c r="W27">
        <v>109.6</v>
      </c>
      <c r="X27">
        <v>108.3</v>
      </c>
      <c r="Y27">
        <v>109.3</v>
      </c>
      <c r="Z27">
        <v>107.7</v>
      </c>
      <c r="AA27">
        <v>109.8</v>
      </c>
      <c r="AB27">
        <v>106.7</v>
      </c>
      <c r="AC27">
        <v>108.7</v>
      </c>
      <c r="AD27">
        <v>114.2</v>
      </c>
      <c r="AE27">
        <f>SUM(All_India_Index_Upto_April23__1[[#This Row],[Cereals and products]:[Food and beverages]])</f>
        <v>1488.5000000000002</v>
      </c>
      <c r="AF27">
        <f>SUM(All_India_Index_Upto_April23__1[[#This Row],[Clothing]:[Clothing and footwear]])</f>
        <v>336.6</v>
      </c>
      <c r="AG27">
        <f t="shared" si="0"/>
        <v>330</v>
      </c>
      <c r="AI27">
        <f>TYPE(All_India_Index_Upto_April23__1[[#This Row],[Sector]])</f>
        <v>2</v>
      </c>
      <c r="AJ27">
        <f>TYPE(All_India_Index_Upto_April23__1[[#This Row],[Year]])</f>
        <v>1</v>
      </c>
      <c r="AK27">
        <f>TYPE(All_India_Index_Upto_April23__1[[#This Row],[Month]])</f>
        <v>2</v>
      </c>
      <c r="AL27">
        <f>TYPE(All_India_Index_Upto_April23__1[[#This Row],[Cereals and products]])</f>
        <v>1</v>
      </c>
      <c r="AM27">
        <f>TYPE(All_India_Index_Upto_April23__1[[#This Row],[Meat and fish]])</f>
        <v>1</v>
      </c>
      <c r="AN27">
        <f>TYPE(All_India_Index_Upto_April23__1[[#This Row],[Egg]])</f>
        <v>1</v>
      </c>
      <c r="AO27">
        <f>TYPE(All_India_Index_Upto_April23__1[[#This Row],[Milk and products]])</f>
        <v>1</v>
      </c>
      <c r="AP27">
        <f>TYPE(All_India_Index_Upto_April23__1[[#This Row],[Oils and fats]])</f>
        <v>1</v>
      </c>
      <c r="AQ27">
        <f>TYPE(All_India_Index_Upto_April23__1[[#This Row],[Fruits]])</f>
        <v>1</v>
      </c>
      <c r="AR27">
        <f>TYPE(All_India_Index_Upto_April23__1[[#This Row],[Vegetables]])</f>
        <v>1</v>
      </c>
      <c r="AS27">
        <f>TYPE(All_India_Index_Upto_April23__1[[#This Row],[Pulses and products]])</f>
        <v>1</v>
      </c>
      <c r="AT27">
        <f>TYPE(All_India_Index_Upto_April23__1[[#This Row],[Sugar and Confectionery]])</f>
        <v>1</v>
      </c>
      <c r="AU27">
        <f>TYPE(All_India_Index_Upto_April23__1[[#This Row],[Spices]])</f>
        <v>1</v>
      </c>
      <c r="AV27">
        <f>TYPE(All_India_Index_Upto_April23__1[[#This Row],[Non-alcoholic beverages]])</f>
        <v>1</v>
      </c>
      <c r="AW27">
        <f>TYPE(All_India_Index_Upto_April23__1[[#This Row],[Prepared meals, snacks, sweets etc.]])</f>
        <v>1</v>
      </c>
      <c r="AX27">
        <f>TYPE(All_India_Index_Upto_April23__1[[#This Row],[Food and beverages]])</f>
        <v>1</v>
      </c>
      <c r="AY27">
        <f>TYPE(All_India_Index_Upto_April23__1[[#This Row],[Pan, tobacco and intoxicants]])</f>
        <v>1</v>
      </c>
      <c r="AZ27">
        <f>TYPE(All_India_Index_Upto_April23__1[[#This Row],[Clothing]])</f>
        <v>1</v>
      </c>
      <c r="BA27">
        <f>TYPE(All_India_Index_Upto_April23__1[[#This Row],[Footwear]])</f>
        <v>1</v>
      </c>
      <c r="BB27">
        <f>TYPE(All_India_Index_Upto_April23__1[[#This Row],[Clothing and footwear]])</f>
        <v>1</v>
      </c>
      <c r="BC27">
        <f>TYPE(All_India_Index_Upto_April23__1[[#This Row],[Housing]])</f>
        <v>2</v>
      </c>
      <c r="BD27">
        <f>TYPE(All_India_Index_Upto_April23__1[[#This Row],[Fuel and light]])</f>
        <v>1</v>
      </c>
      <c r="BE27">
        <f>TYPE(All_India_Index_Upto_April23__1[[#This Row],[Household goods and services]])</f>
        <v>1</v>
      </c>
      <c r="BF27">
        <f>TYPE(All_India_Index_Upto_April23__1[[#This Row],[Health]])</f>
        <v>1</v>
      </c>
      <c r="BG27">
        <f>TYPE(All_India_Index_Upto_April23__1[[#This Row],[Transport and communication]])</f>
        <v>1</v>
      </c>
      <c r="BH27">
        <f>TYPE(All_India_Index_Upto_April23__1[[#This Row],[Recreation and amusement]])</f>
        <v>1</v>
      </c>
      <c r="BI27">
        <f>TYPE(All_India_Index_Upto_April23__1[[#This Row],[Education]])</f>
        <v>1</v>
      </c>
      <c r="BJ27">
        <f>TYPE(All_India_Index_Upto_April23__1[[#This Row],[Personal care and effects]])</f>
        <v>1</v>
      </c>
      <c r="BK27">
        <f>TYPE(All_India_Index_Upto_April23__1[[#This Row],[Miscellaneous]])</f>
        <v>1</v>
      </c>
      <c r="BL27">
        <f>TYPE(All_India_Index_Upto_April23__1[[#This Row],[General index]])</f>
        <v>1</v>
      </c>
    </row>
    <row r="28" spans="1:64" hidden="1" x14ac:dyDescent="0.3">
      <c r="A28" t="s">
        <v>32</v>
      </c>
      <c r="B28">
        <v>2013</v>
      </c>
      <c r="C28" t="s">
        <v>41</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t="s">
        <v>96</v>
      </c>
      <c r="V28">
        <v>109.5</v>
      </c>
      <c r="W28">
        <v>109.6</v>
      </c>
      <c r="X28">
        <v>107.9</v>
      </c>
      <c r="Y28">
        <v>110.4</v>
      </c>
      <c r="Z28">
        <v>107.4</v>
      </c>
      <c r="AA28">
        <v>111.2</v>
      </c>
      <c r="AB28">
        <v>106.9</v>
      </c>
      <c r="AC28">
        <v>109.4</v>
      </c>
      <c r="AD28">
        <v>113.2</v>
      </c>
      <c r="AE28">
        <f>SUM(All_India_Index_Upto_April23__1[[#This Row],[Cereals and products]:[Food and beverages]])</f>
        <v>1500.4</v>
      </c>
      <c r="AF28">
        <f>SUM(All_India_Index_Upto_April23__1[[#This Row],[Clothing]:[Clothing and footwear]])</f>
        <v>331.5</v>
      </c>
      <c r="AG28">
        <f t="shared" si="0"/>
        <v>329.5</v>
      </c>
      <c r="AI28">
        <f>TYPE(All_India_Index_Upto_April23__1[[#This Row],[Sector]])</f>
        <v>2</v>
      </c>
      <c r="AJ28">
        <f>TYPE(All_India_Index_Upto_April23__1[[#This Row],[Year]])</f>
        <v>1</v>
      </c>
      <c r="AK28">
        <f>TYPE(All_India_Index_Upto_April23__1[[#This Row],[Month]])</f>
        <v>2</v>
      </c>
      <c r="AL28">
        <f>TYPE(All_India_Index_Upto_April23__1[[#This Row],[Cereals and products]])</f>
        <v>1</v>
      </c>
      <c r="AM28">
        <f>TYPE(All_India_Index_Upto_April23__1[[#This Row],[Meat and fish]])</f>
        <v>1</v>
      </c>
      <c r="AN28">
        <f>TYPE(All_India_Index_Upto_April23__1[[#This Row],[Egg]])</f>
        <v>1</v>
      </c>
      <c r="AO28">
        <f>TYPE(All_India_Index_Upto_April23__1[[#This Row],[Milk and products]])</f>
        <v>1</v>
      </c>
      <c r="AP28">
        <f>TYPE(All_India_Index_Upto_April23__1[[#This Row],[Oils and fats]])</f>
        <v>1</v>
      </c>
      <c r="AQ28">
        <f>TYPE(All_India_Index_Upto_April23__1[[#This Row],[Fruits]])</f>
        <v>1</v>
      </c>
      <c r="AR28">
        <f>TYPE(All_India_Index_Upto_April23__1[[#This Row],[Vegetables]])</f>
        <v>1</v>
      </c>
      <c r="AS28">
        <f>TYPE(All_India_Index_Upto_April23__1[[#This Row],[Pulses and products]])</f>
        <v>1</v>
      </c>
      <c r="AT28">
        <f>TYPE(All_India_Index_Upto_April23__1[[#This Row],[Sugar and Confectionery]])</f>
        <v>1</v>
      </c>
      <c r="AU28">
        <f>TYPE(All_India_Index_Upto_April23__1[[#This Row],[Spices]])</f>
        <v>1</v>
      </c>
      <c r="AV28">
        <f>TYPE(All_India_Index_Upto_April23__1[[#This Row],[Non-alcoholic beverages]])</f>
        <v>1</v>
      </c>
      <c r="AW28">
        <f>TYPE(All_India_Index_Upto_April23__1[[#This Row],[Prepared meals, snacks, sweets etc.]])</f>
        <v>1</v>
      </c>
      <c r="AX28">
        <f>TYPE(All_India_Index_Upto_April23__1[[#This Row],[Food and beverages]])</f>
        <v>1</v>
      </c>
      <c r="AY28">
        <f>TYPE(All_India_Index_Upto_April23__1[[#This Row],[Pan, tobacco and intoxicants]])</f>
        <v>1</v>
      </c>
      <c r="AZ28">
        <f>TYPE(All_India_Index_Upto_April23__1[[#This Row],[Clothing]])</f>
        <v>1</v>
      </c>
      <c r="BA28">
        <f>TYPE(All_India_Index_Upto_April23__1[[#This Row],[Footwear]])</f>
        <v>1</v>
      </c>
      <c r="BB28">
        <f>TYPE(All_India_Index_Upto_April23__1[[#This Row],[Clothing and footwear]])</f>
        <v>1</v>
      </c>
      <c r="BC28">
        <f>TYPE(All_India_Index_Upto_April23__1[[#This Row],[Housing]])</f>
        <v>2</v>
      </c>
      <c r="BD28">
        <f>TYPE(All_India_Index_Upto_April23__1[[#This Row],[Fuel and light]])</f>
        <v>1</v>
      </c>
      <c r="BE28">
        <f>TYPE(All_India_Index_Upto_April23__1[[#This Row],[Household goods and services]])</f>
        <v>1</v>
      </c>
      <c r="BF28">
        <f>TYPE(All_India_Index_Upto_April23__1[[#This Row],[Health]])</f>
        <v>1</v>
      </c>
      <c r="BG28">
        <f>TYPE(All_India_Index_Upto_April23__1[[#This Row],[Transport and communication]])</f>
        <v>1</v>
      </c>
      <c r="BH28">
        <f>TYPE(All_India_Index_Upto_April23__1[[#This Row],[Recreation and amusement]])</f>
        <v>1</v>
      </c>
      <c r="BI28">
        <f>TYPE(All_India_Index_Upto_April23__1[[#This Row],[Education]])</f>
        <v>1</v>
      </c>
      <c r="BJ28">
        <f>TYPE(All_India_Index_Upto_April23__1[[#This Row],[Personal care and effects]])</f>
        <v>1</v>
      </c>
      <c r="BK28">
        <f>TYPE(All_India_Index_Upto_April23__1[[#This Row],[Miscellaneous]])</f>
        <v>1</v>
      </c>
      <c r="BL28">
        <f>TYPE(All_India_Index_Upto_April23__1[[#This Row],[General index]])</f>
        <v>1</v>
      </c>
    </row>
    <row r="29" spans="1:64" hidden="1" x14ac:dyDescent="0.3">
      <c r="A29" t="s">
        <v>33</v>
      </c>
      <c r="B29">
        <v>2013</v>
      </c>
      <c r="C29" t="s">
        <v>41</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t="s">
        <v>96</v>
      </c>
      <c r="V29">
        <v>110.5</v>
      </c>
      <c r="W29">
        <v>109.6</v>
      </c>
      <c r="X29">
        <v>108.1</v>
      </c>
      <c r="Y29">
        <v>109.9</v>
      </c>
      <c r="Z29">
        <v>107.5</v>
      </c>
      <c r="AA29">
        <v>110.6</v>
      </c>
      <c r="AB29">
        <v>106.8</v>
      </c>
      <c r="AC29">
        <v>109</v>
      </c>
      <c r="AD29">
        <v>113.7</v>
      </c>
      <c r="AE29">
        <f>SUM(All_India_Index_Upto_April23__1[[#This Row],[Cereals and products]:[Food and beverages]])</f>
        <v>1491.6999999999998</v>
      </c>
      <c r="AF29">
        <f>SUM(All_India_Index_Upto_April23__1[[#This Row],[Clothing]:[Clothing and footwear]])</f>
        <v>334.5</v>
      </c>
      <c r="AG29">
        <f t="shared" si="0"/>
        <v>330</v>
      </c>
      <c r="AI29">
        <f>TYPE(All_India_Index_Upto_April23__1[[#This Row],[Sector]])</f>
        <v>2</v>
      </c>
      <c r="AJ29">
        <f>TYPE(All_India_Index_Upto_April23__1[[#This Row],[Year]])</f>
        <v>1</v>
      </c>
      <c r="AK29">
        <f>TYPE(All_India_Index_Upto_April23__1[[#This Row],[Month]])</f>
        <v>2</v>
      </c>
      <c r="AL29">
        <f>TYPE(All_India_Index_Upto_April23__1[[#This Row],[Cereals and products]])</f>
        <v>1</v>
      </c>
      <c r="AM29">
        <f>TYPE(All_India_Index_Upto_April23__1[[#This Row],[Meat and fish]])</f>
        <v>1</v>
      </c>
      <c r="AN29">
        <f>TYPE(All_India_Index_Upto_April23__1[[#This Row],[Egg]])</f>
        <v>1</v>
      </c>
      <c r="AO29">
        <f>TYPE(All_India_Index_Upto_April23__1[[#This Row],[Milk and products]])</f>
        <v>1</v>
      </c>
      <c r="AP29">
        <f>TYPE(All_India_Index_Upto_April23__1[[#This Row],[Oils and fats]])</f>
        <v>1</v>
      </c>
      <c r="AQ29">
        <f>TYPE(All_India_Index_Upto_April23__1[[#This Row],[Fruits]])</f>
        <v>1</v>
      </c>
      <c r="AR29">
        <f>TYPE(All_India_Index_Upto_April23__1[[#This Row],[Vegetables]])</f>
        <v>1</v>
      </c>
      <c r="AS29">
        <f>TYPE(All_India_Index_Upto_April23__1[[#This Row],[Pulses and products]])</f>
        <v>1</v>
      </c>
      <c r="AT29">
        <f>TYPE(All_India_Index_Upto_April23__1[[#This Row],[Sugar and Confectionery]])</f>
        <v>1</v>
      </c>
      <c r="AU29">
        <f>TYPE(All_India_Index_Upto_April23__1[[#This Row],[Spices]])</f>
        <v>1</v>
      </c>
      <c r="AV29">
        <f>TYPE(All_India_Index_Upto_April23__1[[#This Row],[Non-alcoholic beverages]])</f>
        <v>1</v>
      </c>
      <c r="AW29">
        <f>TYPE(All_India_Index_Upto_April23__1[[#This Row],[Prepared meals, snacks, sweets etc.]])</f>
        <v>1</v>
      </c>
      <c r="AX29">
        <f>TYPE(All_India_Index_Upto_April23__1[[#This Row],[Food and beverages]])</f>
        <v>1</v>
      </c>
      <c r="AY29">
        <f>TYPE(All_India_Index_Upto_April23__1[[#This Row],[Pan, tobacco and intoxicants]])</f>
        <v>1</v>
      </c>
      <c r="AZ29">
        <f>TYPE(All_India_Index_Upto_April23__1[[#This Row],[Clothing]])</f>
        <v>1</v>
      </c>
      <c r="BA29">
        <f>TYPE(All_India_Index_Upto_April23__1[[#This Row],[Footwear]])</f>
        <v>1</v>
      </c>
      <c r="BB29">
        <f>TYPE(All_India_Index_Upto_April23__1[[#This Row],[Clothing and footwear]])</f>
        <v>1</v>
      </c>
      <c r="BC29">
        <f>TYPE(All_India_Index_Upto_April23__1[[#This Row],[Housing]])</f>
        <v>2</v>
      </c>
      <c r="BD29">
        <f>TYPE(All_India_Index_Upto_April23__1[[#This Row],[Fuel and light]])</f>
        <v>1</v>
      </c>
      <c r="BE29">
        <f>TYPE(All_India_Index_Upto_April23__1[[#This Row],[Household goods and services]])</f>
        <v>1</v>
      </c>
      <c r="BF29">
        <f>TYPE(All_India_Index_Upto_April23__1[[#This Row],[Health]])</f>
        <v>1</v>
      </c>
      <c r="BG29">
        <f>TYPE(All_India_Index_Upto_April23__1[[#This Row],[Transport and communication]])</f>
        <v>1</v>
      </c>
      <c r="BH29">
        <f>TYPE(All_India_Index_Upto_April23__1[[#This Row],[Recreation and amusement]])</f>
        <v>1</v>
      </c>
      <c r="BI29">
        <f>TYPE(All_India_Index_Upto_April23__1[[#This Row],[Education]])</f>
        <v>1</v>
      </c>
      <c r="BJ29">
        <f>TYPE(All_India_Index_Upto_April23__1[[#This Row],[Personal care and effects]])</f>
        <v>1</v>
      </c>
      <c r="BK29">
        <f>TYPE(All_India_Index_Upto_April23__1[[#This Row],[Miscellaneous]])</f>
        <v>1</v>
      </c>
      <c r="BL29">
        <f>TYPE(All_India_Index_Upto_April23__1[[#This Row],[General index]])</f>
        <v>1</v>
      </c>
    </row>
    <row r="30" spans="1:64" hidden="1" x14ac:dyDescent="0.3">
      <c r="A30" t="s">
        <v>30</v>
      </c>
      <c r="B30">
        <v>2013</v>
      </c>
      <c r="C30" t="s">
        <v>42</v>
      </c>
      <c r="D30">
        <v>116.3</v>
      </c>
      <c r="E30">
        <v>115.4</v>
      </c>
      <c r="F30">
        <v>112.6</v>
      </c>
      <c r="G30">
        <v>111.7</v>
      </c>
      <c r="H30">
        <v>107.7</v>
      </c>
      <c r="I30">
        <v>113.2</v>
      </c>
      <c r="J30">
        <v>164.9</v>
      </c>
      <c r="K30">
        <v>108.3</v>
      </c>
      <c r="L30">
        <v>103.9</v>
      </c>
      <c r="M30">
        <v>108.2</v>
      </c>
      <c r="N30">
        <v>111.1</v>
      </c>
      <c r="O30">
        <v>114.9</v>
      </c>
      <c r="P30">
        <v>119.8</v>
      </c>
      <c r="Q30">
        <v>112.2</v>
      </c>
      <c r="R30">
        <v>113.6</v>
      </c>
      <c r="S30">
        <v>112.3</v>
      </c>
      <c r="T30">
        <v>113.4</v>
      </c>
      <c r="U30" t="s">
        <v>89</v>
      </c>
      <c r="V30">
        <v>111.6</v>
      </c>
      <c r="W30">
        <v>110.4</v>
      </c>
      <c r="X30">
        <v>108.9</v>
      </c>
      <c r="Y30">
        <v>109.3</v>
      </c>
      <c r="Z30">
        <v>108.3</v>
      </c>
      <c r="AA30">
        <v>110.2</v>
      </c>
      <c r="AB30">
        <v>107.5</v>
      </c>
      <c r="AC30">
        <v>109.1</v>
      </c>
      <c r="AD30">
        <v>115.5</v>
      </c>
      <c r="AE30">
        <f>SUM(All_India_Index_Upto_April23__1[[#This Row],[Cereals and products]:[Food and beverages]])</f>
        <v>1508</v>
      </c>
      <c r="AF30">
        <f>SUM(All_India_Index_Upto_April23__1[[#This Row],[Clothing]:[Clothing and footwear]])</f>
        <v>339.29999999999995</v>
      </c>
      <c r="AG30">
        <f t="shared" si="0"/>
        <v>331.3</v>
      </c>
      <c r="AI30">
        <f>TYPE(All_India_Index_Upto_April23__1[[#This Row],[Sector]])</f>
        <v>2</v>
      </c>
      <c r="AJ30">
        <f>TYPE(All_India_Index_Upto_April23__1[[#This Row],[Year]])</f>
        <v>1</v>
      </c>
      <c r="AK30">
        <f>TYPE(All_India_Index_Upto_April23__1[[#This Row],[Month]])</f>
        <v>2</v>
      </c>
      <c r="AL30">
        <f>TYPE(All_India_Index_Upto_April23__1[[#This Row],[Cereals and products]])</f>
        <v>1</v>
      </c>
      <c r="AM30">
        <f>TYPE(All_India_Index_Upto_April23__1[[#This Row],[Meat and fish]])</f>
        <v>1</v>
      </c>
      <c r="AN30">
        <f>TYPE(All_India_Index_Upto_April23__1[[#This Row],[Egg]])</f>
        <v>1</v>
      </c>
      <c r="AO30">
        <f>TYPE(All_India_Index_Upto_April23__1[[#This Row],[Milk and products]])</f>
        <v>1</v>
      </c>
      <c r="AP30">
        <f>TYPE(All_India_Index_Upto_April23__1[[#This Row],[Oils and fats]])</f>
        <v>1</v>
      </c>
      <c r="AQ30">
        <f>TYPE(All_India_Index_Upto_April23__1[[#This Row],[Fruits]])</f>
        <v>1</v>
      </c>
      <c r="AR30">
        <f>TYPE(All_India_Index_Upto_April23__1[[#This Row],[Vegetables]])</f>
        <v>1</v>
      </c>
      <c r="AS30">
        <f>TYPE(All_India_Index_Upto_April23__1[[#This Row],[Pulses and products]])</f>
        <v>1</v>
      </c>
      <c r="AT30">
        <f>TYPE(All_India_Index_Upto_April23__1[[#This Row],[Sugar and Confectionery]])</f>
        <v>1</v>
      </c>
      <c r="AU30">
        <f>TYPE(All_India_Index_Upto_April23__1[[#This Row],[Spices]])</f>
        <v>1</v>
      </c>
      <c r="AV30">
        <f>TYPE(All_India_Index_Upto_April23__1[[#This Row],[Non-alcoholic beverages]])</f>
        <v>1</v>
      </c>
      <c r="AW30">
        <f>TYPE(All_India_Index_Upto_April23__1[[#This Row],[Prepared meals, snacks, sweets etc.]])</f>
        <v>1</v>
      </c>
      <c r="AX30">
        <f>TYPE(All_India_Index_Upto_April23__1[[#This Row],[Food and beverages]])</f>
        <v>1</v>
      </c>
      <c r="AY30">
        <f>TYPE(All_India_Index_Upto_April23__1[[#This Row],[Pan, tobacco and intoxicants]])</f>
        <v>1</v>
      </c>
      <c r="AZ30">
        <f>TYPE(All_India_Index_Upto_April23__1[[#This Row],[Clothing]])</f>
        <v>1</v>
      </c>
      <c r="BA30">
        <f>TYPE(All_India_Index_Upto_April23__1[[#This Row],[Footwear]])</f>
        <v>1</v>
      </c>
      <c r="BB30">
        <f>TYPE(All_India_Index_Upto_April23__1[[#This Row],[Clothing and footwear]])</f>
        <v>1</v>
      </c>
      <c r="BC30">
        <f>TYPE(All_India_Index_Upto_April23__1[[#This Row],[Housing]])</f>
        <v>2</v>
      </c>
      <c r="BD30">
        <f>TYPE(All_India_Index_Upto_April23__1[[#This Row],[Fuel and light]])</f>
        <v>1</v>
      </c>
      <c r="BE30">
        <f>TYPE(All_India_Index_Upto_April23__1[[#This Row],[Household goods and services]])</f>
        <v>1</v>
      </c>
      <c r="BF30">
        <f>TYPE(All_India_Index_Upto_April23__1[[#This Row],[Health]])</f>
        <v>1</v>
      </c>
      <c r="BG30">
        <f>TYPE(All_India_Index_Upto_April23__1[[#This Row],[Transport and communication]])</f>
        <v>1</v>
      </c>
      <c r="BH30">
        <f>TYPE(All_India_Index_Upto_April23__1[[#This Row],[Recreation and amusement]])</f>
        <v>1</v>
      </c>
      <c r="BI30">
        <f>TYPE(All_India_Index_Upto_April23__1[[#This Row],[Education]])</f>
        <v>1</v>
      </c>
      <c r="BJ30">
        <f>TYPE(All_India_Index_Upto_April23__1[[#This Row],[Personal care and effects]])</f>
        <v>1</v>
      </c>
      <c r="BK30">
        <f>TYPE(All_India_Index_Upto_April23__1[[#This Row],[Miscellaneous]])</f>
        <v>1</v>
      </c>
      <c r="BL30">
        <f>TYPE(All_India_Index_Upto_April23__1[[#This Row],[General index]])</f>
        <v>1</v>
      </c>
    </row>
    <row r="31" spans="1:64" hidden="1" x14ac:dyDescent="0.3">
      <c r="A31" t="s">
        <v>32</v>
      </c>
      <c r="B31">
        <v>2013</v>
      </c>
      <c r="C31" t="s">
        <v>42</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t="s">
        <v>97</v>
      </c>
      <c r="V31">
        <v>109.7</v>
      </c>
      <c r="W31">
        <v>110.2</v>
      </c>
      <c r="X31">
        <v>108.2</v>
      </c>
      <c r="Y31">
        <v>109.7</v>
      </c>
      <c r="Z31">
        <v>108</v>
      </c>
      <c r="AA31">
        <v>111.3</v>
      </c>
      <c r="AB31">
        <v>107.3</v>
      </c>
      <c r="AC31">
        <v>109.4</v>
      </c>
      <c r="AD31">
        <v>114</v>
      </c>
      <c r="AE31">
        <f>SUM(All_India_Index_Upto_April23__1[[#This Row],[Cereals and products]:[Food and beverages]])</f>
        <v>1517.1999999999998</v>
      </c>
      <c r="AF31">
        <f>SUM(All_India_Index_Upto_April23__1[[#This Row],[Clothing]:[Clothing and footwear]])</f>
        <v>334.2</v>
      </c>
      <c r="AG31">
        <f t="shared" si="0"/>
        <v>329.6</v>
      </c>
      <c r="AI31">
        <f>TYPE(All_India_Index_Upto_April23__1[[#This Row],[Sector]])</f>
        <v>2</v>
      </c>
      <c r="AJ31">
        <f>TYPE(All_India_Index_Upto_April23__1[[#This Row],[Year]])</f>
        <v>1</v>
      </c>
      <c r="AK31">
        <f>TYPE(All_India_Index_Upto_April23__1[[#This Row],[Month]])</f>
        <v>2</v>
      </c>
      <c r="AL31">
        <f>TYPE(All_India_Index_Upto_April23__1[[#This Row],[Cereals and products]])</f>
        <v>1</v>
      </c>
      <c r="AM31">
        <f>TYPE(All_India_Index_Upto_April23__1[[#This Row],[Meat and fish]])</f>
        <v>1</v>
      </c>
      <c r="AN31">
        <f>TYPE(All_India_Index_Upto_April23__1[[#This Row],[Egg]])</f>
        <v>1</v>
      </c>
      <c r="AO31">
        <f>TYPE(All_India_Index_Upto_April23__1[[#This Row],[Milk and products]])</f>
        <v>1</v>
      </c>
      <c r="AP31">
        <f>TYPE(All_India_Index_Upto_April23__1[[#This Row],[Oils and fats]])</f>
        <v>1</v>
      </c>
      <c r="AQ31">
        <f>TYPE(All_India_Index_Upto_April23__1[[#This Row],[Fruits]])</f>
        <v>1</v>
      </c>
      <c r="AR31">
        <f>TYPE(All_India_Index_Upto_April23__1[[#This Row],[Vegetables]])</f>
        <v>1</v>
      </c>
      <c r="AS31">
        <f>TYPE(All_India_Index_Upto_April23__1[[#This Row],[Pulses and products]])</f>
        <v>1</v>
      </c>
      <c r="AT31">
        <f>TYPE(All_India_Index_Upto_April23__1[[#This Row],[Sugar and Confectionery]])</f>
        <v>1</v>
      </c>
      <c r="AU31">
        <f>TYPE(All_India_Index_Upto_April23__1[[#This Row],[Spices]])</f>
        <v>1</v>
      </c>
      <c r="AV31">
        <f>TYPE(All_India_Index_Upto_April23__1[[#This Row],[Non-alcoholic beverages]])</f>
        <v>1</v>
      </c>
      <c r="AW31">
        <f>TYPE(All_India_Index_Upto_April23__1[[#This Row],[Prepared meals, snacks, sweets etc.]])</f>
        <v>1</v>
      </c>
      <c r="AX31">
        <f>TYPE(All_India_Index_Upto_April23__1[[#This Row],[Food and beverages]])</f>
        <v>1</v>
      </c>
      <c r="AY31">
        <f>TYPE(All_India_Index_Upto_April23__1[[#This Row],[Pan, tobacco and intoxicants]])</f>
        <v>1</v>
      </c>
      <c r="AZ31">
        <f>TYPE(All_India_Index_Upto_April23__1[[#This Row],[Clothing]])</f>
        <v>1</v>
      </c>
      <c r="BA31">
        <f>TYPE(All_India_Index_Upto_April23__1[[#This Row],[Footwear]])</f>
        <v>1</v>
      </c>
      <c r="BB31">
        <f>TYPE(All_India_Index_Upto_April23__1[[#This Row],[Clothing and footwear]])</f>
        <v>1</v>
      </c>
      <c r="BC31">
        <f>TYPE(All_India_Index_Upto_April23__1[[#This Row],[Housing]])</f>
        <v>2</v>
      </c>
      <c r="BD31">
        <f>TYPE(All_India_Index_Upto_April23__1[[#This Row],[Fuel and light]])</f>
        <v>1</v>
      </c>
      <c r="BE31">
        <f>TYPE(All_India_Index_Upto_April23__1[[#This Row],[Household goods and services]])</f>
        <v>1</v>
      </c>
      <c r="BF31">
        <f>TYPE(All_India_Index_Upto_April23__1[[#This Row],[Health]])</f>
        <v>1</v>
      </c>
      <c r="BG31">
        <f>TYPE(All_India_Index_Upto_April23__1[[#This Row],[Transport and communication]])</f>
        <v>1</v>
      </c>
      <c r="BH31">
        <f>TYPE(All_India_Index_Upto_April23__1[[#This Row],[Recreation and amusement]])</f>
        <v>1</v>
      </c>
      <c r="BI31">
        <f>TYPE(All_India_Index_Upto_April23__1[[#This Row],[Education]])</f>
        <v>1</v>
      </c>
      <c r="BJ31">
        <f>TYPE(All_India_Index_Upto_April23__1[[#This Row],[Personal care and effects]])</f>
        <v>1</v>
      </c>
      <c r="BK31">
        <f>TYPE(All_India_Index_Upto_April23__1[[#This Row],[Miscellaneous]])</f>
        <v>1</v>
      </c>
      <c r="BL31">
        <f>TYPE(All_India_Index_Upto_April23__1[[#This Row],[General index]])</f>
        <v>1</v>
      </c>
    </row>
    <row r="32" spans="1:64" hidden="1" x14ac:dyDescent="0.3">
      <c r="A32" t="s">
        <v>33</v>
      </c>
      <c r="B32">
        <v>2013</v>
      </c>
      <c r="C32" t="s">
        <v>42</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t="s">
        <v>97</v>
      </c>
      <c r="V32">
        <v>110.9</v>
      </c>
      <c r="W32">
        <v>110.3</v>
      </c>
      <c r="X32">
        <v>108.6</v>
      </c>
      <c r="Y32">
        <v>109.5</v>
      </c>
      <c r="Z32">
        <v>108.1</v>
      </c>
      <c r="AA32">
        <v>110.8</v>
      </c>
      <c r="AB32">
        <v>107.4</v>
      </c>
      <c r="AC32">
        <v>109.2</v>
      </c>
      <c r="AD32">
        <v>114.8</v>
      </c>
      <c r="AE32">
        <f>SUM(All_India_Index_Upto_April23__1[[#This Row],[Cereals and products]:[Food and beverages]])</f>
        <v>1510.2000000000003</v>
      </c>
      <c r="AF32">
        <f>SUM(All_India_Index_Upto_April23__1[[#This Row],[Clothing]:[Clothing and footwear]])</f>
        <v>337.2</v>
      </c>
      <c r="AG32">
        <f t="shared" si="0"/>
        <v>330.7</v>
      </c>
      <c r="AI32">
        <f>TYPE(All_India_Index_Upto_April23__1[[#This Row],[Sector]])</f>
        <v>2</v>
      </c>
      <c r="AJ32">
        <f>TYPE(All_India_Index_Upto_April23__1[[#This Row],[Year]])</f>
        <v>1</v>
      </c>
      <c r="AK32">
        <f>TYPE(All_India_Index_Upto_April23__1[[#This Row],[Month]])</f>
        <v>2</v>
      </c>
      <c r="AL32">
        <f>TYPE(All_India_Index_Upto_April23__1[[#This Row],[Cereals and products]])</f>
        <v>1</v>
      </c>
      <c r="AM32">
        <f>TYPE(All_India_Index_Upto_April23__1[[#This Row],[Meat and fish]])</f>
        <v>1</v>
      </c>
      <c r="AN32">
        <f>TYPE(All_India_Index_Upto_April23__1[[#This Row],[Egg]])</f>
        <v>1</v>
      </c>
      <c r="AO32">
        <f>TYPE(All_India_Index_Upto_April23__1[[#This Row],[Milk and products]])</f>
        <v>1</v>
      </c>
      <c r="AP32">
        <f>TYPE(All_India_Index_Upto_April23__1[[#This Row],[Oils and fats]])</f>
        <v>1</v>
      </c>
      <c r="AQ32">
        <f>TYPE(All_India_Index_Upto_April23__1[[#This Row],[Fruits]])</f>
        <v>1</v>
      </c>
      <c r="AR32">
        <f>TYPE(All_India_Index_Upto_April23__1[[#This Row],[Vegetables]])</f>
        <v>1</v>
      </c>
      <c r="AS32">
        <f>TYPE(All_India_Index_Upto_April23__1[[#This Row],[Pulses and products]])</f>
        <v>1</v>
      </c>
      <c r="AT32">
        <f>TYPE(All_India_Index_Upto_April23__1[[#This Row],[Sugar and Confectionery]])</f>
        <v>1</v>
      </c>
      <c r="AU32">
        <f>TYPE(All_India_Index_Upto_April23__1[[#This Row],[Spices]])</f>
        <v>1</v>
      </c>
      <c r="AV32">
        <f>TYPE(All_India_Index_Upto_April23__1[[#This Row],[Non-alcoholic beverages]])</f>
        <v>1</v>
      </c>
      <c r="AW32">
        <f>TYPE(All_India_Index_Upto_April23__1[[#This Row],[Prepared meals, snacks, sweets etc.]])</f>
        <v>1</v>
      </c>
      <c r="AX32">
        <f>TYPE(All_India_Index_Upto_April23__1[[#This Row],[Food and beverages]])</f>
        <v>1</v>
      </c>
      <c r="AY32">
        <f>TYPE(All_India_Index_Upto_April23__1[[#This Row],[Pan, tobacco and intoxicants]])</f>
        <v>1</v>
      </c>
      <c r="AZ32">
        <f>TYPE(All_India_Index_Upto_April23__1[[#This Row],[Clothing]])</f>
        <v>1</v>
      </c>
      <c r="BA32">
        <f>TYPE(All_India_Index_Upto_April23__1[[#This Row],[Footwear]])</f>
        <v>1</v>
      </c>
      <c r="BB32">
        <f>TYPE(All_India_Index_Upto_April23__1[[#This Row],[Clothing and footwear]])</f>
        <v>1</v>
      </c>
      <c r="BC32">
        <f>TYPE(All_India_Index_Upto_April23__1[[#This Row],[Housing]])</f>
        <v>2</v>
      </c>
      <c r="BD32">
        <f>TYPE(All_India_Index_Upto_April23__1[[#This Row],[Fuel and light]])</f>
        <v>1</v>
      </c>
      <c r="BE32">
        <f>TYPE(All_India_Index_Upto_April23__1[[#This Row],[Household goods and services]])</f>
        <v>1</v>
      </c>
      <c r="BF32">
        <f>TYPE(All_India_Index_Upto_April23__1[[#This Row],[Health]])</f>
        <v>1</v>
      </c>
      <c r="BG32">
        <f>TYPE(All_India_Index_Upto_April23__1[[#This Row],[Transport and communication]])</f>
        <v>1</v>
      </c>
      <c r="BH32">
        <f>TYPE(All_India_Index_Upto_April23__1[[#This Row],[Recreation and amusement]])</f>
        <v>1</v>
      </c>
      <c r="BI32">
        <f>TYPE(All_India_Index_Upto_April23__1[[#This Row],[Education]])</f>
        <v>1</v>
      </c>
      <c r="BJ32">
        <f>TYPE(All_India_Index_Upto_April23__1[[#This Row],[Personal care and effects]])</f>
        <v>1</v>
      </c>
      <c r="BK32">
        <f>TYPE(All_India_Index_Upto_April23__1[[#This Row],[Miscellaneous]])</f>
        <v>1</v>
      </c>
      <c r="BL32">
        <f>TYPE(All_India_Index_Upto_April23__1[[#This Row],[General index]])</f>
        <v>1</v>
      </c>
    </row>
    <row r="33" spans="1:64" hidden="1" x14ac:dyDescent="0.3">
      <c r="A33" t="s">
        <v>30</v>
      </c>
      <c r="B33">
        <v>2013</v>
      </c>
      <c r="C33" t="s">
        <v>98</v>
      </c>
      <c r="D33">
        <v>117.3</v>
      </c>
      <c r="E33">
        <v>114.9</v>
      </c>
      <c r="F33">
        <v>116.2</v>
      </c>
      <c r="G33">
        <v>112.8</v>
      </c>
      <c r="H33">
        <v>108.9</v>
      </c>
      <c r="I33">
        <v>116.6</v>
      </c>
      <c r="J33">
        <v>178.1</v>
      </c>
      <c r="K33">
        <v>109.1</v>
      </c>
      <c r="L33">
        <v>103.6</v>
      </c>
      <c r="M33">
        <v>109</v>
      </c>
      <c r="N33">
        <v>111.8</v>
      </c>
      <c r="O33">
        <v>116</v>
      </c>
      <c r="P33">
        <v>122.5</v>
      </c>
      <c r="Q33">
        <v>112.8</v>
      </c>
      <c r="R33">
        <v>114.6</v>
      </c>
      <c r="S33">
        <v>113.1</v>
      </c>
      <c r="T33">
        <v>114.4</v>
      </c>
      <c r="U33" t="s">
        <v>89</v>
      </c>
      <c r="V33">
        <v>112.6</v>
      </c>
      <c r="W33">
        <v>111.3</v>
      </c>
      <c r="X33">
        <v>109.7</v>
      </c>
      <c r="Y33">
        <v>109.6</v>
      </c>
      <c r="Z33">
        <v>108.7</v>
      </c>
      <c r="AA33">
        <v>111</v>
      </c>
      <c r="AB33">
        <v>108.2</v>
      </c>
      <c r="AC33">
        <v>109.8</v>
      </c>
      <c r="AD33">
        <v>117.4</v>
      </c>
      <c r="AE33">
        <f>SUM(All_India_Index_Upto_April23__1[[#This Row],[Cereals and products]:[Food and beverages]])</f>
        <v>1536.8</v>
      </c>
      <c r="AF33">
        <f>SUM(All_India_Index_Upto_April23__1[[#This Row],[Clothing]:[Clothing and footwear]])</f>
        <v>342.1</v>
      </c>
      <c r="AG33">
        <f t="shared" si="0"/>
        <v>333.5</v>
      </c>
      <c r="AI33">
        <f>TYPE(All_India_Index_Upto_April23__1[[#This Row],[Sector]])</f>
        <v>2</v>
      </c>
      <c r="AJ33">
        <f>TYPE(All_India_Index_Upto_April23__1[[#This Row],[Year]])</f>
        <v>1</v>
      </c>
      <c r="AK33">
        <f>TYPE(All_India_Index_Upto_April23__1[[#This Row],[Month]])</f>
        <v>2</v>
      </c>
      <c r="AL33">
        <f>TYPE(All_India_Index_Upto_April23__1[[#This Row],[Cereals and products]])</f>
        <v>1</v>
      </c>
      <c r="AM33">
        <f>TYPE(All_India_Index_Upto_April23__1[[#This Row],[Meat and fish]])</f>
        <v>1</v>
      </c>
      <c r="AN33">
        <f>TYPE(All_India_Index_Upto_April23__1[[#This Row],[Egg]])</f>
        <v>1</v>
      </c>
      <c r="AO33">
        <f>TYPE(All_India_Index_Upto_April23__1[[#This Row],[Milk and products]])</f>
        <v>1</v>
      </c>
      <c r="AP33">
        <f>TYPE(All_India_Index_Upto_April23__1[[#This Row],[Oils and fats]])</f>
        <v>1</v>
      </c>
      <c r="AQ33">
        <f>TYPE(All_India_Index_Upto_April23__1[[#This Row],[Fruits]])</f>
        <v>1</v>
      </c>
      <c r="AR33">
        <f>TYPE(All_India_Index_Upto_April23__1[[#This Row],[Vegetables]])</f>
        <v>1</v>
      </c>
      <c r="AS33">
        <f>TYPE(All_India_Index_Upto_April23__1[[#This Row],[Pulses and products]])</f>
        <v>1</v>
      </c>
      <c r="AT33">
        <f>TYPE(All_India_Index_Upto_April23__1[[#This Row],[Sugar and Confectionery]])</f>
        <v>1</v>
      </c>
      <c r="AU33">
        <f>TYPE(All_India_Index_Upto_April23__1[[#This Row],[Spices]])</f>
        <v>1</v>
      </c>
      <c r="AV33">
        <f>TYPE(All_India_Index_Upto_April23__1[[#This Row],[Non-alcoholic beverages]])</f>
        <v>1</v>
      </c>
      <c r="AW33">
        <f>TYPE(All_India_Index_Upto_April23__1[[#This Row],[Prepared meals, snacks, sweets etc.]])</f>
        <v>1</v>
      </c>
      <c r="AX33">
        <f>TYPE(All_India_Index_Upto_April23__1[[#This Row],[Food and beverages]])</f>
        <v>1</v>
      </c>
      <c r="AY33">
        <f>TYPE(All_India_Index_Upto_April23__1[[#This Row],[Pan, tobacco and intoxicants]])</f>
        <v>1</v>
      </c>
      <c r="AZ33">
        <f>TYPE(All_India_Index_Upto_April23__1[[#This Row],[Clothing]])</f>
        <v>1</v>
      </c>
      <c r="BA33">
        <f>TYPE(All_India_Index_Upto_April23__1[[#This Row],[Footwear]])</f>
        <v>1</v>
      </c>
      <c r="BB33">
        <f>TYPE(All_India_Index_Upto_April23__1[[#This Row],[Clothing and footwear]])</f>
        <v>1</v>
      </c>
      <c r="BC33">
        <f>TYPE(All_India_Index_Upto_April23__1[[#This Row],[Housing]])</f>
        <v>2</v>
      </c>
      <c r="BD33">
        <f>TYPE(All_India_Index_Upto_April23__1[[#This Row],[Fuel and light]])</f>
        <v>1</v>
      </c>
      <c r="BE33">
        <f>TYPE(All_India_Index_Upto_April23__1[[#This Row],[Household goods and services]])</f>
        <v>1</v>
      </c>
      <c r="BF33">
        <f>TYPE(All_India_Index_Upto_April23__1[[#This Row],[Health]])</f>
        <v>1</v>
      </c>
      <c r="BG33">
        <f>TYPE(All_India_Index_Upto_April23__1[[#This Row],[Transport and communication]])</f>
        <v>1</v>
      </c>
      <c r="BH33">
        <f>TYPE(All_India_Index_Upto_April23__1[[#This Row],[Recreation and amusement]])</f>
        <v>1</v>
      </c>
      <c r="BI33">
        <f>TYPE(All_India_Index_Upto_April23__1[[#This Row],[Education]])</f>
        <v>1</v>
      </c>
      <c r="BJ33">
        <f>TYPE(All_India_Index_Upto_April23__1[[#This Row],[Personal care and effects]])</f>
        <v>1</v>
      </c>
      <c r="BK33">
        <f>TYPE(All_India_Index_Upto_April23__1[[#This Row],[Miscellaneous]])</f>
        <v>1</v>
      </c>
      <c r="BL33">
        <f>TYPE(All_India_Index_Upto_April23__1[[#This Row],[General index]])</f>
        <v>1</v>
      </c>
    </row>
    <row r="34" spans="1:64" hidden="1" x14ac:dyDescent="0.3">
      <c r="A34" t="s">
        <v>32</v>
      </c>
      <c r="B34">
        <v>2013</v>
      </c>
      <c r="C34" t="s">
        <v>43</v>
      </c>
      <c r="D34">
        <v>119.8</v>
      </c>
      <c r="E34">
        <v>116.3</v>
      </c>
      <c r="F34">
        <v>122.6</v>
      </c>
      <c r="G34">
        <v>112</v>
      </c>
      <c r="H34">
        <v>103.2</v>
      </c>
      <c r="I34">
        <v>110</v>
      </c>
      <c r="J34">
        <v>192.8</v>
      </c>
      <c r="K34">
        <v>106.3</v>
      </c>
      <c r="L34">
        <v>99.5</v>
      </c>
      <c r="M34">
        <v>110.3</v>
      </c>
      <c r="N34">
        <v>111.8</v>
      </c>
      <c r="O34">
        <v>117.1</v>
      </c>
      <c r="P34">
        <v>122.9</v>
      </c>
      <c r="Q34">
        <v>114.1</v>
      </c>
      <c r="R34">
        <v>113.5</v>
      </c>
      <c r="S34">
        <v>110.3</v>
      </c>
      <c r="T34">
        <v>113</v>
      </c>
      <c r="U34" t="s">
        <v>99</v>
      </c>
      <c r="V34">
        <v>110</v>
      </c>
      <c r="W34">
        <v>110.9</v>
      </c>
      <c r="X34">
        <v>108.6</v>
      </c>
      <c r="Y34">
        <v>109.5</v>
      </c>
      <c r="Z34">
        <v>108.5</v>
      </c>
      <c r="AA34">
        <v>111.3</v>
      </c>
      <c r="AB34">
        <v>107.9</v>
      </c>
      <c r="AC34">
        <v>109.6</v>
      </c>
      <c r="AD34">
        <v>115</v>
      </c>
      <c r="AE34">
        <f>SUM(All_India_Index_Upto_April23__1[[#This Row],[Cereals and products]:[Food and beverages]])</f>
        <v>1544.6</v>
      </c>
      <c r="AF34">
        <f>SUM(All_India_Index_Upto_April23__1[[#This Row],[Clothing]:[Clothing and footwear]])</f>
        <v>336.8</v>
      </c>
      <c r="AG34">
        <f t="shared" si="0"/>
        <v>330.4</v>
      </c>
      <c r="AI34">
        <f>TYPE(All_India_Index_Upto_April23__1[[#This Row],[Sector]])</f>
        <v>2</v>
      </c>
      <c r="AJ34">
        <f>TYPE(All_India_Index_Upto_April23__1[[#This Row],[Year]])</f>
        <v>1</v>
      </c>
      <c r="AK34">
        <f>TYPE(All_India_Index_Upto_April23__1[[#This Row],[Month]])</f>
        <v>2</v>
      </c>
      <c r="AL34">
        <f>TYPE(All_India_Index_Upto_April23__1[[#This Row],[Cereals and products]])</f>
        <v>1</v>
      </c>
      <c r="AM34">
        <f>TYPE(All_India_Index_Upto_April23__1[[#This Row],[Meat and fish]])</f>
        <v>1</v>
      </c>
      <c r="AN34">
        <f>TYPE(All_India_Index_Upto_April23__1[[#This Row],[Egg]])</f>
        <v>1</v>
      </c>
      <c r="AO34">
        <f>TYPE(All_India_Index_Upto_April23__1[[#This Row],[Milk and products]])</f>
        <v>1</v>
      </c>
      <c r="AP34">
        <f>TYPE(All_India_Index_Upto_April23__1[[#This Row],[Oils and fats]])</f>
        <v>1</v>
      </c>
      <c r="AQ34">
        <f>TYPE(All_India_Index_Upto_April23__1[[#This Row],[Fruits]])</f>
        <v>1</v>
      </c>
      <c r="AR34">
        <f>TYPE(All_India_Index_Upto_April23__1[[#This Row],[Vegetables]])</f>
        <v>1</v>
      </c>
      <c r="AS34">
        <f>TYPE(All_India_Index_Upto_April23__1[[#This Row],[Pulses and products]])</f>
        <v>1</v>
      </c>
      <c r="AT34">
        <f>TYPE(All_India_Index_Upto_April23__1[[#This Row],[Sugar and Confectionery]])</f>
        <v>1</v>
      </c>
      <c r="AU34">
        <f>TYPE(All_India_Index_Upto_April23__1[[#This Row],[Spices]])</f>
        <v>1</v>
      </c>
      <c r="AV34">
        <f>TYPE(All_India_Index_Upto_April23__1[[#This Row],[Non-alcoholic beverages]])</f>
        <v>1</v>
      </c>
      <c r="AW34">
        <f>TYPE(All_India_Index_Upto_April23__1[[#This Row],[Prepared meals, snacks, sweets etc.]])</f>
        <v>1</v>
      </c>
      <c r="AX34">
        <f>TYPE(All_India_Index_Upto_April23__1[[#This Row],[Food and beverages]])</f>
        <v>1</v>
      </c>
      <c r="AY34">
        <f>TYPE(All_India_Index_Upto_April23__1[[#This Row],[Pan, tobacco and intoxicants]])</f>
        <v>1</v>
      </c>
      <c r="AZ34">
        <f>TYPE(All_India_Index_Upto_April23__1[[#This Row],[Clothing]])</f>
        <v>1</v>
      </c>
      <c r="BA34">
        <f>TYPE(All_India_Index_Upto_April23__1[[#This Row],[Footwear]])</f>
        <v>1</v>
      </c>
      <c r="BB34">
        <f>TYPE(All_India_Index_Upto_April23__1[[#This Row],[Clothing and footwear]])</f>
        <v>1</v>
      </c>
      <c r="BC34">
        <f>TYPE(All_India_Index_Upto_April23__1[[#This Row],[Housing]])</f>
        <v>2</v>
      </c>
      <c r="BD34">
        <f>TYPE(All_India_Index_Upto_April23__1[[#This Row],[Fuel and light]])</f>
        <v>1</v>
      </c>
      <c r="BE34">
        <f>TYPE(All_India_Index_Upto_April23__1[[#This Row],[Household goods and services]])</f>
        <v>1</v>
      </c>
      <c r="BF34">
        <f>TYPE(All_India_Index_Upto_April23__1[[#This Row],[Health]])</f>
        <v>1</v>
      </c>
      <c r="BG34">
        <f>TYPE(All_India_Index_Upto_April23__1[[#This Row],[Transport and communication]])</f>
        <v>1</v>
      </c>
      <c r="BH34">
        <f>TYPE(All_India_Index_Upto_April23__1[[#This Row],[Recreation and amusement]])</f>
        <v>1</v>
      </c>
      <c r="BI34">
        <f>TYPE(All_India_Index_Upto_April23__1[[#This Row],[Education]])</f>
        <v>1</v>
      </c>
      <c r="BJ34">
        <f>TYPE(All_India_Index_Upto_April23__1[[#This Row],[Personal care and effects]])</f>
        <v>1</v>
      </c>
      <c r="BK34">
        <f>TYPE(All_India_Index_Upto_April23__1[[#This Row],[Miscellaneous]])</f>
        <v>1</v>
      </c>
      <c r="BL34">
        <f>TYPE(All_India_Index_Upto_April23__1[[#This Row],[General index]])</f>
        <v>1</v>
      </c>
    </row>
    <row r="35" spans="1:64" hidden="1" x14ac:dyDescent="0.3">
      <c r="A35" t="s">
        <v>33</v>
      </c>
      <c r="B35">
        <v>2013</v>
      </c>
      <c r="C35" t="s">
        <v>43</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t="s">
        <v>99</v>
      </c>
      <c r="V35">
        <v>111.6</v>
      </c>
      <c r="W35">
        <v>111.1</v>
      </c>
      <c r="X35">
        <v>109.3</v>
      </c>
      <c r="Y35">
        <v>109.5</v>
      </c>
      <c r="Z35">
        <v>108.6</v>
      </c>
      <c r="AA35">
        <v>111.2</v>
      </c>
      <c r="AB35">
        <v>108.1</v>
      </c>
      <c r="AC35">
        <v>109.7</v>
      </c>
      <c r="AD35">
        <v>116.3</v>
      </c>
      <c r="AE35">
        <f>SUM(All_India_Index_Upto_April23__1[[#This Row],[Cereals and products]:[Food and beverages]])</f>
        <v>1538.8</v>
      </c>
      <c r="AF35">
        <f>SUM(All_India_Index_Upto_April23__1[[#This Row],[Clothing]:[Clothing and footwear]])</f>
        <v>339.90000000000003</v>
      </c>
      <c r="AG35">
        <f t="shared" si="0"/>
        <v>332.2</v>
      </c>
      <c r="AI35">
        <f>TYPE(All_India_Index_Upto_April23__1[[#This Row],[Sector]])</f>
        <v>2</v>
      </c>
      <c r="AJ35">
        <f>TYPE(All_India_Index_Upto_April23__1[[#This Row],[Year]])</f>
        <v>1</v>
      </c>
      <c r="AK35">
        <f>TYPE(All_India_Index_Upto_April23__1[[#This Row],[Month]])</f>
        <v>2</v>
      </c>
      <c r="AL35">
        <f>TYPE(All_India_Index_Upto_April23__1[[#This Row],[Cereals and products]])</f>
        <v>1</v>
      </c>
      <c r="AM35">
        <f>TYPE(All_India_Index_Upto_April23__1[[#This Row],[Meat and fish]])</f>
        <v>1</v>
      </c>
      <c r="AN35">
        <f>TYPE(All_India_Index_Upto_April23__1[[#This Row],[Egg]])</f>
        <v>1</v>
      </c>
      <c r="AO35">
        <f>TYPE(All_India_Index_Upto_April23__1[[#This Row],[Milk and products]])</f>
        <v>1</v>
      </c>
      <c r="AP35">
        <f>TYPE(All_India_Index_Upto_April23__1[[#This Row],[Oils and fats]])</f>
        <v>1</v>
      </c>
      <c r="AQ35">
        <f>TYPE(All_India_Index_Upto_April23__1[[#This Row],[Fruits]])</f>
        <v>1</v>
      </c>
      <c r="AR35">
        <f>TYPE(All_India_Index_Upto_April23__1[[#This Row],[Vegetables]])</f>
        <v>1</v>
      </c>
      <c r="AS35">
        <f>TYPE(All_India_Index_Upto_April23__1[[#This Row],[Pulses and products]])</f>
        <v>1</v>
      </c>
      <c r="AT35">
        <f>TYPE(All_India_Index_Upto_April23__1[[#This Row],[Sugar and Confectionery]])</f>
        <v>1</v>
      </c>
      <c r="AU35">
        <f>TYPE(All_India_Index_Upto_April23__1[[#This Row],[Spices]])</f>
        <v>1</v>
      </c>
      <c r="AV35">
        <f>TYPE(All_India_Index_Upto_April23__1[[#This Row],[Non-alcoholic beverages]])</f>
        <v>1</v>
      </c>
      <c r="AW35">
        <f>TYPE(All_India_Index_Upto_April23__1[[#This Row],[Prepared meals, snacks, sweets etc.]])</f>
        <v>1</v>
      </c>
      <c r="AX35">
        <f>TYPE(All_India_Index_Upto_April23__1[[#This Row],[Food and beverages]])</f>
        <v>1</v>
      </c>
      <c r="AY35">
        <f>TYPE(All_India_Index_Upto_April23__1[[#This Row],[Pan, tobacco and intoxicants]])</f>
        <v>1</v>
      </c>
      <c r="AZ35">
        <f>TYPE(All_India_Index_Upto_April23__1[[#This Row],[Clothing]])</f>
        <v>1</v>
      </c>
      <c r="BA35">
        <f>TYPE(All_India_Index_Upto_April23__1[[#This Row],[Footwear]])</f>
        <v>1</v>
      </c>
      <c r="BB35">
        <f>TYPE(All_India_Index_Upto_April23__1[[#This Row],[Clothing and footwear]])</f>
        <v>1</v>
      </c>
      <c r="BC35">
        <f>TYPE(All_India_Index_Upto_April23__1[[#This Row],[Housing]])</f>
        <v>2</v>
      </c>
      <c r="BD35">
        <f>TYPE(All_India_Index_Upto_April23__1[[#This Row],[Fuel and light]])</f>
        <v>1</v>
      </c>
      <c r="BE35">
        <f>TYPE(All_India_Index_Upto_April23__1[[#This Row],[Household goods and services]])</f>
        <v>1</v>
      </c>
      <c r="BF35">
        <f>TYPE(All_India_Index_Upto_April23__1[[#This Row],[Health]])</f>
        <v>1</v>
      </c>
      <c r="BG35">
        <f>TYPE(All_India_Index_Upto_April23__1[[#This Row],[Transport and communication]])</f>
        <v>1</v>
      </c>
      <c r="BH35">
        <f>TYPE(All_India_Index_Upto_April23__1[[#This Row],[Recreation and amusement]])</f>
        <v>1</v>
      </c>
      <c r="BI35">
        <f>TYPE(All_India_Index_Upto_April23__1[[#This Row],[Education]])</f>
        <v>1</v>
      </c>
      <c r="BJ35">
        <f>TYPE(All_India_Index_Upto_April23__1[[#This Row],[Personal care and effects]])</f>
        <v>1</v>
      </c>
      <c r="BK35">
        <f>TYPE(All_India_Index_Upto_April23__1[[#This Row],[Miscellaneous]])</f>
        <v>1</v>
      </c>
      <c r="BL35">
        <f>TYPE(All_India_Index_Upto_April23__1[[#This Row],[General index]])</f>
        <v>1</v>
      </c>
    </row>
    <row r="36" spans="1:64" hidden="1" x14ac:dyDescent="0.3">
      <c r="A36" t="s">
        <v>30</v>
      </c>
      <c r="B36">
        <v>2013</v>
      </c>
      <c r="C36" t="s">
        <v>44</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U36" t="s">
        <v>89</v>
      </c>
      <c r="V36">
        <v>112.8</v>
      </c>
      <c r="W36">
        <v>112.1</v>
      </c>
      <c r="X36">
        <v>110.1</v>
      </c>
      <c r="Y36">
        <v>109.9</v>
      </c>
      <c r="Z36">
        <v>109.2</v>
      </c>
      <c r="AA36">
        <v>111.6</v>
      </c>
      <c r="AB36">
        <v>108.1</v>
      </c>
      <c r="AC36">
        <v>110.1</v>
      </c>
      <c r="AD36">
        <v>115.5</v>
      </c>
      <c r="AE36">
        <f>SUM(All_India_Index_Upto_April23__1[[#This Row],[Cereals and products]:[Food and beverages]])</f>
        <v>1509</v>
      </c>
      <c r="AF36">
        <f>SUM(All_India_Index_Upto_April23__1[[#This Row],[Clothing]:[Clothing and footwear]])</f>
        <v>345.3</v>
      </c>
      <c r="AG36">
        <f t="shared" si="0"/>
        <v>334.79999999999995</v>
      </c>
      <c r="AI36">
        <f>TYPE(All_India_Index_Upto_April23__1[[#This Row],[Sector]])</f>
        <v>2</v>
      </c>
      <c r="AJ36">
        <f>TYPE(All_India_Index_Upto_April23__1[[#This Row],[Year]])</f>
        <v>1</v>
      </c>
      <c r="AK36">
        <f>TYPE(All_India_Index_Upto_April23__1[[#This Row],[Month]])</f>
        <v>2</v>
      </c>
      <c r="AL36">
        <f>TYPE(All_India_Index_Upto_April23__1[[#This Row],[Cereals and products]])</f>
        <v>1</v>
      </c>
      <c r="AM36">
        <f>TYPE(All_India_Index_Upto_April23__1[[#This Row],[Meat and fish]])</f>
        <v>1</v>
      </c>
      <c r="AN36">
        <f>TYPE(All_India_Index_Upto_April23__1[[#This Row],[Egg]])</f>
        <v>1</v>
      </c>
      <c r="AO36">
        <f>TYPE(All_India_Index_Upto_April23__1[[#This Row],[Milk and products]])</f>
        <v>1</v>
      </c>
      <c r="AP36">
        <f>TYPE(All_India_Index_Upto_April23__1[[#This Row],[Oils and fats]])</f>
        <v>1</v>
      </c>
      <c r="AQ36">
        <f>TYPE(All_India_Index_Upto_April23__1[[#This Row],[Fruits]])</f>
        <v>1</v>
      </c>
      <c r="AR36">
        <f>TYPE(All_India_Index_Upto_April23__1[[#This Row],[Vegetables]])</f>
        <v>1</v>
      </c>
      <c r="AS36">
        <f>TYPE(All_India_Index_Upto_April23__1[[#This Row],[Pulses and products]])</f>
        <v>1</v>
      </c>
      <c r="AT36">
        <f>TYPE(All_India_Index_Upto_April23__1[[#This Row],[Sugar and Confectionery]])</f>
        <v>1</v>
      </c>
      <c r="AU36">
        <f>TYPE(All_India_Index_Upto_April23__1[[#This Row],[Spices]])</f>
        <v>1</v>
      </c>
      <c r="AV36">
        <f>TYPE(All_India_Index_Upto_April23__1[[#This Row],[Non-alcoholic beverages]])</f>
        <v>1</v>
      </c>
      <c r="AW36">
        <f>TYPE(All_India_Index_Upto_April23__1[[#This Row],[Prepared meals, snacks, sweets etc.]])</f>
        <v>1</v>
      </c>
      <c r="AX36">
        <f>TYPE(All_India_Index_Upto_April23__1[[#This Row],[Food and beverages]])</f>
        <v>1</v>
      </c>
      <c r="AY36">
        <f>TYPE(All_India_Index_Upto_April23__1[[#This Row],[Pan, tobacco and intoxicants]])</f>
        <v>1</v>
      </c>
      <c r="AZ36">
        <f>TYPE(All_India_Index_Upto_April23__1[[#This Row],[Clothing]])</f>
        <v>1</v>
      </c>
      <c r="BA36">
        <f>TYPE(All_India_Index_Upto_April23__1[[#This Row],[Footwear]])</f>
        <v>1</v>
      </c>
      <c r="BB36">
        <f>TYPE(All_India_Index_Upto_April23__1[[#This Row],[Clothing and footwear]])</f>
        <v>1</v>
      </c>
      <c r="BC36">
        <f>TYPE(All_India_Index_Upto_April23__1[[#This Row],[Housing]])</f>
        <v>2</v>
      </c>
      <c r="BD36">
        <f>TYPE(All_India_Index_Upto_April23__1[[#This Row],[Fuel and light]])</f>
        <v>1</v>
      </c>
      <c r="BE36">
        <f>TYPE(All_India_Index_Upto_April23__1[[#This Row],[Household goods and services]])</f>
        <v>1</v>
      </c>
      <c r="BF36">
        <f>TYPE(All_India_Index_Upto_April23__1[[#This Row],[Health]])</f>
        <v>1</v>
      </c>
      <c r="BG36">
        <f>TYPE(All_India_Index_Upto_April23__1[[#This Row],[Transport and communication]])</f>
        <v>1</v>
      </c>
      <c r="BH36">
        <f>TYPE(All_India_Index_Upto_April23__1[[#This Row],[Recreation and amusement]])</f>
        <v>1</v>
      </c>
      <c r="BI36">
        <f>TYPE(All_India_Index_Upto_April23__1[[#This Row],[Education]])</f>
        <v>1</v>
      </c>
      <c r="BJ36">
        <f>TYPE(All_India_Index_Upto_April23__1[[#This Row],[Personal care and effects]])</f>
        <v>1</v>
      </c>
      <c r="BK36">
        <f>TYPE(All_India_Index_Upto_April23__1[[#This Row],[Miscellaneous]])</f>
        <v>1</v>
      </c>
      <c r="BL36">
        <f>TYPE(All_India_Index_Upto_April23__1[[#This Row],[General index]])</f>
        <v>1</v>
      </c>
    </row>
    <row r="37" spans="1:64" hidden="1" x14ac:dyDescent="0.3">
      <c r="A37" t="s">
        <v>32</v>
      </c>
      <c r="B37">
        <v>2013</v>
      </c>
      <c r="C37" t="s">
        <v>44</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t="s">
        <v>100</v>
      </c>
      <c r="V37">
        <v>110.4</v>
      </c>
      <c r="W37">
        <v>111.3</v>
      </c>
      <c r="X37">
        <v>109</v>
      </c>
      <c r="Y37">
        <v>109.7</v>
      </c>
      <c r="Z37">
        <v>108.9</v>
      </c>
      <c r="AA37">
        <v>111.4</v>
      </c>
      <c r="AB37">
        <v>107.7</v>
      </c>
      <c r="AC37">
        <v>109.8</v>
      </c>
      <c r="AD37">
        <v>113.3</v>
      </c>
      <c r="AE37">
        <f>SUM(All_India_Index_Upto_April23__1[[#This Row],[Cereals and products]:[Food and beverages]])</f>
        <v>1504.4</v>
      </c>
      <c r="AF37">
        <f>SUM(All_India_Index_Upto_April23__1[[#This Row],[Clothing]:[Clothing and footwear]])</f>
        <v>338.8</v>
      </c>
      <c r="AG37">
        <f t="shared" si="0"/>
        <v>331.4</v>
      </c>
      <c r="AI37">
        <f>TYPE(All_India_Index_Upto_April23__1[[#This Row],[Sector]])</f>
        <v>2</v>
      </c>
      <c r="AJ37">
        <f>TYPE(All_India_Index_Upto_April23__1[[#This Row],[Year]])</f>
        <v>1</v>
      </c>
      <c r="AK37">
        <f>TYPE(All_India_Index_Upto_April23__1[[#This Row],[Month]])</f>
        <v>2</v>
      </c>
      <c r="AL37">
        <f>TYPE(All_India_Index_Upto_April23__1[[#This Row],[Cereals and products]])</f>
        <v>1</v>
      </c>
      <c r="AM37">
        <f>TYPE(All_India_Index_Upto_April23__1[[#This Row],[Meat and fish]])</f>
        <v>1</v>
      </c>
      <c r="AN37">
        <f>TYPE(All_India_Index_Upto_April23__1[[#This Row],[Egg]])</f>
        <v>1</v>
      </c>
      <c r="AO37">
        <f>TYPE(All_India_Index_Upto_April23__1[[#This Row],[Milk and products]])</f>
        <v>1</v>
      </c>
      <c r="AP37">
        <f>TYPE(All_India_Index_Upto_April23__1[[#This Row],[Oils and fats]])</f>
        <v>1</v>
      </c>
      <c r="AQ37">
        <f>TYPE(All_India_Index_Upto_April23__1[[#This Row],[Fruits]])</f>
        <v>1</v>
      </c>
      <c r="AR37">
        <f>TYPE(All_India_Index_Upto_April23__1[[#This Row],[Vegetables]])</f>
        <v>1</v>
      </c>
      <c r="AS37">
        <f>TYPE(All_India_Index_Upto_April23__1[[#This Row],[Pulses and products]])</f>
        <v>1</v>
      </c>
      <c r="AT37">
        <f>TYPE(All_India_Index_Upto_April23__1[[#This Row],[Sugar and Confectionery]])</f>
        <v>1</v>
      </c>
      <c r="AU37">
        <f>TYPE(All_India_Index_Upto_April23__1[[#This Row],[Spices]])</f>
        <v>1</v>
      </c>
      <c r="AV37">
        <f>TYPE(All_India_Index_Upto_April23__1[[#This Row],[Non-alcoholic beverages]])</f>
        <v>1</v>
      </c>
      <c r="AW37">
        <f>TYPE(All_India_Index_Upto_April23__1[[#This Row],[Prepared meals, snacks, sweets etc.]])</f>
        <v>1</v>
      </c>
      <c r="AX37">
        <f>TYPE(All_India_Index_Upto_April23__1[[#This Row],[Food and beverages]])</f>
        <v>1</v>
      </c>
      <c r="AY37">
        <f>TYPE(All_India_Index_Upto_April23__1[[#This Row],[Pan, tobacco and intoxicants]])</f>
        <v>1</v>
      </c>
      <c r="AZ37">
        <f>TYPE(All_India_Index_Upto_April23__1[[#This Row],[Clothing]])</f>
        <v>1</v>
      </c>
      <c r="BA37">
        <f>TYPE(All_India_Index_Upto_April23__1[[#This Row],[Footwear]])</f>
        <v>1</v>
      </c>
      <c r="BB37">
        <f>TYPE(All_India_Index_Upto_April23__1[[#This Row],[Clothing and footwear]])</f>
        <v>1</v>
      </c>
      <c r="BC37">
        <f>TYPE(All_India_Index_Upto_April23__1[[#This Row],[Housing]])</f>
        <v>2</v>
      </c>
      <c r="BD37">
        <f>TYPE(All_India_Index_Upto_April23__1[[#This Row],[Fuel and light]])</f>
        <v>1</v>
      </c>
      <c r="BE37">
        <f>TYPE(All_India_Index_Upto_April23__1[[#This Row],[Household goods and services]])</f>
        <v>1</v>
      </c>
      <c r="BF37">
        <f>TYPE(All_India_Index_Upto_April23__1[[#This Row],[Health]])</f>
        <v>1</v>
      </c>
      <c r="BG37">
        <f>TYPE(All_India_Index_Upto_April23__1[[#This Row],[Transport and communication]])</f>
        <v>1</v>
      </c>
      <c r="BH37">
        <f>TYPE(All_India_Index_Upto_April23__1[[#This Row],[Recreation and amusement]])</f>
        <v>1</v>
      </c>
      <c r="BI37">
        <f>TYPE(All_India_Index_Upto_April23__1[[#This Row],[Education]])</f>
        <v>1</v>
      </c>
      <c r="BJ37">
        <f>TYPE(All_India_Index_Upto_April23__1[[#This Row],[Personal care and effects]])</f>
        <v>1</v>
      </c>
      <c r="BK37">
        <f>TYPE(All_India_Index_Upto_April23__1[[#This Row],[Miscellaneous]])</f>
        <v>1</v>
      </c>
      <c r="BL37">
        <f>TYPE(All_India_Index_Upto_April23__1[[#This Row],[General index]])</f>
        <v>1</v>
      </c>
    </row>
    <row r="38" spans="1:64" hidden="1" x14ac:dyDescent="0.3">
      <c r="A38" t="s">
        <v>33</v>
      </c>
      <c r="B38">
        <v>2013</v>
      </c>
      <c r="C38" t="s">
        <v>44</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t="s">
        <v>100</v>
      </c>
      <c r="V38">
        <v>111.9</v>
      </c>
      <c r="W38">
        <v>111.7</v>
      </c>
      <c r="X38">
        <v>109.7</v>
      </c>
      <c r="Y38">
        <v>109.8</v>
      </c>
      <c r="Z38">
        <v>109</v>
      </c>
      <c r="AA38">
        <v>111.5</v>
      </c>
      <c r="AB38">
        <v>107.9</v>
      </c>
      <c r="AC38">
        <v>110</v>
      </c>
      <c r="AD38">
        <v>114.5</v>
      </c>
      <c r="AE38">
        <f>SUM(All_India_Index_Upto_April23__1[[#This Row],[Cereals and products]:[Food and beverages]])</f>
        <v>1507.3000000000002</v>
      </c>
      <c r="AF38">
        <f>SUM(All_India_Index_Upto_April23__1[[#This Row],[Clothing]:[Clothing and footwear]])</f>
        <v>342.7</v>
      </c>
      <c r="AG38">
        <f t="shared" si="0"/>
        <v>333.40000000000003</v>
      </c>
      <c r="AI38">
        <f>TYPE(All_India_Index_Upto_April23__1[[#This Row],[Sector]])</f>
        <v>2</v>
      </c>
      <c r="AJ38">
        <f>TYPE(All_India_Index_Upto_April23__1[[#This Row],[Year]])</f>
        <v>1</v>
      </c>
      <c r="AK38">
        <f>TYPE(All_India_Index_Upto_April23__1[[#This Row],[Month]])</f>
        <v>2</v>
      </c>
      <c r="AL38">
        <f>TYPE(All_India_Index_Upto_April23__1[[#This Row],[Cereals and products]])</f>
        <v>1</v>
      </c>
      <c r="AM38">
        <f>TYPE(All_India_Index_Upto_April23__1[[#This Row],[Meat and fish]])</f>
        <v>1</v>
      </c>
      <c r="AN38">
        <f>TYPE(All_India_Index_Upto_April23__1[[#This Row],[Egg]])</f>
        <v>1</v>
      </c>
      <c r="AO38">
        <f>TYPE(All_India_Index_Upto_April23__1[[#This Row],[Milk and products]])</f>
        <v>1</v>
      </c>
      <c r="AP38">
        <f>TYPE(All_India_Index_Upto_April23__1[[#This Row],[Oils and fats]])</f>
        <v>1</v>
      </c>
      <c r="AQ38">
        <f>TYPE(All_India_Index_Upto_April23__1[[#This Row],[Fruits]])</f>
        <v>1</v>
      </c>
      <c r="AR38">
        <f>TYPE(All_India_Index_Upto_April23__1[[#This Row],[Vegetables]])</f>
        <v>1</v>
      </c>
      <c r="AS38">
        <f>TYPE(All_India_Index_Upto_April23__1[[#This Row],[Pulses and products]])</f>
        <v>1</v>
      </c>
      <c r="AT38">
        <f>TYPE(All_India_Index_Upto_April23__1[[#This Row],[Sugar and Confectionery]])</f>
        <v>1</v>
      </c>
      <c r="AU38">
        <f>TYPE(All_India_Index_Upto_April23__1[[#This Row],[Spices]])</f>
        <v>1</v>
      </c>
      <c r="AV38">
        <f>TYPE(All_India_Index_Upto_April23__1[[#This Row],[Non-alcoholic beverages]])</f>
        <v>1</v>
      </c>
      <c r="AW38">
        <f>TYPE(All_India_Index_Upto_April23__1[[#This Row],[Prepared meals, snacks, sweets etc.]])</f>
        <v>1</v>
      </c>
      <c r="AX38">
        <f>TYPE(All_India_Index_Upto_April23__1[[#This Row],[Food and beverages]])</f>
        <v>1</v>
      </c>
      <c r="AY38">
        <f>TYPE(All_India_Index_Upto_April23__1[[#This Row],[Pan, tobacco and intoxicants]])</f>
        <v>1</v>
      </c>
      <c r="AZ38">
        <f>TYPE(All_India_Index_Upto_April23__1[[#This Row],[Clothing]])</f>
        <v>1</v>
      </c>
      <c r="BA38">
        <f>TYPE(All_India_Index_Upto_April23__1[[#This Row],[Footwear]])</f>
        <v>1</v>
      </c>
      <c r="BB38">
        <f>TYPE(All_India_Index_Upto_April23__1[[#This Row],[Clothing and footwear]])</f>
        <v>1</v>
      </c>
      <c r="BC38">
        <f>TYPE(All_India_Index_Upto_April23__1[[#This Row],[Housing]])</f>
        <v>2</v>
      </c>
      <c r="BD38">
        <f>TYPE(All_India_Index_Upto_April23__1[[#This Row],[Fuel and light]])</f>
        <v>1</v>
      </c>
      <c r="BE38">
        <f>TYPE(All_India_Index_Upto_April23__1[[#This Row],[Household goods and services]])</f>
        <v>1</v>
      </c>
      <c r="BF38">
        <f>TYPE(All_India_Index_Upto_April23__1[[#This Row],[Health]])</f>
        <v>1</v>
      </c>
      <c r="BG38">
        <f>TYPE(All_India_Index_Upto_April23__1[[#This Row],[Transport and communication]])</f>
        <v>1</v>
      </c>
      <c r="BH38">
        <f>TYPE(All_India_Index_Upto_April23__1[[#This Row],[Recreation and amusement]])</f>
        <v>1</v>
      </c>
      <c r="BI38">
        <f>TYPE(All_India_Index_Upto_April23__1[[#This Row],[Education]])</f>
        <v>1</v>
      </c>
      <c r="BJ38">
        <f>TYPE(All_India_Index_Upto_April23__1[[#This Row],[Personal care and effects]])</f>
        <v>1</v>
      </c>
      <c r="BK38">
        <f>TYPE(All_India_Index_Upto_April23__1[[#This Row],[Miscellaneous]])</f>
        <v>1</v>
      </c>
      <c r="BL38">
        <f>TYPE(All_India_Index_Upto_April23__1[[#This Row],[General index]])</f>
        <v>1</v>
      </c>
    </row>
    <row r="39" spans="1:64" hidden="1" x14ac:dyDescent="0.3">
      <c r="A39" t="s">
        <v>30</v>
      </c>
      <c r="B39">
        <v>2014</v>
      </c>
      <c r="C39" t="s">
        <v>31</v>
      </c>
      <c r="D39">
        <v>118.9</v>
      </c>
      <c r="E39">
        <v>117.1</v>
      </c>
      <c r="F39">
        <v>120.5</v>
      </c>
      <c r="G39">
        <v>114.4</v>
      </c>
      <c r="H39">
        <v>109</v>
      </c>
      <c r="I39">
        <v>115.5</v>
      </c>
      <c r="J39">
        <v>123.9</v>
      </c>
      <c r="K39">
        <v>109.6</v>
      </c>
      <c r="L39">
        <v>101.8</v>
      </c>
      <c r="M39">
        <v>110.2</v>
      </c>
      <c r="N39">
        <v>112.4</v>
      </c>
      <c r="O39">
        <v>117.3</v>
      </c>
      <c r="P39">
        <v>116</v>
      </c>
      <c r="Q39">
        <v>114</v>
      </c>
      <c r="R39">
        <v>116.5</v>
      </c>
      <c r="S39">
        <v>114.5</v>
      </c>
      <c r="T39">
        <v>116.2</v>
      </c>
      <c r="U39" t="s">
        <v>89</v>
      </c>
      <c r="V39">
        <v>113</v>
      </c>
      <c r="W39">
        <v>112.6</v>
      </c>
      <c r="X39">
        <v>110.6</v>
      </c>
      <c r="Y39">
        <v>110.5</v>
      </c>
      <c r="Z39">
        <v>109.6</v>
      </c>
      <c r="AA39">
        <v>111.8</v>
      </c>
      <c r="AB39">
        <v>108.3</v>
      </c>
      <c r="AC39">
        <v>110.6</v>
      </c>
      <c r="AD39">
        <v>114.2</v>
      </c>
      <c r="AE39">
        <f>SUM(All_India_Index_Upto_April23__1[[#This Row],[Cereals and products]:[Food and beverages]])</f>
        <v>1486.6000000000001</v>
      </c>
      <c r="AF39">
        <f>SUM(All_India_Index_Upto_April23__1[[#This Row],[Clothing]:[Clothing and footwear]])</f>
        <v>347.2</v>
      </c>
      <c r="AG39">
        <f t="shared" si="0"/>
        <v>336.1</v>
      </c>
      <c r="AI39">
        <f>TYPE(All_India_Index_Upto_April23__1[[#This Row],[Sector]])</f>
        <v>2</v>
      </c>
      <c r="AJ39">
        <f>TYPE(All_India_Index_Upto_April23__1[[#This Row],[Year]])</f>
        <v>1</v>
      </c>
      <c r="AK39">
        <f>TYPE(All_India_Index_Upto_April23__1[[#This Row],[Month]])</f>
        <v>2</v>
      </c>
      <c r="AL39">
        <f>TYPE(All_India_Index_Upto_April23__1[[#This Row],[Cereals and products]])</f>
        <v>1</v>
      </c>
      <c r="AM39">
        <f>TYPE(All_India_Index_Upto_April23__1[[#This Row],[Meat and fish]])</f>
        <v>1</v>
      </c>
      <c r="AN39">
        <f>TYPE(All_India_Index_Upto_April23__1[[#This Row],[Egg]])</f>
        <v>1</v>
      </c>
      <c r="AO39">
        <f>TYPE(All_India_Index_Upto_April23__1[[#This Row],[Milk and products]])</f>
        <v>1</v>
      </c>
      <c r="AP39">
        <f>TYPE(All_India_Index_Upto_April23__1[[#This Row],[Oils and fats]])</f>
        <v>1</v>
      </c>
      <c r="AQ39">
        <f>TYPE(All_India_Index_Upto_April23__1[[#This Row],[Fruits]])</f>
        <v>1</v>
      </c>
      <c r="AR39">
        <f>TYPE(All_India_Index_Upto_April23__1[[#This Row],[Vegetables]])</f>
        <v>1</v>
      </c>
      <c r="AS39">
        <f>TYPE(All_India_Index_Upto_April23__1[[#This Row],[Pulses and products]])</f>
        <v>1</v>
      </c>
      <c r="AT39">
        <f>TYPE(All_India_Index_Upto_April23__1[[#This Row],[Sugar and Confectionery]])</f>
        <v>1</v>
      </c>
      <c r="AU39">
        <f>TYPE(All_India_Index_Upto_April23__1[[#This Row],[Spices]])</f>
        <v>1</v>
      </c>
      <c r="AV39">
        <f>TYPE(All_India_Index_Upto_April23__1[[#This Row],[Non-alcoholic beverages]])</f>
        <v>1</v>
      </c>
      <c r="AW39">
        <f>TYPE(All_India_Index_Upto_April23__1[[#This Row],[Prepared meals, snacks, sweets etc.]])</f>
        <v>1</v>
      </c>
      <c r="AX39">
        <f>TYPE(All_India_Index_Upto_April23__1[[#This Row],[Food and beverages]])</f>
        <v>1</v>
      </c>
      <c r="AY39">
        <f>TYPE(All_India_Index_Upto_April23__1[[#This Row],[Pan, tobacco and intoxicants]])</f>
        <v>1</v>
      </c>
      <c r="AZ39">
        <f>TYPE(All_India_Index_Upto_April23__1[[#This Row],[Clothing]])</f>
        <v>1</v>
      </c>
      <c r="BA39">
        <f>TYPE(All_India_Index_Upto_April23__1[[#This Row],[Footwear]])</f>
        <v>1</v>
      </c>
      <c r="BB39">
        <f>TYPE(All_India_Index_Upto_April23__1[[#This Row],[Clothing and footwear]])</f>
        <v>1</v>
      </c>
      <c r="BC39">
        <f>TYPE(All_India_Index_Upto_April23__1[[#This Row],[Housing]])</f>
        <v>2</v>
      </c>
      <c r="BD39">
        <f>TYPE(All_India_Index_Upto_April23__1[[#This Row],[Fuel and light]])</f>
        <v>1</v>
      </c>
      <c r="BE39">
        <f>TYPE(All_India_Index_Upto_April23__1[[#This Row],[Household goods and services]])</f>
        <v>1</v>
      </c>
      <c r="BF39">
        <f>TYPE(All_India_Index_Upto_April23__1[[#This Row],[Health]])</f>
        <v>1</v>
      </c>
      <c r="BG39">
        <f>TYPE(All_India_Index_Upto_April23__1[[#This Row],[Transport and communication]])</f>
        <v>1</v>
      </c>
      <c r="BH39">
        <f>TYPE(All_India_Index_Upto_April23__1[[#This Row],[Recreation and amusement]])</f>
        <v>1</v>
      </c>
      <c r="BI39">
        <f>TYPE(All_India_Index_Upto_April23__1[[#This Row],[Education]])</f>
        <v>1</v>
      </c>
      <c r="BJ39">
        <f>TYPE(All_India_Index_Upto_April23__1[[#This Row],[Personal care and effects]])</f>
        <v>1</v>
      </c>
      <c r="BK39">
        <f>TYPE(All_India_Index_Upto_April23__1[[#This Row],[Miscellaneous]])</f>
        <v>1</v>
      </c>
      <c r="BL39">
        <f>TYPE(All_India_Index_Upto_April23__1[[#This Row],[General index]])</f>
        <v>1</v>
      </c>
    </row>
    <row r="40" spans="1:64" hidden="1" x14ac:dyDescent="0.3">
      <c r="A40" t="s">
        <v>32</v>
      </c>
      <c r="B40">
        <v>2014</v>
      </c>
      <c r="C40" t="s">
        <v>31</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t="s">
        <v>101</v>
      </c>
      <c r="V40">
        <v>111</v>
      </c>
      <c r="W40">
        <v>111.9</v>
      </c>
      <c r="X40">
        <v>109.7</v>
      </c>
      <c r="Y40">
        <v>110.8</v>
      </c>
      <c r="Z40">
        <v>109.8</v>
      </c>
      <c r="AA40">
        <v>111.5</v>
      </c>
      <c r="AB40">
        <v>108</v>
      </c>
      <c r="AC40">
        <v>110.5</v>
      </c>
      <c r="AD40">
        <v>112.9</v>
      </c>
      <c r="AE40">
        <f>SUM(All_India_Index_Upto_April23__1[[#This Row],[Cereals and products]:[Food and beverages]])</f>
        <v>1484.3</v>
      </c>
      <c r="AF40">
        <f>SUM(All_India_Index_Upto_April23__1[[#This Row],[Clothing]:[Clothing and footwear]])</f>
        <v>340.4</v>
      </c>
      <c r="AG40">
        <f t="shared" si="0"/>
        <v>333.7</v>
      </c>
      <c r="AI40">
        <f>TYPE(All_India_Index_Upto_April23__1[[#This Row],[Sector]])</f>
        <v>2</v>
      </c>
      <c r="AJ40">
        <f>TYPE(All_India_Index_Upto_April23__1[[#This Row],[Year]])</f>
        <v>1</v>
      </c>
      <c r="AK40">
        <f>TYPE(All_India_Index_Upto_April23__1[[#This Row],[Month]])</f>
        <v>2</v>
      </c>
      <c r="AL40">
        <f>TYPE(All_India_Index_Upto_April23__1[[#This Row],[Cereals and products]])</f>
        <v>1</v>
      </c>
      <c r="AM40">
        <f>TYPE(All_India_Index_Upto_April23__1[[#This Row],[Meat and fish]])</f>
        <v>1</v>
      </c>
      <c r="AN40">
        <f>TYPE(All_India_Index_Upto_April23__1[[#This Row],[Egg]])</f>
        <v>1</v>
      </c>
      <c r="AO40">
        <f>TYPE(All_India_Index_Upto_April23__1[[#This Row],[Milk and products]])</f>
        <v>1</v>
      </c>
      <c r="AP40">
        <f>TYPE(All_India_Index_Upto_April23__1[[#This Row],[Oils and fats]])</f>
        <v>1</v>
      </c>
      <c r="AQ40">
        <f>TYPE(All_India_Index_Upto_April23__1[[#This Row],[Fruits]])</f>
        <v>1</v>
      </c>
      <c r="AR40">
        <f>TYPE(All_India_Index_Upto_April23__1[[#This Row],[Vegetables]])</f>
        <v>1</v>
      </c>
      <c r="AS40">
        <f>TYPE(All_India_Index_Upto_April23__1[[#This Row],[Pulses and products]])</f>
        <v>1</v>
      </c>
      <c r="AT40">
        <f>TYPE(All_India_Index_Upto_April23__1[[#This Row],[Sugar and Confectionery]])</f>
        <v>1</v>
      </c>
      <c r="AU40">
        <f>TYPE(All_India_Index_Upto_April23__1[[#This Row],[Spices]])</f>
        <v>1</v>
      </c>
      <c r="AV40">
        <f>TYPE(All_India_Index_Upto_April23__1[[#This Row],[Non-alcoholic beverages]])</f>
        <v>1</v>
      </c>
      <c r="AW40">
        <f>TYPE(All_India_Index_Upto_April23__1[[#This Row],[Prepared meals, snacks, sweets etc.]])</f>
        <v>1</v>
      </c>
      <c r="AX40">
        <f>TYPE(All_India_Index_Upto_April23__1[[#This Row],[Food and beverages]])</f>
        <v>1</v>
      </c>
      <c r="AY40">
        <f>TYPE(All_India_Index_Upto_April23__1[[#This Row],[Pan, tobacco and intoxicants]])</f>
        <v>1</v>
      </c>
      <c r="AZ40">
        <f>TYPE(All_India_Index_Upto_April23__1[[#This Row],[Clothing]])</f>
        <v>1</v>
      </c>
      <c r="BA40">
        <f>TYPE(All_India_Index_Upto_April23__1[[#This Row],[Footwear]])</f>
        <v>1</v>
      </c>
      <c r="BB40">
        <f>TYPE(All_India_Index_Upto_April23__1[[#This Row],[Clothing and footwear]])</f>
        <v>1</v>
      </c>
      <c r="BC40">
        <f>TYPE(All_India_Index_Upto_April23__1[[#This Row],[Housing]])</f>
        <v>2</v>
      </c>
      <c r="BD40">
        <f>TYPE(All_India_Index_Upto_April23__1[[#This Row],[Fuel and light]])</f>
        <v>1</v>
      </c>
      <c r="BE40">
        <f>TYPE(All_India_Index_Upto_April23__1[[#This Row],[Household goods and services]])</f>
        <v>1</v>
      </c>
      <c r="BF40">
        <f>TYPE(All_India_Index_Upto_April23__1[[#This Row],[Health]])</f>
        <v>1</v>
      </c>
      <c r="BG40">
        <f>TYPE(All_India_Index_Upto_April23__1[[#This Row],[Transport and communication]])</f>
        <v>1</v>
      </c>
      <c r="BH40">
        <f>TYPE(All_India_Index_Upto_April23__1[[#This Row],[Recreation and amusement]])</f>
        <v>1</v>
      </c>
      <c r="BI40">
        <f>TYPE(All_India_Index_Upto_April23__1[[#This Row],[Education]])</f>
        <v>1</v>
      </c>
      <c r="BJ40">
        <f>TYPE(All_India_Index_Upto_April23__1[[#This Row],[Personal care and effects]])</f>
        <v>1</v>
      </c>
      <c r="BK40">
        <f>TYPE(All_India_Index_Upto_April23__1[[#This Row],[Miscellaneous]])</f>
        <v>1</v>
      </c>
      <c r="BL40">
        <f>TYPE(All_India_Index_Upto_April23__1[[#This Row],[General index]])</f>
        <v>1</v>
      </c>
    </row>
    <row r="41" spans="1:64" hidden="1" x14ac:dyDescent="0.3">
      <c r="A41" t="s">
        <v>33</v>
      </c>
      <c r="B41">
        <v>2014</v>
      </c>
      <c r="C41" t="s">
        <v>31</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t="s">
        <v>101</v>
      </c>
      <c r="V41">
        <v>112.2</v>
      </c>
      <c r="W41">
        <v>112.3</v>
      </c>
      <c r="X41">
        <v>110.3</v>
      </c>
      <c r="Y41">
        <v>110.7</v>
      </c>
      <c r="Z41">
        <v>109.7</v>
      </c>
      <c r="AA41">
        <v>111.6</v>
      </c>
      <c r="AB41">
        <v>108.2</v>
      </c>
      <c r="AC41">
        <v>110.6</v>
      </c>
      <c r="AD41">
        <v>113.6</v>
      </c>
      <c r="AE41">
        <f>SUM(All_India_Index_Upto_April23__1[[#This Row],[Cereals and products]:[Food and beverages]])</f>
        <v>1485.7999999999997</v>
      </c>
      <c r="AF41">
        <f>SUM(All_India_Index_Upto_April23__1[[#This Row],[Clothing]:[Clothing and footwear]])</f>
        <v>344.4</v>
      </c>
      <c r="AG41">
        <f t="shared" si="0"/>
        <v>335.2</v>
      </c>
      <c r="AI41">
        <f>TYPE(All_India_Index_Upto_April23__1[[#This Row],[Sector]])</f>
        <v>2</v>
      </c>
      <c r="AJ41">
        <f>TYPE(All_India_Index_Upto_April23__1[[#This Row],[Year]])</f>
        <v>1</v>
      </c>
      <c r="AK41">
        <f>TYPE(All_India_Index_Upto_April23__1[[#This Row],[Month]])</f>
        <v>2</v>
      </c>
      <c r="AL41">
        <f>TYPE(All_India_Index_Upto_April23__1[[#This Row],[Cereals and products]])</f>
        <v>1</v>
      </c>
      <c r="AM41">
        <f>TYPE(All_India_Index_Upto_April23__1[[#This Row],[Meat and fish]])</f>
        <v>1</v>
      </c>
      <c r="AN41">
        <f>TYPE(All_India_Index_Upto_April23__1[[#This Row],[Egg]])</f>
        <v>1</v>
      </c>
      <c r="AO41">
        <f>TYPE(All_India_Index_Upto_April23__1[[#This Row],[Milk and products]])</f>
        <v>1</v>
      </c>
      <c r="AP41">
        <f>TYPE(All_India_Index_Upto_April23__1[[#This Row],[Oils and fats]])</f>
        <v>1</v>
      </c>
      <c r="AQ41">
        <f>TYPE(All_India_Index_Upto_April23__1[[#This Row],[Fruits]])</f>
        <v>1</v>
      </c>
      <c r="AR41">
        <f>TYPE(All_India_Index_Upto_April23__1[[#This Row],[Vegetables]])</f>
        <v>1</v>
      </c>
      <c r="AS41">
        <f>TYPE(All_India_Index_Upto_April23__1[[#This Row],[Pulses and products]])</f>
        <v>1</v>
      </c>
      <c r="AT41">
        <f>TYPE(All_India_Index_Upto_April23__1[[#This Row],[Sugar and Confectionery]])</f>
        <v>1</v>
      </c>
      <c r="AU41">
        <f>TYPE(All_India_Index_Upto_April23__1[[#This Row],[Spices]])</f>
        <v>1</v>
      </c>
      <c r="AV41">
        <f>TYPE(All_India_Index_Upto_April23__1[[#This Row],[Non-alcoholic beverages]])</f>
        <v>1</v>
      </c>
      <c r="AW41">
        <f>TYPE(All_India_Index_Upto_April23__1[[#This Row],[Prepared meals, snacks, sweets etc.]])</f>
        <v>1</v>
      </c>
      <c r="AX41">
        <f>TYPE(All_India_Index_Upto_April23__1[[#This Row],[Food and beverages]])</f>
        <v>1</v>
      </c>
      <c r="AY41">
        <f>TYPE(All_India_Index_Upto_April23__1[[#This Row],[Pan, tobacco and intoxicants]])</f>
        <v>1</v>
      </c>
      <c r="AZ41">
        <f>TYPE(All_India_Index_Upto_April23__1[[#This Row],[Clothing]])</f>
        <v>1</v>
      </c>
      <c r="BA41">
        <f>TYPE(All_India_Index_Upto_April23__1[[#This Row],[Footwear]])</f>
        <v>1</v>
      </c>
      <c r="BB41">
        <f>TYPE(All_India_Index_Upto_April23__1[[#This Row],[Clothing and footwear]])</f>
        <v>1</v>
      </c>
      <c r="BC41">
        <f>TYPE(All_India_Index_Upto_April23__1[[#This Row],[Housing]])</f>
        <v>2</v>
      </c>
      <c r="BD41">
        <f>TYPE(All_India_Index_Upto_April23__1[[#This Row],[Fuel and light]])</f>
        <v>1</v>
      </c>
      <c r="BE41">
        <f>TYPE(All_India_Index_Upto_April23__1[[#This Row],[Household goods and services]])</f>
        <v>1</v>
      </c>
      <c r="BF41">
        <f>TYPE(All_India_Index_Upto_April23__1[[#This Row],[Health]])</f>
        <v>1</v>
      </c>
      <c r="BG41">
        <f>TYPE(All_India_Index_Upto_April23__1[[#This Row],[Transport and communication]])</f>
        <v>1</v>
      </c>
      <c r="BH41">
        <f>TYPE(All_India_Index_Upto_April23__1[[#This Row],[Recreation and amusement]])</f>
        <v>1</v>
      </c>
      <c r="BI41">
        <f>TYPE(All_India_Index_Upto_April23__1[[#This Row],[Education]])</f>
        <v>1</v>
      </c>
      <c r="BJ41">
        <f>TYPE(All_India_Index_Upto_April23__1[[#This Row],[Personal care and effects]])</f>
        <v>1</v>
      </c>
      <c r="BK41">
        <f>TYPE(All_India_Index_Upto_April23__1[[#This Row],[Miscellaneous]])</f>
        <v>1</v>
      </c>
      <c r="BL41">
        <f>TYPE(All_India_Index_Upto_April23__1[[#This Row],[General index]])</f>
        <v>1</v>
      </c>
    </row>
    <row r="42" spans="1:64" hidden="1" x14ac:dyDescent="0.3">
      <c r="A42" t="s">
        <v>30</v>
      </c>
      <c r="B42">
        <v>2014</v>
      </c>
      <c r="C42" t="s">
        <v>34</v>
      </c>
      <c r="D42">
        <v>119.4</v>
      </c>
      <c r="E42">
        <v>117.7</v>
      </c>
      <c r="F42">
        <v>121.2</v>
      </c>
      <c r="G42">
        <v>115</v>
      </c>
      <c r="H42">
        <v>109</v>
      </c>
      <c r="I42">
        <v>116.6</v>
      </c>
      <c r="J42">
        <v>116</v>
      </c>
      <c r="K42">
        <v>109.8</v>
      </c>
      <c r="L42">
        <v>101.1</v>
      </c>
      <c r="M42">
        <v>110.4</v>
      </c>
      <c r="N42">
        <v>112.9</v>
      </c>
      <c r="O42">
        <v>117.8</v>
      </c>
      <c r="P42">
        <v>115.3</v>
      </c>
      <c r="Q42">
        <v>114.2</v>
      </c>
      <c r="R42">
        <v>117.1</v>
      </c>
      <c r="S42">
        <v>114.5</v>
      </c>
      <c r="T42">
        <v>116.7</v>
      </c>
      <c r="U42" t="s">
        <v>89</v>
      </c>
      <c r="V42">
        <v>113.2</v>
      </c>
      <c r="W42">
        <v>112.9</v>
      </c>
      <c r="X42">
        <v>110.9</v>
      </c>
      <c r="Y42">
        <v>110.8</v>
      </c>
      <c r="Z42">
        <v>109.9</v>
      </c>
      <c r="AA42">
        <v>112</v>
      </c>
      <c r="AB42">
        <v>108.7</v>
      </c>
      <c r="AC42">
        <v>110.9</v>
      </c>
      <c r="AD42">
        <v>114</v>
      </c>
      <c r="AE42">
        <f>SUM(All_India_Index_Upto_April23__1[[#This Row],[Cereals and products]:[Food and beverages]])</f>
        <v>1482.2</v>
      </c>
      <c r="AF42">
        <f>SUM(All_India_Index_Upto_April23__1[[#This Row],[Clothing]:[Clothing and footwear]])</f>
        <v>348.3</v>
      </c>
      <c r="AG42">
        <f t="shared" si="0"/>
        <v>336.90000000000003</v>
      </c>
      <c r="AI42">
        <f>TYPE(All_India_Index_Upto_April23__1[[#This Row],[Sector]])</f>
        <v>2</v>
      </c>
      <c r="AJ42">
        <f>TYPE(All_India_Index_Upto_April23__1[[#This Row],[Year]])</f>
        <v>1</v>
      </c>
      <c r="AK42">
        <f>TYPE(All_India_Index_Upto_April23__1[[#This Row],[Month]])</f>
        <v>2</v>
      </c>
      <c r="AL42">
        <f>TYPE(All_India_Index_Upto_April23__1[[#This Row],[Cereals and products]])</f>
        <v>1</v>
      </c>
      <c r="AM42">
        <f>TYPE(All_India_Index_Upto_April23__1[[#This Row],[Meat and fish]])</f>
        <v>1</v>
      </c>
      <c r="AN42">
        <f>TYPE(All_India_Index_Upto_April23__1[[#This Row],[Egg]])</f>
        <v>1</v>
      </c>
      <c r="AO42">
        <f>TYPE(All_India_Index_Upto_April23__1[[#This Row],[Milk and products]])</f>
        <v>1</v>
      </c>
      <c r="AP42">
        <f>TYPE(All_India_Index_Upto_April23__1[[#This Row],[Oils and fats]])</f>
        <v>1</v>
      </c>
      <c r="AQ42">
        <f>TYPE(All_India_Index_Upto_April23__1[[#This Row],[Fruits]])</f>
        <v>1</v>
      </c>
      <c r="AR42">
        <f>TYPE(All_India_Index_Upto_April23__1[[#This Row],[Vegetables]])</f>
        <v>1</v>
      </c>
      <c r="AS42">
        <f>TYPE(All_India_Index_Upto_April23__1[[#This Row],[Pulses and products]])</f>
        <v>1</v>
      </c>
      <c r="AT42">
        <f>TYPE(All_India_Index_Upto_April23__1[[#This Row],[Sugar and Confectionery]])</f>
        <v>1</v>
      </c>
      <c r="AU42">
        <f>TYPE(All_India_Index_Upto_April23__1[[#This Row],[Spices]])</f>
        <v>1</v>
      </c>
      <c r="AV42">
        <f>TYPE(All_India_Index_Upto_April23__1[[#This Row],[Non-alcoholic beverages]])</f>
        <v>1</v>
      </c>
      <c r="AW42">
        <f>TYPE(All_India_Index_Upto_April23__1[[#This Row],[Prepared meals, snacks, sweets etc.]])</f>
        <v>1</v>
      </c>
      <c r="AX42">
        <f>TYPE(All_India_Index_Upto_April23__1[[#This Row],[Food and beverages]])</f>
        <v>1</v>
      </c>
      <c r="AY42">
        <f>TYPE(All_India_Index_Upto_April23__1[[#This Row],[Pan, tobacco and intoxicants]])</f>
        <v>1</v>
      </c>
      <c r="AZ42">
        <f>TYPE(All_India_Index_Upto_April23__1[[#This Row],[Clothing]])</f>
        <v>1</v>
      </c>
      <c r="BA42">
        <f>TYPE(All_India_Index_Upto_April23__1[[#This Row],[Footwear]])</f>
        <v>1</v>
      </c>
      <c r="BB42">
        <f>TYPE(All_India_Index_Upto_April23__1[[#This Row],[Clothing and footwear]])</f>
        <v>1</v>
      </c>
      <c r="BC42">
        <f>TYPE(All_India_Index_Upto_April23__1[[#This Row],[Housing]])</f>
        <v>2</v>
      </c>
      <c r="BD42">
        <f>TYPE(All_India_Index_Upto_April23__1[[#This Row],[Fuel and light]])</f>
        <v>1</v>
      </c>
      <c r="BE42">
        <f>TYPE(All_India_Index_Upto_April23__1[[#This Row],[Household goods and services]])</f>
        <v>1</v>
      </c>
      <c r="BF42">
        <f>TYPE(All_India_Index_Upto_April23__1[[#This Row],[Health]])</f>
        <v>1</v>
      </c>
      <c r="BG42">
        <f>TYPE(All_India_Index_Upto_April23__1[[#This Row],[Transport and communication]])</f>
        <v>1</v>
      </c>
      <c r="BH42">
        <f>TYPE(All_India_Index_Upto_April23__1[[#This Row],[Recreation and amusement]])</f>
        <v>1</v>
      </c>
      <c r="BI42">
        <f>TYPE(All_India_Index_Upto_April23__1[[#This Row],[Education]])</f>
        <v>1</v>
      </c>
      <c r="BJ42">
        <f>TYPE(All_India_Index_Upto_April23__1[[#This Row],[Personal care and effects]])</f>
        <v>1</v>
      </c>
      <c r="BK42">
        <f>TYPE(All_India_Index_Upto_April23__1[[#This Row],[Miscellaneous]])</f>
        <v>1</v>
      </c>
      <c r="BL42">
        <f>TYPE(All_India_Index_Upto_April23__1[[#This Row],[General index]])</f>
        <v>1</v>
      </c>
    </row>
    <row r="43" spans="1:64" hidden="1" x14ac:dyDescent="0.3">
      <c r="A43" t="s">
        <v>32</v>
      </c>
      <c r="B43">
        <v>2014</v>
      </c>
      <c r="C43" t="s">
        <v>34</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t="s">
        <v>102</v>
      </c>
      <c r="V43">
        <v>111.1</v>
      </c>
      <c r="W43">
        <v>112.6</v>
      </c>
      <c r="X43">
        <v>110.4</v>
      </c>
      <c r="Y43">
        <v>111.3</v>
      </c>
      <c r="Z43">
        <v>110.3</v>
      </c>
      <c r="AA43">
        <v>111.6</v>
      </c>
      <c r="AB43">
        <v>108.7</v>
      </c>
      <c r="AC43">
        <v>111</v>
      </c>
      <c r="AD43">
        <v>113.1</v>
      </c>
      <c r="AE43">
        <f>SUM(All_India_Index_Upto_April23__1[[#This Row],[Cereals and products]:[Food and beverages]])</f>
        <v>1476</v>
      </c>
      <c r="AF43">
        <f>SUM(All_India_Index_Upto_April23__1[[#This Row],[Clothing]:[Clothing and footwear]])</f>
        <v>341.7</v>
      </c>
      <c r="AG43">
        <f t="shared" si="0"/>
        <v>335</v>
      </c>
      <c r="AI43">
        <f>TYPE(All_India_Index_Upto_April23__1[[#This Row],[Sector]])</f>
        <v>2</v>
      </c>
      <c r="AJ43">
        <f>TYPE(All_India_Index_Upto_April23__1[[#This Row],[Year]])</f>
        <v>1</v>
      </c>
      <c r="AK43">
        <f>TYPE(All_India_Index_Upto_April23__1[[#This Row],[Month]])</f>
        <v>2</v>
      </c>
      <c r="AL43">
        <f>TYPE(All_India_Index_Upto_April23__1[[#This Row],[Cereals and products]])</f>
        <v>1</v>
      </c>
      <c r="AM43">
        <f>TYPE(All_India_Index_Upto_April23__1[[#This Row],[Meat and fish]])</f>
        <v>1</v>
      </c>
      <c r="AN43">
        <f>TYPE(All_India_Index_Upto_April23__1[[#This Row],[Egg]])</f>
        <v>1</v>
      </c>
      <c r="AO43">
        <f>TYPE(All_India_Index_Upto_April23__1[[#This Row],[Milk and products]])</f>
        <v>1</v>
      </c>
      <c r="AP43">
        <f>TYPE(All_India_Index_Upto_April23__1[[#This Row],[Oils and fats]])</f>
        <v>1</v>
      </c>
      <c r="AQ43">
        <f>TYPE(All_India_Index_Upto_April23__1[[#This Row],[Fruits]])</f>
        <v>1</v>
      </c>
      <c r="AR43">
        <f>TYPE(All_India_Index_Upto_April23__1[[#This Row],[Vegetables]])</f>
        <v>1</v>
      </c>
      <c r="AS43">
        <f>TYPE(All_India_Index_Upto_April23__1[[#This Row],[Pulses and products]])</f>
        <v>1</v>
      </c>
      <c r="AT43">
        <f>TYPE(All_India_Index_Upto_April23__1[[#This Row],[Sugar and Confectionery]])</f>
        <v>1</v>
      </c>
      <c r="AU43">
        <f>TYPE(All_India_Index_Upto_April23__1[[#This Row],[Spices]])</f>
        <v>1</v>
      </c>
      <c r="AV43">
        <f>TYPE(All_India_Index_Upto_April23__1[[#This Row],[Non-alcoholic beverages]])</f>
        <v>1</v>
      </c>
      <c r="AW43">
        <f>TYPE(All_India_Index_Upto_April23__1[[#This Row],[Prepared meals, snacks, sweets etc.]])</f>
        <v>1</v>
      </c>
      <c r="AX43">
        <f>TYPE(All_India_Index_Upto_April23__1[[#This Row],[Food and beverages]])</f>
        <v>1</v>
      </c>
      <c r="AY43">
        <f>TYPE(All_India_Index_Upto_April23__1[[#This Row],[Pan, tobacco and intoxicants]])</f>
        <v>1</v>
      </c>
      <c r="AZ43">
        <f>TYPE(All_India_Index_Upto_April23__1[[#This Row],[Clothing]])</f>
        <v>1</v>
      </c>
      <c r="BA43">
        <f>TYPE(All_India_Index_Upto_April23__1[[#This Row],[Footwear]])</f>
        <v>1</v>
      </c>
      <c r="BB43">
        <f>TYPE(All_India_Index_Upto_April23__1[[#This Row],[Clothing and footwear]])</f>
        <v>1</v>
      </c>
      <c r="BC43">
        <f>TYPE(All_India_Index_Upto_April23__1[[#This Row],[Housing]])</f>
        <v>2</v>
      </c>
      <c r="BD43">
        <f>TYPE(All_India_Index_Upto_April23__1[[#This Row],[Fuel and light]])</f>
        <v>1</v>
      </c>
      <c r="BE43">
        <f>TYPE(All_India_Index_Upto_April23__1[[#This Row],[Household goods and services]])</f>
        <v>1</v>
      </c>
      <c r="BF43">
        <f>TYPE(All_India_Index_Upto_April23__1[[#This Row],[Health]])</f>
        <v>1</v>
      </c>
      <c r="BG43">
        <f>TYPE(All_India_Index_Upto_April23__1[[#This Row],[Transport and communication]])</f>
        <v>1</v>
      </c>
      <c r="BH43">
        <f>TYPE(All_India_Index_Upto_April23__1[[#This Row],[Recreation and amusement]])</f>
        <v>1</v>
      </c>
      <c r="BI43">
        <f>TYPE(All_India_Index_Upto_April23__1[[#This Row],[Education]])</f>
        <v>1</v>
      </c>
      <c r="BJ43">
        <f>TYPE(All_India_Index_Upto_April23__1[[#This Row],[Personal care and effects]])</f>
        <v>1</v>
      </c>
      <c r="BK43">
        <f>TYPE(All_India_Index_Upto_April23__1[[#This Row],[Miscellaneous]])</f>
        <v>1</v>
      </c>
      <c r="BL43">
        <f>TYPE(All_India_Index_Upto_April23__1[[#This Row],[General index]])</f>
        <v>1</v>
      </c>
    </row>
    <row r="44" spans="1:64" hidden="1" x14ac:dyDescent="0.3">
      <c r="A44" t="s">
        <v>33</v>
      </c>
      <c r="B44">
        <v>2014</v>
      </c>
      <c r="C44" t="s">
        <v>34</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t="s">
        <v>102</v>
      </c>
      <c r="V44">
        <v>112.4</v>
      </c>
      <c r="W44">
        <v>112.8</v>
      </c>
      <c r="X44">
        <v>110.7</v>
      </c>
      <c r="Y44">
        <v>111.1</v>
      </c>
      <c r="Z44">
        <v>110.1</v>
      </c>
      <c r="AA44">
        <v>111.8</v>
      </c>
      <c r="AB44">
        <v>108.7</v>
      </c>
      <c r="AC44">
        <v>110.9</v>
      </c>
      <c r="AD44">
        <v>113.6</v>
      </c>
      <c r="AE44">
        <f>SUM(All_India_Index_Upto_April23__1[[#This Row],[Cereals and products]:[Food and beverages]])</f>
        <v>1480.1</v>
      </c>
      <c r="AF44">
        <f>SUM(All_India_Index_Upto_April23__1[[#This Row],[Clothing]:[Clothing and footwear]])</f>
        <v>345.6</v>
      </c>
      <c r="AG44">
        <f t="shared" si="0"/>
        <v>336.29999999999995</v>
      </c>
      <c r="AI44">
        <f>TYPE(All_India_Index_Upto_April23__1[[#This Row],[Sector]])</f>
        <v>2</v>
      </c>
      <c r="AJ44">
        <f>TYPE(All_India_Index_Upto_April23__1[[#This Row],[Year]])</f>
        <v>1</v>
      </c>
      <c r="AK44">
        <f>TYPE(All_India_Index_Upto_April23__1[[#This Row],[Month]])</f>
        <v>2</v>
      </c>
      <c r="AL44">
        <f>TYPE(All_India_Index_Upto_April23__1[[#This Row],[Cereals and products]])</f>
        <v>1</v>
      </c>
      <c r="AM44">
        <f>TYPE(All_India_Index_Upto_April23__1[[#This Row],[Meat and fish]])</f>
        <v>1</v>
      </c>
      <c r="AN44">
        <f>TYPE(All_India_Index_Upto_April23__1[[#This Row],[Egg]])</f>
        <v>1</v>
      </c>
      <c r="AO44">
        <f>TYPE(All_India_Index_Upto_April23__1[[#This Row],[Milk and products]])</f>
        <v>1</v>
      </c>
      <c r="AP44">
        <f>TYPE(All_India_Index_Upto_April23__1[[#This Row],[Oils and fats]])</f>
        <v>1</v>
      </c>
      <c r="AQ44">
        <f>TYPE(All_India_Index_Upto_April23__1[[#This Row],[Fruits]])</f>
        <v>1</v>
      </c>
      <c r="AR44">
        <f>TYPE(All_India_Index_Upto_April23__1[[#This Row],[Vegetables]])</f>
        <v>1</v>
      </c>
      <c r="AS44">
        <f>TYPE(All_India_Index_Upto_April23__1[[#This Row],[Pulses and products]])</f>
        <v>1</v>
      </c>
      <c r="AT44">
        <f>TYPE(All_India_Index_Upto_April23__1[[#This Row],[Sugar and Confectionery]])</f>
        <v>1</v>
      </c>
      <c r="AU44">
        <f>TYPE(All_India_Index_Upto_April23__1[[#This Row],[Spices]])</f>
        <v>1</v>
      </c>
      <c r="AV44">
        <f>TYPE(All_India_Index_Upto_April23__1[[#This Row],[Non-alcoholic beverages]])</f>
        <v>1</v>
      </c>
      <c r="AW44">
        <f>TYPE(All_India_Index_Upto_April23__1[[#This Row],[Prepared meals, snacks, sweets etc.]])</f>
        <v>1</v>
      </c>
      <c r="AX44">
        <f>TYPE(All_India_Index_Upto_April23__1[[#This Row],[Food and beverages]])</f>
        <v>1</v>
      </c>
      <c r="AY44">
        <f>TYPE(All_India_Index_Upto_April23__1[[#This Row],[Pan, tobacco and intoxicants]])</f>
        <v>1</v>
      </c>
      <c r="AZ44">
        <f>TYPE(All_India_Index_Upto_April23__1[[#This Row],[Clothing]])</f>
        <v>1</v>
      </c>
      <c r="BA44">
        <f>TYPE(All_India_Index_Upto_April23__1[[#This Row],[Footwear]])</f>
        <v>1</v>
      </c>
      <c r="BB44">
        <f>TYPE(All_India_Index_Upto_April23__1[[#This Row],[Clothing and footwear]])</f>
        <v>1</v>
      </c>
      <c r="BC44">
        <f>TYPE(All_India_Index_Upto_April23__1[[#This Row],[Housing]])</f>
        <v>2</v>
      </c>
      <c r="BD44">
        <f>TYPE(All_India_Index_Upto_April23__1[[#This Row],[Fuel and light]])</f>
        <v>1</v>
      </c>
      <c r="BE44">
        <f>TYPE(All_India_Index_Upto_April23__1[[#This Row],[Household goods and services]])</f>
        <v>1</v>
      </c>
      <c r="BF44">
        <f>TYPE(All_India_Index_Upto_April23__1[[#This Row],[Health]])</f>
        <v>1</v>
      </c>
      <c r="BG44">
        <f>TYPE(All_India_Index_Upto_April23__1[[#This Row],[Transport and communication]])</f>
        <v>1</v>
      </c>
      <c r="BH44">
        <f>TYPE(All_India_Index_Upto_April23__1[[#This Row],[Recreation and amusement]])</f>
        <v>1</v>
      </c>
      <c r="BI44">
        <f>TYPE(All_India_Index_Upto_April23__1[[#This Row],[Education]])</f>
        <v>1</v>
      </c>
      <c r="BJ44">
        <f>TYPE(All_India_Index_Upto_April23__1[[#This Row],[Personal care and effects]])</f>
        <v>1</v>
      </c>
      <c r="BK44">
        <f>TYPE(All_India_Index_Upto_April23__1[[#This Row],[Miscellaneous]])</f>
        <v>1</v>
      </c>
      <c r="BL44">
        <f>TYPE(All_India_Index_Upto_April23__1[[#This Row],[General index]])</f>
        <v>1</v>
      </c>
    </row>
    <row r="45" spans="1:64" hidden="1" x14ac:dyDescent="0.3">
      <c r="A45" t="s">
        <v>30</v>
      </c>
      <c r="B45">
        <v>2014</v>
      </c>
      <c r="C45" t="s">
        <v>35</v>
      </c>
      <c r="D45">
        <v>120.1</v>
      </c>
      <c r="E45">
        <v>118.1</v>
      </c>
      <c r="F45">
        <v>120.7</v>
      </c>
      <c r="G45">
        <v>116.1</v>
      </c>
      <c r="H45">
        <v>109.3</v>
      </c>
      <c r="I45">
        <v>119.6</v>
      </c>
      <c r="J45">
        <v>117.9</v>
      </c>
      <c r="K45">
        <v>110.2</v>
      </c>
      <c r="L45">
        <v>101.2</v>
      </c>
      <c r="M45">
        <v>110.7</v>
      </c>
      <c r="N45">
        <v>113</v>
      </c>
      <c r="O45">
        <v>118.3</v>
      </c>
      <c r="P45">
        <v>116.2</v>
      </c>
      <c r="Q45">
        <v>114.6</v>
      </c>
      <c r="R45">
        <v>117.5</v>
      </c>
      <c r="S45">
        <v>114.9</v>
      </c>
      <c r="T45">
        <v>117.2</v>
      </c>
      <c r="U45" t="s">
        <v>89</v>
      </c>
      <c r="V45">
        <v>113.4</v>
      </c>
      <c r="W45">
        <v>113.4</v>
      </c>
      <c r="X45">
        <v>111.4</v>
      </c>
      <c r="Y45">
        <v>111.2</v>
      </c>
      <c r="Z45">
        <v>110.2</v>
      </c>
      <c r="AA45">
        <v>112.4</v>
      </c>
      <c r="AB45">
        <v>108.9</v>
      </c>
      <c r="AC45">
        <v>111.3</v>
      </c>
      <c r="AD45">
        <v>114.6</v>
      </c>
      <c r="AE45">
        <f>SUM(All_India_Index_Upto_April23__1[[#This Row],[Cereals and products]:[Food and beverages]])</f>
        <v>1491.4</v>
      </c>
      <c r="AF45">
        <f>SUM(All_India_Index_Upto_April23__1[[#This Row],[Clothing]:[Clothing and footwear]])</f>
        <v>349.6</v>
      </c>
      <c r="AG45">
        <f t="shared" si="0"/>
        <v>338</v>
      </c>
      <c r="AI45">
        <f>TYPE(All_India_Index_Upto_April23__1[[#This Row],[Sector]])</f>
        <v>2</v>
      </c>
      <c r="AJ45">
        <f>TYPE(All_India_Index_Upto_April23__1[[#This Row],[Year]])</f>
        <v>1</v>
      </c>
      <c r="AK45">
        <f>TYPE(All_India_Index_Upto_April23__1[[#This Row],[Month]])</f>
        <v>2</v>
      </c>
      <c r="AL45">
        <f>TYPE(All_India_Index_Upto_April23__1[[#This Row],[Cereals and products]])</f>
        <v>1</v>
      </c>
      <c r="AM45">
        <f>TYPE(All_India_Index_Upto_April23__1[[#This Row],[Meat and fish]])</f>
        <v>1</v>
      </c>
      <c r="AN45">
        <f>TYPE(All_India_Index_Upto_April23__1[[#This Row],[Egg]])</f>
        <v>1</v>
      </c>
      <c r="AO45">
        <f>TYPE(All_India_Index_Upto_April23__1[[#This Row],[Milk and products]])</f>
        <v>1</v>
      </c>
      <c r="AP45">
        <f>TYPE(All_India_Index_Upto_April23__1[[#This Row],[Oils and fats]])</f>
        <v>1</v>
      </c>
      <c r="AQ45">
        <f>TYPE(All_India_Index_Upto_April23__1[[#This Row],[Fruits]])</f>
        <v>1</v>
      </c>
      <c r="AR45">
        <f>TYPE(All_India_Index_Upto_April23__1[[#This Row],[Vegetables]])</f>
        <v>1</v>
      </c>
      <c r="AS45">
        <f>TYPE(All_India_Index_Upto_April23__1[[#This Row],[Pulses and products]])</f>
        <v>1</v>
      </c>
      <c r="AT45">
        <f>TYPE(All_India_Index_Upto_April23__1[[#This Row],[Sugar and Confectionery]])</f>
        <v>1</v>
      </c>
      <c r="AU45">
        <f>TYPE(All_India_Index_Upto_April23__1[[#This Row],[Spices]])</f>
        <v>1</v>
      </c>
      <c r="AV45">
        <f>TYPE(All_India_Index_Upto_April23__1[[#This Row],[Non-alcoholic beverages]])</f>
        <v>1</v>
      </c>
      <c r="AW45">
        <f>TYPE(All_India_Index_Upto_April23__1[[#This Row],[Prepared meals, snacks, sweets etc.]])</f>
        <v>1</v>
      </c>
      <c r="AX45">
        <f>TYPE(All_India_Index_Upto_April23__1[[#This Row],[Food and beverages]])</f>
        <v>1</v>
      </c>
      <c r="AY45">
        <f>TYPE(All_India_Index_Upto_April23__1[[#This Row],[Pan, tobacco and intoxicants]])</f>
        <v>1</v>
      </c>
      <c r="AZ45">
        <f>TYPE(All_India_Index_Upto_April23__1[[#This Row],[Clothing]])</f>
        <v>1</v>
      </c>
      <c r="BA45">
        <f>TYPE(All_India_Index_Upto_April23__1[[#This Row],[Footwear]])</f>
        <v>1</v>
      </c>
      <c r="BB45">
        <f>TYPE(All_India_Index_Upto_April23__1[[#This Row],[Clothing and footwear]])</f>
        <v>1</v>
      </c>
      <c r="BC45">
        <f>TYPE(All_India_Index_Upto_April23__1[[#This Row],[Housing]])</f>
        <v>2</v>
      </c>
      <c r="BD45">
        <f>TYPE(All_India_Index_Upto_April23__1[[#This Row],[Fuel and light]])</f>
        <v>1</v>
      </c>
      <c r="BE45">
        <f>TYPE(All_India_Index_Upto_April23__1[[#This Row],[Household goods and services]])</f>
        <v>1</v>
      </c>
      <c r="BF45">
        <f>TYPE(All_India_Index_Upto_April23__1[[#This Row],[Health]])</f>
        <v>1</v>
      </c>
      <c r="BG45">
        <f>TYPE(All_India_Index_Upto_April23__1[[#This Row],[Transport and communication]])</f>
        <v>1</v>
      </c>
      <c r="BH45">
        <f>TYPE(All_India_Index_Upto_April23__1[[#This Row],[Recreation and amusement]])</f>
        <v>1</v>
      </c>
      <c r="BI45">
        <f>TYPE(All_India_Index_Upto_April23__1[[#This Row],[Education]])</f>
        <v>1</v>
      </c>
      <c r="BJ45">
        <f>TYPE(All_India_Index_Upto_April23__1[[#This Row],[Personal care and effects]])</f>
        <v>1</v>
      </c>
      <c r="BK45">
        <f>TYPE(All_India_Index_Upto_April23__1[[#This Row],[Miscellaneous]])</f>
        <v>1</v>
      </c>
      <c r="BL45">
        <f>TYPE(All_India_Index_Upto_April23__1[[#This Row],[General index]])</f>
        <v>1</v>
      </c>
    </row>
    <row r="46" spans="1:64" hidden="1" x14ac:dyDescent="0.3">
      <c r="A46" t="s">
        <v>32</v>
      </c>
      <c r="B46">
        <v>2014</v>
      </c>
      <c r="C46" t="s">
        <v>35</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t="s">
        <v>103</v>
      </c>
      <c r="V46">
        <v>110.9</v>
      </c>
      <c r="W46">
        <v>113</v>
      </c>
      <c r="X46">
        <v>110.8</v>
      </c>
      <c r="Y46">
        <v>111.6</v>
      </c>
      <c r="Z46">
        <v>110.9</v>
      </c>
      <c r="AA46">
        <v>111.8</v>
      </c>
      <c r="AB46">
        <v>109.2</v>
      </c>
      <c r="AC46">
        <v>111.4</v>
      </c>
      <c r="AD46">
        <v>113.7</v>
      </c>
      <c r="AE46">
        <f>SUM(All_India_Index_Upto_April23__1[[#This Row],[Cereals and products]:[Food and beverages]])</f>
        <v>1483</v>
      </c>
      <c r="AF46">
        <f>SUM(All_India_Index_Upto_April23__1[[#This Row],[Clothing]:[Clothing and footwear]])</f>
        <v>343.09999999999997</v>
      </c>
      <c r="AG46">
        <f t="shared" si="0"/>
        <v>335.5</v>
      </c>
      <c r="AI46">
        <f>TYPE(All_India_Index_Upto_April23__1[[#This Row],[Sector]])</f>
        <v>2</v>
      </c>
      <c r="AJ46">
        <f>TYPE(All_India_Index_Upto_April23__1[[#This Row],[Year]])</f>
        <v>1</v>
      </c>
      <c r="AK46">
        <f>TYPE(All_India_Index_Upto_April23__1[[#This Row],[Month]])</f>
        <v>2</v>
      </c>
      <c r="AL46">
        <f>TYPE(All_India_Index_Upto_April23__1[[#This Row],[Cereals and products]])</f>
        <v>1</v>
      </c>
      <c r="AM46">
        <f>TYPE(All_India_Index_Upto_April23__1[[#This Row],[Meat and fish]])</f>
        <v>1</v>
      </c>
      <c r="AN46">
        <f>TYPE(All_India_Index_Upto_April23__1[[#This Row],[Egg]])</f>
        <v>1</v>
      </c>
      <c r="AO46">
        <f>TYPE(All_India_Index_Upto_April23__1[[#This Row],[Milk and products]])</f>
        <v>1</v>
      </c>
      <c r="AP46">
        <f>TYPE(All_India_Index_Upto_April23__1[[#This Row],[Oils and fats]])</f>
        <v>1</v>
      </c>
      <c r="AQ46">
        <f>TYPE(All_India_Index_Upto_April23__1[[#This Row],[Fruits]])</f>
        <v>1</v>
      </c>
      <c r="AR46">
        <f>TYPE(All_India_Index_Upto_April23__1[[#This Row],[Vegetables]])</f>
        <v>1</v>
      </c>
      <c r="AS46">
        <f>TYPE(All_India_Index_Upto_April23__1[[#This Row],[Pulses and products]])</f>
        <v>1</v>
      </c>
      <c r="AT46">
        <f>TYPE(All_India_Index_Upto_April23__1[[#This Row],[Sugar and Confectionery]])</f>
        <v>1</v>
      </c>
      <c r="AU46">
        <f>TYPE(All_India_Index_Upto_April23__1[[#This Row],[Spices]])</f>
        <v>1</v>
      </c>
      <c r="AV46">
        <f>TYPE(All_India_Index_Upto_April23__1[[#This Row],[Non-alcoholic beverages]])</f>
        <v>1</v>
      </c>
      <c r="AW46">
        <f>TYPE(All_India_Index_Upto_April23__1[[#This Row],[Prepared meals, snacks, sweets etc.]])</f>
        <v>1</v>
      </c>
      <c r="AX46">
        <f>TYPE(All_India_Index_Upto_April23__1[[#This Row],[Food and beverages]])</f>
        <v>1</v>
      </c>
      <c r="AY46">
        <f>TYPE(All_India_Index_Upto_April23__1[[#This Row],[Pan, tobacco and intoxicants]])</f>
        <v>1</v>
      </c>
      <c r="AZ46">
        <f>TYPE(All_India_Index_Upto_April23__1[[#This Row],[Clothing]])</f>
        <v>1</v>
      </c>
      <c r="BA46">
        <f>TYPE(All_India_Index_Upto_April23__1[[#This Row],[Footwear]])</f>
        <v>1</v>
      </c>
      <c r="BB46">
        <f>TYPE(All_India_Index_Upto_April23__1[[#This Row],[Clothing and footwear]])</f>
        <v>1</v>
      </c>
      <c r="BC46">
        <f>TYPE(All_India_Index_Upto_April23__1[[#This Row],[Housing]])</f>
        <v>2</v>
      </c>
      <c r="BD46">
        <f>TYPE(All_India_Index_Upto_April23__1[[#This Row],[Fuel and light]])</f>
        <v>1</v>
      </c>
      <c r="BE46">
        <f>TYPE(All_India_Index_Upto_April23__1[[#This Row],[Household goods and services]])</f>
        <v>1</v>
      </c>
      <c r="BF46">
        <f>TYPE(All_India_Index_Upto_April23__1[[#This Row],[Health]])</f>
        <v>1</v>
      </c>
      <c r="BG46">
        <f>TYPE(All_India_Index_Upto_April23__1[[#This Row],[Transport and communication]])</f>
        <v>1</v>
      </c>
      <c r="BH46">
        <f>TYPE(All_India_Index_Upto_April23__1[[#This Row],[Recreation and amusement]])</f>
        <v>1</v>
      </c>
      <c r="BI46">
        <f>TYPE(All_India_Index_Upto_April23__1[[#This Row],[Education]])</f>
        <v>1</v>
      </c>
      <c r="BJ46">
        <f>TYPE(All_India_Index_Upto_April23__1[[#This Row],[Personal care and effects]])</f>
        <v>1</v>
      </c>
      <c r="BK46">
        <f>TYPE(All_India_Index_Upto_April23__1[[#This Row],[Miscellaneous]])</f>
        <v>1</v>
      </c>
      <c r="BL46">
        <f>TYPE(All_India_Index_Upto_April23__1[[#This Row],[General index]])</f>
        <v>1</v>
      </c>
    </row>
    <row r="47" spans="1:64" hidden="1" x14ac:dyDescent="0.3">
      <c r="A47" t="s">
        <v>33</v>
      </c>
      <c r="B47">
        <v>2014</v>
      </c>
      <c r="C47" t="s">
        <v>104</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t="s">
        <v>103</v>
      </c>
      <c r="V47">
        <v>112.5</v>
      </c>
      <c r="W47">
        <v>113.2</v>
      </c>
      <c r="X47">
        <v>111.2</v>
      </c>
      <c r="Y47">
        <v>111.4</v>
      </c>
      <c r="Z47">
        <v>110.6</v>
      </c>
      <c r="AA47">
        <v>112</v>
      </c>
      <c r="AB47">
        <v>109</v>
      </c>
      <c r="AC47">
        <v>111.3</v>
      </c>
      <c r="AD47">
        <v>114.2</v>
      </c>
      <c r="AE47">
        <f>SUM(All_India_Index_Upto_April23__1[[#This Row],[Cereals and products]:[Food and beverages]])</f>
        <v>1488.2999999999997</v>
      </c>
      <c r="AF47">
        <f>SUM(All_India_Index_Upto_April23__1[[#This Row],[Clothing]:[Clothing and footwear]])</f>
        <v>346.9</v>
      </c>
      <c r="AG47">
        <f t="shared" si="0"/>
        <v>337.1</v>
      </c>
      <c r="AI47">
        <f>TYPE(All_India_Index_Upto_April23__1[[#This Row],[Sector]])</f>
        <v>2</v>
      </c>
      <c r="AJ47">
        <f>TYPE(All_India_Index_Upto_April23__1[[#This Row],[Year]])</f>
        <v>1</v>
      </c>
      <c r="AK47">
        <f>TYPE(All_India_Index_Upto_April23__1[[#This Row],[Month]])</f>
        <v>2</v>
      </c>
      <c r="AL47">
        <f>TYPE(All_India_Index_Upto_April23__1[[#This Row],[Cereals and products]])</f>
        <v>1</v>
      </c>
      <c r="AM47">
        <f>TYPE(All_India_Index_Upto_April23__1[[#This Row],[Meat and fish]])</f>
        <v>1</v>
      </c>
      <c r="AN47">
        <f>TYPE(All_India_Index_Upto_April23__1[[#This Row],[Egg]])</f>
        <v>1</v>
      </c>
      <c r="AO47">
        <f>TYPE(All_India_Index_Upto_April23__1[[#This Row],[Milk and products]])</f>
        <v>1</v>
      </c>
      <c r="AP47">
        <f>TYPE(All_India_Index_Upto_April23__1[[#This Row],[Oils and fats]])</f>
        <v>1</v>
      </c>
      <c r="AQ47">
        <f>TYPE(All_India_Index_Upto_April23__1[[#This Row],[Fruits]])</f>
        <v>1</v>
      </c>
      <c r="AR47">
        <f>TYPE(All_India_Index_Upto_April23__1[[#This Row],[Vegetables]])</f>
        <v>1</v>
      </c>
      <c r="AS47">
        <f>TYPE(All_India_Index_Upto_April23__1[[#This Row],[Pulses and products]])</f>
        <v>1</v>
      </c>
      <c r="AT47">
        <f>TYPE(All_India_Index_Upto_April23__1[[#This Row],[Sugar and Confectionery]])</f>
        <v>1</v>
      </c>
      <c r="AU47">
        <f>TYPE(All_India_Index_Upto_April23__1[[#This Row],[Spices]])</f>
        <v>1</v>
      </c>
      <c r="AV47">
        <f>TYPE(All_India_Index_Upto_April23__1[[#This Row],[Non-alcoholic beverages]])</f>
        <v>1</v>
      </c>
      <c r="AW47">
        <f>TYPE(All_India_Index_Upto_April23__1[[#This Row],[Prepared meals, snacks, sweets etc.]])</f>
        <v>1</v>
      </c>
      <c r="AX47">
        <f>TYPE(All_India_Index_Upto_April23__1[[#This Row],[Food and beverages]])</f>
        <v>1</v>
      </c>
      <c r="AY47">
        <f>TYPE(All_India_Index_Upto_April23__1[[#This Row],[Pan, tobacco and intoxicants]])</f>
        <v>1</v>
      </c>
      <c r="AZ47">
        <f>TYPE(All_India_Index_Upto_April23__1[[#This Row],[Clothing]])</f>
        <v>1</v>
      </c>
      <c r="BA47">
        <f>TYPE(All_India_Index_Upto_April23__1[[#This Row],[Footwear]])</f>
        <v>1</v>
      </c>
      <c r="BB47">
        <f>TYPE(All_India_Index_Upto_April23__1[[#This Row],[Clothing and footwear]])</f>
        <v>1</v>
      </c>
      <c r="BC47">
        <f>TYPE(All_India_Index_Upto_April23__1[[#This Row],[Housing]])</f>
        <v>2</v>
      </c>
      <c r="BD47">
        <f>TYPE(All_India_Index_Upto_April23__1[[#This Row],[Fuel and light]])</f>
        <v>1</v>
      </c>
      <c r="BE47">
        <f>TYPE(All_India_Index_Upto_April23__1[[#This Row],[Household goods and services]])</f>
        <v>1</v>
      </c>
      <c r="BF47">
        <f>TYPE(All_India_Index_Upto_April23__1[[#This Row],[Health]])</f>
        <v>1</v>
      </c>
      <c r="BG47">
        <f>TYPE(All_India_Index_Upto_April23__1[[#This Row],[Transport and communication]])</f>
        <v>1</v>
      </c>
      <c r="BH47">
        <f>TYPE(All_India_Index_Upto_April23__1[[#This Row],[Recreation and amusement]])</f>
        <v>1</v>
      </c>
      <c r="BI47">
        <f>TYPE(All_India_Index_Upto_April23__1[[#This Row],[Education]])</f>
        <v>1</v>
      </c>
      <c r="BJ47">
        <f>TYPE(All_India_Index_Upto_April23__1[[#This Row],[Personal care and effects]])</f>
        <v>1</v>
      </c>
      <c r="BK47">
        <f>TYPE(All_India_Index_Upto_April23__1[[#This Row],[Miscellaneous]])</f>
        <v>1</v>
      </c>
      <c r="BL47">
        <f>TYPE(All_India_Index_Upto_April23__1[[#This Row],[General index]])</f>
        <v>1</v>
      </c>
    </row>
    <row r="48" spans="1:64" hidden="1" x14ac:dyDescent="0.3">
      <c r="A48" t="s">
        <v>30</v>
      </c>
      <c r="B48">
        <v>2014</v>
      </c>
      <c r="C48" t="s">
        <v>36</v>
      </c>
      <c r="D48">
        <v>120.2</v>
      </c>
      <c r="E48">
        <v>118.9</v>
      </c>
      <c r="F48">
        <v>118.1</v>
      </c>
      <c r="G48">
        <v>117</v>
      </c>
      <c r="H48">
        <v>109.7</v>
      </c>
      <c r="I48">
        <v>125.5</v>
      </c>
      <c r="J48">
        <v>120.5</v>
      </c>
      <c r="K48">
        <v>111</v>
      </c>
      <c r="L48">
        <v>102.6</v>
      </c>
      <c r="M48">
        <v>111.2</v>
      </c>
      <c r="N48">
        <v>113.5</v>
      </c>
      <c r="O48">
        <v>118.7</v>
      </c>
      <c r="P48">
        <v>117.2</v>
      </c>
      <c r="Q48">
        <v>115.4</v>
      </c>
      <c r="R48">
        <v>118.1</v>
      </c>
      <c r="S48">
        <v>116.1</v>
      </c>
      <c r="T48">
        <v>117.8</v>
      </c>
      <c r="U48" t="s">
        <v>89</v>
      </c>
      <c r="V48">
        <v>113.4</v>
      </c>
      <c r="W48">
        <v>113.7</v>
      </c>
      <c r="X48">
        <v>111.8</v>
      </c>
      <c r="Y48">
        <v>111.2</v>
      </c>
      <c r="Z48">
        <v>110.5</v>
      </c>
      <c r="AA48">
        <v>113</v>
      </c>
      <c r="AB48">
        <v>108.9</v>
      </c>
      <c r="AC48">
        <v>111.5</v>
      </c>
      <c r="AD48">
        <v>115.4</v>
      </c>
      <c r="AE48">
        <f>SUM(All_India_Index_Upto_April23__1[[#This Row],[Cereals and products]:[Food and beverages]])</f>
        <v>1504.1000000000001</v>
      </c>
      <c r="AF48">
        <f>SUM(All_India_Index_Upto_April23__1[[#This Row],[Clothing]:[Clothing and footwear]])</f>
        <v>352</v>
      </c>
      <c r="AG48">
        <f t="shared" si="0"/>
        <v>338.3</v>
      </c>
      <c r="AI48">
        <f>TYPE(All_India_Index_Upto_April23__1[[#This Row],[Sector]])</f>
        <v>2</v>
      </c>
      <c r="AJ48">
        <f>TYPE(All_India_Index_Upto_April23__1[[#This Row],[Year]])</f>
        <v>1</v>
      </c>
      <c r="AK48">
        <f>TYPE(All_India_Index_Upto_April23__1[[#This Row],[Month]])</f>
        <v>2</v>
      </c>
      <c r="AL48">
        <f>TYPE(All_India_Index_Upto_April23__1[[#This Row],[Cereals and products]])</f>
        <v>1</v>
      </c>
      <c r="AM48">
        <f>TYPE(All_India_Index_Upto_April23__1[[#This Row],[Meat and fish]])</f>
        <v>1</v>
      </c>
      <c r="AN48">
        <f>TYPE(All_India_Index_Upto_April23__1[[#This Row],[Egg]])</f>
        <v>1</v>
      </c>
      <c r="AO48">
        <f>TYPE(All_India_Index_Upto_April23__1[[#This Row],[Milk and products]])</f>
        <v>1</v>
      </c>
      <c r="AP48">
        <f>TYPE(All_India_Index_Upto_April23__1[[#This Row],[Oils and fats]])</f>
        <v>1</v>
      </c>
      <c r="AQ48">
        <f>TYPE(All_India_Index_Upto_April23__1[[#This Row],[Fruits]])</f>
        <v>1</v>
      </c>
      <c r="AR48">
        <f>TYPE(All_India_Index_Upto_April23__1[[#This Row],[Vegetables]])</f>
        <v>1</v>
      </c>
      <c r="AS48">
        <f>TYPE(All_India_Index_Upto_April23__1[[#This Row],[Pulses and products]])</f>
        <v>1</v>
      </c>
      <c r="AT48">
        <f>TYPE(All_India_Index_Upto_April23__1[[#This Row],[Sugar and Confectionery]])</f>
        <v>1</v>
      </c>
      <c r="AU48">
        <f>TYPE(All_India_Index_Upto_April23__1[[#This Row],[Spices]])</f>
        <v>1</v>
      </c>
      <c r="AV48">
        <f>TYPE(All_India_Index_Upto_April23__1[[#This Row],[Non-alcoholic beverages]])</f>
        <v>1</v>
      </c>
      <c r="AW48">
        <f>TYPE(All_India_Index_Upto_April23__1[[#This Row],[Prepared meals, snacks, sweets etc.]])</f>
        <v>1</v>
      </c>
      <c r="AX48">
        <f>TYPE(All_India_Index_Upto_April23__1[[#This Row],[Food and beverages]])</f>
        <v>1</v>
      </c>
      <c r="AY48">
        <f>TYPE(All_India_Index_Upto_April23__1[[#This Row],[Pan, tobacco and intoxicants]])</f>
        <v>1</v>
      </c>
      <c r="AZ48">
        <f>TYPE(All_India_Index_Upto_April23__1[[#This Row],[Clothing]])</f>
        <v>1</v>
      </c>
      <c r="BA48">
        <f>TYPE(All_India_Index_Upto_April23__1[[#This Row],[Footwear]])</f>
        <v>1</v>
      </c>
      <c r="BB48">
        <f>TYPE(All_India_Index_Upto_April23__1[[#This Row],[Clothing and footwear]])</f>
        <v>1</v>
      </c>
      <c r="BC48">
        <f>TYPE(All_India_Index_Upto_April23__1[[#This Row],[Housing]])</f>
        <v>2</v>
      </c>
      <c r="BD48">
        <f>TYPE(All_India_Index_Upto_April23__1[[#This Row],[Fuel and light]])</f>
        <v>1</v>
      </c>
      <c r="BE48">
        <f>TYPE(All_India_Index_Upto_April23__1[[#This Row],[Household goods and services]])</f>
        <v>1</v>
      </c>
      <c r="BF48">
        <f>TYPE(All_India_Index_Upto_April23__1[[#This Row],[Health]])</f>
        <v>1</v>
      </c>
      <c r="BG48">
        <f>TYPE(All_India_Index_Upto_April23__1[[#This Row],[Transport and communication]])</f>
        <v>1</v>
      </c>
      <c r="BH48">
        <f>TYPE(All_India_Index_Upto_April23__1[[#This Row],[Recreation and amusement]])</f>
        <v>1</v>
      </c>
      <c r="BI48">
        <f>TYPE(All_India_Index_Upto_April23__1[[#This Row],[Education]])</f>
        <v>1</v>
      </c>
      <c r="BJ48">
        <f>TYPE(All_India_Index_Upto_April23__1[[#This Row],[Personal care and effects]])</f>
        <v>1</v>
      </c>
      <c r="BK48">
        <f>TYPE(All_India_Index_Upto_April23__1[[#This Row],[Miscellaneous]])</f>
        <v>1</v>
      </c>
      <c r="BL48">
        <f>TYPE(All_India_Index_Upto_April23__1[[#This Row],[General index]])</f>
        <v>1</v>
      </c>
    </row>
    <row r="49" spans="1:64" hidden="1" x14ac:dyDescent="0.3">
      <c r="A49" t="s">
        <v>32</v>
      </c>
      <c r="B49">
        <v>2014</v>
      </c>
      <c r="C49" t="s">
        <v>36</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t="s">
        <v>105</v>
      </c>
      <c r="V49">
        <v>110.9</v>
      </c>
      <c r="W49">
        <v>113.4</v>
      </c>
      <c r="X49">
        <v>111</v>
      </c>
      <c r="Y49">
        <v>111.2</v>
      </c>
      <c r="Z49">
        <v>111.2</v>
      </c>
      <c r="AA49">
        <v>112.5</v>
      </c>
      <c r="AB49">
        <v>109.1</v>
      </c>
      <c r="AC49">
        <v>111.4</v>
      </c>
      <c r="AD49">
        <v>114.7</v>
      </c>
      <c r="AE49">
        <f>SUM(All_India_Index_Upto_April23__1[[#This Row],[Cereals and products]:[Food and beverages]])</f>
        <v>1504.0000000000002</v>
      </c>
      <c r="AF49">
        <f>SUM(All_India_Index_Upto_April23__1[[#This Row],[Clothing]:[Clothing and footwear]])</f>
        <v>344.5</v>
      </c>
      <c r="AG49">
        <f t="shared" si="0"/>
        <v>335.5</v>
      </c>
      <c r="AI49">
        <f>TYPE(All_India_Index_Upto_April23__1[[#This Row],[Sector]])</f>
        <v>2</v>
      </c>
      <c r="AJ49">
        <f>TYPE(All_India_Index_Upto_April23__1[[#This Row],[Year]])</f>
        <v>1</v>
      </c>
      <c r="AK49">
        <f>TYPE(All_India_Index_Upto_April23__1[[#This Row],[Month]])</f>
        <v>2</v>
      </c>
      <c r="AL49">
        <f>TYPE(All_India_Index_Upto_April23__1[[#This Row],[Cereals and products]])</f>
        <v>1</v>
      </c>
      <c r="AM49">
        <f>TYPE(All_India_Index_Upto_April23__1[[#This Row],[Meat and fish]])</f>
        <v>1</v>
      </c>
      <c r="AN49">
        <f>TYPE(All_India_Index_Upto_April23__1[[#This Row],[Egg]])</f>
        <v>1</v>
      </c>
      <c r="AO49">
        <f>TYPE(All_India_Index_Upto_April23__1[[#This Row],[Milk and products]])</f>
        <v>1</v>
      </c>
      <c r="AP49">
        <f>TYPE(All_India_Index_Upto_April23__1[[#This Row],[Oils and fats]])</f>
        <v>1</v>
      </c>
      <c r="AQ49">
        <f>TYPE(All_India_Index_Upto_April23__1[[#This Row],[Fruits]])</f>
        <v>1</v>
      </c>
      <c r="AR49">
        <f>TYPE(All_India_Index_Upto_April23__1[[#This Row],[Vegetables]])</f>
        <v>1</v>
      </c>
      <c r="AS49">
        <f>TYPE(All_India_Index_Upto_April23__1[[#This Row],[Pulses and products]])</f>
        <v>1</v>
      </c>
      <c r="AT49">
        <f>TYPE(All_India_Index_Upto_April23__1[[#This Row],[Sugar and Confectionery]])</f>
        <v>1</v>
      </c>
      <c r="AU49">
        <f>TYPE(All_India_Index_Upto_April23__1[[#This Row],[Spices]])</f>
        <v>1</v>
      </c>
      <c r="AV49">
        <f>TYPE(All_India_Index_Upto_April23__1[[#This Row],[Non-alcoholic beverages]])</f>
        <v>1</v>
      </c>
      <c r="AW49">
        <f>TYPE(All_India_Index_Upto_April23__1[[#This Row],[Prepared meals, snacks, sweets etc.]])</f>
        <v>1</v>
      </c>
      <c r="AX49">
        <f>TYPE(All_India_Index_Upto_April23__1[[#This Row],[Food and beverages]])</f>
        <v>1</v>
      </c>
      <c r="AY49">
        <f>TYPE(All_India_Index_Upto_April23__1[[#This Row],[Pan, tobacco and intoxicants]])</f>
        <v>1</v>
      </c>
      <c r="AZ49">
        <f>TYPE(All_India_Index_Upto_April23__1[[#This Row],[Clothing]])</f>
        <v>1</v>
      </c>
      <c r="BA49">
        <f>TYPE(All_India_Index_Upto_April23__1[[#This Row],[Footwear]])</f>
        <v>1</v>
      </c>
      <c r="BB49">
        <f>TYPE(All_India_Index_Upto_April23__1[[#This Row],[Clothing and footwear]])</f>
        <v>1</v>
      </c>
      <c r="BC49">
        <f>TYPE(All_India_Index_Upto_April23__1[[#This Row],[Housing]])</f>
        <v>2</v>
      </c>
      <c r="BD49">
        <f>TYPE(All_India_Index_Upto_April23__1[[#This Row],[Fuel and light]])</f>
        <v>1</v>
      </c>
      <c r="BE49">
        <f>TYPE(All_India_Index_Upto_April23__1[[#This Row],[Household goods and services]])</f>
        <v>1</v>
      </c>
      <c r="BF49">
        <f>TYPE(All_India_Index_Upto_April23__1[[#This Row],[Health]])</f>
        <v>1</v>
      </c>
      <c r="BG49">
        <f>TYPE(All_India_Index_Upto_April23__1[[#This Row],[Transport and communication]])</f>
        <v>1</v>
      </c>
      <c r="BH49">
        <f>TYPE(All_India_Index_Upto_April23__1[[#This Row],[Recreation and amusement]])</f>
        <v>1</v>
      </c>
      <c r="BI49">
        <f>TYPE(All_India_Index_Upto_April23__1[[#This Row],[Education]])</f>
        <v>1</v>
      </c>
      <c r="BJ49">
        <f>TYPE(All_India_Index_Upto_April23__1[[#This Row],[Personal care and effects]])</f>
        <v>1</v>
      </c>
      <c r="BK49">
        <f>TYPE(All_India_Index_Upto_April23__1[[#This Row],[Miscellaneous]])</f>
        <v>1</v>
      </c>
      <c r="BL49">
        <f>TYPE(All_India_Index_Upto_April23__1[[#This Row],[General index]])</f>
        <v>1</v>
      </c>
    </row>
    <row r="50" spans="1:64" hidden="1" x14ac:dyDescent="0.3">
      <c r="A50" t="s">
        <v>33</v>
      </c>
      <c r="B50">
        <v>2014</v>
      </c>
      <c r="C50" t="s">
        <v>36</v>
      </c>
      <c r="D50">
        <v>120.9</v>
      </c>
      <c r="E50">
        <v>119.9</v>
      </c>
      <c r="F50">
        <v>116.2</v>
      </c>
      <c r="G50">
        <v>117</v>
      </c>
      <c r="H50">
        <v>107.3</v>
      </c>
      <c r="I50">
        <v>126.1</v>
      </c>
      <c r="J50">
        <v>120.7</v>
      </c>
      <c r="K50">
        <v>111</v>
      </c>
      <c r="L50">
        <v>101.8</v>
      </c>
      <c r="M50">
        <v>112.6</v>
      </c>
      <c r="N50">
        <v>113.2</v>
      </c>
      <c r="O50">
        <v>119.8</v>
      </c>
      <c r="P50">
        <v>117.6</v>
      </c>
      <c r="Q50">
        <v>116</v>
      </c>
      <c r="R50">
        <v>117.4</v>
      </c>
      <c r="S50">
        <v>114.6</v>
      </c>
      <c r="T50">
        <v>117</v>
      </c>
      <c r="U50" t="s">
        <v>105</v>
      </c>
      <c r="V50">
        <v>112.5</v>
      </c>
      <c r="W50">
        <v>113.6</v>
      </c>
      <c r="X50">
        <v>111.5</v>
      </c>
      <c r="Y50">
        <v>111.2</v>
      </c>
      <c r="Z50">
        <v>110.9</v>
      </c>
      <c r="AA50">
        <v>112.7</v>
      </c>
      <c r="AB50">
        <v>109</v>
      </c>
      <c r="AC50">
        <v>111.5</v>
      </c>
      <c r="AD50">
        <v>115.1</v>
      </c>
      <c r="AE50">
        <f>SUM(All_India_Index_Upto_April23__1[[#This Row],[Cereals and products]:[Food and beverages]])</f>
        <v>1504.1</v>
      </c>
      <c r="AF50">
        <f>SUM(All_India_Index_Upto_April23__1[[#This Row],[Clothing]:[Clothing and footwear]])</f>
        <v>349</v>
      </c>
      <c r="AG50">
        <f t="shared" si="0"/>
        <v>337.3</v>
      </c>
      <c r="AI50">
        <f>TYPE(All_India_Index_Upto_April23__1[[#This Row],[Sector]])</f>
        <v>2</v>
      </c>
      <c r="AJ50">
        <f>TYPE(All_India_Index_Upto_April23__1[[#This Row],[Year]])</f>
        <v>1</v>
      </c>
      <c r="AK50">
        <f>TYPE(All_India_Index_Upto_April23__1[[#This Row],[Month]])</f>
        <v>2</v>
      </c>
      <c r="AL50">
        <f>TYPE(All_India_Index_Upto_April23__1[[#This Row],[Cereals and products]])</f>
        <v>1</v>
      </c>
      <c r="AM50">
        <f>TYPE(All_India_Index_Upto_April23__1[[#This Row],[Meat and fish]])</f>
        <v>1</v>
      </c>
      <c r="AN50">
        <f>TYPE(All_India_Index_Upto_April23__1[[#This Row],[Egg]])</f>
        <v>1</v>
      </c>
      <c r="AO50">
        <f>TYPE(All_India_Index_Upto_April23__1[[#This Row],[Milk and products]])</f>
        <v>1</v>
      </c>
      <c r="AP50">
        <f>TYPE(All_India_Index_Upto_April23__1[[#This Row],[Oils and fats]])</f>
        <v>1</v>
      </c>
      <c r="AQ50">
        <f>TYPE(All_India_Index_Upto_April23__1[[#This Row],[Fruits]])</f>
        <v>1</v>
      </c>
      <c r="AR50">
        <f>TYPE(All_India_Index_Upto_April23__1[[#This Row],[Vegetables]])</f>
        <v>1</v>
      </c>
      <c r="AS50">
        <f>TYPE(All_India_Index_Upto_April23__1[[#This Row],[Pulses and products]])</f>
        <v>1</v>
      </c>
      <c r="AT50">
        <f>TYPE(All_India_Index_Upto_April23__1[[#This Row],[Sugar and Confectionery]])</f>
        <v>1</v>
      </c>
      <c r="AU50">
        <f>TYPE(All_India_Index_Upto_April23__1[[#This Row],[Spices]])</f>
        <v>1</v>
      </c>
      <c r="AV50">
        <f>TYPE(All_India_Index_Upto_April23__1[[#This Row],[Non-alcoholic beverages]])</f>
        <v>1</v>
      </c>
      <c r="AW50">
        <f>TYPE(All_India_Index_Upto_April23__1[[#This Row],[Prepared meals, snacks, sweets etc.]])</f>
        <v>1</v>
      </c>
      <c r="AX50">
        <f>TYPE(All_India_Index_Upto_April23__1[[#This Row],[Food and beverages]])</f>
        <v>1</v>
      </c>
      <c r="AY50">
        <f>TYPE(All_India_Index_Upto_April23__1[[#This Row],[Pan, tobacco and intoxicants]])</f>
        <v>1</v>
      </c>
      <c r="AZ50">
        <f>TYPE(All_India_Index_Upto_April23__1[[#This Row],[Clothing]])</f>
        <v>1</v>
      </c>
      <c r="BA50">
        <f>TYPE(All_India_Index_Upto_April23__1[[#This Row],[Footwear]])</f>
        <v>1</v>
      </c>
      <c r="BB50">
        <f>TYPE(All_India_Index_Upto_April23__1[[#This Row],[Clothing and footwear]])</f>
        <v>1</v>
      </c>
      <c r="BC50">
        <f>TYPE(All_India_Index_Upto_April23__1[[#This Row],[Housing]])</f>
        <v>2</v>
      </c>
      <c r="BD50">
        <f>TYPE(All_India_Index_Upto_April23__1[[#This Row],[Fuel and light]])</f>
        <v>1</v>
      </c>
      <c r="BE50">
        <f>TYPE(All_India_Index_Upto_April23__1[[#This Row],[Household goods and services]])</f>
        <v>1</v>
      </c>
      <c r="BF50">
        <f>TYPE(All_India_Index_Upto_April23__1[[#This Row],[Health]])</f>
        <v>1</v>
      </c>
      <c r="BG50">
        <f>TYPE(All_India_Index_Upto_April23__1[[#This Row],[Transport and communication]])</f>
        <v>1</v>
      </c>
      <c r="BH50">
        <f>TYPE(All_India_Index_Upto_April23__1[[#This Row],[Recreation and amusement]])</f>
        <v>1</v>
      </c>
      <c r="BI50">
        <f>TYPE(All_India_Index_Upto_April23__1[[#This Row],[Education]])</f>
        <v>1</v>
      </c>
      <c r="BJ50">
        <f>TYPE(All_India_Index_Upto_April23__1[[#This Row],[Personal care and effects]])</f>
        <v>1</v>
      </c>
      <c r="BK50">
        <f>TYPE(All_India_Index_Upto_April23__1[[#This Row],[Miscellaneous]])</f>
        <v>1</v>
      </c>
      <c r="BL50">
        <f>TYPE(All_India_Index_Upto_April23__1[[#This Row],[General index]])</f>
        <v>1</v>
      </c>
    </row>
    <row r="51" spans="1:64" hidden="1" x14ac:dyDescent="0.3">
      <c r="A51" t="s">
        <v>30</v>
      </c>
      <c r="B51">
        <v>2014</v>
      </c>
      <c r="C51" t="s">
        <v>37</v>
      </c>
      <c r="D51">
        <v>120.3</v>
      </c>
      <c r="E51">
        <v>120.2</v>
      </c>
      <c r="F51">
        <v>116.9</v>
      </c>
      <c r="G51">
        <v>118</v>
      </c>
      <c r="H51">
        <v>110.1</v>
      </c>
      <c r="I51">
        <v>126.3</v>
      </c>
      <c r="J51">
        <v>123.9</v>
      </c>
      <c r="K51">
        <v>111.5</v>
      </c>
      <c r="L51">
        <v>103.5</v>
      </c>
      <c r="M51">
        <v>111.6</v>
      </c>
      <c r="N51">
        <v>114.2</v>
      </c>
      <c r="O51">
        <v>119.2</v>
      </c>
      <c r="P51">
        <v>118.2</v>
      </c>
      <c r="Q51">
        <v>116.3</v>
      </c>
      <c r="R51">
        <v>118.7</v>
      </c>
      <c r="S51">
        <v>116.8</v>
      </c>
      <c r="T51">
        <v>118.5</v>
      </c>
      <c r="U51" t="s">
        <v>89</v>
      </c>
      <c r="V51">
        <v>113.4</v>
      </c>
      <c r="W51">
        <v>114.1</v>
      </c>
      <c r="X51">
        <v>112.1</v>
      </c>
      <c r="Y51">
        <v>111.4</v>
      </c>
      <c r="Z51">
        <v>110.9</v>
      </c>
      <c r="AA51">
        <v>113.1</v>
      </c>
      <c r="AB51">
        <v>108.9</v>
      </c>
      <c r="AC51">
        <v>111.8</v>
      </c>
      <c r="AD51">
        <v>116</v>
      </c>
      <c r="AE51">
        <f>SUM(All_India_Index_Upto_April23__1[[#This Row],[Cereals and products]:[Food and beverages]])</f>
        <v>1513.8999999999999</v>
      </c>
      <c r="AF51">
        <f>SUM(All_India_Index_Upto_April23__1[[#This Row],[Clothing]:[Clothing and footwear]])</f>
        <v>354</v>
      </c>
      <c r="AG51">
        <f t="shared" si="0"/>
        <v>338.9</v>
      </c>
      <c r="AI51">
        <f>TYPE(All_India_Index_Upto_April23__1[[#This Row],[Sector]])</f>
        <v>2</v>
      </c>
      <c r="AJ51">
        <f>TYPE(All_India_Index_Upto_April23__1[[#This Row],[Year]])</f>
        <v>1</v>
      </c>
      <c r="AK51">
        <f>TYPE(All_India_Index_Upto_April23__1[[#This Row],[Month]])</f>
        <v>2</v>
      </c>
      <c r="AL51">
        <f>TYPE(All_India_Index_Upto_April23__1[[#This Row],[Cereals and products]])</f>
        <v>1</v>
      </c>
      <c r="AM51">
        <f>TYPE(All_India_Index_Upto_April23__1[[#This Row],[Meat and fish]])</f>
        <v>1</v>
      </c>
      <c r="AN51">
        <f>TYPE(All_India_Index_Upto_April23__1[[#This Row],[Egg]])</f>
        <v>1</v>
      </c>
      <c r="AO51">
        <f>TYPE(All_India_Index_Upto_April23__1[[#This Row],[Milk and products]])</f>
        <v>1</v>
      </c>
      <c r="AP51">
        <f>TYPE(All_India_Index_Upto_April23__1[[#This Row],[Oils and fats]])</f>
        <v>1</v>
      </c>
      <c r="AQ51">
        <f>TYPE(All_India_Index_Upto_April23__1[[#This Row],[Fruits]])</f>
        <v>1</v>
      </c>
      <c r="AR51">
        <f>TYPE(All_India_Index_Upto_April23__1[[#This Row],[Vegetables]])</f>
        <v>1</v>
      </c>
      <c r="AS51">
        <f>TYPE(All_India_Index_Upto_April23__1[[#This Row],[Pulses and products]])</f>
        <v>1</v>
      </c>
      <c r="AT51">
        <f>TYPE(All_India_Index_Upto_April23__1[[#This Row],[Sugar and Confectionery]])</f>
        <v>1</v>
      </c>
      <c r="AU51">
        <f>TYPE(All_India_Index_Upto_April23__1[[#This Row],[Spices]])</f>
        <v>1</v>
      </c>
      <c r="AV51">
        <f>TYPE(All_India_Index_Upto_April23__1[[#This Row],[Non-alcoholic beverages]])</f>
        <v>1</v>
      </c>
      <c r="AW51">
        <f>TYPE(All_India_Index_Upto_April23__1[[#This Row],[Prepared meals, snacks, sweets etc.]])</f>
        <v>1</v>
      </c>
      <c r="AX51">
        <f>TYPE(All_India_Index_Upto_April23__1[[#This Row],[Food and beverages]])</f>
        <v>1</v>
      </c>
      <c r="AY51">
        <f>TYPE(All_India_Index_Upto_April23__1[[#This Row],[Pan, tobacco and intoxicants]])</f>
        <v>1</v>
      </c>
      <c r="AZ51">
        <f>TYPE(All_India_Index_Upto_April23__1[[#This Row],[Clothing]])</f>
        <v>1</v>
      </c>
      <c r="BA51">
        <f>TYPE(All_India_Index_Upto_April23__1[[#This Row],[Footwear]])</f>
        <v>1</v>
      </c>
      <c r="BB51">
        <f>TYPE(All_India_Index_Upto_April23__1[[#This Row],[Clothing and footwear]])</f>
        <v>1</v>
      </c>
      <c r="BC51">
        <f>TYPE(All_India_Index_Upto_April23__1[[#This Row],[Housing]])</f>
        <v>2</v>
      </c>
      <c r="BD51">
        <f>TYPE(All_India_Index_Upto_April23__1[[#This Row],[Fuel and light]])</f>
        <v>1</v>
      </c>
      <c r="BE51">
        <f>TYPE(All_India_Index_Upto_April23__1[[#This Row],[Household goods and services]])</f>
        <v>1</v>
      </c>
      <c r="BF51">
        <f>TYPE(All_India_Index_Upto_April23__1[[#This Row],[Health]])</f>
        <v>1</v>
      </c>
      <c r="BG51">
        <f>TYPE(All_India_Index_Upto_April23__1[[#This Row],[Transport and communication]])</f>
        <v>1</v>
      </c>
      <c r="BH51">
        <f>TYPE(All_India_Index_Upto_April23__1[[#This Row],[Recreation and amusement]])</f>
        <v>1</v>
      </c>
      <c r="BI51">
        <f>TYPE(All_India_Index_Upto_April23__1[[#This Row],[Education]])</f>
        <v>1</v>
      </c>
      <c r="BJ51">
        <f>TYPE(All_India_Index_Upto_April23__1[[#This Row],[Personal care and effects]])</f>
        <v>1</v>
      </c>
      <c r="BK51">
        <f>TYPE(All_India_Index_Upto_April23__1[[#This Row],[Miscellaneous]])</f>
        <v>1</v>
      </c>
      <c r="BL51">
        <f>TYPE(All_India_Index_Upto_April23__1[[#This Row],[General index]])</f>
        <v>1</v>
      </c>
    </row>
    <row r="52" spans="1:64" hidden="1" x14ac:dyDescent="0.3">
      <c r="A52" t="s">
        <v>32</v>
      </c>
      <c r="B52">
        <v>2014</v>
      </c>
      <c r="C52" t="s">
        <v>37</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t="s">
        <v>106</v>
      </c>
      <c r="V52">
        <v>111.1</v>
      </c>
      <c r="W52">
        <v>114.1</v>
      </c>
      <c r="X52">
        <v>111.2</v>
      </c>
      <c r="Y52">
        <v>111.3</v>
      </c>
      <c r="Z52">
        <v>111.5</v>
      </c>
      <c r="AA52">
        <v>112.9</v>
      </c>
      <c r="AB52">
        <v>109.3</v>
      </c>
      <c r="AC52">
        <v>111.7</v>
      </c>
      <c r="AD52">
        <v>115.6</v>
      </c>
      <c r="AE52">
        <f>SUM(All_India_Index_Upto_April23__1[[#This Row],[Cereals and products]:[Food and beverages]])</f>
        <v>1525.3000000000002</v>
      </c>
      <c r="AF52">
        <f>SUM(All_India_Index_Upto_April23__1[[#This Row],[Clothing]:[Clothing and footwear]])</f>
        <v>345.9</v>
      </c>
      <c r="AG52">
        <f t="shared" si="0"/>
        <v>336.5</v>
      </c>
      <c r="AI52">
        <f>TYPE(All_India_Index_Upto_April23__1[[#This Row],[Sector]])</f>
        <v>2</v>
      </c>
      <c r="AJ52">
        <f>TYPE(All_India_Index_Upto_April23__1[[#This Row],[Year]])</f>
        <v>1</v>
      </c>
      <c r="AK52">
        <f>TYPE(All_India_Index_Upto_April23__1[[#This Row],[Month]])</f>
        <v>2</v>
      </c>
      <c r="AL52">
        <f>TYPE(All_India_Index_Upto_April23__1[[#This Row],[Cereals and products]])</f>
        <v>1</v>
      </c>
      <c r="AM52">
        <f>TYPE(All_India_Index_Upto_April23__1[[#This Row],[Meat and fish]])</f>
        <v>1</v>
      </c>
      <c r="AN52">
        <f>TYPE(All_India_Index_Upto_April23__1[[#This Row],[Egg]])</f>
        <v>1</v>
      </c>
      <c r="AO52">
        <f>TYPE(All_India_Index_Upto_April23__1[[#This Row],[Milk and products]])</f>
        <v>1</v>
      </c>
      <c r="AP52">
        <f>TYPE(All_India_Index_Upto_April23__1[[#This Row],[Oils and fats]])</f>
        <v>1</v>
      </c>
      <c r="AQ52">
        <f>TYPE(All_India_Index_Upto_April23__1[[#This Row],[Fruits]])</f>
        <v>1</v>
      </c>
      <c r="AR52">
        <f>TYPE(All_India_Index_Upto_April23__1[[#This Row],[Vegetables]])</f>
        <v>1</v>
      </c>
      <c r="AS52">
        <f>TYPE(All_India_Index_Upto_April23__1[[#This Row],[Pulses and products]])</f>
        <v>1</v>
      </c>
      <c r="AT52">
        <f>TYPE(All_India_Index_Upto_April23__1[[#This Row],[Sugar and Confectionery]])</f>
        <v>1</v>
      </c>
      <c r="AU52">
        <f>TYPE(All_India_Index_Upto_April23__1[[#This Row],[Spices]])</f>
        <v>1</v>
      </c>
      <c r="AV52">
        <f>TYPE(All_India_Index_Upto_April23__1[[#This Row],[Non-alcoholic beverages]])</f>
        <v>1</v>
      </c>
      <c r="AW52">
        <f>TYPE(All_India_Index_Upto_April23__1[[#This Row],[Prepared meals, snacks, sweets etc.]])</f>
        <v>1</v>
      </c>
      <c r="AX52">
        <f>TYPE(All_India_Index_Upto_April23__1[[#This Row],[Food and beverages]])</f>
        <v>1</v>
      </c>
      <c r="AY52">
        <f>TYPE(All_India_Index_Upto_April23__1[[#This Row],[Pan, tobacco and intoxicants]])</f>
        <v>1</v>
      </c>
      <c r="AZ52">
        <f>TYPE(All_India_Index_Upto_April23__1[[#This Row],[Clothing]])</f>
        <v>1</v>
      </c>
      <c r="BA52">
        <f>TYPE(All_India_Index_Upto_April23__1[[#This Row],[Footwear]])</f>
        <v>1</v>
      </c>
      <c r="BB52">
        <f>TYPE(All_India_Index_Upto_April23__1[[#This Row],[Clothing and footwear]])</f>
        <v>1</v>
      </c>
      <c r="BC52">
        <f>TYPE(All_India_Index_Upto_April23__1[[#This Row],[Housing]])</f>
        <v>2</v>
      </c>
      <c r="BD52">
        <f>TYPE(All_India_Index_Upto_April23__1[[#This Row],[Fuel and light]])</f>
        <v>1</v>
      </c>
      <c r="BE52">
        <f>TYPE(All_India_Index_Upto_April23__1[[#This Row],[Household goods and services]])</f>
        <v>1</v>
      </c>
      <c r="BF52">
        <f>TYPE(All_India_Index_Upto_April23__1[[#This Row],[Health]])</f>
        <v>1</v>
      </c>
      <c r="BG52">
        <f>TYPE(All_India_Index_Upto_April23__1[[#This Row],[Transport and communication]])</f>
        <v>1</v>
      </c>
      <c r="BH52">
        <f>TYPE(All_India_Index_Upto_April23__1[[#This Row],[Recreation and amusement]])</f>
        <v>1</v>
      </c>
      <c r="BI52">
        <f>TYPE(All_India_Index_Upto_April23__1[[#This Row],[Education]])</f>
        <v>1</v>
      </c>
      <c r="BJ52">
        <f>TYPE(All_India_Index_Upto_April23__1[[#This Row],[Personal care and effects]])</f>
        <v>1</v>
      </c>
      <c r="BK52">
        <f>TYPE(All_India_Index_Upto_April23__1[[#This Row],[Miscellaneous]])</f>
        <v>1</v>
      </c>
      <c r="BL52">
        <f>TYPE(All_India_Index_Upto_April23__1[[#This Row],[General index]])</f>
        <v>1</v>
      </c>
    </row>
    <row r="53" spans="1:64" hidden="1" x14ac:dyDescent="0.3">
      <c r="A53" t="s">
        <v>33</v>
      </c>
      <c r="B53">
        <v>2014</v>
      </c>
      <c r="C53" t="s">
        <v>37</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t="s">
        <v>106</v>
      </c>
      <c r="V53">
        <v>112.5</v>
      </c>
      <c r="W53">
        <v>114.1</v>
      </c>
      <c r="X53">
        <v>111.8</v>
      </c>
      <c r="Y53">
        <v>111.3</v>
      </c>
      <c r="Z53">
        <v>111.2</v>
      </c>
      <c r="AA53">
        <v>113</v>
      </c>
      <c r="AB53">
        <v>109.1</v>
      </c>
      <c r="AC53">
        <v>111.8</v>
      </c>
      <c r="AD53">
        <v>115.8</v>
      </c>
      <c r="AE53">
        <f>SUM(All_India_Index_Upto_April23__1[[#This Row],[Cereals and products]:[Food and beverages]])</f>
        <v>1518.5000000000005</v>
      </c>
      <c r="AF53">
        <f>SUM(All_India_Index_Upto_April23__1[[#This Row],[Clothing]:[Clothing and footwear]])</f>
        <v>350.79999999999995</v>
      </c>
      <c r="AG53">
        <f t="shared" si="0"/>
        <v>337.9</v>
      </c>
      <c r="AI53">
        <f>TYPE(All_India_Index_Upto_April23__1[[#This Row],[Sector]])</f>
        <v>2</v>
      </c>
      <c r="AJ53">
        <f>TYPE(All_India_Index_Upto_April23__1[[#This Row],[Year]])</f>
        <v>1</v>
      </c>
      <c r="AK53">
        <f>TYPE(All_India_Index_Upto_April23__1[[#This Row],[Month]])</f>
        <v>2</v>
      </c>
      <c r="AL53">
        <f>TYPE(All_India_Index_Upto_April23__1[[#This Row],[Cereals and products]])</f>
        <v>1</v>
      </c>
      <c r="AM53">
        <f>TYPE(All_India_Index_Upto_April23__1[[#This Row],[Meat and fish]])</f>
        <v>1</v>
      </c>
      <c r="AN53">
        <f>TYPE(All_India_Index_Upto_April23__1[[#This Row],[Egg]])</f>
        <v>1</v>
      </c>
      <c r="AO53">
        <f>TYPE(All_India_Index_Upto_April23__1[[#This Row],[Milk and products]])</f>
        <v>1</v>
      </c>
      <c r="AP53">
        <f>TYPE(All_India_Index_Upto_April23__1[[#This Row],[Oils and fats]])</f>
        <v>1</v>
      </c>
      <c r="AQ53">
        <f>TYPE(All_India_Index_Upto_April23__1[[#This Row],[Fruits]])</f>
        <v>1</v>
      </c>
      <c r="AR53">
        <f>TYPE(All_India_Index_Upto_April23__1[[#This Row],[Vegetables]])</f>
        <v>1</v>
      </c>
      <c r="AS53">
        <f>TYPE(All_India_Index_Upto_April23__1[[#This Row],[Pulses and products]])</f>
        <v>1</v>
      </c>
      <c r="AT53">
        <f>TYPE(All_India_Index_Upto_April23__1[[#This Row],[Sugar and Confectionery]])</f>
        <v>1</v>
      </c>
      <c r="AU53">
        <f>TYPE(All_India_Index_Upto_April23__1[[#This Row],[Spices]])</f>
        <v>1</v>
      </c>
      <c r="AV53">
        <f>TYPE(All_India_Index_Upto_April23__1[[#This Row],[Non-alcoholic beverages]])</f>
        <v>1</v>
      </c>
      <c r="AW53">
        <f>TYPE(All_India_Index_Upto_April23__1[[#This Row],[Prepared meals, snacks, sweets etc.]])</f>
        <v>1</v>
      </c>
      <c r="AX53">
        <f>TYPE(All_India_Index_Upto_April23__1[[#This Row],[Food and beverages]])</f>
        <v>1</v>
      </c>
      <c r="AY53">
        <f>TYPE(All_India_Index_Upto_April23__1[[#This Row],[Pan, tobacco and intoxicants]])</f>
        <v>1</v>
      </c>
      <c r="AZ53">
        <f>TYPE(All_India_Index_Upto_April23__1[[#This Row],[Clothing]])</f>
        <v>1</v>
      </c>
      <c r="BA53">
        <f>TYPE(All_India_Index_Upto_April23__1[[#This Row],[Footwear]])</f>
        <v>1</v>
      </c>
      <c r="BB53">
        <f>TYPE(All_India_Index_Upto_April23__1[[#This Row],[Clothing and footwear]])</f>
        <v>1</v>
      </c>
      <c r="BC53">
        <f>TYPE(All_India_Index_Upto_April23__1[[#This Row],[Housing]])</f>
        <v>2</v>
      </c>
      <c r="BD53">
        <f>TYPE(All_India_Index_Upto_April23__1[[#This Row],[Fuel and light]])</f>
        <v>1</v>
      </c>
      <c r="BE53">
        <f>TYPE(All_India_Index_Upto_April23__1[[#This Row],[Household goods and services]])</f>
        <v>1</v>
      </c>
      <c r="BF53">
        <f>TYPE(All_India_Index_Upto_April23__1[[#This Row],[Health]])</f>
        <v>1</v>
      </c>
      <c r="BG53">
        <f>TYPE(All_India_Index_Upto_April23__1[[#This Row],[Transport and communication]])</f>
        <v>1</v>
      </c>
      <c r="BH53">
        <f>TYPE(All_India_Index_Upto_April23__1[[#This Row],[Recreation and amusement]])</f>
        <v>1</v>
      </c>
      <c r="BI53">
        <f>TYPE(All_India_Index_Upto_April23__1[[#This Row],[Education]])</f>
        <v>1</v>
      </c>
      <c r="BJ53">
        <f>TYPE(All_India_Index_Upto_April23__1[[#This Row],[Personal care and effects]])</f>
        <v>1</v>
      </c>
      <c r="BK53">
        <f>TYPE(All_India_Index_Upto_April23__1[[#This Row],[Miscellaneous]])</f>
        <v>1</v>
      </c>
      <c r="BL53">
        <f>TYPE(All_India_Index_Upto_April23__1[[#This Row],[General index]])</f>
        <v>1</v>
      </c>
    </row>
    <row r="54" spans="1:64" hidden="1" x14ac:dyDescent="0.3">
      <c r="A54" t="s">
        <v>30</v>
      </c>
      <c r="B54">
        <v>2014</v>
      </c>
      <c r="C54" t="s">
        <v>38</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U54" t="s">
        <v>89</v>
      </c>
      <c r="V54">
        <v>114.4</v>
      </c>
      <c r="W54">
        <v>114.9</v>
      </c>
      <c r="X54">
        <v>112.8</v>
      </c>
      <c r="Y54">
        <v>112.2</v>
      </c>
      <c r="Z54">
        <v>111.4</v>
      </c>
      <c r="AA54">
        <v>114.3</v>
      </c>
      <c r="AB54">
        <v>108</v>
      </c>
      <c r="AC54">
        <v>112.3</v>
      </c>
      <c r="AD54">
        <v>117</v>
      </c>
      <c r="AE54">
        <f>SUM(All_India_Index_Upto_April23__1[[#This Row],[Cereals and products]:[Food and beverages]])</f>
        <v>1525.6999999999998</v>
      </c>
      <c r="AF54">
        <f>SUM(All_India_Index_Upto_April23__1[[#This Row],[Clothing]:[Clothing and footwear]])</f>
        <v>356.3</v>
      </c>
      <c r="AG54">
        <f t="shared" si="0"/>
        <v>341.5</v>
      </c>
      <c r="AI54">
        <f>TYPE(All_India_Index_Upto_April23__1[[#This Row],[Sector]])</f>
        <v>2</v>
      </c>
      <c r="AJ54">
        <f>TYPE(All_India_Index_Upto_April23__1[[#This Row],[Year]])</f>
        <v>1</v>
      </c>
      <c r="AK54">
        <f>TYPE(All_India_Index_Upto_April23__1[[#This Row],[Month]])</f>
        <v>2</v>
      </c>
      <c r="AL54">
        <f>TYPE(All_India_Index_Upto_April23__1[[#This Row],[Cereals and products]])</f>
        <v>1</v>
      </c>
      <c r="AM54">
        <f>TYPE(All_India_Index_Upto_April23__1[[#This Row],[Meat and fish]])</f>
        <v>1</v>
      </c>
      <c r="AN54">
        <f>TYPE(All_India_Index_Upto_April23__1[[#This Row],[Egg]])</f>
        <v>1</v>
      </c>
      <c r="AO54">
        <f>TYPE(All_India_Index_Upto_April23__1[[#This Row],[Milk and products]])</f>
        <v>1</v>
      </c>
      <c r="AP54">
        <f>TYPE(All_India_Index_Upto_April23__1[[#This Row],[Oils and fats]])</f>
        <v>1</v>
      </c>
      <c r="AQ54">
        <f>TYPE(All_India_Index_Upto_April23__1[[#This Row],[Fruits]])</f>
        <v>1</v>
      </c>
      <c r="AR54">
        <f>TYPE(All_India_Index_Upto_April23__1[[#This Row],[Vegetables]])</f>
        <v>1</v>
      </c>
      <c r="AS54">
        <f>TYPE(All_India_Index_Upto_April23__1[[#This Row],[Pulses and products]])</f>
        <v>1</v>
      </c>
      <c r="AT54">
        <f>TYPE(All_India_Index_Upto_April23__1[[#This Row],[Sugar and Confectionery]])</f>
        <v>1</v>
      </c>
      <c r="AU54">
        <f>TYPE(All_India_Index_Upto_April23__1[[#This Row],[Spices]])</f>
        <v>1</v>
      </c>
      <c r="AV54">
        <f>TYPE(All_India_Index_Upto_April23__1[[#This Row],[Non-alcoholic beverages]])</f>
        <v>1</v>
      </c>
      <c r="AW54">
        <f>TYPE(All_India_Index_Upto_April23__1[[#This Row],[Prepared meals, snacks, sweets etc.]])</f>
        <v>1</v>
      </c>
      <c r="AX54">
        <f>TYPE(All_India_Index_Upto_April23__1[[#This Row],[Food and beverages]])</f>
        <v>1</v>
      </c>
      <c r="AY54">
        <f>TYPE(All_India_Index_Upto_April23__1[[#This Row],[Pan, tobacco and intoxicants]])</f>
        <v>1</v>
      </c>
      <c r="AZ54">
        <f>TYPE(All_India_Index_Upto_April23__1[[#This Row],[Clothing]])</f>
        <v>1</v>
      </c>
      <c r="BA54">
        <f>TYPE(All_India_Index_Upto_April23__1[[#This Row],[Footwear]])</f>
        <v>1</v>
      </c>
      <c r="BB54">
        <f>TYPE(All_India_Index_Upto_April23__1[[#This Row],[Clothing and footwear]])</f>
        <v>1</v>
      </c>
      <c r="BC54">
        <f>TYPE(All_India_Index_Upto_April23__1[[#This Row],[Housing]])</f>
        <v>2</v>
      </c>
      <c r="BD54">
        <f>TYPE(All_India_Index_Upto_April23__1[[#This Row],[Fuel and light]])</f>
        <v>1</v>
      </c>
      <c r="BE54">
        <f>TYPE(All_India_Index_Upto_April23__1[[#This Row],[Household goods and services]])</f>
        <v>1</v>
      </c>
      <c r="BF54">
        <f>TYPE(All_India_Index_Upto_April23__1[[#This Row],[Health]])</f>
        <v>1</v>
      </c>
      <c r="BG54">
        <f>TYPE(All_India_Index_Upto_April23__1[[#This Row],[Transport and communication]])</f>
        <v>1</v>
      </c>
      <c r="BH54">
        <f>TYPE(All_India_Index_Upto_April23__1[[#This Row],[Recreation and amusement]])</f>
        <v>1</v>
      </c>
      <c r="BI54">
        <f>TYPE(All_India_Index_Upto_April23__1[[#This Row],[Education]])</f>
        <v>1</v>
      </c>
      <c r="BJ54">
        <f>TYPE(All_India_Index_Upto_April23__1[[#This Row],[Personal care and effects]])</f>
        <v>1</v>
      </c>
      <c r="BK54">
        <f>TYPE(All_India_Index_Upto_April23__1[[#This Row],[Miscellaneous]])</f>
        <v>1</v>
      </c>
      <c r="BL54">
        <f>TYPE(All_India_Index_Upto_April23__1[[#This Row],[General index]])</f>
        <v>1</v>
      </c>
    </row>
    <row r="55" spans="1:64" hidden="1" x14ac:dyDescent="0.3">
      <c r="A55" t="s">
        <v>32</v>
      </c>
      <c r="B55">
        <v>2014</v>
      </c>
      <c r="C55" t="s">
        <v>38</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t="s">
        <v>105</v>
      </c>
      <c r="V55">
        <v>111.2</v>
      </c>
      <c r="W55">
        <v>114.3</v>
      </c>
      <c r="X55">
        <v>111.4</v>
      </c>
      <c r="Y55">
        <v>111.5</v>
      </c>
      <c r="Z55">
        <v>111.8</v>
      </c>
      <c r="AA55">
        <v>115.1</v>
      </c>
      <c r="AB55">
        <v>108.7</v>
      </c>
      <c r="AC55">
        <v>112.2</v>
      </c>
      <c r="AD55">
        <v>116.4</v>
      </c>
      <c r="AE55">
        <f>SUM(All_India_Index_Upto_April23__1[[#This Row],[Cereals and products]:[Food and beverages]])</f>
        <v>1547</v>
      </c>
      <c r="AF55">
        <f>SUM(All_India_Index_Upto_April23__1[[#This Row],[Clothing]:[Clothing and footwear]])</f>
        <v>347.3</v>
      </c>
      <c r="AG55">
        <f t="shared" si="0"/>
        <v>337</v>
      </c>
      <c r="AI55">
        <f>TYPE(All_India_Index_Upto_April23__1[[#This Row],[Sector]])</f>
        <v>2</v>
      </c>
      <c r="AJ55">
        <f>TYPE(All_India_Index_Upto_April23__1[[#This Row],[Year]])</f>
        <v>1</v>
      </c>
      <c r="AK55">
        <f>TYPE(All_India_Index_Upto_April23__1[[#This Row],[Month]])</f>
        <v>2</v>
      </c>
      <c r="AL55">
        <f>TYPE(All_India_Index_Upto_April23__1[[#This Row],[Cereals and products]])</f>
        <v>1</v>
      </c>
      <c r="AM55">
        <f>TYPE(All_India_Index_Upto_April23__1[[#This Row],[Meat and fish]])</f>
        <v>1</v>
      </c>
      <c r="AN55">
        <f>TYPE(All_India_Index_Upto_April23__1[[#This Row],[Egg]])</f>
        <v>1</v>
      </c>
      <c r="AO55">
        <f>TYPE(All_India_Index_Upto_April23__1[[#This Row],[Milk and products]])</f>
        <v>1</v>
      </c>
      <c r="AP55">
        <f>TYPE(All_India_Index_Upto_April23__1[[#This Row],[Oils and fats]])</f>
        <v>1</v>
      </c>
      <c r="AQ55">
        <f>TYPE(All_India_Index_Upto_April23__1[[#This Row],[Fruits]])</f>
        <v>1</v>
      </c>
      <c r="AR55">
        <f>TYPE(All_India_Index_Upto_April23__1[[#This Row],[Vegetables]])</f>
        <v>1</v>
      </c>
      <c r="AS55">
        <f>TYPE(All_India_Index_Upto_April23__1[[#This Row],[Pulses and products]])</f>
        <v>1</v>
      </c>
      <c r="AT55">
        <f>TYPE(All_India_Index_Upto_April23__1[[#This Row],[Sugar and Confectionery]])</f>
        <v>1</v>
      </c>
      <c r="AU55">
        <f>TYPE(All_India_Index_Upto_April23__1[[#This Row],[Spices]])</f>
        <v>1</v>
      </c>
      <c r="AV55">
        <f>TYPE(All_India_Index_Upto_April23__1[[#This Row],[Non-alcoholic beverages]])</f>
        <v>1</v>
      </c>
      <c r="AW55">
        <f>TYPE(All_India_Index_Upto_April23__1[[#This Row],[Prepared meals, snacks, sweets etc.]])</f>
        <v>1</v>
      </c>
      <c r="AX55">
        <f>TYPE(All_India_Index_Upto_April23__1[[#This Row],[Food and beverages]])</f>
        <v>1</v>
      </c>
      <c r="AY55">
        <f>TYPE(All_India_Index_Upto_April23__1[[#This Row],[Pan, tobacco and intoxicants]])</f>
        <v>1</v>
      </c>
      <c r="AZ55">
        <f>TYPE(All_India_Index_Upto_April23__1[[#This Row],[Clothing]])</f>
        <v>1</v>
      </c>
      <c r="BA55">
        <f>TYPE(All_India_Index_Upto_April23__1[[#This Row],[Footwear]])</f>
        <v>1</v>
      </c>
      <c r="BB55">
        <f>TYPE(All_India_Index_Upto_April23__1[[#This Row],[Clothing and footwear]])</f>
        <v>1</v>
      </c>
      <c r="BC55">
        <f>TYPE(All_India_Index_Upto_April23__1[[#This Row],[Housing]])</f>
        <v>2</v>
      </c>
      <c r="BD55">
        <f>TYPE(All_India_Index_Upto_April23__1[[#This Row],[Fuel and light]])</f>
        <v>1</v>
      </c>
      <c r="BE55">
        <f>TYPE(All_India_Index_Upto_April23__1[[#This Row],[Household goods and services]])</f>
        <v>1</v>
      </c>
      <c r="BF55">
        <f>TYPE(All_India_Index_Upto_April23__1[[#This Row],[Health]])</f>
        <v>1</v>
      </c>
      <c r="BG55">
        <f>TYPE(All_India_Index_Upto_April23__1[[#This Row],[Transport and communication]])</f>
        <v>1</v>
      </c>
      <c r="BH55">
        <f>TYPE(All_India_Index_Upto_April23__1[[#This Row],[Recreation and amusement]])</f>
        <v>1</v>
      </c>
      <c r="BI55">
        <f>TYPE(All_India_Index_Upto_April23__1[[#This Row],[Education]])</f>
        <v>1</v>
      </c>
      <c r="BJ55">
        <f>TYPE(All_India_Index_Upto_April23__1[[#This Row],[Personal care and effects]])</f>
        <v>1</v>
      </c>
      <c r="BK55">
        <f>TYPE(All_India_Index_Upto_April23__1[[#This Row],[Miscellaneous]])</f>
        <v>1</v>
      </c>
      <c r="BL55">
        <f>TYPE(All_India_Index_Upto_April23__1[[#This Row],[General index]])</f>
        <v>1</v>
      </c>
    </row>
    <row r="56" spans="1:64" hidden="1" x14ac:dyDescent="0.3">
      <c r="A56" t="s">
        <v>33</v>
      </c>
      <c r="B56">
        <v>2014</v>
      </c>
      <c r="C56" t="s">
        <v>38</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t="s">
        <v>105</v>
      </c>
      <c r="V56">
        <v>113.2</v>
      </c>
      <c r="W56">
        <v>114.6</v>
      </c>
      <c r="X56">
        <v>112.3</v>
      </c>
      <c r="Y56">
        <v>111.8</v>
      </c>
      <c r="Z56">
        <v>111.6</v>
      </c>
      <c r="AA56">
        <v>114.8</v>
      </c>
      <c r="AB56">
        <v>108.3</v>
      </c>
      <c r="AC56">
        <v>112.3</v>
      </c>
      <c r="AD56">
        <v>116.7</v>
      </c>
      <c r="AE56">
        <f>SUM(All_India_Index_Upto_April23__1[[#This Row],[Cereals and products]:[Food and beverages]])</f>
        <v>1533.7000000000003</v>
      </c>
      <c r="AF56">
        <f>SUM(All_India_Index_Upto_April23__1[[#This Row],[Clothing]:[Clothing and footwear]])</f>
        <v>352.7</v>
      </c>
      <c r="AG56">
        <f t="shared" si="0"/>
        <v>339.6</v>
      </c>
      <c r="AI56">
        <f>TYPE(All_India_Index_Upto_April23__1[[#This Row],[Sector]])</f>
        <v>2</v>
      </c>
      <c r="AJ56">
        <f>TYPE(All_India_Index_Upto_April23__1[[#This Row],[Year]])</f>
        <v>1</v>
      </c>
      <c r="AK56">
        <f>TYPE(All_India_Index_Upto_April23__1[[#This Row],[Month]])</f>
        <v>2</v>
      </c>
      <c r="AL56">
        <f>TYPE(All_India_Index_Upto_April23__1[[#This Row],[Cereals and products]])</f>
        <v>1</v>
      </c>
      <c r="AM56">
        <f>TYPE(All_India_Index_Upto_April23__1[[#This Row],[Meat and fish]])</f>
        <v>1</v>
      </c>
      <c r="AN56">
        <f>TYPE(All_India_Index_Upto_April23__1[[#This Row],[Egg]])</f>
        <v>1</v>
      </c>
      <c r="AO56">
        <f>TYPE(All_India_Index_Upto_April23__1[[#This Row],[Milk and products]])</f>
        <v>1</v>
      </c>
      <c r="AP56">
        <f>TYPE(All_India_Index_Upto_April23__1[[#This Row],[Oils and fats]])</f>
        <v>1</v>
      </c>
      <c r="AQ56">
        <f>TYPE(All_India_Index_Upto_April23__1[[#This Row],[Fruits]])</f>
        <v>1</v>
      </c>
      <c r="AR56">
        <f>TYPE(All_India_Index_Upto_April23__1[[#This Row],[Vegetables]])</f>
        <v>1</v>
      </c>
      <c r="AS56">
        <f>TYPE(All_India_Index_Upto_April23__1[[#This Row],[Pulses and products]])</f>
        <v>1</v>
      </c>
      <c r="AT56">
        <f>TYPE(All_India_Index_Upto_April23__1[[#This Row],[Sugar and Confectionery]])</f>
        <v>1</v>
      </c>
      <c r="AU56">
        <f>TYPE(All_India_Index_Upto_April23__1[[#This Row],[Spices]])</f>
        <v>1</v>
      </c>
      <c r="AV56">
        <f>TYPE(All_India_Index_Upto_April23__1[[#This Row],[Non-alcoholic beverages]])</f>
        <v>1</v>
      </c>
      <c r="AW56">
        <f>TYPE(All_India_Index_Upto_April23__1[[#This Row],[Prepared meals, snacks, sweets etc.]])</f>
        <v>1</v>
      </c>
      <c r="AX56">
        <f>TYPE(All_India_Index_Upto_April23__1[[#This Row],[Food and beverages]])</f>
        <v>1</v>
      </c>
      <c r="AY56">
        <f>TYPE(All_India_Index_Upto_April23__1[[#This Row],[Pan, tobacco and intoxicants]])</f>
        <v>1</v>
      </c>
      <c r="AZ56">
        <f>TYPE(All_India_Index_Upto_April23__1[[#This Row],[Clothing]])</f>
        <v>1</v>
      </c>
      <c r="BA56">
        <f>TYPE(All_India_Index_Upto_April23__1[[#This Row],[Footwear]])</f>
        <v>1</v>
      </c>
      <c r="BB56">
        <f>TYPE(All_India_Index_Upto_April23__1[[#This Row],[Clothing and footwear]])</f>
        <v>1</v>
      </c>
      <c r="BC56">
        <f>TYPE(All_India_Index_Upto_April23__1[[#This Row],[Housing]])</f>
        <v>2</v>
      </c>
      <c r="BD56">
        <f>TYPE(All_India_Index_Upto_April23__1[[#This Row],[Fuel and light]])</f>
        <v>1</v>
      </c>
      <c r="BE56">
        <f>TYPE(All_India_Index_Upto_April23__1[[#This Row],[Household goods and services]])</f>
        <v>1</v>
      </c>
      <c r="BF56">
        <f>TYPE(All_India_Index_Upto_April23__1[[#This Row],[Health]])</f>
        <v>1</v>
      </c>
      <c r="BG56">
        <f>TYPE(All_India_Index_Upto_April23__1[[#This Row],[Transport and communication]])</f>
        <v>1</v>
      </c>
      <c r="BH56">
        <f>TYPE(All_India_Index_Upto_April23__1[[#This Row],[Recreation and amusement]])</f>
        <v>1</v>
      </c>
      <c r="BI56">
        <f>TYPE(All_India_Index_Upto_April23__1[[#This Row],[Education]])</f>
        <v>1</v>
      </c>
      <c r="BJ56">
        <f>TYPE(All_India_Index_Upto_April23__1[[#This Row],[Personal care and effects]])</f>
        <v>1</v>
      </c>
      <c r="BK56">
        <f>TYPE(All_India_Index_Upto_April23__1[[#This Row],[Miscellaneous]])</f>
        <v>1</v>
      </c>
      <c r="BL56">
        <f>TYPE(All_India_Index_Upto_April23__1[[#This Row],[General index]])</f>
        <v>1</v>
      </c>
    </row>
    <row r="57" spans="1:64" hidden="1" x14ac:dyDescent="0.3">
      <c r="A57" t="s">
        <v>30</v>
      </c>
      <c r="B57">
        <v>2014</v>
      </c>
      <c r="C57" t="s">
        <v>39</v>
      </c>
      <c r="D57">
        <v>121.7</v>
      </c>
      <c r="E57">
        <v>122.5</v>
      </c>
      <c r="F57">
        <v>117.7</v>
      </c>
      <c r="G57">
        <v>120.6</v>
      </c>
      <c r="H57">
        <v>110.4</v>
      </c>
      <c r="I57">
        <v>129.1</v>
      </c>
      <c r="J57">
        <v>150.1</v>
      </c>
      <c r="K57">
        <v>113.2</v>
      </c>
      <c r="L57">
        <v>104.8</v>
      </c>
      <c r="M57">
        <v>113.3</v>
      </c>
      <c r="N57">
        <v>115.6</v>
      </c>
      <c r="O57">
        <v>120.9</v>
      </c>
      <c r="P57">
        <v>123.3</v>
      </c>
      <c r="Q57">
        <v>118</v>
      </c>
      <c r="R57">
        <v>120.7</v>
      </c>
      <c r="S57">
        <v>118.3</v>
      </c>
      <c r="T57">
        <v>120.3</v>
      </c>
      <c r="U57" t="s">
        <v>89</v>
      </c>
      <c r="V57">
        <v>115.3</v>
      </c>
      <c r="W57">
        <v>115.4</v>
      </c>
      <c r="X57">
        <v>113.4</v>
      </c>
      <c r="Y57">
        <v>113.2</v>
      </c>
      <c r="Z57">
        <v>111.8</v>
      </c>
      <c r="AA57">
        <v>115.5</v>
      </c>
      <c r="AB57">
        <v>108.8</v>
      </c>
      <c r="AC57">
        <v>113.1</v>
      </c>
      <c r="AD57">
        <v>119.5</v>
      </c>
      <c r="AE57">
        <f>SUM(All_India_Index_Upto_April23__1[[#This Row],[Cereals and products]:[Food and beverages]])</f>
        <v>1563.2</v>
      </c>
      <c r="AF57">
        <f>SUM(All_India_Index_Upto_April23__1[[#This Row],[Clothing]:[Clothing and footwear]])</f>
        <v>359.3</v>
      </c>
      <c r="AG57">
        <f t="shared" si="0"/>
        <v>343.9</v>
      </c>
      <c r="AI57">
        <f>TYPE(All_India_Index_Upto_April23__1[[#This Row],[Sector]])</f>
        <v>2</v>
      </c>
      <c r="AJ57">
        <f>TYPE(All_India_Index_Upto_April23__1[[#This Row],[Year]])</f>
        <v>1</v>
      </c>
      <c r="AK57">
        <f>TYPE(All_India_Index_Upto_April23__1[[#This Row],[Month]])</f>
        <v>2</v>
      </c>
      <c r="AL57">
        <f>TYPE(All_India_Index_Upto_April23__1[[#This Row],[Cereals and products]])</f>
        <v>1</v>
      </c>
      <c r="AM57">
        <f>TYPE(All_India_Index_Upto_April23__1[[#This Row],[Meat and fish]])</f>
        <v>1</v>
      </c>
      <c r="AN57">
        <f>TYPE(All_India_Index_Upto_April23__1[[#This Row],[Egg]])</f>
        <v>1</v>
      </c>
      <c r="AO57">
        <f>TYPE(All_India_Index_Upto_April23__1[[#This Row],[Milk and products]])</f>
        <v>1</v>
      </c>
      <c r="AP57">
        <f>TYPE(All_India_Index_Upto_April23__1[[#This Row],[Oils and fats]])</f>
        <v>1</v>
      </c>
      <c r="AQ57">
        <f>TYPE(All_India_Index_Upto_April23__1[[#This Row],[Fruits]])</f>
        <v>1</v>
      </c>
      <c r="AR57">
        <f>TYPE(All_India_Index_Upto_April23__1[[#This Row],[Vegetables]])</f>
        <v>1</v>
      </c>
      <c r="AS57">
        <f>TYPE(All_India_Index_Upto_April23__1[[#This Row],[Pulses and products]])</f>
        <v>1</v>
      </c>
      <c r="AT57">
        <f>TYPE(All_India_Index_Upto_April23__1[[#This Row],[Sugar and Confectionery]])</f>
        <v>1</v>
      </c>
      <c r="AU57">
        <f>TYPE(All_India_Index_Upto_April23__1[[#This Row],[Spices]])</f>
        <v>1</v>
      </c>
      <c r="AV57">
        <f>TYPE(All_India_Index_Upto_April23__1[[#This Row],[Non-alcoholic beverages]])</f>
        <v>1</v>
      </c>
      <c r="AW57">
        <f>TYPE(All_India_Index_Upto_April23__1[[#This Row],[Prepared meals, snacks, sweets etc.]])</f>
        <v>1</v>
      </c>
      <c r="AX57">
        <f>TYPE(All_India_Index_Upto_April23__1[[#This Row],[Food and beverages]])</f>
        <v>1</v>
      </c>
      <c r="AY57">
        <f>TYPE(All_India_Index_Upto_April23__1[[#This Row],[Pan, tobacco and intoxicants]])</f>
        <v>1</v>
      </c>
      <c r="AZ57">
        <f>TYPE(All_India_Index_Upto_April23__1[[#This Row],[Clothing]])</f>
        <v>1</v>
      </c>
      <c r="BA57">
        <f>TYPE(All_India_Index_Upto_April23__1[[#This Row],[Footwear]])</f>
        <v>1</v>
      </c>
      <c r="BB57">
        <f>TYPE(All_India_Index_Upto_April23__1[[#This Row],[Clothing and footwear]])</f>
        <v>1</v>
      </c>
      <c r="BC57">
        <f>TYPE(All_India_Index_Upto_April23__1[[#This Row],[Housing]])</f>
        <v>2</v>
      </c>
      <c r="BD57">
        <f>TYPE(All_India_Index_Upto_April23__1[[#This Row],[Fuel and light]])</f>
        <v>1</v>
      </c>
      <c r="BE57">
        <f>TYPE(All_India_Index_Upto_April23__1[[#This Row],[Household goods and services]])</f>
        <v>1</v>
      </c>
      <c r="BF57">
        <f>TYPE(All_India_Index_Upto_April23__1[[#This Row],[Health]])</f>
        <v>1</v>
      </c>
      <c r="BG57">
        <f>TYPE(All_India_Index_Upto_April23__1[[#This Row],[Transport and communication]])</f>
        <v>1</v>
      </c>
      <c r="BH57">
        <f>TYPE(All_India_Index_Upto_April23__1[[#This Row],[Recreation and amusement]])</f>
        <v>1</v>
      </c>
      <c r="BI57">
        <f>TYPE(All_India_Index_Upto_April23__1[[#This Row],[Education]])</f>
        <v>1</v>
      </c>
      <c r="BJ57">
        <f>TYPE(All_India_Index_Upto_April23__1[[#This Row],[Personal care and effects]])</f>
        <v>1</v>
      </c>
      <c r="BK57">
        <f>TYPE(All_India_Index_Upto_April23__1[[#This Row],[Miscellaneous]])</f>
        <v>1</v>
      </c>
      <c r="BL57">
        <f>TYPE(All_India_Index_Upto_April23__1[[#This Row],[General index]])</f>
        <v>1</v>
      </c>
    </row>
    <row r="58" spans="1:64" hidden="1" x14ac:dyDescent="0.3">
      <c r="A58" t="s">
        <v>32</v>
      </c>
      <c r="B58">
        <v>2014</v>
      </c>
      <c r="C58" t="s">
        <v>39</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t="s">
        <v>107</v>
      </c>
      <c r="V58">
        <v>111.6</v>
      </c>
      <c r="W58">
        <v>114.9</v>
      </c>
      <c r="X58">
        <v>111.5</v>
      </c>
      <c r="Y58">
        <v>113</v>
      </c>
      <c r="Z58">
        <v>112.4</v>
      </c>
      <c r="AA58">
        <v>117.8</v>
      </c>
      <c r="AB58">
        <v>109.7</v>
      </c>
      <c r="AC58">
        <v>113.5</v>
      </c>
      <c r="AD58">
        <v>118.9</v>
      </c>
      <c r="AE58">
        <f>SUM(All_India_Index_Upto_April23__1[[#This Row],[Cereals and products]:[Food and beverages]])</f>
        <v>1599.5</v>
      </c>
      <c r="AF58">
        <f>SUM(All_India_Index_Upto_April23__1[[#This Row],[Clothing]:[Clothing and footwear]])</f>
        <v>349</v>
      </c>
      <c r="AG58">
        <f t="shared" si="0"/>
        <v>339.5</v>
      </c>
      <c r="AI58">
        <f>TYPE(All_India_Index_Upto_April23__1[[#This Row],[Sector]])</f>
        <v>2</v>
      </c>
      <c r="AJ58">
        <f>TYPE(All_India_Index_Upto_April23__1[[#This Row],[Year]])</f>
        <v>1</v>
      </c>
      <c r="AK58">
        <f>TYPE(All_India_Index_Upto_April23__1[[#This Row],[Month]])</f>
        <v>2</v>
      </c>
      <c r="AL58">
        <f>TYPE(All_India_Index_Upto_April23__1[[#This Row],[Cereals and products]])</f>
        <v>1</v>
      </c>
      <c r="AM58">
        <f>TYPE(All_India_Index_Upto_April23__1[[#This Row],[Meat and fish]])</f>
        <v>1</v>
      </c>
      <c r="AN58">
        <f>TYPE(All_India_Index_Upto_April23__1[[#This Row],[Egg]])</f>
        <v>1</v>
      </c>
      <c r="AO58">
        <f>TYPE(All_India_Index_Upto_April23__1[[#This Row],[Milk and products]])</f>
        <v>1</v>
      </c>
      <c r="AP58">
        <f>TYPE(All_India_Index_Upto_April23__1[[#This Row],[Oils and fats]])</f>
        <v>1</v>
      </c>
      <c r="AQ58">
        <f>TYPE(All_India_Index_Upto_April23__1[[#This Row],[Fruits]])</f>
        <v>1</v>
      </c>
      <c r="AR58">
        <f>TYPE(All_India_Index_Upto_April23__1[[#This Row],[Vegetables]])</f>
        <v>1</v>
      </c>
      <c r="AS58">
        <f>TYPE(All_India_Index_Upto_April23__1[[#This Row],[Pulses and products]])</f>
        <v>1</v>
      </c>
      <c r="AT58">
        <f>TYPE(All_India_Index_Upto_April23__1[[#This Row],[Sugar and Confectionery]])</f>
        <v>1</v>
      </c>
      <c r="AU58">
        <f>TYPE(All_India_Index_Upto_April23__1[[#This Row],[Spices]])</f>
        <v>1</v>
      </c>
      <c r="AV58">
        <f>TYPE(All_India_Index_Upto_April23__1[[#This Row],[Non-alcoholic beverages]])</f>
        <v>1</v>
      </c>
      <c r="AW58">
        <f>TYPE(All_India_Index_Upto_April23__1[[#This Row],[Prepared meals, snacks, sweets etc.]])</f>
        <v>1</v>
      </c>
      <c r="AX58">
        <f>TYPE(All_India_Index_Upto_April23__1[[#This Row],[Food and beverages]])</f>
        <v>1</v>
      </c>
      <c r="AY58">
        <f>TYPE(All_India_Index_Upto_April23__1[[#This Row],[Pan, tobacco and intoxicants]])</f>
        <v>1</v>
      </c>
      <c r="AZ58">
        <f>TYPE(All_India_Index_Upto_April23__1[[#This Row],[Clothing]])</f>
        <v>1</v>
      </c>
      <c r="BA58">
        <f>TYPE(All_India_Index_Upto_April23__1[[#This Row],[Footwear]])</f>
        <v>1</v>
      </c>
      <c r="BB58">
        <f>TYPE(All_India_Index_Upto_April23__1[[#This Row],[Clothing and footwear]])</f>
        <v>1</v>
      </c>
      <c r="BC58">
        <f>TYPE(All_India_Index_Upto_April23__1[[#This Row],[Housing]])</f>
        <v>2</v>
      </c>
      <c r="BD58">
        <f>TYPE(All_India_Index_Upto_April23__1[[#This Row],[Fuel and light]])</f>
        <v>1</v>
      </c>
      <c r="BE58">
        <f>TYPE(All_India_Index_Upto_April23__1[[#This Row],[Household goods and services]])</f>
        <v>1</v>
      </c>
      <c r="BF58">
        <f>TYPE(All_India_Index_Upto_April23__1[[#This Row],[Health]])</f>
        <v>1</v>
      </c>
      <c r="BG58">
        <f>TYPE(All_India_Index_Upto_April23__1[[#This Row],[Transport and communication]])</f>
        <v>1</v>
      </c>
      <c r="BH58">
        <f>TYPE(All_India_Index_Upto_April23__1[[#This Row],[Recreation and amusement]])</f>
        <v>1</v>
      </c>
      <c r="BI58">
        <f>TYPE(All_India_Index_Upto_April23__1[[#This Row],[Education]])</f>
        <v>1</v>
      </c>
      <c r="BJ58">
        <f>TYPE(All_India_Index_Upto_April23__1[[#This Row],[Personal care and effects]])</f>
        <v>1</v>
      </c>
      <c r="BK58">
        <f>TYPE(All_India_Index_Upto_April23__1[[#This Row],[Miscellaneous]])</f>
        <v>1</v>
      </c>
      <c r="BL58">
        <f>TYPE(All_India_Index_Upto_April23__1[[#This Row],[General index]])</f>
        <v>1</v>
      </c>
    </row>
    <row r="59" spans="1:64" hidden="1" x14ac:dyDescent="0.3">
      <c r="A59" t="s">
        <v>33</v>
      </c>
      <c r="B59">
        <v>2014</v>
      </c>
      <c r="C59" t="s">
        <v>39</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t="s">
        <v>107</v>
      </c>
      <c r="V59">
        <v>113.9</v>
      </c>
      <c r="W59">
        <v>115.2</v>
      </c>
      <c r="X59">
        <v>112.7</v>
      </c>
      <c r="Y59">
        <v>113.1</v>
      </c>
      <c r="Z59">
        <v>112.1</v>
      </c>
      <c r="AA59">
        <v>116.8</v>
      </c>
      <c r="AB59">
        <v>109.2</v>
      </c>
      <c r="AC59">
        <v>113.3</v>
      </c>
      <c r="AD59">
        <v>119.2</v>
      </c>
      <c r="AE59">
        <f>SUM(All_India_Index_Upto_April23__1[[#This Row],[Cereals and products]:[Food and beverages]])</f>
        <v>1576.3</v>
      </c>
      <c r="AF59">
        <f>SUM(All_India_Index_Upto_April23__1[[#This Row],[Clothing]:[Clothing and footwear]])</f>
        <v>355</v>
      </c>
      <c r="AG59">
        <f t="shared" si="0"/>
        <v>342.20000000000005</v>
      </c>
      <c r="AI59">
        <f>TYPE(All_India_Index_Upto_April23__1[[#This Row],[Sector]])</f>
        <v>2</v>
      </c>
      <c r="AJ59">
        <f>TYPE(All_India_Index_Upto_April23__1[[#This Row],[Year]])</f>
        <v>1</v>
      </c>
      <c r="AK59">
        <f>TYPE(All_India_Index_Upto_April23__1[[#This Row],[Month]])</f>
        <v>2</v>
      </c>
      <c r="AL59">
        <f>TYPE(All_India_Index_Upto_April23__1[[#This Row],[Cereals and products]])</f>
        <v>1</v>
      </c>
      <c r="AM59">
        <f>TYPE(All_India_Index_Upto_April23__1[[#This Row],[Meat and fish]])</f>
        <v>1</v>
      </c>
      <c r="AN59">
        <f>TYPE(All_India_Index_Upto_April23__1[[#This Row],[Egg]])</f>
        <v>1</v>
      </c>
      <c r="AO59">
        <f>TYPE(All_India_Index_Upto_April23__1[[#This Row],[Milk and products]])</f>
        <v>1</v>
      </c>
      <c r="AP59">
        <f>TYPE(All_India_Index_Upto_April23__1[[#This Row],[Oils and fats]])</f>
        <v>1</v>
      </c>
      <c r="AQ59">
        <f>TYPE(All_India_Index_Upto_April23__1[[#This Row],[Fruits]])</f>
        <v>1</v>
      </c>
      <c r="AR59">
        <f>TYPE(All_India_Index_Upto_April23__1[[#This Row],[Vegetables]])</f>
        <v>1</v>
      </c>
      <c r="AS59">
        <f>TYPE(All_India_Index_Upto_April23__1[[#This Row],[Pulses and products]])</f>
        <v>1</v>
      </c>
      <c r="AT59">
        <f>TYPE(All_India_Index_Upto_April23__1[[#This Row],[Sugar and Confectionery]])</f>
        <v>1</v>
      </c>
      <c r="AU59">
        <f>TYPE(All_India_Index_Upto_April23__1[[#This Row],[Spices]])</f>
        <v>1</v>
      </c>
      <c r="AV59">
        <f>TYPE(All_India_Index_Upto_April23__1[[#This Row],[Non-alcoholic beverages]])</f>
        <v>1</v>
      </c>
      <c r="AW59">
        <f>TYPE(All_India_Index_Upto_April23__1[[#This Row],[Prepared meals, snacks, sweets etc.]])</f>
        <v>1</v>
      </c>
      <c r="AX59">
        <f>TYPE(All_India_Index_Upto_April23__1[[#This Row],[Food and beverages]])</f>
        <v>1</v>
      </c>
      <c r="AY59">
        <f>TYPE(All_India_Index_Upto_April23__1[[#This Row],[Pan, tobacco and intoxicants]])</f>
        <v>1</v>
      </c>
      <c r="AZ59">
        <f>TYPE(All_India_Index_Upto_April23__1[[#This Row],[Clothing]])</f>
        <v>1</v>
      </c>
      <c r="BA59">
        <f>TYPE(All_India_Index_Upto_April23__1[[#This Row],[Footwear]])</f>
        <v>1</v>
      </c>
      <c r="BB59">
        <f>TYPE(All_India_Index_Upto_April23__1[[#This Row],[Clothing and footwear]])</f>
        <v>1</v>
      </c>
      <c r="BC59">
        <f>TYPE(All_India_Index_Upto_April23__1[[#This Row],[Housing]])</f>
        <v>2</v>
      </c>
      <c r="BD59">
        <f>TYPE(All_India_Index_Upto_April23__1[[#This Row],[Fuel and light]])</f>
        <v>1</v>
      </c>
      <c r="BE59">
        <f>TYPE(All_India_Index_Upto_April23__1[[#This Row],[Household goods and services]])</f>
        <v>1</v>
      </c>
      <c r="BF59">
        <f>TYPE(All_India_Index_Upto_April23__1[[#This Row],[Health]])</f>
        <v>1</v>
      </c>
      <c r="BG59">
        <f>TYPE(All_India_Index_Upto_April23__1[[#This Row],[Transport and communication]])</f>
        <v>1</v>
      </c>
      <c r="BH59">
        <f>TYPE(All_India_Index_Upto_April23__1[[#This Row],[Recreation and amusement]])</f>
        <v>1</v>
      </c>
      <c r="BI59">
        <f>TYPE(All_India_Index_Upto_April23__1[[#This Row],[Education]])</f>
        <v>1</v>
      </c>
      <c r="BJ59">
        <f>TYPE(All_India_Index_Upto_April23__1[[#This Row],[Personal care and effects]])</f>
        <v>1</v>
      </c>
      <c r="BK59">
        <f>TYPE(All_India_Index_Upto_April23__1[[#This Row],[Miscellaneous]])</f>
        <v>1</v>
      </c>
      <c r="BL59">
        <f>TYPE(All_India_Index_Upto_April23__1[[#This Row],[General index]])</f>
        <v>1</v>
      </c>
    </row>
    <row r="60" spans="1:64" hidden="1" x14ac:dyDescent="0.3">
      <c r="A60" t="s">
        <v>30</v>
      </c>
      <c r="B60">
        <v>2014</v>
      </c>
      <c r="C60" t="s">
        <v>40</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U60" t="s">
        <v>89</v>
      </c>
      <c r="V60">
        <v>115.4</v>
      </c>
      <c r="W60">
        <v>115.9</v>
      </c>
      <c r="X60">
        <v>114</v>
      </c>
      <c r="Y60">
        <v>113.2</v>
      </c>
      <c r="Z60">
        <v>112.2</v>
      </c>
      <c r="AA60">
        <v>116.2</v>
      </c>
      <c r="AB60">
        <v>109.4</v>
      </c>
      <c r="AC60">
        <v>113.5</v>
      </c>
      <c r="AD60">
        <v>120.7</v>
      </c>
      <c r="AE60">
        <f>SUM(All_India_Index_Upto_April23__1[[#This Row],[Cereals and products]:[Food and beverages]])</f>
        <v>1582.2999999999997</v>
      </c>
      <c r="AF60">
        <f>SUM(All_India_Index_Upto_April23__1[[#This Row],[Clothing]:[Clothing and footwear]])</f>
        <v>360.4</v>
      </c>
      <c r="AG60">
        <f t="shared" si="0"/>
        <v>344.5</v>
      </c>
      <c r="AI60">
        <f>TYPE(All_India_Index_Upto_April23__1[[#This Row],[Sector]])</f>
        <v>2</v>
      </c>
      <c r="AJ60">
        <f>TYPE(All_India_Index_Upto_April23__1[[#This Row],[Year]])</f>
        <v>1</v>
      </c>
      <c r="AK60">
        <f>TYPE(All_India_Index_Upto_April23__1[[#This Row],[Month]])</f>
        <v>2</v>
      </c>
      <c r="AL60">
        <f>TYPE(All_India_Index_Upto_April23__1[[#This Row],[Cereals and products]])</f>
        <v>1</v>
      </c>
      <c r="AM60">
        <f>TYPE(All_India_Index_Upto_April23__1[[#This Row],[Meat and fish]])</f>
        <v>1</v>
      </c>
      <c r="AN60">
        <f>TYPE(All_India_Index_Upto_April23__1[[#This Row],[Egg]])</f>
        <v>1</v>
      </c>
      <c r="AO60">
        <f>TYPE(All_India_Index_Upto_April23__1[[#This Row],[Milk and products]])</f>
        <v>1</v>
      </c>
      <c r="AP60">
        <f>TYPE(All_India_Index_Upto_April23__1[[#This Row],[Oils and fats]])</f>
        <v>1</v>
      </c>
      <c r="AQ60">
        <f>TYPE(All_India_Index_Upto_April23__1[[#This Row],[Fruits]])</f>
        <v>1</v>
      </c>
      <c r="AR60">
        <f>TYPE(All_India_Index_Upto_April23__1[[#This Row],[Vegetables]])</f>
        <v>1</v>
      </c>
      <c r="AS60">
        <f>TYPE(All_India_Index_Upto_April23__1[[#This Row],[Pulses and products]])</f>
        <v>1</v>
      </c>
      <c r="AT60">
        <f>TYPE(All_India_Index_Upto_April23__1[[#This Row],[Sugar and Confectionery]])</f>
        <v>1</v>
      </c>
      <c r="AU60">
        <f>TYPE(All_India_Index_Upto_April23__1[[#This Row],[Spices]])</f>
        <v>1</v>
      </c>
      <c r="AV60">
        <f>TYPE(All_India_Index_Upto_April23__1[[#This Row],[Non-alcoholic beverages]])</f>
        <v>1</v>
      </c>
      <c r="AW60">
        <f>TYPE(All_India_Index_Upto_April23__1[[#This Row],[Prepared meals, snacks, sweets etc.]])</f>
        <v>1</v>
      </c>
      <c r="AX60">
        <f>TYPE(All_India_Index_Upto_April23__1[[#This Row],[Food and beverages]])</f>
        <v>1</v>
      </c>
      <c r="AY60">
        <f>TYPE(All_India_Index_Upto_April23__1[[#This Row],[Pan, tobacco and intoxicants]])</f>
        <v>1</v>
      </c>
      <c r="AZ60">
        <f>TYPE(All_India_Index_Upto_April23__1[[#This Row],[Clothing]])</f>
        <v>1</v>
      </c>
      <c r="BA60">
        <f>TYPE(All_India_Index_Upto_April23__1[[#This Row],[Footwear]])</f>
        <v>1</v>
      </c>
      <c r="BB60">
        <f>TYPE(All_India_Index_Upto_April23__1[[#This Row],[Clothing and footwear]])</f>
        <v>1</v>
      </c>
      <c r="BC60">
        <f>TYPE(All_India_Index_Upto_April23__1[[#This Row],[Housing]])</f>
        <v>2</v>
      </c>
      <c r="BD60">
        <f>TYPE(All_India_Index_Upto_April23__1[[#This Row],[Fuel and light]])</f>
        <v>1</v>
      </c>
      <c r="BE60">
        <f>TYPE(All_India_Index_Upto_April23__1[[#This Row],[Household goods and services]])</f>
        <v>1</v>
      </c>
      <c r="BF60">
        <f>TYPE(All_India_Index_Upto_April23__1[[#This Row],[Health]])</f>
        <v>1</v>
      </c>
      <c r="BG60">
        <f>TYPE(All_India_Index_Upto_April23__1[[#This Row],[Transport and communication]])</f>
        <v>1</v>
      </c>
      <c r="BH60">
        <f>TYPE(All_India_Index_Upto_April23__1[[#This Row],[Recreation and amusement]])</f>
        <v>1</v>
      </c>
      <c r="BI60">
        <f>TYPE(All_India_Index_Upto_April23__1[[#This Row],[Education]])</f>
        <v>1</v>
      </c>
      <c r="BJ60">
        <f>TYPE(All_India_Index_Upto_April23__1[[#This Row],[Personal care and effects]])</f>
        <v>1</v>
      </c>
      <c r="BK60">
        <f>TYPE(All_India_Index_Upto_April23__1[[#This Row],[Miscellaneous]])</f>
        <v>1</v>
      </c>
      <c r="BL60">
        <f>TYPE(All_India_Index_Upto_April23__1[[#This Row],[General index]])</f>
        <v>1</v>
      </c>
    </row>
    <row r="61" spans="1:64" hidden="1" x14ac:dyDescent="0.3">
      <c r="A61" t="s">
        <v>32</v>
      </c>
      <c r="B61">
        <v>2014</v>
      </c>
      <c r="C61" t="s">
        <v>40</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t="s">
        <v>108</v>
      </c>
      <c r="V61">
        <v>111.8</v>
      </c>
      <c r="W61">
        <v>115.3</v>
      </c>
      <c r="X61">
        <v>112.2</v>
      </c>
      <c r="Y61">
        <v>112.5</v>
      </c>
      <c r="Z61">
        <v>112.9</v>
      </c>
      <c r="AA61">
        <v>119.2</v>
      </c>
      <c r="AB61">
        <v>110.5</v>
      </c>
      <c r="AC61">
        <v>113.9</v>
      </c>
      <c r="AD61">
        <v>119.9</v>
      </c>
      <c r="AE61">
        <f>SUM(All_India_Index_Upto_April23__1[[#This Row],[Cereals and products]:[Food and beverages]])</f>
        <v>1617</v>
      </c>
      <c r="AF61">
        <f>SUM(All_India_Index_Upto_April23__1[[#This Row],[Clothing]:[Clothing and footwear]])</f>
        <v>350.6</v>
      </c>
      <c r="AG61">
        <f t="shared" si="0"/>
        <v>339.6</v>
      </c>
      <c r="AI61">
        <f>TYPE(All_India_Index_Upto_April23__1[[#This Row],[Sector]])</f>
        <v>2</v>
      </c>
      <c r="AJ61">
        <f>TYPE(All_India_Index_Upto_April23__1[[#This Row],[Year]])</f>
        <v>1</v>
      </c>
      <c r="AK61">
        <f>TYPE(All_India_Index_Upto_April23__1[[#This Row],[Month]])</f>
        <v>2</v>
      </c>
      <c r="AL61">
        <f>TYPE(All_India_Index_Upto_April23__1[[#This Row],[Cereals and products]])</f>
        <v>1</v>
      </c>
      <c r="AM61">
        <f>TYPE(All_India_Index_Upto_April23__1[[#This Row],[Meat and fish]])</f>
        <v>1</v>
      </c>
      <c r="AN61">
        <f>TYPE(All_India_Index_Upto_April23__1[[#This Row],[Egg]])</f>
        <v>1</v>
      </c>
      <c r="AO61">
        <f>TYPE(All_India_Index_Upto_April23__1[[#This Row],[Milk and products]])</f>
        <v>1</v>
      </c>
      <c r="AP61">
        <f>TYPE(All_India_Index_Upto_April23__1[[#This Row],[Oils and fats]])</f>
        <v>1</v>
      </c>
      <c r="AQ61">
        <f>TYPE(All_India_Index_Upto_April23__1[[#This Row],[Fruits]])</f>
        <v>1</v>
      </c>
      <c r="AR61">
        <f>TYPE(All_India_Index_Upto_April23__1[[#This Row],[Vegetables]])</f>
        <v>1</v>
      </c>
      <c r="AS61">
        <f>TYPE(All_India_Index_Upto_April23__1[[#This Row],[Pulses and products]])</f>
        <v>1</v>
      </c>
      <c r="AT61">
        <f>TYPE(All_India_Index_Upto_April23__1[[#This Row],[Sugar and Confectionery]])</f>
        <v>1</v>
      </c>
      <c r="AU61">
        <f>TYPE(All_India_Index_Upto_April23__1[[#This Row],[Spices]])</f>
        <v>1</v>
      </c>
      <c r="AV61">
        <f>TYPE(All_India_Index_Upto_April23__1[[#This Row],[Non-alcoholic beverages]])</f>
        <v>1</v>
      </c>
      <c r="AW61">
        <f>TYPE(All_India_Index_Upto_April23__1[[#This Row],[Prepared meals, snacks, sweets etc.]])</f>
        <v>1</v>
      </c>
      <c r="AX61">
        <f>TYPE(All_India_Index_Upto_April23__1[[#This Row],[Food and beverages]])</f>
        <v>1</v>
      </c>
      <c r="AY61">
        <f>TYPE(All_India_Index_Upto_April23__1[[#This Row],[Pan, tobacco and intoxicants]])</f>
        <v>1</v>
      </c>
      <c r="AZ61">
        <f>TYPE(All_India_Index_Upto_April23__1[[#This Row],[Clothing]])</f>
        <v>1</v>
      </c>
      <c r="BA61">
        <f>TYPE(All_India_Index_Upto_April23__1[[#This Row],[Footwear]])</f>
        <v>1</v>
      </c>
      <c r="BB61">
        <f>TYPE(All_India_Index_Upto_April23__1[[#This Row],[Clothing and footwear]])</f>
        <v>1</v>
      </c>
      <c r="BC61">
        <f>TYPE(All_India_Index_Upto_April23__1[[#This Row],[Housing]])</f>
        <v>2</v>
      </c>
      <c r="BD61">
        <f>TYPE(All_India_Index_Upto_April23__1[[#This Row],[Fuel and light]])</f>
        <v>1</v>
      </c>
      <c r="BE61">
        <f>TYPE(All_India_Index_Upto_April23__1[[#This Row],[Household goods and services]])</f>
        <v>1</v>
      </c>
      <c r="BF61">
        <f>TYPE(All_India_Index_Upto_April23__1[[#This Row],[Health]])</f>
        <v>1</v>
      </c>
      <c r="BG61">
        <f>TYPE(All_India_Index_Upto_April23__1[[#This Row],[Transport and communication]])</f>
        <v>1</v>
      </c>
      <c r="BH61">
        <f>TYPE(All_India_Index_Upto_April23__1[[#This Row],[Recreation and amusement]])</f>
        <v>1</v>
      </c>
      <c r="BI61">
        <f>TYPE(All_India_Index_Upto_April23__1[[#This Row],[Education]])</f>
        <v>1</v>
      </c>
      <c r="BJ61">
        <f>TYPE(All_India_Index_Upto_April23__1[[#This Row],[Personal care and effects]])</f>
        <v>1</v>
      </c>
      <c r="BK61">
        <f>TYPE(All_India_Index_Upto_April23__1[[#This Row],[Miscellaneous]])</f>
        <v>1</v>
      </c>
      <c r="BL61">
        <f>TYPE(All_India_Index_Upto_April23__1[[#This Row],[General index]])</f>
        <v>1</v>
      </c>
    </row>
    <row r="62" spans="1:64" hidden="1" x14ac:dyDescent="0.3">
      <c r="A62" t="s">
        <v>33</v>
      </c>
      <c r="B62">
        <v>2014</v>
      </c>
      <c r="C62" t="s">
        <v>40</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t="s">
        <v>108</v>
      </c>
      <c r="V62">
        <v>114</v>
      </c>
      <c r="W62">
        <v>115.6</v>
      </c>
      <c r="X62">
        <v>113.3</v>
      </c>
      <c r="Y62">
        <v>112.8</v>
      </c>
      <c r="Z62">
        <v>112.6</v>
      </c>
      <c r="AA62">
        <v>118</v>
      </c>
      <c r="AB62">
        <v>109.9</v>
      </c>
      <c r="AC62">
        <v>113.7</v>
      </c>
      <c r="AD62">
        <v>120.3</v>
      </c>
      <c r="AE62">
        <f>SUM(All_India_Index_Upto_April23__1[[#This Row],[Cereals and products]:[Food and beverages]])</f>
        <v>1594.4999999999998</v>
      </c>
      <c r="AF62">
        <f>SUM(All_India_Index_Upto_April23__1[[#This Row],[Clothing]:[Clothing and footwear]])</f>
        <v>356.4</v>
      </c>
      <c r="AG62">
        <f t="shared" si="0"/>
        <v>342.4</v>
      </c>
      <c r="AI62">
        <f>TYPE(All_India_Index_Upto_April23__1[[#This Row],[Sector]])</f>
        <v>2</v>
      </c>
      <c r="AJ62">
        <f>TYPE(All_India_Index_Upto_April23__1[[#This Row],[Year]])</f>
        <v>1</v>
      </c>
      <c r="AK62">
        <f>TYPE(All_India_Index_Upto_April23__1[[#This Row],[Month]])</f>
        <v>2</v>
      </c>
      <c r="AL62">
        <f>TYPE(All_India_Index_Upto_April23__1[[#This Row],[Cereals and products]])</f>
        <v>1</v>
      </c>
      <c r="AM62">
        <f>TYPE(All_India_Index_Upto_April23__1[[#This Row],[Meat and fish]])</f>
        <v>1</v>
      </c>
      <c r="AN62">
        <f>TYPE(All_India_Index_Upto_April23__1[[#This Row],[Egg]])</f>
        <v>1</v>
      </c>
      <c r="AO62">
        <f>TYPE(All_India_Index_Upto_April23__1[[#This Row],[Milk and products]])</f>
        <v>1</v>
      </c>
      <c r="AP62">
        <f>TYPE(All_India_Index_Upto_April23__1[[#This Row],[Oils and fats]])</f>
        <v>1</v>
      </c>
      <c r="AQ62">
        <f>TYPE(All_India_Index_Upto_April23__1[[#This Row],[Fruits]])</f>
        <v>1</v>
      </c>
      <c r="AR62">
        <f>TYPE(All_India_Index_Upto_April23__1[[#This Row],[Vegetables]])</f>
        <v>1</v>
      </c>
      <c r="AS62">
        <f>TYPE(All_India_Index_Upto_April23__1[[#This Row],[Pulses and products]])</f>
        <v>1</v>
      </c>
      <c r="AT62">
        <f>TYPE(All_India_Index_Upto_April23__1[[#This Row],[Sugar and Confectionery]])</f>
        <v>1</v>
      </c>
      <c r="AU62">
        <f>TYPE(All_India_Index_Upto_April23__1[[#This Row],[Spices]])</f>
        <v>1</v>
      </c>
      <c r="AV62">
        <f>TYPE(All_India_Index_Upto_April23__1[[#This Row],[Non-alcoholic beverages]])</f>
        <v>1</v>
      </c>
      <c r="AW62">
        <f>TYPE(All_India_Index_Upto_April23__1[[#This Row],[Prepared meals, snacks, sweets etc.]])</f>
        <v>1</v>
      </c>
      <c r="AX62">
        <f>TYPE(All_India_Index_Upto_April23__1[[#This Row],[Food and beverages]])</f>
        <v>1</v>
      </c>
      <c r="AY62">
        <f>TYPE(All_India_Index_Upto_April23__1[[#This Row],[Pan, tobacco and intoxicants]])</f>
        <v>1</v>
      </c>
      <c r="AZ62">
        <f>TYPE(All_India_Index_Upto_April23__1[[#This Row],[Clothing]])</f>
        <v>1</v>
      </c>
      <c r="BA62">
        <f>TYPE(All_India_Index_Upto_April23__1[[#This Row],[Footwear]])</f>
        <v>1</v>
      </c>
      <c r="BB62">
        <f>TYPE(All_India_Index_Upto_April23__1[[#This Row],[Clothing and footwear]])</f>
        <v>1</v>
      </c>
      <c r="BC62">
        <f>TYPE(All_India_Index_Upto_April23__1[[#This Row],[Housing]])</f>
        <v>2</v>
      </c>
      <c r="BD62">
        <f>TYPE(All_India_Index_Upto_April23__1[[#This Row],[Fuel and light]])</f>
        <v>1</v>
      </c>
      <c r="BE62">
        <f>TYPE(All_India_Index_Upto_April23__1[[#This Row],[Household goods and services]])</f>
        <v>1</v>
      </c>
      <c r="BF62">
        <f>TYPE(All_India_Index_Upto_April23__1[[#This Row],[Health]])</f>
        <v>1</v>
      </c>
      <c r="BG62">
        <f>TYPE(All_India_Index_Upto_April23__1[[#This Row],[Transport and communication]])</f>
        <v>1</v>
      </c>
      <c r="BH62">
        <f>TYPE(All_India_Index_Upto_April23__1[[#This Row],[Recreation and amusement]])</f>
        <v>1</v>
      </c>
      <c r="BI62">
        <f>TYPE(All_India_Index_Upto_April23__1[[#This Row],[Education]])</f>
        <v>1</v>
      </c>
      <c r="BJ62">
        <f>TYPE(All_India_Index_Upto_April23__1[[#This Row],[Personal care and effects]])</f>
        <v>1</v>
      </c>
      <c r="BK62">
        <f>TYPE(All_India_Index_Upto_April23__1[[#This Row],[Miscellaneous]])</f>
        <v>1</v>
      </c>
      <c r="BL62">
        <f>TYPE(All_India_Index_Upto_April23__1[[#This Row],[General index]])</f>
        <v>1</v>
      </c>
    </row>
    <row r="63" spans="1:64" hidden="1" x14ac:dyDescent="0.3">
      <c r="A63" t="s">
        <v>30</v>
      </c>
      <c r="B63">
        <v>2014</v>
      </c>
      <c r="C63" t="s">
        <v>41</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U63" t="s">
        <v>89</v>
      </c>
      <c r="V63">
        <v>115.8</v>
      </c>
      <c r="W63">
        <v>116.7</v>
      </c>
      <c r="X63">
        <v>114.5</v>
      </c>
      <c r="Y63">
        <v>112.8</v>
      </c>
      <c r="Z63">
        <v>112.6</v>
      </c>
      <c r="AA63">
        <v>116.6</v>
      </c>
      <c r="AB63">
        <v>109.1</v>
      </c>
      <c r="AC63">
        <v>113.7</v>
      </c>
      <c r="AD63">
        <v>120.9</v>
      </c>
      <c r="AE63">
        <f>SUM(All_India_Index_Upto_April23__1[[#This Row],[Cereals and products]:[Food and beverages]])</f>
        <v>1583.2</v>
      </c>
      <c r="AF63">
        <f>SUM(All_India_Index_Upto_April23__1[[#This Row],[Clothing]:[Clothing and footwear]])</f>
        <v>362.2</v>
      </c>
      <c r="AG63">
        <f t="shared" si="0"/>
        <v>345.3</v>
      </c>
      <c r="AI63">
        <f>TYPE(All_India_Index_Upto_April23__1[[#This Row],[Sector]])</f>
        <v>2</v>
      </c>
      <c r="AJ63">
        <f>TYPE(All_India_Index_Upto_April23__1[[#This Row],[Year]])</f>
        <v>1</v>
      </c>
      <c r="AK63">
        <f>TYPE(All_India_Index_Upto_April23__1[[#This Row],[Month]])</f>
        <v>2</v>
      </c>
      <c r="AL63">
        <f>TYPE(All_India_Index_Upto_April23__1[[#This Row],[Cereals and products]])</f>
        <v>1</v>
      </c>
      <c r="AM63">
        <f>TYPE(All_India_Index_Upto_April23__1[[#This Row],[Meat and fish]])</f>
        <v>1</v>
      </c>
      <c r="AN63">
        <f>TYPE(All_India_Index_Upto_April23__1[[#This Row],[Egg]])</f>
        <v>1</v>
      </c>
      <c r="AO63">
        <f>TYPE(All_India_Index_Upto_April23__1[[#This Row],[Milk and products]])</f>
        <v>1</v>
      </c>
      <c r="AP63">
        <f>TYPE(All_India_Index_Upto_April23__1[[#This Row],[Oils and fats]])</f>
        <v>1</v>
      </c>
      <c r="AQ63">
        <f>TYPE(All_India_Index_Upto_April23__1[[#This Row],[Fruits]])</f>
        <v>1</v>
      </c>
      <c r="AR63">
        <f>TYPE(All_India_Index_Upto_April23__1[[#This Row],[Vegetables]])</f>
        <v>1</v>
      </c>
      <c r="AS63">
        <f>TYPE(All_India_Index_Upto_April23__1[[#This Row],[Pulses and products]])</f>
        <v>1</v>
      </c>
      <c r="AT63">
        <f>TYPE(All_India_Index_Upto_April23__1[[#This Row],[Sugar and Confectionery]])</f>
        <v>1</v>
      </c>
      <c r="AU63">
        <f>TYPE(All_India_Index_Upto_April23__1[[#This Row],[Spices]])</f>
        <v>1</v>
      </c>
      <c r="AV63">
        <f>TYPE(All_India_Index_Upto_April23__1[[#This Row],[Non-alcoholic beverages]])</f>
        <v>1</v>
      </c>
      <c r="AW63">
        <f>TYPE(All_India_Index_Upto_April23__1[[#This Row],[Prepared meals, snacks, sweets etc.]])</f>
        <v>1</v>
      </c>
      <c r="AX63">
        <f>TYPE(All_India_Index_Upto_April23__1[[#This Row],[Food and beverages]])</f>
        <v>1</v>
      </c>
      <c r="AY63">
        <f>TYPE(All_India_Index_Upto_April23__1[[#This Row],[Pan, tobacco and intoxicants]])</f>
        <v>1</v>
      </c>
      <c r="AZ63">
        <f>TYPE(All_India_Index_Upto_April23__1[[#This Row],[Clothing]])</f>
        <v>1</v>
      </c>
      <c r="BA63">
        <f>TYPE(All_India_Index_Upto_April23__1[[#This Row],[Footwear]])</f>
        <v>1</v>
      </c>
      <c r="BB63">
        <f>TYPE(All_India_Index_Upto_April23__1[[#This Row],[Clothing and footwear]])</f>
        <v>1</v>
      </c>
      <c r="BC63">
        <f>TYPE(All_India_Index_Upto_April23__1[[#This Row],[Housing]])</f>
        <v>2</v>
      </c>
      <c r="BD63">
        <f>TYPE(All_India_Index_Upto_April23__1[[#This Row],[Fuel and light]])</f>
        <v>1</v>
      </c>
      <c r="BE63">
        <f>TYPE(All_India_Index_Upto_April23__1[[#This Row],[Household goods and services]])</f>
        <v>1</v>
      </c>
      <c r="BF63">
        <f>TYPE(All_India_Index_Upto_April23__1[[#This Row],[Health]])</f>
        <v>1</v>
      </c>
      <c r="BG63">
        <f>TYPE(All_India_Index_Upto_April23__1[[#This Row],[Transport and communication]])</f>
        <v>1</v>
      </c>
      <c r="BH63">
        <f>TYPE(All_India_Index_Upto_April23__1[[#This Row],[Recreation and amusement]])</f>
        <v>1</v>
      </c>
      <c r="BI63">
        <f>TYPE(All_India_Index_Upto_April23__1[[#This Row],[Education]])</f>
        <v>1</v>
      </c>
      <c r="BJ63">
        <f>TYPE(All_India_Index_Upto_April23__1[[#This Row],[Personal care and effects]])</f>
        <v>1</v>
      </c>
      <c r="BK63">
        <f>TYPE(All_India_Index_Upto_April23__1[[#This Row],[Miscellaneous]])</f>
        <v>1</v>
      </c>
      <c r="BL63">
        <f>TYPE(All_India_Index_Upto_April23__1[[#This Row],[General index]])</f>
        <v>1</v>
      </c>
    </row>
    <row r="64" spans="1:64" hidden="1" x14ac:dyDescent="0.3">
      <c r="A64" t="s">
        <v>32</v>
      </c>
      <c r="B64">
        <v>2014</v>
      </c>
      <c r="C64" t="s">
        <v>41</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t="s">
        <v>109</v>
      </c>
      <c r="V64">
        <v>111.8</v>
      </c>
      <c r="W64">
        <v>115.5</v>
      </c>
      <c r="X64">
        <v>112.3</v>
      </c>
      <c r="Y64">
        <v>111.2</v>
      </c>
      <c r="Z64">
        <v>113.4</v>
      </c>
      <c r="AA64">
        <v>120</v>
      </c>
      <c r="AB64">
        <v>110</v>
      </c>
      <c r="AC64">
        <v>113.6</v>
      </c>
      <c r="AD64">
        <v>119.2</v>
      </c>
      <c r="AE64">
        <f>SUM(All_India_Index_Upto_April23__1[[#This Row],[Cereals and products]:[Food and beverages]])</f>
        <v>1593.7000000000003</v>
      </c>
      <c r="AF64">
        <f>SUM(All_India_Index_Upto_April23__1[[#This Row],[Clothing]:[Clothing and footwear]])</f>
        <v>352.1</v>
      </c>
      <c r="AG64">
        <f t="shared" si="0"/>
        <v>338.5</v>
      </c>
      <c r="AI64">
        <f>TYPE(All_India_Index_Upto_April23__1[[#This Row],[Sector]])</f>
        <v>2</v>
      </c>
      <c r="AJ64">
        <f>TYPE(All_India_Index_Upto_April23__1[[#This Row],[Year]])</f>
        <v>1</v>
      </c>
      <c r="AK64">
        <f>TYPE(All_India_Index_Upto_April23__1[[#This Row],[Month]])</f>
        <v>2</v>
      </c>
      <c r="AL64">
        <f>TYPE(All_India_Index_Upto_April23__1[[#This Row],[Cereals and products]])</f>
        <v>1</v>
      </c>
      <c r="AM64">
        <f>TYPE(All_India_Index_Upto_April23__1[[#This Row],[Meat and fish]])</f>
        <v>1</v>
      </c>
      <c r="AN64">
        <f>TYPE(All_India_Index_Upto_April23__1[[#This Row],[Egg]])</f>
        <v>1</v>
      </c>
      <c r="AO64">
        <f>TYPE(All_India_Index_Upto_April23__1[[#This Row],[Milk and products]])</f>
        <v>1</v>
      </c>
      <c r="AP64">
        <f>TYPE(All_India_Index_Upto_April23__1[[#This Row],[Oils and fats]])</f>
        <v>1</v>
      </c>
      <c r="AQ64">
        <f>TYPE(All_India_Index_Upto_April23__1[[#This Row],[Fruits]])</f>
        <v>1</v>
      </c>
      <c r="AR64">
        <f>TYPE(All_India_Index_Upto_April23__1[[#This Row],[Vegetables]])</f>
        <v>1</v>
      </c>
      <c r="AS64">
        <f>TYPE(All_India_Index_Upto_April23__1[[#This Row],[Pulses and products]])</f>
        <v>1</v>
      </c>
      <c r="AT64">
        <f>TYPE(All_India_Index_Upto_April23__1[[#This Row],[Sugar and Confectionery]])</f>
        <v>1</v>
      </c>
      <c r="AU64">
        <f>TYPE(All_India_Index_Upto_April23__1[[#This Row],[Spices]])</f>
        <v>1</v>
      </c>
      <c r="AV64">
        <f>TYPE(All_India_Index_Upto_April23__1[[#This Row],[Non-alcoholic beverages]])</f>
        <v>1</v>
      </c>
      <c r="AW64">
        <f>TYPE(All_India_Index_Upto_April23__1[[#This Row],[Prepared meals, snacks, sweets etc.]])</f>
        <v>1</v>
      </c>
      <c r="AX64">
        <f>TYPE(All_India_Index_Upto_April23__1[[#This Row],[Food and beverages]])</f>
        <v>1</v>
      </c>
      <c r="AY64">
        <f>TYPE(All_India_Index_Upto_April23__1[[#This Row],[Pan, tobacco and intoxicants]])</f>
        <v>1</v>
      </c>
      <c r="AZ64">
        <f>TYPE(All_India_Index_Upto_April23__1[[#This Row],[Clothing]])</f>
        <v>1</v>
      </c>
      <c r="BA64">
        <f>TYPE(All_India_Index_Upto_April23__1[[#This Row],[Footwear]])</f>
        <v>1</v>
      </c>
      <c r="BB64">
        <f>TYPE(All_India_Index_Upto_April23__1[[#This Row],[Clothing and footwear]])</f>
        <v>1</v>
      </c>
      <c r="BC64">
        <f>TYPE(All_India_Index_Upto_April23__1[[#This Row],[Housing]])</f>
        <v>2</v>
      </c>
      <c r="BD64">
        <f>TYPE(All_India_Index_Upto_April23__1[[#This Row],[Fuel and light]])</f>
        <v>1</v>
      </c>
      <c r="BE64">
        <f>TYPE(All_India_Index_Upto_April23__1[[#This Row],[Household goods and services]])</f>
        <v>1</v>
      </c>
      <c r="BF64">
        <f>TYPE(All_India_Index_Upto_April23__1[[#This Row],[Health]])</f>
        <v>1</v>
      </c>
      <c r="BG64">
        <f>TYPE(All_India_Index_Upto_April23__1[[#This Row],[Transport and communication]])</f>
        <v>1</v>
      </c>
      <c r="BH64">
        <f>TYPE(All_India_Index_Upto_April23__1[[#This Row],[Recreation and amusement]])</f>
        <v>1</v>
      </c>
      <c r="BI64">
        <f>TYPE(All_India_Index_Upto_April23__1[[#This Row],[Education]])</f>
        <v>1</v>
      </c>
      <c r="BJ64">
        <f>TYPE(All_India_Index_Upto_April23__1[[#This Row],[Personal care and effects]])</f>
        <v>1</v>
      </c>
      <c r="BK64">
        <f>TYPE(All_India_Index_Upto_April23__1[[#This Row],[Miscellaneous]])</f>
        <v>1</v>
      </c>
      <c r="BL64">
        <f>TYPE(All_India_Index_Upto_April23__1[[#This Row],[General index]])</f>
        <v>1</v>
      </c>
    </row>
    <row r="65" spans="1:64" hidden="1" x14ac:dyDescent="0.3">
      <c r="A65" t="s">
        <v>33</v>
      </c>
      <c r="B65">
        <v>2014</v>
      </c>
      <c r="C65" t="s">
        <v>41</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t="s">
        <v>109</v>
      </c>
      <c r="V65">
        <v>114.3</v>
      </c>
      <c r="W65">
        <v>116.1</v>
      </c>
      <c r="X65">
        <v>113.7</v>
      </c>
      <c r="Y65">
        <v>112</v>
      </c>
      <c r="Z65">
        <v>113.1</v>
      </c>
      <c r="AA65">
        <v>118.6</v>
      </c>
      <c r="AB65">
        <v>109.5</v>
      </c>
      <c r="AC65">
        <v>113.7</v>
      </c>
      <c r="AD65">
        <v>120.1</v>
      </c>
      <c r="AE65">
        <f>SUM(All_India_Index_Upto_April23__1[[#This Row],[Cereals and products]:[Food and beverages]])</f>
        <v>1586.0999999999997</v>
      </c>
      <c r="AF65">
        <f>SUM(All_India_Index_Upto_April23__1[[#This Row],[Clothing]:[Clothing and footwear]])</f>
        <v>358</v>
      </c>
      <c r="AG65">
        <f t="shared" si="0"/>
        <v>342.4</v>
      </c>
      <c r="AI65">
        <f>TYPE(All_India_Index_Upto_April23__1[[#This Row],[Sector]])</f>
        <v>2</v>
      </c>
      <c r="AJ65">
        <f>TYPE(All_India_Index_Upto_April23__1[[#This Row],[Year]])</f>
        <v>1</v>
      </c>
      <c r="AK65">
        <f>TYPE(All_India_Index_Upto_April23__1[[#This Row],[Month]])</f>
        <v>2</v>
      </c>
      <c r="AL65">
        <f>TYPE(All_India_Index_Upto_April23__1[[#This Row],[Cereals and products]])</f>
        <v>1</v>
      </c>
      <c r="AM65">
        <f>TYPE(All_India_Index_Upto_April23__1[[#This Row],[Meat and fish]])</f>
        <v>1</v>
      </c>
      <c r="AN65">
        <f>TYPE(All_India_Index_Upto_April23__1[[#This Row],[Egg]])</f>
        <v>1</v>
      </c>
      <c r="AO65">
        <f>TYPE(All_India_Index_Upto_April23__1[[#This Row],[Milk and products]])</f>
        <v>1</v>
      </c>
      <c r="AP65">
        <f>TYPE(All_India_Index_Upto_April23__1[[#This Row],[Oils and fats]])</f>
        <v>1</v>
      </c>
      <c r="AQ65">
        <f>TYPE(All_India_Index_Upto_April23__1[[#This Row],[Fruits]])</f>
        <v>1</v>
      </c>
      <c r="AR65">
        <f>TYPE(All_India_Index_Upto_April23__1[[#This Row],[Vegetables]])</f>
        <v>1</v>
      </c>
      <c r="AS65">
        <f>TYPE(All_India_Index_Upto_April23__1[[#This Row],[Pulses and products]])</f>
        <v>1</v>
      </c>
      <c r="AT65">
        <f>TYPE(All_India_Index_Upto_April23__1[[#This Row],[Sugar and Confectionery]])</f>
        <v>1</v>
      </c>
      <c r="AU65">
        <f>TYPE(All_India_Index_Upto_April23__1[[#This Row],[Spices]])</f>
        <v>1</v>
      </c>
      <c r="AV65">
        <f>TYPE(All_India_Index_Upto_April23__1[[#This Row],[Non-alcoholic beverages]])</f>
        <v>1</v>
      </c>
      <c r="AW65">
        <f>TYPE(All_India_Index_Upto_April23__1[[#This Row],[Prepared meals, snacks, sweets etc.]])</f>
        <v>1</v>
      </c>
      <c r="AX65">
        <f>TYPE(All_India_Index_Upto_April23__1[[#This Row],[Food and beverages]])</f>
        <v>1</v>
      </c>
      <c r="AY65">
        <f>TYPE(All_India_Index_Upto_April23__1[[#This Row],[Pan, tobacco and intoxicants]])</f>
        <v>1</v>
      </c>
      <c r="AZ65">
        <f>TYPE(All_India_Index_Upto_April23__1[[#This Row],[Clothing]])</f>
        <v>1</v>
      </c>
      <c r="BA65">
        <f>TYPE(All_India_Index_Upto_April23__1[[#This Row],[Footwear]])</f>
        <v>1</v>
      </c>
      <c r="BB65">
        <f>TYPE(All_India_Index_Upto_April23__1[[#This Row],[Clothing and footwear]])</f>
        <v>1</v>
      </c>
      <c r="BC65">
        <f>TYPE(All_India_Index_Upto_April23__1[[#This Row],[Housing]])</f>
        <v>2</v>
      </c>
      <c r="BD65">
        <f>TYPE(All_India_Index_Upto_April23__1[[#This Row],[Fuel and light]])</f>
        <v>1</v>
      </c>
      <c r="BE65">
        <f>TYPE(All_India_Index_Upto_April23__1[[#This Row],[Household goods and services]])</f>
        <v>1</v>
      </c>
      <c r="BF65">
        <f>TYPE(All_India_Index_Upto_April23__1[[#This Row],[Health]])</f>
        <v>1</v>
      </c>
      <c r="BG65">
        <f>TYPE(All_India_Index_Upto_April23__1[[#This Row],[Transport and communication]])</f>
        <v>1</v>
      </c>
      <c r="BH65">
        <f>TYPE(All_India_Index_Upto_April23__1[[#This Row],[Recreation and amusement]])</f>
        <v>1</v>
      </c>
      <c r="BI65">
        <f>TYPE(All_India_Index_Upto_April23__1[[#This Row],[Education]])</f>
        <v>1</v>
      </c>
      <c r="BJ65">
        <f>TYPE(All_India_Index_Upto_April23__1[[#This Row],[Personal care and effects]])</f>
        <v>1</v>
      </c>
      <c r="BK65">
        <f>TYPE(All_India_Index_Upto_April23__1[[#This Row],[Miscellaneous]])</f>
        <v>1</v>
      </c>
      <c r="BL65">
        <f>TYPE(All_India_Index_Upto_April23__1[[#This Row],[General index]])</f>
        <v>1</v>
      </c>
    </row>
    <row r="66" spans="1:64" hidden="1" x14ac:dyDescent="0.3">
      <c r="A66" t="s">
        <v>30</v>
      </c>
      <c r="B66">
        <v>2014</v>
      </c>
      <c r="C66" t="s">
        <v>42</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U66" t="s">
        <v>89</v>
      </c>
      <c r="V66">
        <v>116.4</v>
      </c>
      <c r="W66">
        <v>117.5</v>
      </c>
      <c r="X66">
        <v>115.3</v>
      </c>
      <c r="Y66">
        <v>112.6</v>
      </c>
      <c r="Z66">
        <v>113</v>
      </c>
      <c r="AA66">
        <v>116.9</v>
      </c>
      <c r="AB66">
        <v>109.3</v>
      </c>
      <c r="AC66">
        <v>114</v>
      </c>
      <c r="AD66">
        <v>121</v>
      </c>
      <c r="AE66">
        <f>SUM(All_India_Index_Upto_April23__1[[#This Row],[Cereals and products]:[Food and beverages]])</f>
        <v>1581.1999999999998</v>
      </c>
      <c r="AF66">
        <f>SUM(All_India_Index_Upto_April23__1[[#This Row],[Clothing]:[Clothing and footwear]])</f>
        <v>365.3</v>
      </c>
      <c r="AG66">
        <f t="shared" si="0"/>
        <v>346.5</v>
      </c>
      <c r="AI66">
        <f>TYPE(All_India_Index_Upto_April23__1[[#This Row],[Sector]])</f>
        <v>2</v>
      </c>
      <c r="AJ66">
        <f>TYPE(All_India_Index_Upto_April23__1[[#This Row],[Year]])</f>
        <v>1</v>
      </c>
      <c r="AK66">
        <f>TYPE(All_India_Index_Upto_April23__1[[#This Row],[Month]])</f>
        <v>2</v>
      </c>
      <c r="AL66">
        <f>TYPE(All_India_Index_Upto_April23__1[[#This Row],[Cereals and products]])</f>
        <v>1</v>
      </c>
      <c r="AM66">
        <f>TYPE(All_India_Index_Upto_April23__1[[#This Row],[Meat and fish]])</f>
        <v>1</v>
      </c>
      <c r="AN66">
        <f>TYPE(All_India_Index_Upto_April23__1[[#This Row],[Egg]])</f>
        <v>1</v>
      </c>
      <c r="AO66">
        <f>TYPE(All_India_Index_Upto_April23__1[[#This Row],[Milk and products]])</f>
        <v>1</v>
      </c>
      <c r="AP66">
        <f>TYPE(All_India_Index_Upto_April23__1[[#This Row],[Oils and fats]])</f>
        <v>1</v>
      </c>
      <c r="AQ66">
        <f>TYPE(All_India_Index_Upto_April23__1[[#This Row],[Fruits]])</f>
        <v>1</v>
      </c>
      <c r="AR66">
        <f>TYPE(All_India_Index_Upto_April23__1[[#This Row],[Vegetables]])</f>
        <v>1</v>
      </c>
      <c r="AS66">
        <f>TYPE(All_India_Index_Upto_April23__1[[#This Row],[Pulses and products]])</f>
        <v>1</v>
      </c>
      <c r="AT66">
        <f>TYPE(All_India_Index_Upto_April23__1[[#This Row],[Sugar and Confectionery]])</f>
        <v>1</v>
      </c>
      <c r="AU66">
        <f>TYPE(All_India_Index_Upto_April23__1[[#This Row],[Spices]])</f>
        <v>1</v>
      </c>
      <c r="AV66">
        <f>TYPE(All_India_Index_Upto_April23__1[[#This Row],[Non-alcoholic beverages]])</f>
        <v>1</v>
      </c>
      <c r="AW66">
        <f>TYPE(All_India_Index_Upto_April23__1[[#This Row],[Prepared meals, snacks, sweets etc.]])</f>
        <v>1</v>
      </c>
      <c r="AX66">
        <f>TYPE(All_India_Index_Upto_April23__1[[#This Row],[Food and beverages]])</f>
        <v>1</v>
      </c>
      <c r="AY66">
        <f>TYPE(All_India_Index_Upto_April23__1[[#This Row],[Pan, tobacco and intoxicants]])</f>
        <v>1</v>
      </c>
      <c r="AZ66">
        <f>TYPE(All_India_Index_Upto_April23__1[[#This Row],[Clothing]])</f>
        <v>1</v>
      </c>
      <c r="BA66">
        <f>TYPE(All_India_Index_Upto_April23__1[[#This Row],[Footwear]])</f>
        <v>1</v>
      </c>
      <c r="BB66">
        <f>TYPE(All_India_Index_Upto_April23__1[[#This Row],[Clothing and footwear]])</f>
        <v>1</v>
      </c>
      <c r="BC66">
        <f>TYPE(All_India_Index_Upto_April23__1[[#This Row],[Housing]])</f>
        <v>2</v>
      </c>
      <c r="BD66">
        <f>TYPE(All_India_Index_Upto_April23__1[[#This Row],[Fuel and light]])</f>
        <v>1</v>
      </c>
      <c r="BE66">
        <f>TYPE(All_India_Index_Upto_April23__1[[#This Row],[Household goods and services]])</f>
        <v>1</v>
      </c>
      <c r="BF66">
        <f>TYPE(All_India_Index_Upto_April23__1[[#This Row],[Health]])</f>
        <v>1</v>
      </c>
      <c r="BG66">
        <f>TYPE(All_India_Index_Upto_April23__1[[#This Row],[Transport and communication]])</f>
        <v>1</v>
      </c>
      <c r="BH66">
        <f>TYPE(All_India_Index_Upto_April23__1[[#This Row],[Recreation and amusement]])</f>
        <v>1</v>
      </c>
      <c r="BI66">
        <f>TYPE(All_India_Index_Upto_April23__1[[#This Row],[Education]])</f>
        <v>1</v>
      </c>
      <c r="BJ66">
        <f>TYPE(All_India_Index_Upto_April23__1[[#This Row],[Personal care and effects]])</f>
        <v>1</v>
      </c>
      <c r="BK66">
        <f>TYPE(All_India_Index_Upto_April23__1[[#This Row],[Miscellaneous]])</f>
        <v>1</v>
      </c>
      <c r="BL66">
        <f>TYPE(All_India_Index_Upto_April23__1[[#This Row],[General index]])</f>
        <v>1</v>
      </c>
    </row>
    <row r="67" spans="1:64" hidden="1" x14ac:dyDescent="0.3">
      <c r="A67" t="s">
        <v>32</v>
      </c>
      <c r="B67">
        <v>2014</v>
      </c>
      <c r="C67" t="s">
        <v>42</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t="s">
        <v>110</v>
      </c>
      <c r="V67">
        <v>112</v>
      </c>
      <c r="W67">
        <v>115.8</v>
      </c>
      <c r="X67">
        <v>112.6</v>
      </c>
      <c r="Y67">
        <v>111</v>
      </c>
      <c r="Z67">
        <v>113.6</v>
      </c>
      <c r="AA67">
        <v>120.2</v>
      </c>
      <c r="AB67">
        <v>110.1</v>
      </c>
      <c r="AC67">
        <v>113.7</v>
      </c>
      <c r="AD67">
        <v>119.1</v>
      </c>
      <c r="AE67">
        <f>SUM(All_India_Index_Upto_April23__1[[#This Row],[Cereals and products]:[Food and beverages]])</f>
        <v>1587.5</v>
      </c>
      <c r="AF67">
        <f>SUM(All_India_Index_Upto_April23__1[[#This Row],[Clothing]:[Clothing and footwear]])</f>
        <v>353.4</v>
      </c>
      <c r="AG67">
        <f t="shared" ref="AG67:AG130" si="1">SUM(U67:W67,Y67)</f>
        <v>338.8</v>
      </c>
      <c r="AI67">
        <f>TYPE(All_India_Index_Upto_April23__1[[#This Row],[Sector]])</f>
        <v>2</v>
      </c>
      <c r="AJ67">
        <f>TYPE(All_India_Index_Upto_April23__1[[#This Row],[Year]])</f>
        <v>1</v>
      </c>
      <c r="AK67">
        <f>TYPE(All_India_Index_Upto_April23__1[[#This Row],[Month]])</f>
        <v>2</v>
      </c>
      <c r="AL67">
        <f>TYPE(All_India_Index_Upto_April23__1[[#This Row],[Cereals and products]])</f>
        <v>1</v>
      </c>
      <c r="AM67">
        <f>TYPE(All_India_Index_Upto_April23__1[[#This Row],[Meat and fish]])</f>
        <v>1</v>
      </c>
      <c r="AN67">
        <f>TYPE(All_India_Index_Upto_April23__1[[#This Row],[Egg]])</f>
        <v>1</v>
      </c>
      <c r="AO67">
        <f>TYPE(All_India_Index_Upto_April23__1[[#This Row],[Milk and products]])</f>
        <v>1</v>
      </c>
      <c r="AP67">
        <f>TYPE(All_India_Index_Upto_April23__1[[#This Row],[Oils and fats]])</f>
        <v>1</v>
      </c>
      <c r="AQ67">
        <f>TYPE(All_India_Index_Upto_April23__1[[#This Row],[Fruits]])</f>
        <v>1</v>
      </c>
      <c r="AR67">
        <f>TYPE(All_India_Index_Upto_April23__1[[#This Row],[Vegetables]])</f>
        <v>1</v>
      </c>
      <c r="AS67">
        <f>TYPE(All_India_Index_Upto_April23__1[[#This Row],[Pulses and products]])</f>
        <v>1</v>
      </c>
      <c r="AT67">
        <f>TYPE(All_India_Index_Upto_April23__1[[#This Row],[Sugar and Confectionery]])</f>
        <v>1</v>
      </c>
      <c r="AU67">
        <f>TYPE(All_India_Index_Upto_April23__1[[#This Row],[Spices]])</f>
        <v>1</v>
      </c>
      <c r="AV67">
        <f>TYPE(All_India_Index_Upto_April23__1[[#This Row],[Non-alcoholic beverages]])</f>
        <v>1</v>
      </c>
      <c r="AW67">
        <f>TYPE(All_India_Index_Upto_April23__1[[#This Row],[Prepared meals, snacks, sweets etc.]])</f>
        <v>1</v>
      </c>
      <c r="AX67">
        <f>TYPE(All_India_Index_Upto_April23__1[[#This Row],[Food and beverages]])</f>
        <v>1</v>
      </c>
      <c r="AY67">
        <f>TYPE(All_India_Index_Upto_April23__1[[#This Row],[Pan, tobacco and intoxicants]])</f>
        <v>1</v>
      </c>
      <c r="AZ67">
        <f>TYPE(All_India_Index_Upto_April23__1[[#This Row],[Clothing]])</f>
        <v>1</v>
      </c>
      <c r="BA67">
        <f>TYPE(All_India_Index_Upto_April23__1[[#This Row],[Footwear]])</f>
        <v>1</v>
      </c>
      <c r="BB67">
        <f>TYPE(All_India_Index_Upto_April23__1[[#This Row],[Clothing and footwear]])</f>
        <v>1</v>
      </c>
      <c r="BC67">
        <f>TYPE(All_India_Index_Upto_April23__1[[#This Row],[Housing]])</f>
        <v>2</v>
      </c>
      <c r="BD67">
        <f>TYPE(All_India_Index_Upto_April23__1[[#This Row],[Fuel and light]])</f>
        <v>1</v>
      </c>
      <c r="BE67">
        <f>TYPE(All_India_Index_Upto_April23__1[[#This Row],[Household goods and services]])</f>
        <v>1</v>
      </c>
      <c r="BF67">
        <f>TYPE(All_India_Index_Upto_April23__1[[#This Row],[Health]])</f>
        <v>1</v>
      </c>
      <c r="BG67">
        <f>TYPE(All_India_Index_Upto_April23__1[[#This Row],[Transport and communication]])</f>
        <v>1</v>
      </c>
      <c r="BH67">
        <f>TYPE(All_India_Index_Upto_April23__1[[#This Row],[Recreation and amusement]])</f>
        <v>1</v>
      </c>
      <c r="BI67">
        <f>TYPE(All_India_Index_Upto_April23__1[[#This Row],[Education]])</f>
        <v>1</v>
      </c>
      <c r="BJ67">
        <f>TYPE(All_India_Index_Upto_April23__1[[#This Row],[Personal care and effects]])</f>
        <v>1</v>
      </c>
      <c r="BK67">
        <f>TYPE(All_India_Index_Upto_April23__1[[#This Row],[Miscellaneous]])</f>
        <v>1</v>
      </c>
      <c r="BL67">
        <f>TYPE(All_India_Index_Upto_April23__1[[#This Row],[General index]])</f>
        <v>1</v>
      </c>
    </row>
    <row r="68" spans="1:64" hidden="1" x14ac:dyDescent="0.3">
      <c r="A68" t="s">
        <v>33</v>
      </c>
      <c r="B68">
        <v>2014</v>
      </c>
      <c r="C68" t="s">
        <v>42</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t="s">
        <v>110</v>
      </c>
      <c r="V68">
        <v>114.7</v>
      </c>
      <c r="W68">
        <v>116.7</v>
      </c>
      <c r="X68">
        <v>114.3</v>
      </c>
      <c r="Y68">
        <v>111.8</v>
      </c>
      <c r="Z68">
        <v>113.3</v>
      </c>
      <c r="AA68">
        <v>118.8</v>
      </c>
      <c r="AB68">
        <v>109.6</v>
      </c>
      <c r="AC68">
        <v>113.9</v>
      </c>
      <c r="AD68">
        <v>120.1</v>
      </c>
      <c r="AE68">
        <f>SUM(All_India_Index_Upto_April23__1[[#This Row],[Cereals and products]:[Food and beverages]])</f>
        <v>1582.7</v>
      </c>
      <c r="AF68">
        <f>SUM(All_India_Index_Upto_April23__1[[#This Row],[Clothing]:[Clothing and footwear]])</f>
        <v>360.6</v>
      </c>
      <c r="AG68">
        <f t="shared" si="1"/>
        <v>343.2</v>
      </c>
      <c r="AI68">
        <f>TYPE(All_India_Index_Upto_April23__1[[#This Row],[Sector]])</f>
        <v>2</v>
      </c>
      <c r="AJ68">
        <f>TYPE(All_India_Index_Upto_April23__1[[#This Row],[Year]])</f>
        <v>1</v>
      </c>
      <c r="AK68">
        <f>TYPE(All_India_Index_Upto_April23__1[[#This Row],[Month]])</f>
        <v>2</v>
      </c>
      <c r="AL68">
        <f>TYPE(All_India_Index_Upto_April23__1[[#This Row],[Cereals and products]])</f>
        <v>1</v>
      </c>
      <c r="AM68">
        <f>TYPE(All_India_Index_Upto_April23__1[[#This Row],[Meat and fish]])</f>
        <v>1</v>
      </c>
      <c r="AN68">
        <f>TYPE(All_India_Index_Upto_April23__1[[#This Row],[Egg]])</f>
        <v>1</v>
      </c>
      <c r="AO68">
        <f>TYPE(All_India_Index_Upto_April23__1[[#This Row],[Milk and products]])</f>
        <v>1</v>
      </c>
      <c r="AP68">
        <f>TYPE(All_India_Index_Upto_April23__1[[#This Row],[Oils and fats]])</f>
        <v>1</v>
      </c>
      <c r="AQ68">
        <f>TYPE(All_India_Index_Upto_April23__1[[#This Row],[Fruits]])</f>
        <v>1</v>
      </c>
      <c r="AR68">
        <f>TYPE(All_India_Index_Upto_April23__1[[#This Row],[Vegetables]])</f>
        <v>1</v>
      </c>
      <c r="AS68">
        <f>TYPE(All_India_Index_Upto_April23__1[[#This Row],[Pulses and products]])</f>
        <v>1</v>
      </c>
      <c r="AT68">
        <f>TYPE(All_India_Index_Upto_April23__1[[#This Row],[Sugar and Confectionery]])</f>
        <v>1</v>
      </c>
      <c r="AU68">
        <f>TYPE(All_India_Index_Upto_April23__1[[#This Row],[Spices]])</f>
        <v>1</v>
      </c>
      <c r="AV68">
        <f>TYPE(All_India_Index_Upto_April23__1[[#This Row],[Non-alcoholic beverages]])</f>
        <v>1</v>
      </c>
      <c r="AW68">
        <f>TYPE(All_India_Index_Upto_April23__1[[#This Row],[Prepared meals, snacks, sweets etc.]])</f>
        <v>1</v>
      </c>
      <c r="AX68">
        <f>TYPE(All_India_Index_Upto_April23__1[[#This Row],[Food and beverages]])</f>
        <v>1</v>
      </c>
      <c r="AY68">
        <f>TYPE(All_India_Index_Upto_April23__1[[#This Row],[Pan, tobacco and intoxicants]])</f>
        <v>1</v>
      </c>
      <c r="AZ68">
        <f>TYPE(All_India_Index_Upto_April23__1[[#This Row],[Clothing]])</f>
        <v>1</v>
      </c>
      <c r="BA68">
        <f>TYPE(All_India_Index_Upto_April23__1[[#This Row],[Footwear]])</f>
        <v>1</v>
      </c>
      <c r="BB68">
        <f>TYPE(All_India_Index_Upto_April23__1[[#This Row],[Clothing and footwear]])</f>
        <v>1</v>
      </c>
      <c r="BC68">
        <f>TYPE(All_India_Index_Upto_April23__1[[#This Row],[Housing]])</f>
        <v>2</v>
      </c>
      <c r="BD68">
        <f>TYPE(All_India_Index_Upto_April23__1[[#This Row],[Fuel and light]])</f>
        <v>1</v>
      </c>
      <c r="BE68">
        <f>TYPE(All_India_Index_Upto_April23__1[[#This Row],[Household goods and services]])</f>
        <v>1</v>
      </c>
      <c r="BF68">
        <f>TYPE(All_India_Index_Upto_April23__1[[#This Row],[Health]])</f>
        <v>1</v>
      </c>
      <c r="BG68">
        <f>TYPE(All_India_Index_Upto_April23__1[[#This Row],[Transport and communication]])</f>
        <v>1</v>
      </c>
      <c r="BH68">
        <f>TYPE(All_India_Index_Upto_April23__1[[#This Row],[Recreation and amusement]])</f>
        <v>1</v>
      </c>
      <c r="BI68">
        <f>TYPE(All_India_Index_Upto_April23__1[[#This Row],[Education]])</f>
        <v>1</v>
      </c>
      <c r="BJ68">
        <f>TYPE(All_India_Index_Upto_April23__1[[#This Row],[Personal care and effects]])</f>
        <v>1</v>
      </c>
      <c r="BK68">
        <f>TYPE(All_India_Index_Upto_April23__1[[#This Row],[Miscellaneous]])</f>
        <v>1</v>
      </c>
      <c r="BL68">
        <f>TYPE(All_India_Index_Upto_April23__1[[#This Row],[General index]])</f>
        <v>1</v>
      </c>
    </row>
    <row r="69" spans="1:64" hidden="1" x14ac:dyDescent="0.3">
      <c r="A69" t="s">
        <v>30</v>
      </c>
      <c r="B69">
        <v>2014</v>
      </c>
      <c r="C69" t="s">
        <v>43</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U69" t="s">
        <v>89</v>
      </c>
      <c r="V69">
        <v>117.3</v>
      </c>
      <c r="W69">
        <v>118.1</v>
      </c>
      <c r="X69">
        <v>115.9</v>
      </c>
      <c r="Y69">
        <v>112</v>
      </c>
      <c r="Z69">
        <v>113.3</v>
      </c>
      <c r="AA69">
        <v>117.2</v>
      </c>
      <c r="AB69">
        <v>108.8</v>
      </c>
      <c r="AC69">
        <v>114.1</v>
      </c>
      <c r="AD69">
        <v>121.1</v>
      </c>
      <c r="AE69">
        <f>SUM(All_India_Index_Upto_April23__1[[#This Row],[Cereals and products]:[Food and beverages]])</f>
        <v>1582</v>
      </c>
      <c r="AF69">
        <f>SUM(All_India_Index_Upto_April23__1[[#This Row],[Clothing]:[Clothing and footwear]])</f>
        <v>366.70000000000005</v>
      </c>
      <c r="AG69">
        <f t="shared" si="1"/>
        <v>347.4</v>
      </c>
      <c r="AI69">
        <f>TYPE(All_India_Index_Upto_April23__1[[#This Row],[Sector]])</f>
        <v>2</v>
      </c>
      <c r="AJ69">
        <f>TYPE(All_India_Index_Upto_April23__1[[#This Row],[Year]])</f>
        <v>1</v>
      </c>
      <c r="AK69">
        <f>TYPE(All_India_Index_Upto_April23__1[[#This Row],[Month]])</f>
        <v>2</v>
      </c>
      <c r="AL69">
        <f>TYPE(All_India_Index_Upto_April23__1[[#This Row],[Cereals and products]])</f>
        <v>1</v>
      </c>
      <c r="AM69">
        <f>TYPE(All_India_Index_Upto_April23__1[[#This Row],[Meat and fish]])</f>
        <v>1</v>
      </c>
      <c r="AN69">
        <f>TYPE(All_India_Index_Upto_April23__1[[#This Row],[Egg]])</f>
        <v>1</v>
      </c>
      <c r="AO69">
        <f>TYPE(All_India_Index_Upto_April23__1[[#This Row],[Milk and products]])</f>
        <v>1</v>
      </c>
      <c r="AP69">
        <f>TYPE(All_India_Index_Upto_April23__1[[#This Row],[Oils and fats]])</f>
        <v>1</v>
      </c>
      <c r="AQ69">
        <f>TYPE(All_India_Index_Upto_April23__1[[#This Row],[Fruits]])</f>
        <v>1</v>
      </c>
      <c r="AR69">
        <f>TYPE(All_India_Index_Upto_April23__1[[#This Row],[Vegetables]])</f>
        <v>1</v>
      </c>
      <c r="AS69">
        <f>TYPE(All_India_Index_Upto_April23__1[[#This Row],[Pulses and products]])</f>
        <v>1</v>
      </c>
      <c r="AT69">
        <f>TYPE(All_India_Index_Upto_April23__1[[#This Row],[Sugar and Confectionery]])</f>
        <v>1</v>
      </c>
      <c r="AU69">
        <f>TYPE(All_India_Index_Upto_April23__1[[#This Row],[Spices]])</f>
        <v>1</v>
      </c>
      <c r="AV69">
        <f>TYPE(All_India_Index_Upto_April23__1[[#This Row],[Non-alcoholic beverages]])</f>
        <v>1</v>
      </c>
      <c r="AW69">
        <f>TYPE(All_India_Index_Upto_April23__1[[#This Row],[Prepared meals, snacks, sweets etc.]])</f>
        <v>1</v>
      </c>
      <c r="AX69">
        <f>TYPE(All_India_Index_Upto_April23__1[[#This Row],[Food and beverages]])</f>
        <v>1</v>
      </c>
      <c r="AY69">
        <f>TYPE(All_India_Index_Upto_April23__1[[#This Row],[Pan, tobacco and intoxicants]])</f>
        <v>1</v>
      </c>
      <c r="AZ69">
        <f>TYPE(All_India_Index_Upto_April23__1[[#This Row],[Clothing]])</f>
        <v>1</v>
      </c>
      <c r="BA69">
        <f>TYPE(All_India_Index_Upto_April23__1[[#This Row],[Footwear]])</f>
        <v>1</v>
      </c>
      <c r="BB69">
        <f>TYPE(All_India_Index_Upto_April23__1[[#This Row],[Clothing and footwear]])</f>
        <v>1</v>
      </c>
      <c r="BC69">
        <f>TYPE(All_India_Index_Upto_April23__1[[#This Row],[Housing]])</f>
        <v>2</v>
      </c>
      <c r="BD69">
        <f>TYPE(All_India_Index_Upto_April23__1[[#This Row],[Fuel and light]])</f>
        <v>1</v>
      </c>
      <c r="BE69">
        <f>TYPE(All_India_Index_Upto_April23__1[[#This Row],[Household goods and services]])</f>
        <v>1</v>
      </c>
      <c r="BF69">
        <f>TYPE(All_India_Index_Upto_April23__1[[#This Row],[Health]])</f>
        <v>1</v>
      </c>
      <c r="BG69">
        <f>TYPE(All_India_Index_Upto_April23__1[[#This Row],[Transport and communication]])</f>
        <v>1</v>
      </c>
      <c r="BH69">
        <f>TYPE(All_India_Index_Upto_April23__1[[#This Row],[Recreation and amusement]])</f>
        <v>1</v>
      </c>
      <c r="BI69">
        <f>TYPE(All_India_Index_Upto_April23__1[[#This Row],[Education]])</f>
        <v>1</v>
      </c>
      <c r="BJ69">
        <f>TYPE(All_India_Index_Upto_April23__1[[#This Row],[Personal care and effects]])</f>
        <v>1</v>
      </c>
      <c r="BK69">
        <f>TYPE(All_India_Index_Upto_April23__1[[#This Row],[Miscellaneous]])</f>
        <v>1</v>
      </c>
      <c r="BL69">
        <f>TYPE(All_India_Index_Upto_April23__1[[#This Row],[General index]])</f>
        <v>1</v>
      </c>
    </row>
    <row r="70" spans="1:64" hidden="1" x14ac:dyDescent="0.3">
      <c r="A70" t="s">
        <v>32</v>
      </c>
      <c r="B70">
        <v>2014</v>
      </c>
      <c r="C70" t="s">
        <v>43</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t="s">
        <v>111</v>
      </c>
      <c r="V70">
        <v>112.6</v>
      </c>
      <c r="W70">
        <v>116.4</v>
      </c>
      <c r="X70">
        <v>113</v>
      </c>
      <c r="Y70">
        <v>109.7</v>
      </c>
      <c r="Z70">
        <v>114</v>
      </c>
      <c r="AA70">
        <v>120.3</v>
      </c>
      <c r="AB70">
        <v>109.6</v>
      </c>
      <c r="AC70">
        <v>113.4</v>
      </c>
      <c r="AD70">
        <v>119</v>
      </c>
      <c r="AE70">
        <f>SUM(All_India_Index_Upto_April23__1[[#This Row],[Cereals and products]:[Food and beverages]])</f>
        <v>1587.8</v>
      </c>
      <c r="AF70">
        <f>SUM(All_India_Index_Upto_April23__1[[#This Row],[Clothing]:[Clothing and footwear]])</f>
        <v>355.2</v>
      </c>
      <c r="AG70">
        <f t="shared" si="1"/>
        <v>338.7</v>
      </c>
      <c r="AI70">
        <f>TYPE(All_India_Index_Upto_April23__1[[#This Row],[Sector]])</f>
        <v>2</v>
      </c>
      <c r="AJ70">
        <f>TYPE(All_India_Index_Upto_April23__1[[#This Row],[Year]])</f>
        <v>1</v>
      </c>
      <c r="AK70">
        <f>TYPE(All_India_Index_Upto_April23__1[[#This Row],[Month]])</f>
        <v>2</v>
      </c>
      <c r="AL70">
        <f>TYPE(All_India_Index_Upto_April23__1[[#This Row],[Cereals and products]])</f>
        <v>1</v>
      </c>
      <c r="AM70">
        <f>TYPE(All_India_Index_Upto_April23__1[[#This Row],[Meat and fish]])</f>
        <v>1</v>
      </c>
      <c r="AN70">
        <f>TYPE(All_India_Index_Upto_April23__1[[#This Row],[Egg]])</f>
        <v>1</v>
      </c>
      <c r="AO70">
        <f>TYPE(All_India_Index_Upto_April23__1[[#This Row],[Milk and products]])</f>
        <v>1</v>
      </c>
      <c r="AP70">
        <f>TYPE(All_India_Index_Upto_April23__1[[#This Row],[Oils and fats]])</f>
        <v>1</v>
      </c>
      <c r="AQ70">
        <f>TYPE(All_India_Index_Upto_April23__1[[#This Row],[Fruits]])</f>
        <v>1</v>
      </c>
      <c r="AR70">
        <f>TYPE(All_India_Index_Upto_April23__1[[#This Row],[Vegetables]])</f>
        <v>1</v>
      </c>
      <c r="AS70">
        <f>TYPE(All_India_Index_Upto_April23__1[[#This Row],[Pulses and products]])</f>
        <v>1</v>
      </c>
      <c r="AT70">
        <f>TYPE(All_India_Index_Upto_April23__1[[#This Row],[Sugar and Confectionery]])</f>
        <v>1</v>
      </c>
      <c r="AU70">
        <f>TYPE(All_India_Index_Upto_April23__1[[#This Row],[Spices]])</f>
        <v>1</v>
      </c>
      <c r="AV70">
        <f>TYPE(All_India_Index_Upto_April23__1[[#This Row],[Non-alcoholic beverages]])</f>
        <v>1</v>
      </c>
      <c r="AW70">
        <f>TYPE(All_India_Index_Upto_April23__1[[#This Row],[Prepared meals, snacks, sweets etc.]])</f>
        <v>1</v>
      </c>
      <c r="AX70">
        <f>TYPE(All_India_Index_Upto_April23__1[[#This Row],[Food and beverages]])</f>
        <v>1</v>
      </c>
      <c r="AY70">
        <f>TYPE(All_India_Index_Upto_April23__1[[#This Row],[Pan, tobacco and intoxicants]])</f>
        <v>1</v>
      </c>
      <c r="AZ70">
        <f>TYPE(All_India_Index_Upto_April23__1[[#This Row],[Clothing]])</f>
        <v>1</v>
      </c>
      <c r="BA70">
        <f>TYPE(All_India_Index_Upto_April23__1[[#This Row],[Footwear]])</f>
        <v>1</v>
      </c>
      <c r="BB70">
        <f>TYPE(All_India_Index_Upto_April23__1[[#This Row],[Clothing and footwear]])</f>
        <v>1</v>
      </c>
      <c r="BC70">
        <f>TYPE(All_India_Index_Upto_April23__1[[#This Row],[Housing]])</f>
        <v>2</v>
      </c>
      <c r="BD70">
        <f>TYPE(All_India_Index_Upto_April23__1[[#This Row],[Fuel and light]])</f>
        <v>1</v>
      </c>
      <c r="BE70">
        <f>TYPE(All_India_Index_Upto_April23__1[[#This Row],[Household goods and services]])</f>
        <v>1</v>
      </c>
      <c r="BF70">
        <f>TYPE(All_India_Index_Upto_April23__1[[#This Row],[Health]])</f>
        <v>1</v>
      </c>
      <c r="BG70">
        <f>TYPE(All_India_Index_Upto_April23__1[[#This Row],[Transport and communication]])</f>
        <v>1</v>
      </c>
      <c r="BH70">
        <f>TYPE(All_India_Index_Upto_April23__1[[#This Row],[Recreation and amusement]])</f>
        <v>1</v>
      </c>
      <c r="BI70">
        <f>TYPE(All_India_Index_Upto_April23__1[[#This Row],[Education]])</f>
        <v>1</v>
      </c>
      <c r="BJ70">
        <f>TYPE(All_India_Index_Upto_April23__1[[#This Row],[Personal care and effects]])</f>
        <v>1</v>
      </c>
      <c r="BK70">
        <f>TYPE(All_India_Index_Upto_April23__1[[#This Row],[Miscellaneous]])</f>
        <v>1</v>
      </c>
      <c r="BL70">
        <f>TYPE(All_India_Index_Upto_April23__1[[#This Row],[General index]])</f>
        <v>1</v>
      </c>
    </row>
    <row r="71" spans="1:64" hidden="1" x14ac:dyDescent="0.3">
      <c r="A71" t="s">
        <v>33</v>
      </c>
      <c r="B71">
        <v>2014</v>
      </c>
      <c r="C71" t="s">
        <v>43</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t="s">
        <v>111</v>
      </c>
      <c r="V71">
        <v>115.5</v>
      </c>
      <c r="W71">
        <v>117.3</v>
      </c>
      <c r="X71">
        <v>114.8</v>
      </c>
      <c r="Y71">
        <v>110.8</v>
      </c>
      <c r="Z71">
        <v>113.7</v>
      </c>
      <c r="AA71">
        <v>119</v>
      </c>
      <c r="AB71">
        <v>109.1</v>
      </c>
      <c r="AC71">
        <v>113.8</v>
      </c>
      <c r="AD71">
        <v>120.1</v>
      </c>
      <c r="AE71">
        <f>SUM(All_India_Index_Upto_April23__1[[#This Row],[Cereals and products]:[Food and beverages]])</f>
        <v>1583.2</v>
      </c>
      <c r="AF71">
        <f>SUM(All_India_Index_Upto_April23__1[[#This Row],[Clothing]:[Clothing and footwear]])</f>
        <v>362.1</v>
      </c>
      <c r="AG71">
        <f t="shared" si="1"/>
        <v>343.6</v>
      </c>
      <c r="AI71">
        <f>TYPE(All_India_Index_Upto_April23__1[[#This Row],[Sector]])</f>
        <v>2</v>
      </c>
      <c r="AJ71">
        <f>TYPE(All_India_Index_Upto_April23__1[[#This Row],[Year]])</f>
        <v>1</v>
      </c>
      <c r="AK71">
        <f>TYPE(All_India_Index_Upto_April23__1[[#This Row],[Month]])</f>
        <v>2</v>
      </c>
      <c r="AL71">
        <f>TYPE(All_India_Index_Upto_April23__1[[#This Row],[Cereals and products]])</f>
        <v>1</v>
      </c>
      <c r="AM71">
        <f>TYPE(All_India_Index_Upto_April23__1[[#This Row],[Meat and fish]])</f>
        <v>1</v>
      </c>
      <c r="AN71">
        <f>TYPE(All_India_Index_Upto_April23__1[[#This Row],[Egg]])</f>
        <v>1</v>
      </c>
      <c r="AO71">
        <f>TYPE(All_India_Index_Upto_April23__1[[#This Row],[Milk and products]])</f>
        <v>1</v>
      </c>
      <c r="AP71">
        <f>TYPE(All_India_Index_Upto_April23__1[[#This Row],[Oils and fats]])</f>
        <v>1</v>
      </c>
      <c r="AQ71">
        <f>TYPE(All_India_Index_Upto_April23__1[[#This Row],[Fruits]])</f>
        <v>1</v>
      </c>
      <c r="AR71">
        <f>TYPE(All_India_Index_Upto_April23__1[[#This Row],[Vegetables]])</f>
        <v>1</v>
      </c>
      <c r="AS71">
        <f>TYPE(All_India_Index_Upto_April23__1[[#This Row],[Pulses and products]])</f>
        <v>1</v>
      </c>
      <c r="AT71">
        <f>TYPE(All_India_Index_Upto_April23__1[[#This Row],[Sugar and Confectionery]])</f>
        <v>1</v>
      </c>
      <c r="AU71">
        <f>TYPE(All_India_Index_Upto_April23__1[[#This Row],[Spices]])</f>
        <v>1</v>
      </c>
      <c r="AV71">
        <f>TYPE(All_India_Index_Upto_April23__1[[#This Row],[Non-alcoholic beverages]])</f>
        <v>1</v>
      </c>
      <c r="AW71">
        <f>TYPE(All_India_Index_Upto_April23__1[[#This Row],[Prepared meals, snacks, sweets etc.]])</f>
        <v>1</v>
      </c>
      <c r="AX71">
        <f>TYPE(All_India_Index_Upto_April23__1[[#This Row],[Food and beverages]])</f>
        <v>1</v>
      </c>
      <c r="AY71">
        <f>TYPE(All_India_Index_Upto_April23__1[[#This Row],[Pan, tobacco and intoxicants]])</f>
        <v>1</v>
      </c>
      <c r="AZ71">
        <f>TYPE(All_India_Index_Upto_April23__1[[#This Row],[Clothing]])</f>
        <v>1</v>
      </c>
      <c r="BA71">
        <f>TYPE(All_India_Index_Upto_April23__1[[#This Row],[Footwear]])</f>
        <v>1</v>
      </c>
      <c r="BB71">
        <f>TYPE(All_India_Index_Upto_April23__1[[#This Row],[Clothing and footwear]])</f>
        <v>1</v>
      </c>
      <c r="BC71">
        <f>TYPE(All_India_Index_Upto_April23__1[[#This Row],[Housing]])</f>
        <v>2</v>
      </c>
      <c r="BD71">
        <f>TYPE(All_India_Index_Upto_April23__1[[#This Row],[Fuel and light]])</f>
        <v>1</v>
      </c>
      <c r="BE71">
        <f>TYPE(All_India_Index_Upto_April23__1[[#This Row],[Household goods and services]])</f>
        <v>1</v>
      </c>
      <c r="BF71">
        <f>TYPE(All_India_Index_Upto_April23__1[[#This Row],[Health]])</f>
        <v>1</v>
      </c>
      <c r="BG71">
        <f>TYPE(All_India_Index_Upto_April23__1[[#This Row],[Transport and communication]])</f>
        <v>1</v>
      </c>
      <c r="BH71">
        <f>TYPE(All_India_Index_Upto_April23__1[[#This Row],[Recreation and amusement]])</f>
        <v>1</v>
      </c>
      <c r="BI71">
        <f>TYPE(All_India_Index_Upto_April23__1[[#This Row],[Education]])</f>
        <v>1</v>
      </c>
      <c r="BJ71">
        <f>TYPE(All_India_Index_Upto_April23__1[[#This Row],[Personal care and effects]])</f>
        <v>1</v>
      </c>
      <c r="BK71">
        <f>TYPE(All_India_Index_Upto_April23__1[[#This Row],[Miscellaneous]])</f>
        <v>1</v>
      </c>
      <c r="BL71">
        <f>TYPE(All_India_Index_Upto_April23__1[[#This Row],[General index]])</f>
        <v>1</v>
      </c>
    </row>
    <row r="72" spans="1:64" hidden="1" x14ac:dyDescent="0.3">
      <c r="A72" t="s">
        <v>30</v>
      </c>
      <c r="B72">
        <v>2014</v>
      </c>
      <c r="C72" t="s">
        <v>44</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U72" t="s">
        <v>89</v>
      </c>
      <c r="V72">
        <v>117.4</v>
      </c>
      <c r="W72">
        <v>118.2</v>
      </c>
      <c r="X72">
        <v>116.2</v>
      </c>
      <c r="Y72">
        <v>111.5</v>
      </c>
      <c r="Z72">
        <v>113.3</v>
      </c>
      <c r="AA72">
        <v>117.7</v>
      </c>
      <c r="AB72">
        <v>109.4</v>
      </c>
      <c r="AC72">
        <v>114.2</v>
      </c>
      <c r="AD72">
        <v>120.3</v>
      </c>
      <c r="AE72">
        <f>SUM(All_India_Index_Upto_April23__1[[#This Row],[Cereals and products]:[Food and beverages]])</f>
        <v>1569.6</v>
      </c>
      <c r="AF72">
        <f>SUM(All_India_Index_Upto_April23__1[[#This Row],[Clothing]:[Clothing and footwear]])</f>
        <v>367.7</v>
      </c>
      <c r="AG72">
        <f t="shared" si="1"/>
        <v>347.1</v>
      </c>
      <c r="AI72">
        <f>TYPE(All_India_Index_Upto_April23__1[[#This Row],[Sector]])</f>
        <v>2</v>
      </c>
      <c r="AJ72">
        <f>TYPE(All_India_Index_Upto_April23__1[[#This Row],[Year]])</f>
        <v>1</v>
      </c>
      <c r="AK72">
        <f>TYPE(All_India_Index_Upto_April23__1[[#This Row],[Month]])</f>
        <v>2</v>
      </c>
      <c r="AL72">
        <f>TYPE(All_India_Index_Upto_April23__1[[#This Row],[Cereals and products]])</f>
        <v>1</v>
      </c>
      <c r="AM72">
        <f>TYPE(All_India_Index_Upto_April23__1[[#This Row],[Meat and fish]])</f>
        <v>1</v>
      </c>
      <c r="AN72">
        <f>TYPE(All_India_Index_Upto_April23__1[[#This Row],[Egg]])</f>
        <v>1</v>
      </c>
      <c r="AO72">
        <f>TYPE(All_India_Index_Upto_April23__1[[#This Row],[Milk and products]])</f>
        <v>1</v>
      </c>
      <c r="AP72">
        <f>TYPE(All_India_Index_Upto_April23__1[[#This Row],[Oils and fats]])</f>
        <v>1</v>
      </c>
      <c r="AQ72">
        <f>TYPE(All_India_Index_Upto_April23__1[[#This Row],[Fruits]])</f>
        <v>1</v>
      </c>
      <c r="AR72">
        <f>TYPE(All_India_Index_Upto_April23__1[[#This Row],[Vegetables]])</f>
        <v>1</v>
      </c>
      <c r="AS72">
        <f>TYPE(All_India_Index_Upto_April23__1[[#This Row],[Pulses and products]])</f>
        <v>1</v>
      </c>
      <c r="AT72">
        <f>TYPE(All_India_Index_Upto_April23__1[[#This Row],[Sugar and Confectionery]])</f>
        <v>1</v>
      </c>
      <c r="AU72">
        <f>TYPE(All_India_Index_Upto_April23__1[[#This Row],[Spices]])</f>
        <v>1</v>
      </c>
      <c r="AV72">
        <f>TYPE(All_India_Index_Upto_April23__1[[#This Row],[Non-alcoholic beverages]])</f>
        <v>1</v>
      </c>
      <c r="AW72">
        <f>TYPE(All_India_Index_Upto_April23__1[[#This Row],[Prepared meals, snacks, sweets etc.]])</f>
        <v>1</v>
      </c>
      <c r="AX72">
        <f>TYPE(All_India_Index_Upto_April23__1[[#This Row],[Food and beverages]])</f>
        <v>1</v>
      </c>
      <c r="AY72">
        <f>TYPE(All_India_Index_Upto_April23__1[[#This Row],[Pan, tobacco and intoxicants]])</f>
        <v>1</v>
      </c>
      <c r="AZ72">
        <f>TYPE(All_India_Index_Upto_April23__1[[#This Row],[Clothing]])</f>
        <v>1</v>
      </c>
      <c r="BA72">
        <f>TYPE(All_India_Index_Upto_April23__1[[#This Row],[Footwear]])</f>
        <v>1</v>
      </c>
      <c r="BB72">
        <f>TYPE(All_India_Index_Upto_April23__1[[#This Row],[Clothing and footwear]])</f>
        <v>1</v>
      </c>
      <c r="BC72">
        <f>TYPE(All_India_Index_Upto_April23__1[[#This Row],[Housing]])</f>
        <v>2</v>
      </c>
      <c r="BD72">
        <f>TYPE(All_India_Index_Upto_April23__1[[#This Row],[Fuel and light]])</f>
        <v>1</v>
      </c>
      <c r="BE72">
        <f>TYPE(All_India_Index_Upto_April23__1[[#This Row],[Household goods and services]])</f>
        <v>1</v>
      </c>
      <c r="BF72">
        <f>TYPE(All_India_Index_Upto_April23__1[[#This Row],[Health]])</f>
        <v>1</v>
      </c>
      <c r="BG72">
        <f>TYPE(All_India_Index_Upto_April23__1[[#This Row],[Transport and communication]])</f>
        <v>1</v>
      </c>
      <c r="BH72">
        <f>TYPE(All_India_Index_Upto_April23__1[[#This Row],[Recreation and amusement]])</f>
        <v>1</v>
      </c>
      <c r="BI72">
        <f>TYPE(All_India_Index_Upto_April23__1[[#This Row],[Education]])</f>
        <v>1</v>
      </c>
      <c r="BJ72">
        <f>TYPE(All_India_Index_Upto_April23__1[[#This Row],[Personal care and effects]])</f>
        <v>1</v>
      </c>
      <c r="BK72">
        <f>TYPE(All_India_Index_Upto_April23__1[[#This Row],[Miscellaneous]])</f>
        <v>1</v>
      </c>
      <c r="BL72">
        <f>TYPE(All_India_Index_Upto_April23__1[[#This Row],[General index]])</f>
        <v>1</v>
      </c>
    </row>
    <row r="73" spans="1:64" hidden="1" x14ac:dyDescent="0.3">
      <c r="A73" t="s">
        <v>32</v>
      </c>
      <c r="B73">
        <v>2014</v>
      </c>
      <c r="C73" t="s">
        <v>44</v>
      </c>
      <c r="D73">
        <v>124</v>
      </c>
      <c r="E73">
        <v>124.7</v>
      </c>
      <c r="F73">
        <v>126.3</v>
      </c>
      <c r="G73">
        <v>124.9</v>
      </c>
      <c r="H73">
        <v>103</v>
      </c>
      <c r="I73">
        <v>122.3</v>
      </c>
      <c r="J73">
        <v>141</v>
      </c>
      <c r="K73">
        <v>120.1</v>
      </c>
      <c r="L73">
        <v>97.8</v>
      </c>
      <c r="M73">
        <v>125.4</v>
      </c>
      <c r="N73">
        <v>116.1</v>
      </c>
      <c r="O73">
        <v>127.6</v>
      </c>
      <c r="P73">
        <v>124</v>
      </c>
      <c r="Q73">
        <v>126.4</v>
      </c>
      <c r="R73">
        <v>120.7</v>
      </c>
      <c r="S73">
        <v>115.8</v>
      </c>
      <c r="T73">
        <v>120</v>
      </c>
      <c r="U73" t="s">
        <v>112</v>
      </c>
      <c r="V73">
        <v>113</v>
      </c>
      <c r="W73">
        <v>116.8</v>
      </c>
      <c r="X73">
        <v>113.2</v>
      </c>
      <c r="Y73">
        <v>108.8</v>
      </c>
      <c r="Z73">
        <v>114.3</v>
      </c>
      <c r="AA73">
        <v>120.7</v>
      </c>
      <c r="AB73">
        <v>110.4</v>
      </c>
      <c r="AC73">
        <v>113.4</v>
      </c>
      <c r="AD73">
        <v>118.4</v>
      </c>
      <c r="AE73">
        <f>SUM(All_India_Index_Upto_April23__1[[#This Row],[Cereals and products]:[Food and beverages]])</f>
        <v>1577.1999999999998</v>
      </c>
      <c r="AF73">
        <f>SUM(All_India_Index_Upto_April23__1[[#This Row],[Clothing]:[Clothing and footwear]])</f>
        <v>356.5</v>
      </c>
      <c r="AG73">
        <f t="shared" si="1"/>
        <v>338.6</v>
      </c>
      <c r="AI73">
        <f>TYPE(All_India_Index_Upto_April23__1[[#This Row],[Sector]])</f>
        <v>2</v>
      </c>
      <c r="AJ73">
        <f>TYPE(All_India_Index_Upto_April23__1[[#This Row],[Year]])</f>
        <v>1</v>
      </c>
      <c r="AK73">
        <f>TYPE(All_India_Index_Upto_April23__1[[#This Row],[Month]])</f>
        <v>2</v>
      </c>
      <c r="AL73">
        <f>TYPE(All_India_Index_Upto_April23__1[[#This Row],[Cereals and products]])</f>
        <v>1</v>
      </c>
      <c r="AM73">
        <f>TYPE(All_India_Index_Upto_April23__1[[#This Row],[Meat and fish]])</f>
        <v>1</v>
      </c>
      <c r="AN73">
        <f>TYPE(All_India_Index_Upto_April23__1[[#This Row],[Egg]])</f>
        <v>1</v>
      </c>
      <c r="AO73">
        <f>TYPE(All_India_Index_Upto_April23__1[[#This Row],[Milk and products]])</f>
        <v>1</v>
      </c>
      <c r="AP73">
        <f>TYPE(All_India_Index_Upto_April23__1[[#This Row],[Oils and fats]])</f>
        <v>1</v>
      </c>
      <c r="AQ73">
        <f>TYPE(All_India_Index_Upto_April23__1[[#This Row],[Fruits]])</f>
        <v>1</v>
      </c>
      <c r="AR73">
        <f>TYPE(All_India_Index_Upto_April23__1[[#This Row],[Vegetables]])</f>
        <v>1</v>
      </c>
      <c r="AS73">
        <f>TYPE(All_India_Index_Upto_April23__1[[#This Row],[Pulses and products]])</f>
        <v>1</v>
      </c>
      <c r="AT73">
        <f>TYPE(All_India_Index_Upto_April23__1[[#This Row],[Sugar and Confectionery]])</f>
        <v>1</v>
      </c>
      <c r="AU73">
        <f>TYPE(All_India_Index_Upto_April23__1[[#This Row],[Spices]])</f>
        <v>1</v>
      </c>
      <c r="AV73">
        <f>TYPE(All_India_Index_Upto_April23__1[[#This Row],[Non-alcoholic beverages]])</f>
        <v>1</v>
      </c>
      <c r="AW73">
        <f>TYPE(All_India_Index_Upto_April23__1[[#This Row],[Prepared meals, snacks, sweets etc.]])</f>
        <v>1</v>
      </c>
      <c r="AX73">
        <f>TYPE(All_India_Index_Upto_April23__1[[#This Row],[Food and beverages]])</f>
        <v>1</v>
      </c>
      <c r="AY73">
        <f>TYPE(All_India_Index_Upto_April23__1[[#This Row],[Pan, tobacco and intoxicants]])</f>
        <v>1</v>
      </c>
      <c r="AZ73">
        <f>TYPE(All_India_Index_Upto_April23__1[[#This Row],[Clothing]])</f>
        <v>1</v>
      </c>
      <c r="BA73">
        <f>TYPE(All_India_Index_Upto_April23__1[[#This Row],[Footwear]])</f>
        <v>1</v>
      </c>
      <c r="BB73">
        <f>TYPE(All_India_Index_Upto_April23__1[[#This Row],[Clothing and footwear]])</f>
        <v>1</v>
      </c>
      <c r="BC73">
        <f>TYPE(All_India_Index_Upto_April23__1[[#This Row],[Housing]])</f>
        <v>2</v>
      </c>
      <c r="BD73">
        <f>TYPE(All_India_Index_Upto_April23__1[[#This Row],[Fuel and light]])</f>
        <v>1</v>
      </c>
      <c r="BE73">
        <f>TYPE(All_India_Index_Upto_April23__1[[#This Row],[Household goods and services]])</f>
        <v>1</v>
      </c>
      <c r="BF73">
        <f>TYPE(All_India_Index_Upto_April23__1[[#This Row],[Health]])</f>
        <v>1</v>
      </c>
      <c r="BG73">
        <f>TYPE(All_India_Index_Upto_April23__1[[#This Row],[Transport and communication]])</f>
        <v>1</v>
      </c>
      <c r="BH73">
        <f>TYPE(All_India_Index_Upto_April23__1[[#This Row],[Recreation and amusement]])</f>
        <v>1</v>
      </c>
      <c r="BI73">
        <f>TYPE(All_India_Index_Upto_April23__1[[#This Row],[Education]])</f>
        <v>1</v>
      </c>
      <c r="BJ73">
        <f>TYPE(All_India_Index_Upto_April23__1[[#This Row],[Personal care and effects]])</f>
        <v>1</v>
      </c>
      <c r="BK73">
        <f>TYPE(All_India_Index_Upto_April23__1[[#This Row],[Miscellaneous]])</f>
        <v>1</v>
      </c>
      <c r="BL73">
        <f>TYPE(All_India_Index_Upto_April23__1[[#This Row],[General index]])</f>
        <v>1</v>
      </c>
    </row>
    <row r="74" spans="1:64" hidden="1" x14ac:dyDescent="0.3">
      <c r="A74" t="s">
        <v>33</v>
      </c>
      <c r="B74">
        <v>2014</v>
      </c>
      <c r="C74" t="s">
        <v>44</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t="s">
        <v>112</v>
      </c>
      <c r="V74">
        <v>115.7</v>
      </c>
      <c r="W74">
        <v>117.5</v>
      </c>
      <c r="X74">
        <v>115.1</v>
      </c>
      <c r="Y74">
        <v>110.1</v>
      </c>
      <c r="Z74">
        <v>113.9</v>
      </c>
      <c r="AA74">
        <v>119.5</v>
      </c>
      <c r="AB74">
        <v>109.8</v>
      </c>
      <c r="AC74">
        <v>113.8</v>
      </c>
      <c r="AD74">
        <v>119.4</v>
      </c>
      <c r="AE74">
        <f>SUM(All_India_Index_Upto_April23__1[[#This Row],[Cereals and products]:[Food and beverages]])</f>
        <v>1571.6999999999998</v>
      </c>
      <c r="AF74">
        <f>SUM(All_India_Index_Upto_April23__1[[#This Row],[Clothing]:[Clothing and footwear]])</f>
        <v>363.2</v>
      </c>
      <c r="AG74">
        <f t="shared" si="1"/>
        <v>343.29999999999995</v>
      </c>
      <c r="AI74">
        <f>TYPE(All_India_Index_Upto_April23__1[[#This Row],[Sector]])</f>
        <v>2</v>
      </c>
      <c r="AJ74">
        <f>TYPE(All_India_Index_Upto_April23__1[[#This Row],[Year]])</f>
        <v>1</v>
      </c>
      <c r="AK74">
        <f>TYPE(All_India_Index_Upto_April23__1[[#This Row],[Month]])</f>
        <v>2</v>
      </c>
      <c r="AL74">
        <f>TYPE(All_India_Index_Upto_April23__1[[#This Row],[Cereals and products]])</f>
        <v>1</v>
      </c>
      <c r="AM74">
        <f>TYPE(All_India_Index_Upto_April23__1[[#This Row],[Meat and fish]])</f>
        <v>1</v>
      </c>
      <c r="AN74">
        <f>TYPE(All_India_Index_Upto_April23__1[[#This Row],[Egg]])</f>
        <v>1</v>
      </c>
      <c r="AO74">
        <f>TYPE(All_India_Index_Upto_April23__1[[#This Row],[Milk and products]])</f>
        <v>1</v>
      </c>
      <c r="AP74">
        <f>TYPE(All_India_Index_Upto_April23__1[[#This Row],[Oils and fats]])</f>
        <v>1</v>
      </c>
      <c r="AQ74">
        <f>TYPE(All_India_Index_Upto_April23__1[[#This Row],[Fruits]])</f>
        <v>1</v>
      </c>
      <c r="AR74">
        <f>TYPE(All_India_Index_Upto_April23__1[[#This Row],[Vegetables]])</f>
        <v>1</v>
      </c>
      <c r="AS74">
        <f>TYPE(All_India_Index_Upto_April23__1[[#This Row],[Pulses and products]])</f>
        <v>1</v>
      </c>
      <c r="AT74">
        <f>TYPE(All_India_Index_Upto_April23__1[[#This Row],[Sugar and Confectionery]])</f>
        <v>1</v>
      </c>
      <c r="AU74">
        <f>TYPE(All_India_Index_Upto_April23__1[[#This Row],[Spices]])</f>
        <v>1</v>
      </c>
      <c r="AV74">
        <f>TYPE(All_India_Index_Upto_April23__1[[#This Row],[Non-alcoholic beverages]])</f>
        <v>1</v>
      </c>
      <c r="AW74">
        <f>TYPE(All_India_Index_Upto_April23__1[[#This Row],[Prepared meals, snacks, sweets etc.]])</f>
        <v>1</v>
      </c>
      <c r="AX74">
        <f>TYPE(All_India_Index_Upto_April23__1[[#This Row],[Food and beverages]])</f>
        <v>1</v>
      </c>
      <c r="AY74">
        <f>TYPE(All_India_Index_Upto_April23__1[[#This Row],[Pan, tobacco and intoxicants]])</f>
        <v>1</v>
      </c>
      <c r="AZ74">
        <f>TYPE(All_India_Index_Upto_April23__1[[#This Row],[Clothing]])</f>
        <v>1</v>
      </c>
      <c r="BA74">
        <f>TYPE(All_India_Index_Upto_April23__1[[#This Row],[Footwear]])</f>
        <v>1</v>
      </c>
      <c r="BB74">
        <f>TYPE(All_India_Index_Upto_April23__1[[#This Row],[Clothing and footwear]])</f>
        <v>1</v>
      </c>
      <c r="BC74">
        <f>TYPE(All_India_Index_Upto_April23__1[[#This Row],[Housing]])</f>
        <v>2</v>
      </c>
      <c r="BD74">
        <f>TYPE(All_India_Index_Upto_April23__1[[#This Row],[Fuel and light]])</f>
        <v>1</v>
      </c>
      <c r="BE74">
        <f>TYPE(All_India_Index_Upto_April23__1[[#This Row],[Household goods and services]])</f>
        <v>1</v>
      </c>
      <c r="BF74">
        <f>TYPE(All_India_Index_Upto_April23__1[[#This Row],[Health]])</f>
        <v>1</v>
      </c>
      <c r="BG74">
        <f>TYPE(All_India_Index_Upto_April23__1[[#This Row],[Transport and communication]])</f>
        <v>1</v>
      </c>
      <c r="BH74">
        <f>TYPE(All_India_Index_Upto_April23__1[[#This Row],[Recreation and amusement]])</f>
        <v>1</v>
      </c>
      <c r="BI74">
        <f>TYPE(All_India_Index_Upto_April23__1[[#This Row],[Education]])</f>
        <v>1</v>
      </c>
      <c r="BJ74">
        <f>TYPE(All_India_Index_Upto_April23__1[[#This Row],[Personal care and effects]])</f>
        <v>1</v>
      </c>
      <c r="BK74">
        <f>TYPE(All_India_Index_Upto_April23__1[[#This Row],[Miscellaneous]])</f>
        <v>1</v>
      </c>
      <c r="BL74">
        <f>TYPE(All_India_Index_Upto_April23__1[[#This Row],[General index]])</f>
        <v>1</v>
      </c>
    </row>
    <row r="75" spans="1:64" hidden="1" x14ac:dyDescent="0.3">
      <c r="A75" t="s">
        <v>30</v>
      </c>
      <c r="B75">
        <v>2015</v>
      </c>
      <c r="C75" t="s">
        <v>31</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U75" t="s">
        <v>89</v>
      </c>
      <c r="V75">
        <v>118.4</v>
      </c>
      <c r="W75">
        <v>118.9</v>
      </c>
      <c r="X75">
        <v>116.6</v>
      </c>
      <c r="Y75">
        <v>111</v>
      </c>
      <c r="Z75">
        <v>114</v>
      </c>
      <c r="AA75">
        <v>118.2</v>
      </c>
      <c r="AB75">
        <v>110.2</v>
      </c>
      <c r="AC75">
        <v>114.5</v>
      </c>
      <c r="AD75">
        <v>120.3</v>
      </c>
      <c r="AE75">
        <f>SUM(All_India_Index_Upto_April23__1[[#This Row],[Cereals and products]:[Food and beverages]])</f>
        <v>1568.1</v>
      </c>
      <c r="AF75">
        <f>SUM(All_India_Index_Upto_April23__1[[#This Row],[Clothing]:[Clothing and footwear]])</f>
        <v>370</v>
      </c>
      <c r="AG75">
        <f t="shared" si="1"/>
        <v>348.3</v>
      </c>
      <c r="AI75">
        <f>TYPE(All_India_Index_Upto_April23__1[[#This Row],[Sector]])</f>
        <v>2</v>
      </c>
      <c r="AJ75">
        <f>TYPE(All_India_Index_Upto_April23__1[[#This Row],[Year]])</f>
        <v>1</v>
      </c>
      <c r="AK75">
        <f>TYPE(All_India_Index_Upto_April23__1[[#This Row],[Month]])</f>
        <v>2</v>
      </c>
      <c r="AL75">
        <f>TYPE(All_India_Index_Upto_April23__1[[#This Row],[Cereals and products]])</f>
        <v>1</v>
      </c>
      <c r="AM75">
        <f>TYPE(All_India_Index_Upto_April23__1[[#This Row],[Meat and fish]])</f>
        <v>1</v>
      </c>
      <c r="AN75">
        <f>TYPE(All_India_Index_Upto_April23__1[[#This Row],[Egg]])</f>
        <v>1</v>
      </c>
      <c r="AO75">
        <f>TYPE(All_India_Index_Upto_April23__1[[#This Row],[Milk and products]])</f>
        <v>1</v>
      </c>
      <c r="AP75">
        <f>TYPE(All_India_Index_Upto_April23__1[[#This Row],[Oils and fats]])</f>
        <v>1</v>
      </c>
      <c r="AQ75">
        <f>TYPE(All_India_Index_Upto_April23__1[[#This Row],[Fruits]])</f>
        <v>1</v>
      </c>
      <c r="AR75">
        <f>TYPE(All_India_Index_Upto_April23__1[[#This Row],[Vegetables]])</f>
        <v>1</v>
      </c>
      <c r="AS75">
        <f>TYPE(All_India_Index_Upto_April23__1[[#This Row],[Pulses and products]])</f>
        <v>1</v>
      </c>
      <c r="AT75">
        <f>TYPE(All_India_Index_Upto_April23__1[[#This Row],[Sugar and Confectionery]])</f>
        <v>1</v>
      </c>
      <c r="AU75">
        <f>TYPE(All_India_Index_Upto_April23__1[[#This Row],[Spices]])</f>
        <v>1</v>
      </c>
      <c r="AV75">
        <f>TYPE(All_India_Index_Upto_April23__1[[#This Row],[Non-alcoholic beverages]])</f>
        <v>1</v>
      </c>
      <c r="AW75">
        <f>TYPE(All_India_Index_Upto_April23__1[[#This Row],[Prepared meals, snacks, sweets etc.]])</f>
        <v>1</v>
      </c>
      <c r="AX75">
        <f>TYPE(All_India_Index_Upto_April23__1[[#This Row],[Food and beverages]])</f>
        <v>1</v>
      </c>
      <c r="AY75">
        <f>TYPE(All_India_Index_Upto_April23__1[[#This Row],[Pan, tobacco and intoxicants]])</f>
        <v>1</v>
      </c>
      <c r="AZ75">
        <f>TYPE(All_India_Index_Upto_April23__1[[#This Row],[Clothing]])</f>
        <v>1</v>
      </c>
      <c r="BA75">
        <f>TYPE(All_India_Index_Upto_April23__1[[#This Row],[Footwear]])</f>
        <v>1</v>
      </c>
      <c r="BB75">
        <f>TYPE(All_India_Index_Upto_April23__1[[#This Row],[Clothing and footwear]])</f>
        <v>1</v>
      </c>
      <c r="BC75">
        <f>TYPE(All_India_Index_Upto_April23__1[[#This Row],[Housing]])</f>
        <v>2</v>
      </c>
      <c r="BD75">
        <f>TYPE(All_India_Index_Upto_April23__1[[#This Row],[Fuel and light]])</f>
        <v>1</v>
      </c>
      <c r="BE75">
        <f>TYPE(All_India_Index_Upto_April23__1[[#This Row],[Household goods and services]])</f>
        <v>1</v>
      </c>
      <c r="BF75">
        <f>TYPE(All_India_Index_Upto_April23__1[[#This Row],[Health]])</f>
        <v>1</v>
      </c>
      <c r="BG75">
        <f>TYPE(All_India_Index_Upto_April23__1[[#This Row],[Transport and communication]])</f>
        <v>1</v>
      </c>
      <c r="BH75">
        <f>TYPE(All_India_Index_Upto_April23__1[[#This Row],[Recreation and amusement]])</f>
        <v>1</v>
      </c>
      <c r="BI75">
        <f>TYPE(All_India_Index_Upto_April23__1[[#This Row],[Education]])</f>
        <v>1</v>
      </c>
      <c r="BJ75">
        <f>TYPE(All_India_Index_Upto_April23__1[[#This Row],[Personal care and effects]])</f>
        <v>1</v>
      </c>
      <c r="BK75">
        <f>TYPE(All_India_Index_Upto_April23__1[[#This Row],[Miscellaneous]])</f>
        <v>1</v>
      </c>
      <c r="BL75">
        <f>TYPE(All_India_Index_Upto_April23__1[[#This Row],[General index]])</f>
        <v>1</v>
      </c>
    </row>
    <row r="76" spans="1:64" hidden="1" x14ac:dyDescent="0.3">
      <c r="A76" t="s">
        <v>32</v>
      </c>
      <c r="B76">
        <v>2015</v>
      </c>
      <c r="C76" t="s">
        <v>31</v>
      </c>
      <c r="D76">
        <v>124</v>
      </c>
      <c r="E76">
        <v>125.5</v>
      </c>
      <c r="F76">
        <v>126.6</v>
      </c>
      <c r="G76">
        <v>125.2</v>
      </c>
      <c r="H76">
        <v>104.3</v>
      </c>
      <c r="I76">
        <v>121.3</v>
      </c>
      <c r="J76">
        <v>134.4</v>
      </c>
      <c r="K76">
        <v>122.9</v>
      </c>
      <c r="L76">
        <v>96.1</v>
      </c>
      <c r="M76">
        <v>126.6</v>
      </c>
      <c r="N76">
        <v>116.5</v>
      </c>
      <c r="O76">
        <v>128</v>
      </c>
      <c r="P76">
        <v>123.5</v>
      </c>
      <c r="Q76">
        <v>127.4</v>
      </c>
      <c r="R76">
        <v>121</v>
      </c>
      <c r="S76">
        <v>116.1</v>
      </c>
      <c r="T76">
        <v>120.2</v>
      </c>
      <c r="U76" t="s">
        <v>113</v>
      </c>
      <c r="V76">
        <v>113.4</v>
      </c>
      <c r="W76">
        <v>117.2</v>
      </c>
      <c r="X76">
        <v>113.7</v>
      </c>
      <c r="Y76">
        <v>107.9</v>
      </c>
      <c r="Z76">
        <v>114.6</v>
      </c>
      <c r="AA76">
        <v>120.8</v>
      </c>
      <c r="AB76">
        <v>111.4</v>
      </c>
      <c r="AC76">
        <v>113.4</v>
      </c>
      <c r="AD76">
        <v>118.5</v>
      </c>
      <c r="AE76">
        <f>SUM(All_India_Index_Upto_April23__1[[#This Row],[Cereals and products]:[Food and beverages]])</f>
        <v>1574.8999999999999</v>
      </c>
      <c r="AF76">
        <f>SUM(All_India_Index_Upto_April23__1[[#This Row],[Clothing]:[Clothing and footwear]])</f>
        <v>357.3</v>
      </c>
      <c r="AG76">
        <f t="shared" si="1"/>
        <v>338.5</v>
      </c>
      <c r="AI76">
        <f>TYPE(All_India_Index_Upto_April23__1[[#This Row],[Sector]])</f>
        <v>2</v>
      </c>
      <c r="AJ76">
        <f>TYPE(All_India_Index_Upto_April23__1[[#This Row],[Year]])</f>
        <v>1</v>
      </c>
      <c r="AK76">
        <f>TYPE(All_India_Index_Upto_April23__1[[#This Row],[Month]])</f>
        <v>2</v>
      </c>
      <c r="AL76">
        <f>TYPE(All_India_Index_Upto_April23__1[[#This Row],[Cereals and products]])</f>
        <v>1</v>
      </c>
      <c r="AM76">
        <f>TYPE(All_India_Index_Upto_April23__1[[#This Row],[Meat and fish]])</f>
        <v>1</v>
      </c>
      <c r="AN76">
        <f>TYPE(All_India_Index_Upto_April23__1[[#This Row],[Egg]])</f>
        <v>1</v>
      </c>
      <c r="AO76">
        <f>TYPE(All_India_Index_Upto_April23__1[[#This Row],[Milk and products]])</f>
        <v>1</v>
      </c>
      <c r="AP76">
        <f>TYPE(All_India_Index_Upto_April23__1[[#This Row],[Oils and fats]])</f>
        <v>1</v>
      </c>
      <c r="AQ76">
        <f>TYPE(All_India_Index_Upto_April23__1[[#This Row],[Fruits]])</f>
        <v>1</v>
      </c>
      <c r="AR76">
        <f>TYPE(All_India_Index_Upto_April23__1[[#This Row],[Vegetables]])</f>
        <v>1</v>
      </c>
      <c r="AS76">
        <f>TYPE(All_India_Index_Upto_April23__1[[#This Row],[Pulses and products]])</f>
        <v>1</v>
      </c>
      <c r="AT76">
        <f>TYPE(All_India_Index_Upto_April23__1[[#This Row],[Sugar and Confectionery]])</f>
        <v>1</v>
      </c>
      <c r="AU76">
        <f>TYPE(All_India_Index_Upto_April23__1[[#This Row],[Spices]])</f>
        <v>1</v>
      </c>
      <c r="AV76">
        <f>TYPE(All_India_Index_Upto_April23__1[[#This Row],[Non-alcoholic beverages]])</f>
        <v>1</v>
      </c>
      <c r="AW76">
        <f>TYPE(All_India_Index_Upto_April23__1[[#This Row],[Prepared meals, snacks, sweets etc.]])</f>
        <v>1</v>
      </c>
      <c r="AX76">
        <f>TYPE(All_India_Index_Upto_April23__1[[#This Row],[Food and beverages]])</f>
        <v>1</v>
      </c>
      <c r="AY76">
        <f>TYPE(All_India_Index_Upto_April23__1[[#This Row],[Pan, tobacco and intoxicants]])</f>
        <v>1</v>
      </c>
      <c r="AZ76">
        <f>TYPE(All_India_Index_Upto_April23__1[[#This Row],[Clothing]])</f>
        <v>1</v>
      </c>
      <c r="BA76">
        <f>TYPE(All_India_Index_Upto_April23__1[[#This Row],[Footwear]])</f>
        <v>1</v>
      </c>
      <c r="BB76">
        <f>TYPE(All_India_Index_Upto_April23__1[[#This Row],[Clothing and footwear]])</f>
        <v>1</v>
      </c>
      <c r="BC76">
        <f>TYPE(All_India_Index_Upto_April23__1[[#This Row],[Housing]])</f>
        <v>2</v>
      </c>
      <c r="BD76">
        <f>TYPE(All_India_Index_Upto_April23__1[[#This Row],[Fuel and light]])</f>
        <v>1</v>
      </c>
      <c r="BE76">
        <f>TYPE(All_India_Index_Upto_April23__1[[#This Row],[Household goods and services]])</f>
        <v>1</v>
      </c>
      <c r="BF76">
        <f>TYPE(All_India_Index_Upto_April23__1[[#This Row],[Health]])</f>
        <v>1</v>
      </c>
      <c r="BG76">
        <f>TYPE(All_India_Index_Upto_April23__1[[#This Row],[Transport and communication]])</f>
        <v>1</v>
      </c>
      <c r="BH76">
        <f>TYPE(All_India_Index_Upto_April23__1[[#This Row],[Recreation and amusement]])</f>
        <v>1</v>
      </c>
      <c r="BI76">
        <f>TYPE(All_India_Index_Upto_April23__1[[#This Row],[Education]])</f>
        <v>1</v>
      </c>
      <c r="BJ76">
        <f>TYPE(All_India_Index_Upto_April23__1[[#This Row],[Personal care and effects]])</f>
        <v>1</v>
      </c>
      <c r="BK76">
        <f>TYPE(All_India_Index_Upto_April23__1[[#This Row],[Miscellaneous]])</f>
        <v>1</v>
      </c>
      <c r="BL76">
        <f>TYPE(All_India_Index_Upto_April23__1[[#This Row],[General index]])</f>
        <v>1</v>
      </c>
    </row>
    <row r="77" spans="1:64" hidden="1" x14ac:dyDescent="0.3">
      <c r="A77" t="s">
        <v>33</v>
      </c>
      <c r="B77">
        <v>2015</v>
      </c>
      <c r="C77" t="s">
        <v>31</v>
      </c>
      <c r="D77">
        <v>123.4</v>
      </c>
      <c r="E77">
        <v>123.9</v>
      </c>
      <c r="F77">
        <v>123.8</v>
      </c>
      <c r="G77">
        <v>125</v>
      </c>
      <c r="H77">
        <v>108.5</v>
      </c>
      <c r="I77">
        <v>126.2</v>
      </c>
      <c r="J77">
        <v>133</v>
      </c>
      <c r="K77">
        <v>119.1</v>
      </c>
      <c r="L77">
        <v>99</v>
      </c>
      <c r="M77">
        <v>120.3</v>
      </c>
      <c r="N77">
        <v>117.3</v>
      </c>
      <c r="O77">
        <v>126.7</v>
      </c>
      <c r="P77">
        <v>123.1</v>
      </c>
      <c r="Q77">
        <v>124</v>
      </c>
      <c r="R77">
        <v>123.1</v>
      </c>
      <c r="S77">
        <v>119.3</v>
      </c>
      <c r="T77">
        <v>122.5</v>
      </c>
      <c r="U77" t="s">
        <v>113</v>
      </c>
      <c r="V77">
        <v>116.5</v>
      </c>
      <c r="W77">
        <v>118.1</v>
      </c>
      <c r="X77">
        <v>115.5</v>
      </c>
      <c r="Y77">
        <v>109.4</v>
      </c>
      <c r="Z77">
        <v>114.3</v>
      </c>
      <c r="AA77">
        <v>119.7</v>
      </c>
      <c r="AB77">
        <v>110.7</v>
      </c>
      <c r="AC77">
        <v>114</v>
      </c>
      <c r="AD77">
        <v>119.5</v>
      </c>
      <c r="AE77">
        <f>SUM(All_India_Index_Upto_April23__1[[#This Row],[Cereals and products]:[Food and beverages]])</f>
        <v>1569.3</v>
      </c>
      <c r="AF77">
        <f>SUM(All_India_Index_Upto_April23__1[[#This Row],[Clothing]:[Clothing and footwear]])</f>
        <v>364.9</v>
      </c>
      <c r="AG77">
        <f t="shared" si="1"/>
        <v>344</v>
      </c>
      <c r="AI77">
        <f>TYPE(All_India_Index_Upto_April23__1[[#This Row],[Sector]])</f>
        <v>2</v>
      </c>
      <c r="AJ77">
        <f>TYPE(All_India_Index_Upto_April23__1[[#This Row],[Year]])</f>
        <v>1</v>
      </c>
      <c r="AK77">
        <f>TYPE(All_India_Index_Upto_April23__1[[#This Row],[Month]])</f>
        <v>2</v>
      </c>
      <c r="AL77">
        <f>TYPE(All_India_Index_Upto_April23__1[[#This Row],[Cereals and products]])</f>
        <v>1</v>
      </c>
      <c r="AM77">
        <f>TYPE(All_India_Index_Upto_April23__1[[#This Row],[Meat and fish]])</f>
        <v>1</v>
      </c>
      <c r="AN77">
        <f>TYPE(All_India_Index_Upto_April23__1[[#This Row],[Egg]])</f>
        <v>1</v>
      </c>
      <c r="AO77">
        <f>TYPE(All_India_Index_Upto_April23__1[[#This Row],[Milk and products]])</f>
        <v>1</v>
      </c>
      <c r="AP77">
        <f>TYPE(All_India_Index_Upto_April23__1[[#This Row],[Oils and fats]])</f>
        <v>1</v>
      </c>
      <c r="AQ77">
        <f>TYPE(All_India_Index_Upto_April23__1[[#This Row],[Fruits]])</f>
        <v>1</v>
      </c>
      <c r="AR77">
        <f>TYPE(All_India_Index_Upto_April23__1[[#This Row],[Vegetables]])</f>
        <v>1</v>
      </c>
      <c r="AS77">
        <f>TYPE(All_India_Index_Upto_April23__1[[#This Row],[Pulses and products]])</f>
        <v>1</v>
      </c>
      <c r="AT77">
        <f>TYPE(All_India_Index_Upto_April23__1[[#This Row],[Sugar and Confectionery]])</f>
        <v>1</v>
      </c>
      <c r="AU77">
        <f>TYPE(All_India_Index_Upto_April23__1[[#This Row],[Spices]])</f>
        <v>1</v>
      </c>
      <c r="AV77">
        <f>TYPE(All_India_Index_Upto_April23__1[[#This Row],[Non-alcoholic beverages]])</f>
        <v>1</v>
      </c>
      <c r="AW77">
        <f>TYPE(All_India_Index_Upto_April23__1[[#This Row],[Prepared meals, snacks, sweets etc.]])</f>
        <v>1</v>
      </c>
      <c r="AX77">
        <f>TYPE(All_India_Index_Upto_April23__1[[#This Row],[Food and beverages]])</f>
        <v>1</v>
      </c>
      <c r="AY77">
        <f>TYPE(All_India_Index_Upto_April23__1[[#This Row],[Pan, tobacco and intoxicants]])</f>
        <v>1</v>
      </c>
      <c r="AZ77">
        <f>TYPE(All_India_Index_Upto_April23__1[[#This Row],[Clothing]])</f>
        <v>1</v>
      </c>
      <c r="BA77">
        <f>TYPE(All_India_Index_Upto_April23__1[[#This Row],[Footwear]])</f>
        <v>1</v>
      </c>
      <c r="BB77">
        <f>TYPE(All_India_Index_Upto_April23__1[[#This Row],[Clothing and footwear]])</f>
        <v>1</v>
      </c>
      <c r="BC77">
        <f>TYPE(All_India_Index_Upto_April23__1[[#This Row],[Housing]])</f>
        <v>2</v>
      </c>
      <c r="BD77">
        <f>TYPE(All_India_Index_Upto_April23__1[[#This Row],[Fuel and light]])</f>
        <v>1</v>
      </c>
      <c r="BE77">
        <f>TYPE(All_India_Index_Upto_April23__1[[#This Row],[Household goods and services]])</f>
        <v>1</v>
      </c>
      <c r="BF77">
        <f>TYPE(All_India_Index_Upto_April23__1[[#This Row],[Health]])</f>
        <v>1</v>
      </c>
      <c r="BG77">
        <f>TYPE(All_India_Index_Upto_April23__1[[#This Row],[Transport and communication]])</f>
        <v>1</v>
      </c>
      <c r="BH77">
        <f>TYPE(All_India_Index_Upto_April23__1[[#This Row],[Recreation and amusement]])</f>
        <v>1</v>
      </c>
      <c r="BI77">
        <f>TYPE(All_India_Index_Upto_April23__1[[#This Row],[Education]])</f>
        <v>1</v>
      </c>
      <c r="BJ77">
        <f>TYPE(All_India_Index_Upto_April23__1[[#This Row],[Personal care and effects]])</f>
        <v>1</v>
      </c>
      <c r="BK77">
        <f>TYPE(All_India_Index_Upto_April23__1[[#This Row],[Miscellaneous]])</f>
        <v>1</v>
      </c>
      <c r="BL77">
        <f>TYPE(All_India_Index_Upto_April23__1[[#This Row],[General index]])</f>
        <v>1</v>
      </c>
    </row>
    <row r="78" spans="1:64" hidden="1" x14ac:dyDescent="0.3">
      <c r="A78" t="s">
        <v>30</v>
      </c>
      <c r="B78">
        <v>2015</v>
      </c>
      <c r="C78" t="s">
        <v>34</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U78" t="s">
        <v>89</v>
      </c>
      <c r="V78">
        <v>120</v>
      </c>
      <c r="W78">
        <v>119.6</v>
      </c>
      <c r="X78">
        <v>117.7</v>
      </c>
      <c r="Y78">
        <v>110.9</v>
      </c>
      <c r="Z78">
        <v>114.8</v>
      </c>
      <c r="AA78">
        <v>118.7</v>
      </c>
      <c r="AB78">
        <v>110.8</v>
      </c>
      <c r="AC78">
        <v>115</v>
      </c>
      <c r="AD78">
        <v>120.6</v>
      </c>
      <c r="AE78">
        <f>SUM(All_India_Index_Upto_April23__1[[#This Row],[Cereals and products]:[Food and beverages]])</f>
        <v>1570.5999999999997</v>
      </c>
      <c r="AF78">
        <f>SUM(All_India_Index_Upto_April23__1[[#This Row],[Clothing]:[Clothing and footwear]])</f>
        <v>373.1</v>
      </c>
      <c r="AG78">
        <f t="shared" si="1"/>
        <v>350.5</v>
      </c>
      <c r="AI78">
        <f>TYPE(All_India_Index_Upto_April23__1[[#This Row],[Sector]])</f>
        <v>2</v>
      </c>
      <c r="AJ78">
        <f>TYPE(All_India_Index_Upto_April23__1[[#This Row],[Year]])</f>
        <v>1</v>
      </c>
      <c r="AK78">
        <f>TYPE(All_India_Index_Upto_April23__1[[#This Row],[Month]])</f>
        <v>2</v>
      </c>
      <c r="AL78">
        <f>TYPE(All_India_Index_Upto_April23__1[[#This Row],[Cereals and products]])</f>
        <v>1</v>
      </c>
      <c r="AM78">
        <f>TYPE(All_India_Index_Upto_April23__1[[#This Row],[Meat and fish]])</f>
        <v>1</v>
      </c>
      <c r="AN78">
        <f>TYPE(All_India_Index_Upto_April23__1[[#This Row],[Egg]])</f>
        <v>1</v>
      </c>
      <c r="AO78">
        <f>TYPE(All_India_Index_Upto_April23__1[[#This Row],[Milk and products]])</f>
        <v>1</v>
      </c>
      <c r="AP78">
        <f>TYPE(All_India_Index_Upto_April23__1[[#This Row],[Oils and fats]])</f>
        <v>1</v>
      </c>
      <c r="AQ78">
        <f>TYPE(All_India_Index_Upto_April23__1[[#This Row],[Fruits]])</f>
        <v>1</v>
      </c>
      <c r="AR78">
        <f>TYPE(All_India_Index_Upto_April23__1[[#This Row],[Vegetables]])</f>
        <v>1</v>
      </c>
      <c r="AS78">
        <f>TYPE(All_India_Index_Upto_April23__1[[#This Row],[Pulses and products]])</f>
        <v>1</v>
      </c>
      <c r="AT78">
        <f>TYPE(All_India_Index_Upto_April23__1[[#This Row],[Sugar and Confectionery]])</f>
        <v>1</v>
      </c>
      <c r="AU78">
        <f>TYPE(All_India_Index_Upto_April23__1[[#This Row],[Spices]])</f>
        <v>1</v>
      </c>
      <c r="AV78">
        <f>TYPE(All_India_Index_Upto_April23__1[[#This Row],[Non-alcoholic beverages]])</f>
        <v>1</v>
      </c>
      <c r="AW78">
        <f>TYPE(All_India_Index_Upto_April23__1[[#This Row],[Prepared meals, snacks, sweets etc.]])</f>
        <v>1</v>
      </c>
      <c r="AX78">
        <f>TYPE(All_India_Index_Upto_April23__1[[#This Row],[Food and beverages]])</f>
        <v>1</v>
      </c>
      <c r="AY78">
        <f>TYPE(All_India_Index_Upto_April23__1[[#This Row],[Pan, tobacco and intoxicants]])</f>
        <v>1</v>
      </c>
      <c r="AZ78">
        <f>TYPE(All_India_Index_Upto_April23__1[[#This Row],[Clothing]])</f>
        <v>1</v>
      </c>
      <c r="BA78">
        <f>TYPE(All_India_Index_Upto_April23__1[[#This Row],[Footwear]])</f>
        <v>1</v>
      </c>
      <c r="BB78">
        <f>TYPE(All_India_Index_Upto_April23__1[[#This Row],[Clothing and footwear]])</f>
        <v>1</v>
      </c>
      <c r="BC78">
        <f>TYPE(All_India_Index_Upto_April23__1[[#This Row],[Housing]])</f>
        <v>2</v>
      </c>
      <c r="BD78">
        <f>TYPE(All_India_Index_Upto_April23__1[[#This Row],[Fuel and light]])</f>
        <v>1</v>
      </c>
      <c r="BE78">
        <f>TYPE(All_India_Index_Upto_April23__1[[#This Row],[Household goods and services]])</f>
        <v>1</v>
      </c>
      <c r="BF78">
        <f>TYPE(All_India_Index_Upto_April23__1[[#This Row],[Health]])</f>
        <v>1</v>
      </c>
      <c r="BG78">
        <f>TYPE(All_India_Index_Upto_April23__1[[#This Row],[Transport and communication]])</f>
        <v>1</v>
      </c>
      <c r="BH78">
        <f>TYPE(All_India_Index_Upto_April23__1[[#This Row],[Recreation and amusement]])</f>
        <v>1</v>
      </c>
      <c r="BI78">
        <f>TYPE(All_India_Index_Upto_April23__1[[#This Row],[Education]])</f>
        <v>1</v>
      </c>
      <c r="BJ78">
        <f>TYPE(All_India_Index_Upto_April23__1[[#This Row],[Personal care and effects]])</f>
        <v>1</v>
      </c>
      <c r="BK78">
        <f>TYPE(All_India_Index_Upto_April23__1[[#This Row],[Miscellaneous]])</f>
        <v>1</v>
      </c>
      <c r="BL78">
        <f>TYPE(All_India_Index_Upto_April23__1[[#This Row],[General index]])</f>
        <v>1</v>
      </c>
    </row>
    <row r="79" spans="1:64" hidden="1" x14ac:dyDescent="0.3">
      <c r="A79" t="s">
        <v>32</v>
      </c>
      <c r="B79">
        <v>2015</v>
      </c>
      <c r="C79" t="s">
        <v>34</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t="s">
        <v>114</v>
      </c>
      <c r="V79">
        <v>114</v>
      </c>
      <c r="W79">
        <v>117.7</v>
      </c>
      <c r="X79">
        <v>114.1</v>
      </c>
      <c r="Y79">
        <v>106.8</v>
      </c>
      <c r="Z79">
        <v>114.9</v>
      </c>
      <c r="AA79">
        <v>120.4</v>
      </c>
      <c r="AB79">
        <v>111.7</v>
      </c>
      <c r="AC79">
        <v>113.2</v>
      </c>
      <c r="AD79">
        <v>118.7</v>
      </c>
      <c r="AE79">
        <f>SUM(All_India_Index_Upto_April23__1[[#This Row],[Cereals and products]:[Food and beverages]])</f>
        <v>1571.1000000000001</v>
      </c>
      <c r="AF79">
        <f>SUM(All_India_Index_Upto_April23__1[[#This Row],[Clothing]:[Clothing and footwear]])</f>
        <v>358.4</v>
      </c>
      <c r="AG79">
        <f t="shared" si="1"/>
        <v>338.5</v>
      </c>
      <c r="AI79">
        <f>TYPE(All_India_Index_Upto_April23__1[[#This Row],[Sector]])</f>
        <v>2</v>
      </c>
      <c r="AJ79">
        <f>TYPE(All_India_Index_Upto_April23__1[[#This Row],[Year]])</f>
        <v>1</v>
      </c>
      <c r="AK79">
        <f>TYPE(All_India_Index_Upto_April23__1[[#This Row],[Month]])</f>
        <v>2</v>
      </c>
      <c r="AL79">
        <f>TYPE(All_India_Index_Upto_April23__1[[#This Row],[Cereals and products]])</f>
        <v>1</v>
      </c>
      <c r="AM79">
        <f>TYPE(All_India_Index_Upto_April23__1[[#This Row],[Meat and fish]])</f>
        <v>1</v>
      </c>
      <c r="AN79">
        <f>TYPE(All_India_Index_Upto_April23__1[[#This Row],[Egg]])</f>
        <v>1</v>
      </c>
      <c r="AO79">
        <f>TYPE(All_India_Index_Upto_April23__1[[#This Row],[Milk and products]])</f>
        <v>1</v>
      </c>
      <c r="AP79">
        <f>TYPE(All_India_Index_Upto_April23__1[[#This Row],[Oils and fats]])</f>
        <v>1</v>
      </c>
      <c r="AQ79">
        <f>TYPE(All_India_Index_Upto_April23__1[[#This Row],[Fruits]])</f>
        <v>1</v>
      </c>
      <c r="AR79">
        <f>TYPE(All_India_Index_Upto_April23__1[[#This Row],[Vegetables]])</f>
        <v>1</v>
      </c>
      <c r="AS79">
        <f>TYPE(All_India_Index_Upto_April23__1[[#This Row],[Pulses and products]])</f>
        <v>1</v>
      </c>
      <c r="AT79">
        <f>TYPE(All_India_Index_Upto_April23__1[[#This Row],[Sugar and Confectionery]])</f>
        <v>1</v>
      </c>
      <c r="AU79">
        <f>TYPE(All_India_Index_Upto_April23__1[[#This Row],[Spices]])</f>
        <v>1</v>
      </c>
      <c r="AV79">
        <f>TYPE(All_India_Index_Upto_April23__1[[#This Row],[Non-alcoholic beverages]])</f>
        <v>1</v>
      </c>
      <c r="AW79">
        <f>TYPE(All_India_Index_Upto_April23__1[[#This Row],[Prepared meals, snacks, sweets etc.]])</f>
        <v>1</v>
      </c>
      <c r="AX79">
        <f>TYPE(All_India_Index_Upto_April23__1[[#This Row],[Food and beverages]])</f>
        <v>1</v>
      </c>
      <c r="AY79">
        <f>TYPE(All_India_Index_Upto_April23__1[[#This Row],[Pan, tobacco and intoxicants]])</f>
        <v>1</v>
      </c>
      <c r="AZ79">
        <f>TYPE(All_India_Index_Upto_April23__1[[#This Row],[Clothing]])</f>
        <v>1</v>
      </c>
      <c r="BA79">
        <f>TYPE(All_India_Index_Upto_April23__1[[#This Row],[Footwear]])</f>
        <v>1</v>
      </c>
      <c r="BB79">
        <f>TYPE(All_India_Index_Upto_April23__1[[#This Row],[Clothing and footwear]])</f>
        <v>1</v>
      </c>
      <c r="BC79">
        <f>TYPE(All_India_Index_Upto_April23__1[[#This Row],[Housing]])</f>
        <v>2</v>
      </c>
      <c r="BD79">
        <f>TYPE(All_India_Index_Upto_April23__1[[#This Row],[Fuel and light]])</f>
        <v>1</v>
      </c>
      <c r="BE79">
        <f>TYPE(All_India_Index_Upto_April23__1[[#This Row],[Household goods and services]])</f>
        <v>1</v>
      </c>
      <c r="BF79">
        <f>TYPE(All_India_Index_Upto_April23__1[[#This Row],[Health]])</f>
        <v>1</v>
      </c>
      <c r="BG79">
        <f>TYPE(All_India_Index_Upto_April23__1[[#This Row],[Transport and communication]])</f>
        <v>1</v>
      </c>
      <c r="BH79">
        <f>TYPE(All_India_Index_Upto_April23__1[[#This Row],[Recreation and amusement]])</f>
        <v>1</v>
      </c>
      <c r="BI79">
        <f>TYPE(All_India_Index_Upto_April23__1[[#This Row],[Education]])</f>
        <v>1</v>
      </c>
      <c r="BJ79">
        <f>TYPE(All_India_Index_Upto_April23__1[[#This Row],[Personal care and effects]])</f>
        <v>1</v>
      </c>
      <c r="BK79">
        <f>TYPE(All_India_Index_Upto_April23__1[[#This Row],[Miscellaneous]])</f>
        <v>1</v>
      </c>
      <c r="BL79">
        <f>TYPE(All_India_Index_Upto_April23__1[[#This Row],[General index]])</f>
        <v>1</v>
      </c>
    </row>
    <row r="80" spans="1:64" hidden="1" x14ac:dyDescent="0.3">
      <c r="A80" t="s">
        <v>33</v>
      </c>
      <c r="B80">
        <v>2015</v>
      </c>
      <c r="C80" t="s">
        <v>34</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t="s">
        <v>114</v>
      </c>
      <c r="V80">
        <v>117.7</v>
      </c>
      <c r="W80">
        <v>118.7</v>
      </c>
      <c r="X80">
        <v>116.3</v>
      </c>
      <c r="Y80">
        <v>108.7</v>
      </c>
      <c r="Z80">
        <v>114.9</v>
      </c>
      <c r="AA80">
        <v>119.7</v>
      </c>
      <c r="AB80">
        <v>111.2</v>
      </c>
      <c r="AC80">
        <v>114.1</v>
      </c>
      <c r="AD80">
        <v>119.7</v>
      </c>
      <c r="AE80">
        <f>SUM(All_India_Index_Upto_April23__1[[#This Row],[Cereals and products]:[Food and beverages]])</f>
        <v>1569.3999999999996</v>
      </c>
      <c r="AF80">
        <f>SUM(All_India_Index_Upto_April23__1[[#This Row],[Clothing]:[Clothing and footwear]])</f>
        <v>367.2</v>
      </c>
      <c r="AG80">
        <f t="shared" si="1"/>
        <v>345.1</v>
      </c>
      <c r="AI80">
        <f>TYPE(All_India_Index_Upto_April23__1[[#This Row],[Sector]])</f>
        <v>2</v>
      </c>
      <c r="AJ80">
        <f>TYPE(All_India_Index_Upto_April23__1[[#This Row],[Year]])</f>
        <v>1</v>
      </c>
      <c r="AK80">
        <f>TYPE(All_India_Index_Upto_April23__1[[#This Row],[Month]])</f>
        <v>2</v>
      </c>
      <c r="AL80">
        <f>TYPE(All_India_Index_Upto_April23__1[[#This Row],[Cereals and products]])</f>
        <v>1</v>
      </c>
      <c r="AM80">
        <f>TYPE(All_India_Index_Upto_April23__1[[#This Row],[Meat and fish]])</f>
        <v>1</v>
      </c>
      <c r="AN80">
        <f>TYPE(All_India_Index_Upto_April23__1[[#This Row],[Egg]])</f>
        <v>1</v>
      </c>
      <c r="AO80">
        <f>TYPE(All_India_Index_Upto_April23__1[[#This Row],[Milk and products]])</f>
        <v>1</v>
      </c>
      <c r="AP80">
        <f>TYPE(All_India_Index_Upto_April23__1[[#This Row],[Oils and fats]])</f>
        <v>1</v>
      </c>
      <c r="AQ80">
        <f>TYPE(All_India_Index_Upto_April23__1[[#This Row],[Fruits]])</f>
        <v>1</v>
      </c>
      <c r="AR80">
        <f>TYPE(All_India_Index_Upto_April23__1[[#This Row],[Vegetables]])</f>
        <v>1</v>
      </c>
      <c r="AS80">
        <f>TYPE(All_India_Index_Upto_April23__1[[#This Row],[Pulses and products]])</f>
        <v>1</v>
      </c>
      <c r="AT80">
        <f>TYPE(All_India_Index_Upto_April23__1[[#This Row],[Sugar and Confectionery]])</f>
        <v>1</v>
      </c>
      <c r="AU80">
        <f>TYPE(All_India_Index_Upto_April23__1[[#This Row],[Spices]])</f>
        <v>1</v>
      </c>
      <c r="AV80">
        <f>TYPE(All_India_Index_Upto_April23__1[[#This Row],[Non-alcoholic beverages]])</f>
        <v>1</v>
      </c>
      <c r="AW80">
        <f>TYPE(All_India_Index_Upto_April23__1[[#This Row],[Prepared meals, snacks, sweets etc.]])</f>
        <v>1</v>
      </c>
      <c r="AX80">
        <f>TYPE(All_India_Index_Upto_April23__1[[#This Row],[Food and beverages]])</f>
        <v>1</v>
      </c>
      <c r="AY80">
        <f>TYPE(All_India_Index_Upto_April23__1[[#This Row],[Pan, tobacco and intoxicants]])</f>
        <v>1</v>
      </c>
      <c r="AZ80">
        <f>TYPE(All_India_Index_Upto_April23__1[[#This Row],[Clothing]])</f>
        <v>1</v>
      </c>
      <c r="BA80">
        <f>TYPE(All_India_Index_Upto_April23__1[[#This Row],[Footwear]])</f>
        <v>1</v>
      </c>
      <c r="BB80">
        <f>TYPE(All_India_Index_Upto_April23__1[[#This Row],[Clothing and footwear]])</f>
        <v>1</v>
      </c>
      <c r="BC80">
        <f>TYPE(All_India_Index_Upto_April23__1[[#This Row],[Housing]])</f>
        <v>2</v>
      </c>
      <c r="BD80">
        <f>TYPE(All_India_Index_Upto_April23__1[[#This Row],[Fuel and light]])</f>
        <v>1</v>
      </c>
      <c r="BE80">
        <f>TYPE(All_India_Index_Upto_April23__1[[#This Row],[Household goods and services]])</f>
        <v>1</v>
      </c>
      <c r="BF80">
        <f>TYPE(All_India_Index_Upto_April23__1[[#This Row],[Health]])</f>
        <v>1</v>
      </c>
      <c r="BG80">
        <f>TYPE(All_India_Index_Upto_April23__1[[#This Row],[Transport and communication]])</f>
        <v>1</v>
      </c>
      <c r="BH80">
        <f>TYPE(All_India_Index_Upto_April23__1[[#This Row],[Recreation and amusement]])</f>
        <v>1</v>
      </c>
      <c r="BI80">
        <f>TYPE(All_India_Index_Upto_April23__1[[#This Row],[Education]])</f>
        <v>1</v>
      </c>
      <c r="BJ80">
        <f>TYPE(All_India_Index_Upto_April23__1[[#This Row],[Personal care and effects]])</f>
        <v>1</v>
      </c>
      <c r="BK80">
        <f>TYPE(All_India_Index_Upto_April23__1[[#This Row],[Miscellaneous]])</f>
        <v>1</v>
      </c>
      <c r="BL80">
        <f>TYPE(All_India_Index_Upto_April23__1[[#This Row],[General index]])</f>
        <v>1</v>
      </c>
    </row>
    <row r="81" spans="1:64" hidden="1" x14ac:dyDescent="0.3">
      <c r="A81" t="s">
        <v>30</v>
      </c>
      <c r="B81">
        <v>2015</v>
      </c>
      <c r="C81" t="s">
        <v>35</v>
      </c>
      <c r="D81">
        <v>123.3</v>
      </c>
      <c r="E81">
        <v>124.7</v>
      </c>
      <c r="F81">
        <v>118.9</v>
      </c>
      <c r="G81">
        <v>126</v>
      </c>
      <c r="H81">
        <v>111.8</v>
      </c>
      <c r="I81">
        <v>130.9</v>
      </c>
      <c r="J81">
        <v>128</v>
      </c>
      <c r="K81">
        <v>119.9</v>
      </c>
      <c r="L81">
        <v>98.9</v>
      </c>
      <c r="M81">
        <v>119.4</v>
      </c>
      <c r="N81">
        <v>118.9</v>
      </c>
      <c r="O81">
        <v>127.7</v>
      </c>
      <c r="P81">
        <v>123.1</v>
      </c>
      <c r="Q81">
        <v>124.7</v>
      </c>
      <c r="R81">
        <v>126</v>
      </c>
      <c r="S81">
        <v>122.9</v>
      </c>
      <c r="T81">
        <v>125.5</v>
      </c>
      <c r="U81" t="s">
        <v>89</v>
      </c>
      <c r="V81">
        <v>120.6</v>
      </c>
      <c r="W81">
        <v>120.2</v>
      </c>
      <c r="X81">
        <v>118.2</v>
      </c>
      <c r="Y81">
        <v>111.6</v>
      </c>
      <c r="Z81">
        <v>115.5</v>
      </c>
      <c r="AA81">
        <v>119.4</v>
      </c>
      <c r="AB81">
        <v>110.8</v>
      </c>
      <c r="AC81">
        <v>115.5</v>
      </c>
      <c r="AD81">
        <v>121.1</v>
      </c>
      <c r="AE81">
        <f>SUM(All_India_Index_Upto_April23__1[[#This Row],[Cereals and products]:[Food and beverages]])</f>
        <v>1571.5</v>
      </c>
      <c r="AF81">
        <f>SUM(All_India_Index_Upto_April23__1[[#This Row],[Clothing]:[Clothing and footwear]])</f>
        <v>374.4</v>
      </c>
      <c r="AG81">
        <f t="shared" si="1"/>
        <v>352.4</v>
      </c>
      <c r="AI81">
        <f>TYPE(All_India_Index_Upto_April23__1[[#This Row],[Sector]])</f>
        <v>2</v>
      </c>
      <c r="AJ81">
        <f>TYPE(All_India_Index_Upto_April23__1[[#This Row],[Year]])</f>
        <v>1</v>
      </c>
      <c r="AK81">
        <f>TYPE(All_India_Index_Upto_April23__1[[#This Row],[Month]])</f>
        <v>2</v>
      </c>
      <c r="AL81">
        <f>TYPE(All_India_Index_Upto_April23__1[[#This Row],[Cereals and products]])</f>
        <v>1</v>
      </c>
      <c r="AM81">
        <f>TYPE(All_India_Index_Upto_April23__1[[#This Row],[Meat and fish]])</f>
        <v>1</v>
      </c>
      <c r="AN81">
        <f>TYPE(All_India_Index_Upto_April23__1[[#This Row],[Egg]])</f>
        <v>1</v>
      </c>
      <c r="AO81">
        <f>TYPE(All_India_Index_Upto_April23__1[[#This Row],[Milk and products]])</f>
        <v>1</v>
      </c>
      <c r="AP81">
        <f>TYPE(All_India_Index_Upto_April23__1[[#This Row],[Oils and fats]])</f>
        <v>1</v>
      </c>
      <c r="AQ81">
        <f>TYPE(All_India_Index_Upto_April23__1[[#This Row],[Fruits]])</f>
        <v>1</v>
      </c>
      <c r="AR81">
        <f>TYPE(All_India_Index_Upto_April23__1[[#This Row],[Vegetables]])</f>
        <v>1</v>
      </c>
      <c r="AS81">
        <f>TYPE(All_India_Index_Upto_April23__1[[#This Row],[Pulses and products]])</f>
        <v>1</v>
      </c>
      <c r="AT81">
        <f>TYPE(All_India_Index_Upto_April23__1[[#This Row],[Sugar and Confectionery]])</f>
        <v>1</v>
      </c>
      <c r="AU81">
        <f>TYPE(All_India_Index_Upto_April23__1[[#This Row],[Spices]])</f>
        <v>1</v>
      </c>
      <c r="AV81">
        <f>TYPE(All_India_Index_Upto_April23__1[[#This Row],[Non-alcoholic beverages]])</f>
        <v>1</v>
      </c>
      <c r="AW81">
        <f>TYPE(All_India_Index_Upto_April23__1[[#This Row],[Prepared meals, snacks, sweets etc.]])</f>
        <v>1</v>
      </c>
      <c r="AX81">
        <f>TYPE(All_India_Index_Upto_April23__1[[#This Row],[Food and beverages]])</f>
        <v>1</v>
      </c>
      <c r="AY81">
        <f>TYPE(All_India_Index_Upto_April23__1[[#This Row],[Pan, tobacco and intoxicants]])</f>
        <v>1</v>
      </c>
      <c r="AZ81">
        <f>TYPE(All_India_Index_Upto_April23__1[[#This Row],[Clothing]])</f>
        <v>1</v>
      </c>
      <c r="BA81">
        <f>TYPE(All_India_Index_Upto_April23__1[[#This Row],[Footwear]])</f>
        <v>1</v>
      </c>
      <c r="BB81">
        <f>TYPE(All_India_Index_Upto_April23__1[[#This Row],[Clothing and footwear]])</f>
        <v>1</v>
      </c>
      <c r="BC81">
        <f>TYPE(All_India_Index_Upto_April23__1[[#This Row],[Housing]])</f>
        <v>2</v>
      </c>
      <c r="BD81">
        <f>TYPE(All_India_Index_Upto_April23__1[[#This Row],[Fuel and light]])</f>
        <v>1</v>
      </c>
      <c r="BE81">
        <f>TYPE(All_India_Index_Upto_April23__1[[#This Row],[Household goods and services]])</f>
        <v>1</v>
      </c>
      <c r="BF81">
        <f>TYPE(All_India_Index_Upto_April23__1[[#This Row],[Health]])</f>
        <v>1</v>
      </c>
      <c r="BG81">
        <f>TYPE(All_India_Index_Upto_April23__1[[#This Row],[Transport and communication]])</f>
        <v>1</v>
      </c>
      <c r="BH81">
        <f>TYPE(All_India_Index_Upto_April23__1[[#This Row],[Recreation and amusement]])</f>
        <v>1</v>
      </c>
      <c r="BI81">
        <f>TYPE(All_India_Index_Upto_April23__1[[#This Row],[Education]])</f>
        <v>1</v>
      </c>
      <c r="BJ81">
        <f>TYPE(All_India_Index_Upto_April23__1[[#This Row],[Personal care and effects]])</f>
        <v>1</v>
      </c>
      <c r="BK81">
        <f>TYPE(All_India_Index_Upto_April23__1[[#This Row],[Miscellaneous]])</f>
        <v>1</v>
      </c>
      <c r="BL81">
        <f>TYPE(All_India_Index_Upto_April23__1[[#This Row],[General index]])</f>
        <v>1</v>
      </c>
    </row>
    <row r="82" spans="1:64" hidden="1" x14ac:dyDescent="0.3">
      <c r="A82" t="s">
        <v>32</v>
      </c>
      <c r="B82">
        <v>2015</v>
      </c>
      <c r="C82" t="s">
        <v>35</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t="s">
        <v>115</v>
      </c>
      <c r="V82">
        <v>114.4</v>
      </c>
      <c r="W82">
        <v>118</v>
      </c>
      <c r="X82">
        <v>114.3</v>
      </c>
      <c r="Y82">
        <v>108.4</v>
      </c>
      <c r="Z82">
        <v>115.4</v>
      </c>
      <c r="AA82">
        <v>120.6</v>
      </c>
      <c r="AB82">
        <v>111.3</v>
      </c>
      <c r="AC82">
        <v>113.8</v>
      </c>
      <c r="AD82">
        <v>119.1</v>
      </c>
      <c r="AE82">
        <f>SUM(All_India_Index_Upto_April23__1[[#This Row],[Cereals and products]:[Food and beverages]])</f>
        <v>1568.0000000000002</v>
      </c>
      <c r="AF82">
        <f>SUM(All_India_Index_Upto_April23__1[[#This Row],[Clothing]:[Clothing and footwear]])</f>
        <v>359.5</v>
      </c>
      <c r="AG82">
        <f t="shared" si="1"/>
        <v>340.8</v>
      </c>
      <c r="AI82">
        <f>TYPE(All_India_Index_Upto_April23__1[[#This Row],[Sector]])</f>
        <v>2</v>
      </c>
      <c r="AJ82">
        <f>TYPE(All_India_Index_Upto_April23__1[[#This Row],[Year]])</f>
        <v>1</v>
      </c>
      <c r="AK82">
        <f>TYPE(All_India_Index_Upto_April23__1[[#This Row],[Month]])</f>
        <v>2</v>
      </c>
      <c r="AL82">
        <f>TYPE(All_India_Index_Upto_April23__1[[#This Row],[Cereals and products]])</f>
        <v>1</v>
      </c>
      <c r="AM82">
        <f>TYPE(All_India_Index_Upto_April23__1[[#This Row],[Meat and fish]])</f>
        <v>1</v>
      </c>
      <c r="AN82">
        <f>TYPE(All_India_Index_Upto_April23__1[[#This Row],[Egg]])</f>
        <v>1</v>
      </c>
      <c r="AO82">
        <f>TYPE(All_India_Index_Upto_April23__1[[#This Row],[Milk and products]])</f>
        <v>1</v>
      </c>
      <c r="AP82">
        <f>TYPE(All_India_Index_Upto_April23__1[[#This Row],[Oils and fats]])</f>
        <v>1</v>
      </c>
      <c r="AQ82">
        <f>TYPE(All_India_Index_Upto_April23__1[[#This Row],[Fruits]])</f>
        <v>1</v>
      </c>
      <c r="AR82">
        <f>TYPE(All_India_Index_Upto_April23__1[[#This Row],[Vegetables]])</f>
        <v>1</v>
      </c>
      <c r="AS82">
        <f>TYPE(All_India_Index_Upto_April23__1[[#This Row],[Pulses and products]])</f>
        <v>1</v>
      </c>
      <c r="AT82">
        <f>TYPE(All_India_Index_Upto_April23__1[[#This Row],[Sugar and Confectionery]])</f>
        <v>1</v>
      </c>
      <c r="AU82">
        <f>TYPE(All_India_Index_Upto_April23__1[[#This Row],[Spices]])</f>
        <v>1</v>
      </c>
      <c r="AV82">
        <f>TYPE(All_India_Index_Upto_April23__1[[#This Row],[Non-alcoholic beverages]])</f>
        <v>1</v>
      </c>
      <c r="AW82">
        <f>TYPE(All_India_Index_Upto_April23__1[[#This Row],[Prepared meals, snacks, sweets etc.]])</f>
        <v>1</v>
      </c>
      <c r="AX82">
        <f>TYPE(All_India_Index_Upto_April23__1[[#This Row],[Food and beverages]])</f>
        <v>1</v>
      </c>
      <c r="AY82">
        <f>TYPE(All_India_Index_Upto_April23__1[[#This Row],[Pan, tobacco and intoxicants]])</f>
        <v>1</v>
      </c>
      <c r="AZ82">
        <f>TYPE(All_India_Index_Upto_April23__1[[#This Row],[Clothing]])</f>
        <v>1</v>
      </c>
      <c r="BA82">
        <f>TYPE(All_India_Index_Upto_April23__1[[#This Row],[Footwear]])</f>
        <v>1</v>
      </c>
      <c r="BB82">
        <f>TYPE(All_India_Index_Upto_April23__1[[#This Row],[Clothing and footwear]])</f>
        <v>1</v>
      </c>
      <c r="BC82">
        <f>TYPE(All_India_Index_Upto_April23__1[[#This Row],[Housing]])</f>
        <v>2</v>
      </c>
      <c r="BD82">
        <f>TYPE(All_India_Index_Upto_April23__1[[#This Row],[Fuel and light]])</f>
        <v>1</v>
      </c>
      <c r="BE82">
        <f>TYPE(All_India_Index_Upto_April23__1[[#This Row],[Household goods and services]])</f>
        <v>1</v>
      </c>
      <c r="BF82">
        <f>TYPE(All_India_Index_Upto_April23__1[[#This Row],[Health]])</f>
        <v>1</v>
      </c>
      <c r="BG82">
        <f>TYPE(All_India_Index_Upto_April23__1[[#This Row],[Transport and communication]])</f>
        <v>1</v>
      </c>
      <c r="BH82">
        <f>TYPE(All_India_Index_Upto_April23__1[[#This Row],[Recreation and amusement]])</f>
        <v>1</v>
      </c>
      <c r="BI82">
        <f>TYPE(All_India_Index_Upto_April23__1[[#This Row],[Education]])</f>
        <v>1</v>
      </c>
      <c r="BJ82">
        <f>TYPE(All_India_Index_Upto_April23__1[[#This Row],[Personal care and effects]])</f>
        <v>1</v>
      </c>
      <c r="BK82">
        <f>TYPE(All_India_Index_Upto_April23__1[[#This Row],[Miscellaneous]])</f>
        <v>1</v>
      </c>
      <c r="BL82">
        <f>TYPE(All_India_Index_Upto_April23__1[[#This Row],[General index]])</f>
        <v>1</v>
      </c>
    </row>
    <row r="83" spans="1:64" hidden="1" x14ac:dyDescent="0.3">
      <c r="A83" t="s">
        <v>33</v>
      </c>
      <c r="B83">
        <v>2015</v>
      </c>
      <c r="C83" t="s">
        <v>35</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t="s">
        <v>115</v>
      </c>
      <c r="V83">
        <v>118.3</v>
      </c>
      <c r="W83">
        <v>119.2</v>
      </c>
      <c r="X83">
        <v>116.7</v>
      </c>
      <c r="Y83">
        <v>109.9</v>
      </c>
      <c r="Z83">
        <v>115.4</v>
      </c>
      <c r="AA83">
        <v>120.1</v>
      </c>
      <c r="AB83">
        <v>111</v>
      </c>
      <c r="AC83">
        <v>114.7</v>
      </c>
      <c r="AD83">
        <v>120.2</v>
      </c>
      <c r="AE83">
        <f>SUM(All_India_Index_Upto_April23__1[[#This Row],[Cereals and products]:[Food and beverages]])</f>
        <v>1569.1</v>
      </c>
      <c r="AF83">
        <f>SUM(All_India_Index_Upto_April23__1[[#This Row],[Clothing]:[Clothing and footwear]])</f>
        <v>368.4</v>
      </c>
      <c r="AG83">
        <f t="shared" si="1"/>
        <v>347.4</v>
      </c>
      <c r="AI83">
        <f>TYPE(All_India_Index_Upto_April23__1[[#This Row],[Sector]])</f>
        <v>2</v>
      </c>
      <c r="AJ83">
        <f>TYPE(All_India_Index_Upto_April23__1[[#This Row],[Year]])</f>
        <v>1</v>
      </c>
      <c r="AK83">
        <f>TYPE(All_India_Index_Upto_April23__1[[#This Row],[Month]])</f>
        <v>2</v>
      </c>
      <c r="AL83">
        <f>TYPE(All_India_Index_Upto_April23__1[[#This Row],[Cereals and products]])</f>
        <v>1</v>
      </c>
      <c r="AM83">
        <f>TYPE(All_India_Index_Upto_April23__1[[#This Row],[Meat and fish]])</f>
        <v>1</v>
      </c>
      <c r="AN83">
        <f>TYPE(All_India_Index_Upto_April23__1[[#This Row],[Egg]])</f>
        <v>1</v>
      </c>
      <c r="AO83">
        <f>TYPE(All_India_Index_Upto_April23__1[[#This Row],[Milk and products]])</f>
        <v>1</v>
      </c>
      <c r="AP83">
        <f>TYPE(All_India_Index_Upto_April23__1[[#This Row],[Oils and fats]])</f>
        <v>1</v>
      </c>
      <c r="AQ83">
        <f>TYPE(All_India_Index_Upto_April23__1[[#This Row],[Fruits]])</f>
        <v>1</v>
      </c>
      <c r="AR83">
        <f>TYPE(All_India_Index_Upto_April23__1[[#This Row],[Vegetables]])</f>
        <v>1</v>
      </c>
      <c r="AS83">
        <f>TYPE(All_India_Index_Upto_April23__1[[#This Row],[Pulses and products]])</f>
        <v>1</v>
      </c>
      <c r="AT83">
        <f>TYPE(All_India_Index_Upto_April23__1[[#This Row],[Sugar and Confectionery]])</f>
        <v>1</v>
      </c>
      <c r="AU83">
        <f>TYPE(All_India_Index_Upto_April23__1[[#This Row],[Spices]])</f>
        <v>1</v>
      </c>
      <c r="AV83">
        <f>TYPE(All_India_Index_Upto_April23__1[[#This Row],[Non-alcoholic beverages]])</f>
        <v>1</v>
      </c>
      <c r="AW83">
        <f>TYPE(All_India_Index_Upto_April23__1[[#This Row],[Prepared meals, snacks, sweets etc.]])</f>
        <v>1</v>
      </c>
      <c r="AX83">
        <f>TYPE(All_India_Index_Upto_April23__1[[#This Row],[Food and beverages]])</f>
        <v>1</v>
      </c>
      <c r="AY83">
        <f>TYPE(All_India_Index_Upto_April23__1[[#This Row],[Pan, tobacco and intoxicants]])</f>
        <v>1</v>
      </c>
      <c r="AZ83">
        <f>TYPE(All_India_Index_Upto_April23__1[[#This Row],[Clothing]])</f>
        <v>1</v>
      </c>
      <c r="BA83">
        <f>TYPE(All_India_Index_Upto_April23__1[[#This Row],[Footwear]])</f>
        <v>1</v>
      </c>
      <c r="BB83">
        <f>TYPE(All_India_Index_Upto_April23__1[[#This Row],[Clothing and footwear]])</f>
        <v>1</v>
      </c>
      <c r="BC83">
        <f>TYPE(All_India_Index_Upto_April23__1[[#This Row],[Housing]])</f>
        <v>2</v>
      </c>
      <c r="BD83">
        <f>TYPE(All_India_Index_Upto_April23__1[[#This Row],[Fuel and light]])</f>
        <v>1</v>
      </c>
      <c r="BE83">
        <f>TYPE(All_India_Index_Upto_April23__1[[#This Row],[Household goods and services]])</f>
        <v>1</v>
      </c>
      <c r="BF83">
        <f>TYPE(All_India_Index_Upto_April23__1[[#This Row],[Health]])</f>
        <v>1</v>
      </c>
      <c r="BG83">
        <f>TYPE(All_India_Index_Upto_April23__1[[#This Row],[Transport and communication]])</f>
        <v>1</v>
      </c>
      <c r="BH83">
        <f>TYPE(All_India_Index_Upto_April23__1[[#This Row],[Recreation and amusement]])</f>
        <v>1</v>
      </c>
      <c r="BI83">
        <f>TYPE(All_India_Index_Upto_April23__1[[#This Row],[Education]])</f>
        <v>1</v>
      </c>
      <c r="BJ83">
        <f>TYPE(All_India_Index_Upto_April23__1[[#This Row],[Personal care and effects]])</f>
        <v>1</v>
      </c>
      <c r="BK83">
        <f>TYPE(All_India_Index_Upto_April23__1[[#This Row],[Miscellaneous]])</f>
        <v>1</v>
      </c>
      <c r="BL83">
        <f>TYPE(All_India_Index_Upto_April23__1[[#This Row],[General index]])</f>
        <v>1</v>
      </c>
    </row>
    <row r="84" spans="1:64" hidden="1" x14ac:dyDescent="0.3">
      <c r="A84" t="s">
        <v>30</v>
      </c>
      <c r="B84">
        <v>2015</v>
      </c>
      <c r="C84" t="s">
        <v>36</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U84" t="s">
        <v>89</v>
      </c>
      <c r="V84">
        <v>121.2</v>
      </c>
      <c r="W84">
        <v>120.9</v>
      </c>
      <c r="X84">
        <v>118.6</v>
      </c>
      <c r="Y84">
        <v>111.9</v>
      </c>
      <c r="Z84">
        <v>116.2</v>
      </c>
      <c r="AA84">
        <v>119.9</v>
      </c>
      <c r="AB84">
        <v>111.6</v>
      </c>
      <c r="AC84">
        <v>116</v>
      </c>
      <c r="AD84">
        <v>121.5</v>
      </c>
      <c r="AE84">
        <f>SUM(All_India_Index_Upto_April23__1[[#This Row],[Cereals and products]:[Food and beverages]])</f>
        <v>1577.2</v>
      </c>
      <c r="AF84">
        <f>SUM(All_India_Index_Upto_April23__1[[#This Row],[Clothing]:[Clothing and footwear]])</f>
        <v>375.7</v>
      </c>
      <c r="AG84">
        <f t="shared" si="1"/>
        <v>354</v>
      </c>
      <c r="AI84">
        <f>TYPE(All_India_Index_Upto_April23__1[[#This Row],[Sector]])</f>
        <v>2</v>
      </c>
      <c r="AJ84">
        <f>TYPE(All_India_Index_Upto_April23__1[[#This Row],[Year]])</f>
        <v>1</v>
      </c>
      <c r="AK84">
        <f>TYPE(All_India_Index_Upto_April23__1[[#This Row],[Month]])</f>
        <v>2</v>
      </c>
      <c r="AL84">
        <f>TYPE(All_India_Index_Upto_April23__1[[#This Row],[Cereals and products]])</f>
        <v>1</v>
      </c>
      <c r="AM84">
        <f>TYPE(All_India_Index_Upto_April23__1[[#This Row],[Meat and fish]])</f>
        <v>1</v>
      </c>
      <c r="AN84">
        <f>TYPE(All_India_Index_Upto_April23__1[[#This Row],[Egg]])</f>
        <v>1</v>
      </c>
      <c r="AO84">
        <f>TYPE(All_India_Index_Upto_April23__1[[#This Row],[Milk and products]])</f>
        <v>1</v>
      </c>
      <c r="AP84">
        <f>TYPE(All_India_Index_Upto_April23__1[[#This Row],[Oils and fats]])</f>
        <v>1</v>
      </c>
      <c r="AQ84">
        <f>TYPE(All_India_Index_Upto_April23__1[[#This Row],[Fruits]])</f>
        <v>1</v>
      </c>
      <c r="AR84">
        <f>TYPE(All_India_Index_Upto_April23__1[[#This Row],[Vegetables]])</f>
        <v>1</v>
      </c>
      <c r="AS84">
        <f>TYPE(All_India_Index_Upto_April23__1[[#This Row],[Pulses and products]])</f>
        <v>1</v>
      </c>
      <c r="AT84">
        <f>TYPE(All_India_Index_Upto_April23__1[[#This Row],[Sugar and Confectionery]])</f>
        <v>1</v>
      </c>
      <c r="AU84">
        <f>TYPE(All_India_Index_Upto_April23__1[[#This Row],[Spices]])</f>
        <v>1</v>
      </c>
      <c r="AV84">
        <f>TYPE(All_India_Index_Upto_April23__1[[#This Row],[Non-alcoholic beverages]])</f>
        <v>1</v>
      </c>
      <c r="AW84">
        <f>TYPE(All_India_Index_Upto_April23__1[[#This Row],[Prepared meals, snacks, sweets etc.]])</f>
        <v>1</v>
      </c>
      <c r="AX84">
        <f>TYPE(All_India_Index_Upto_April23__1[[#This Row],[Food and beverages]])</f>
        <v>1</v>
      </c>
      <c r="AY84">
        <f>TYPE(All_India_Index_Upto_April23__1[[#This Row],[Pan, tobacco and intoxicants]])</f>
        <v>1</v>
      </c>
      <c r="AZ84">
        <f>TYPE(All_India_Index_Upto_April23__1[[#This Row],[Clothing]])</f>
        <v>1</v>
      </c>
      <c r="BA84">
        <f>TYPE(All_India_Index_Upto_April23__1[[#This Row],[Footwear]])</f>
        <v>1</v>
      </c>
      <c r="BB84">
        <f>TYPE(All_India_Index_Upto_April23__1[[#This Row],[Clothing and footwear]])</f>
        <v>1</v>
      </c>
      <c r="BC84">
        <f>TYPE(All_India_Index_Upto_April23__1[[#This Row],[Housing]])</f>
        <v>2</v>
      </c>
      <c r="BD84">
        <f>TYPE(All_India_Index_Upto_April23__1[[#This Row],[Fuel and light]])</f>
        <v>1</v>
      </c>
      <c r="BE84">
        <f>TYPE(All_India_Index_Upto_April23__1[[#This Row],[Household goods and services]])</f>
        <v>1</v>
      </c>
      <c r="BF84">
        <f>TYPE(All_India_Index_Upto_April23__1[[#This Row],[Health]])</f>
        <v>1</v>
      </c>
      <c r="BG84">
        <f>TYPE(All_India_Index_Upto_April23__1[[#This Row],[Transport and communication]])</f>
        <v>1</v>
      </c>
      <c r="BH84">
        <f>TYPE(All_India_Index_Upto_April23__1[[#This Row],[Recreation and amusement]])</f>
        <v>1</v>
      </c>
      <c r="BI84">
        <f>TYPE(All_India_Index_Upto_April23__1[[#This Row],[Education]])</f>
        <v>1</v>
      </c>
      <c r="BJ84">
        <f>TYPE(All_India_Index_Upto_April23__1[[#This Row],[Personal care and effects]])</f>
        <v>1</v>
      </c>
      <c r="BK84">
        <f>TYPE(All_India_Index_Upto_April23__1[[#This Row],[Miscellaneous]])</f>
        <v>1</v>
      </c>
      <c r="BL84">
        <f>TYPE(All_India_Index_Upto_April23__1[[#This Row],[General index]])</f>
        <v>1</v>
      </c>
    </row>
    <row r="85" spans="1:64" hidden="1" x14ac:dyDescent="0.3">
      <c r="A85" t="s">
        <v>32</v>
      </c>
      <c r="B85">
        <v>2015</v>
      </c>
      <c r="C85" t="s">
        <v>36</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t="s">
        <v>116</v>
      </c>
      <c r="V85">
        <v>114.7</v>
      </c>
      <c r="W85">
        <v>118.4</v>
      </c>
      <c r="X85">
        <v>114.6</v>
      </c>
      <c r="Y85">
        <v>108.4</v>
      </c>
      <c r="Z85">
        <v>115.6</v>
      </c>
      <c r="AA85">
        <v>121.7</v>
      </c>
      <c r="AB85">
        <v>111.8</v>
      </c>
      <c r="AC85">
        <v>114.2</v>
      </c>
      <c r="AD85">
        <v>119.7</v>
      </c>
      <c r="AE85">
        <f>SUM(All_India_Index_Upto_April23__1[[#This Row],[Cereals and products]:[Food and beverages]])</f>
        <v>1576.1</v>
      </c>
      <c r="AF85">
        <f>SUM(All_India_Index_Upto_April23__1[[#This Row],[Clothing]:[Clothing and footwear]])</f>
        <v>360.6</v>
      </c>
      <c r="AG85">
        <f t="shared" si="1"/>
        <v>341.5</v>
      </c>
      <c r="AI85">
        <f>TYPE(All_India_Index_Upto_April23__1[[#This Row],[Sector]])</f>
        <v>2</v>
      </c>
      <c r="AJ85">
        <f>TYPE(All_India_Index_Upto_April23__1[[#This Row],[Year]])</f>
        <v>1</v>
      </c>
      <c r="AK85">
        <f>TYPE(All_India_Index_Upto_April23__1[[#This Row],[Month]])</f>
        <v>2</v>
      </c>
      <c r="AL85">
        <f>TYPE(All_India_Index_Upto_April23__1[[#This Row],[Cereals and products]])</f>
        <v>1</v>
      </c>
      <c r="AM85">
        <f>TYPE(All_India_Index_Upto_April23__1[[#This Row],[Meat and fish]])</f>
        <v>1</v>
      </c>
      <c r="AN85">
        <f>TYPE(All_India_Index_Upto_April23__1[[#This Row],[Egg]])</f>
        <v>1</v>
      </c>
      <c r="AO85">
        <f>TYPE(All_India_Index_Upto_April23__1[[#This Row],[Milk and products]])</f>
        <v>1</v>
      </c>
      <c r="AP85">
        <f>TYPE(All_India_Index_Upto_April23__1[[#This Row],[Oils and fats]])</f>
        <v>1</v>
      </c>
      <c r="AQ85">
        <f>TYPE(All_India_Index_Upto_April23__1[[#This Row],[Fruits]])</f>
        <v>1</v>
      </c>
      <c r="AR85">
        <f>TYPE(All_India_Index_Upto_April23__1[[#This Row],[Vegetables]])</f>
        <v>1</v>
      </c>
      <c r="AS85">
        <f>TYPE(All_India_Index_Upto_April23__1[[#This Row],[Pulses and products]])</f>
        <v>1</v>
      </c>
      <c r="AT85">
        <f>TYPE(All_India_Index_Upto_April23__1[[#This Row],[Sugar and Confectionery]])</f>
        <v>1</v>
      </c>
      <c r="AU85">
        <f>TYPE(All_India_Index_Upto_April23__1[[#This Row],[Spices]])</f>
        <v>1</v>
      </c>
      <c r="AV85">
        <f>TYPE(All_India_Index_Upto_April23__1[[#This Row],[Non-alcoholic beverages]])</f>
        <v>1</v>
      </c>
      <c r="AW85">
        <f>TYPE(All_India_Index_Upto_April23__1[[#This Row],[Prepared meals, snacks, sweets etc.]])</f>
        <v>1</v>
      </c>
      <c r="AX85">
        <f>TYPE(All_India_Index_Upto_April23__1[[#This Row],[Food and beverages]])</f>
        <v>1</v>
      </c>
      <c r="AY85">
        <f>TYPE(All_India_Index_Upto_April23__1[[#This Row],[Pan, tobacco and intoxicants]])</f>
        <v>1</v>
      </c>
      <c r="AZ85">
        <f>TYPE(All_India_Index_Upto_April23__1[[#This Row],[Clothing]])</f>
        <v>1</v>
      </c>
      <c r="BA85">
        <f>TYPE(All_India_Index_Upto_April23__1[[#This Row],[Footwear]])</f>
        <v>1</v>
      </c>
      <c r="BB85">
        <f>TYPE(All_India_Index_Upto_April23__1[[#This Row],[Clothing and footwear]])</f>
        <v>1</v>
      </c>
      <c r="BC85">
        <f>TYPE(All_India_Index_Upto_April23__1[[#This Row],[Housing]])</f>
        <v>2</v>
      </c>
      <c r="BD85">
        <f>TYPE(All_India_Index_Upto_April23__1[[#This Row],[Fuel and light]])</f>
        <v>1</v>
      </c>
      <c r="BE85">
        <f>TYPE(All_India_Index_Upto_April23__1[[#This Row],[Household goods and services]])</f>
        <v>1</v>
      </c>
      <c r="BF85">
        <f>TYPE(All_India_Index_Upto_April23__1[[#This Row],[Health]])</f>
        <v>1</v>
      </c>
      <c r="BG85">
        <f>TYPE(All_India_Index_Upto_April23__1[[#This Row],[Transport and communication]])</f>
        <v>1</v>
      </c>
      <c r="BH85">
        <f>TYPE(All_India_Index_Upto_April23__1[[#This Row],[Recreation and amusement]])</f>
        <v>1</v>
      </c>
      <c r="BI85">
        <f>TYPE(All_India_Index_Upto_April23__1[[#This Row],[Education]])</f>
        <v>1</v>
      </c>
      <c r="BJ85">
        <f>TYPE(All_India_Index_Upto_April23__1[[#This Row],[Personal care and effects]])</f>
        <v>1</v>
      </c>
      <c r="BK85">
        <f>TYPE(All_India_Index_Upto_April23__1[[#This Row],[Miscellaneous]])</f>
        <v>1</v>
      </c>
      <c r="BL85">
        <f>TYPE(All_India_Index_Upto_April23__1[[#This Row],[General index]])</f>
        <v>1</v>
      </c>
    </row>
    <row r="86" spans="1:64" hidden="1" x14ac:dyDescent="0.3">
      <c r="A86" t="s">
        <v>33</v>
      </c>
      <c r="B86">
        <v>2015</v>
      </c>
      <c r="C86" t="s">
        <v>36</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t="s">
        <v>116</v>
      </c>
      <c r="V86">
        <v>118.7</v>
      </c>
      <c r="W86">
        <v>119.7</v>
      </c>
      <c r="X86">
        <v>117.1</v>
      </c>
      <c r="Y86">
        <v>110.1</v>
      </c>
      <c r="Z86">
        <v>115.9</v>
      </c>
      <c r="AA86">
        <v>121</v>
      </c>
      <c r="AB86">
        <v>111.7</v>
      </c>
      <c r="AC86">
        <v>115.1</v>
      </c>
      <c r="AD86">
        <v>120.7</v>
      </c>
      <c r="AE86">
        <f>SUM(All_India_Index_Upto_April23__1[[#This Row],[Cereals and products]:[Food and beverages]])</f>
        <v>1575.7</v>
      </c>
      <c r="AF86">
        <f>SUM(All_India_Index_Upto_April23__1[[#This Row],[Clothing]:[Clothing and footwear]])</f>
        <v>369.6</v>
      </c>
      <c r="AG86">
        <f t="shared" si="1"/>
        <v>348.5</v>
      </c>
      <c r="AI86">
        <f>TYPE(All_India_Index_Upto_April23__1[[#This Row],[Sector]])</f>
        <v>2</v>
      </c>
      <c r="AJ86">
        <f>TYPE(All_India_Index_Upto_April23__1[[#This Row],[Year]])</f>
        <v>1</v>
      </c>
      <c r="AK86">
        <f>TYPE(All_India_Index_Upto_April23__1[[#This Row],[Month]])</f>
        <v>2</v>
      </c>
      <c r="AL86">
        <f>TYPE(All_India_Index_Upto_April23__1[[#This Row],[Cereals and products]])</f>
        <v>1</v>
      </c>
      <c r="AM86">
        <f>TYPE(All_India_Index_Upto_April23__1[[#This Row],[Meat and fish]])</f>
        <v>1</v>
      </c>
      <c r="AN86">
        <f>TYPE(All_India_Index_Upto_April23__1[[#This Row],[Egg]])</f>
        <v>1</v>
      </c>
      <c r="AO86">
        <f>TYPE(All_India_Index_Upto_April23__1[[#This Row],[Milk and products]])</f>
        <v>1</v>
      </c>
      <c r="AP86">
        <f>TYPE(All_India_Index_Upto_April23__1[[#This Row],[Oils and fats]])</f>
        <v>1</v>
      </c>
      <c r="AQ86">
        <f>TYPE(All_India_Index_Upto_April23__1[[#This Row],[Fruits]])</f>
        <v>1</v>
      </c>
      <c r="AR86">
        <f>TYPE(All_India_Index_Upto_April23__1[[#This Row],[Vegetables]])</f>
        <v>1</v>
      </c>
      <c r="AS86">
        <f>TYPE(All_India_Index_Upto_April23__1[[#This Row],[Pulses and products]])</f>
        <v>1</v>
      </c>
      <c r="AT86">
        <f>TYPE(All_India_Index_Upto_April23__1[[#This Row],[Sugar and Confectionery]])</f>
        <v>1</v>
      </c>
      <c r="AU86">
        <f>TYPE(All_India_Index_Upto_April23__1[[#This Row],[Spices]])</f>
        <v>1</v>
      </c>
      <c r="AV86">
        <f>TYPE(All_India_Index_Upto_April23__1[[#This Row],[Non-alcoholic beverages]])</f>
        <v>1</v>
      </c>
      <c r="AW86">
        <f>TYPE(All_India_Index_Upto_April23__1[[#This Row],[Prepared meals, snacks, sweets etc.]])</f>
        <v>1</v>
      </c>
      <c r="AX86">
        <f>TYPE(All_India_Index_Upto_April23__1[[#This Row],[Food and beverages]])</f>
        <v>1</v>
      </c>
      <c r="AY86">
        <f>TYPE(All_India_Index_Upto_April23__1[[#This Row],[Pan, tobacco and intoxicants]])</f>
        <v>1</v>
      </c>
      <c r="AZ86">
        <f>TYPE(All_India_Index_Upto_April23__1[[#This Row],[Clothing]])</f>
        <v>1</v>
      </c>
      <c r="BA86">
        <f>TYPE(All_India_Index_Upto_April23__1[[#This Row],[Footwear]])</f>
        <v>1</v>
      </c>
      <c r="BB86">
        <f>TYPE(All_India_Index_Upto_April23__1[[#This Row],[Clothing and footwear]])</f>
        <v>1</v>
      </c>
      <c r="BC86">
        <f>TYPE(All_India_Index_Upto_April23__1[[#This Row],[Housing]])</f>
        <v>2</v>
      </c>
      <c r="BD86">
        <f>TYPE(All_India_Index_Upto_April23__1[[#This Row],[Fuel and light]])</f>
        <v>1</v>
      </c>
      <c r="BE86">
        <f>TYPE(All_India_Index_Upto_April23__1[[#This Row],[Household goods and services]])</f>
        <v>1</v>
      </c>
      <c r="BF86">
        <f>TYPE(All_India_Index_Upto_April23__1[[#This Row],[Health]])</f>
        <v>1</v>
      </c>
      <c r="BG86">
        <f>TYPE(All_India_Index_Upto_April23__1[[#This Row],[Transport and communication]])</f>
        <v>1</v>
      </c>
      <c r="BH86">
        <f>TYPE(All_India_Index_Upto_April23__1[[#This Row],[Recreation and amusement]])</f>
        <v>1</v>
      </c>
      <c r="BI86">
        <f>TYPE(All_India_Index_Upto_April23__1[[#This Row],[Education]])</f>
        <v>1</v>
      </c>
      <c r="BJ86">
        <f>TYPE(All_India_Index_Upto_April23__1[[#This Row],[Personal care and effects]])</f>
        <v>1</v>
      </c>
      <c r="BK86">
        <f>TYPE(All_India_Index_Upto_April23__1[[#This Row],[Miscellaneous]])</f>
        <v>1</v>
      </c>
      <c r="BL86">
        <f>TYPE(All_India_Index_Upto_April23__1[[#This Row],[General index]])</f>
        <v>1</v>
      </c>
    </row>
    <row r="87" spans="1:64" hidden="1" x14ac:dyDescent="0.3">
      <c r="A87" t="s">
        <v>30</v>
      </c>
      <c r="B87">
        <v>2015</v>
      </c>
      <c r="C87" t="s">
        <v>37</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U87" t="s">
        <v>89</v>
      </c>
      <c r="V87">
        <v>121.9</v>
      </c>
      <c r="W87">
        <v>121.5</v>
      </c>
      <c r="X87">
        <v>119.4</v>
      </c>
      <c r="Y87">
        <v>113.3</v>
      </c>
      <c r="Z87">
        <v>116.7</v>
      </c>
      <c r="AA87">
        <v>120.5</v>
      </c>
      <c r="AB87">
        <v>112.3</v>
      </c>
      <c r="AC87">
        <v>116.9</v>
      </c>
      <c r="AD87">
        <v>122.4</v>
      </c>
      <c r="AE87">
        <f>SUM(All_India_Index_Upto_April23__1[[#This Row],[Cereals and products]:[Food and beverages]])</f>
        <v>1587.7</v>
      </c>
      <c r="AF87">
        <f>SUM(All_India_Index_Upto_April23__1[[#This Row],[Clothing]:[Clothing and footwear]])</f>
        <v>378.2</v>
      </c>
      <c r="AG87">
        <f t="shared" si="1"/>
        <v>356.7</v>
      </c>
      <c r="AI87">
        <f>TYPE(All_India_Index_Upto_April23__1[[#This Row],[Sector]])</f>
        <v>2</v>
      </c>
      <c r="AJ87">
        <f>TYPE(All_India_Index_Upto_April23__1[[#This Row],[Year]])</f>
        <v>1</v>
      </c>
      <c r="AK87">
        <f>TYPE(All_India_Index_Upto_April23__1[[#This Row],[Month]])</f>
        <v>2</v>
      </c>
      <c r="AL87">
        <f>TYPE(All_India_Index_Upto_April23__1[[#This Row],[Cereals and products]])</f>
        <v>1</v>
      </c>
      <c r="AM87">
        <f>TYPE(All_India_Index_Upto_April23__1[[#This Row],[Meat and fish]])</f>
        <v>1</v>
      </c>
      <c r="AN87">
        <f>TYPE(All_India_Index_Upto_April23__1[[#This Row],[Egg]])</f>
        <v>1</v>
      </c>
      <c r="AO87">
        <f>TYPE(All_India_Index_Upto_April23__1[[#This Row],[Milk and products]])</f>
        <v>1</v>
      </c>
      <c r="AP87">
        <f>TYPE(All_India_Index_Upto_April23__1[[#This Row],[Oils and fats]])</f>
        <v>1</v>
      </c>
      <c r="AQ87">
        <f>TYPE(All_India_Index_Upto_April23__1[[#This Row],[Fruits]])</f>
        <v>1</v>
      </c>
      <c r="AR87">
        <f>TYPE(All_India_Index_Upto_April23__1[[#This Row],[Vegetables]])</f>
        <v>1</v>
      </c>
      <c r="AS87">
        <f>TYPE(All_India_Index_Upto_April23__1[[#This Row],[Pulses and products]])</f>
        <v>1</v>
      </c>
      <c r="AT87">
        <f>TYPE(All_India_Index_Upto_April23__1[[#This Row],[Sugar and Confectionery]])</f>
        <v>1</v>
      </c>
      <c r="AU87">
        <f>TYPE(All_India_Index_Upto_April23__1[[#This Row],[Spices]])</f>
        <v>1</v>
      </c>
      <c r="AV87">
        <f>TYPE(All_India_Index_Upto_April23__1[[#This Row],[Non-alcoholic beverages]])</f>
        <v>1</v>
      </c>
      <c r="AW87">
        <f>TYPE(All_India_Index_Upto_April23__1[[#This Row],[Prepared meals, snacks, sweets etc.]])</f>
        <v>1</v>
      </c>
      <c r="AX87">
        <f>TYPE(All_India_Index_Upto_April23__1[[#This Row],[Food and beverages]])</f>
        <v>1</v>
      </c>
      <c r="AY87">
        <f>TYPE(All_India_Index_Upto_April23__1[[#This Row],[Pan, tobacco and intoxicants]])</f>
        <v>1</v>
      </c>
      <c r="AZ87">
        <f>TYPE(All_India_Index_Upto_April23__1[[#This Row],[Clothing]])</f>
        <v>1</v>
      </c>
      <c r="BA87">
        <f>TYPE(All_India_Index_Upto_April23__1[[#This Row],[Footwear]])</f>
        <v>1</v>
      </c>
      <c r="BB87">
        <f>TYPE(All_India_Index_Upto_April23__1[[#This Row],[Clothing and footwear]])</f>
        <v>1</v>
      </c>
      <c r="BC87">
        <f>TYPE(All_India_Index_Upto_April23__1[[#This Row],[Housing]])</f>
        <v>2</v>
      </c>
      <c r="BD87">
        <f>TYPE(All_India_Index_Upto_April23__1[[#This Row],[Fuel and light]])</f>
        <v>1</v>
      </c>
      <c r="BE87">
        <f>TYPE(All_India_Index_Upto_April23__1[[#This Row],[Household goods and services]])</f>
        <v>1</v>
      </c>
      <c r="BF87">
        <f>TYPE(All_India_Index_Upto_April23__1[[#This Row],[Health]])</f>
        <v>1</v>
      </c>
      <c r="BG87">
        <f>TYPE(All_India_Index_Upto_April23__1[[#This Row],[Transport and communication]])</f>
        <v>1</v>
      </c>
      <c r="BH87">
        <f>TYPE(All_India_Index_Upto_April23__1[[#This Row],[Recreation and amusement]])</f>
        <v>1</v>
      </c>
      <c r="BI87">
        <f>TYPE(All_India_Index_Upto_April23__1[[#This Row],[Education]])</f>
        <v>1</v>
      </c>
      <c r="BJ87">
        <f>TYPE(All_India_Index_Upto_April23__1[[#This Row],[Personal care and effects]])</f>
        <v>1</v>
      </c>
      <c r="BK87">
        <f>TYPE(All_India_Index_Upto_April23__1[[#This Row],[Miscellaneous]])</f>
        <v>1</v>
      </c>
      <c r="BL87">
        <f>TYPE(All_India_Index_Upto_April23__1[[#This Row],[General index]])</f>
        <v>1</v>
      </c>
    </row>
    <row r="88" spans="1:64" hidden="1" x14ac:dyDescent="0.3">
      <c r="A88" t="s">
        <v>32</v>
      </c>
      <c r="B88">
        <v>2015</v>
      </c>
      <c r="C88" t="s">
        <v>37</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t="s">
        <v>117</v>
      </c>
      <c r="V88">
        <v>114.9</v>
      </c>
      <c r="W88">
        <v>118.7</v>
      </c>
      <c r="X88">
        <v>114.9</v>
      </c>
      <c r="Y88">
        <v>110.8</v>
      </c>
      <c r="Z88">
        <v>116</v>
      </c>
      <c r="AA88">
        <v>122</v>
      </c>
      <c r="AB88">
        <v>112.4</v>
      </c>
      <c r="AC88">
        <v>115.2</v>
      </c>
      <c r="AD88">
        <v>120.7</v>
      </c>
      <c r="AE88">
        <f>SUM(All_India_Index_Upto_April23__1[[#This Row],[Cereals and products]:[Food and beverages]])</f>
        <v>1598.9</v>
      </c>
      <c r="AF88">
        <f>SUM(All_India_Index_Upto_April23__1[[#This Row],[Clothing]:[Clothing and footwear]])</f>
        <v>361.4</v>
      </c>
      <c r="AG88">
        <f t="shared" si="1"/>
        <v>344.40000000000003</v>
      </c>
      <c r="AI88">
        <f>TYPE(All_India_Index_Upto_April23__1[[#This Row],[Sector]])</f>
        <v>2</v>
      </c>
      <c r="AJ88">
        <f>TYPE(All_India_Index_Upto_April23__1[[#This Row],[Year]])</f>
        <v>1</v>
      </c>
      <c r="AK88">
        <f>TYPE(All_India_Index_Upto_April23__1[[#This Row],[Month]])</f>
        <v>2</v>
      </c>
      <c r="AL88">
        <f>TYPE(All_India_Index_Upto_April23__1[[#This Row],[Cereals and products]])</f>
        <v>1</v>
      </c>
      <c r="AM88">
        <f>TYPE(All_India_Index_Upto_April23__1[[#This Row],[Meat and fish]])</f>
        <v>1</v>
      </c>
      <c r="AN88">
        <f>TYPE(All_India_Index_Upto_April23__1[[#This Row],[Egg]])</f>
        <v>1</v>
      </c>
      <c r="AO88">
        <f>TYPE(All_India_Index_Upto_April23__1[[#This Row],[Milk and products]])</f>
        <v>1</v>
      </c>
      <c r="AP88">
        <f>TYPE(All_India_Index_Upto_April23__1[[#This Row],[Oils and fats]])</f>
        <v>1</v>
      </c>
      <c r="AQ88">
        <f>TYPE(All_India_Index_Upto_April23__1[[#This Row],[Fruits]])</f>
        <v>1</v>
      </c>
      <c r="AR88">
        <f>TYPE(All_India_Index_Upto_April23__1[[#This Row],[Vegetables]])</f>
        <v>1</v>
      </c>
      <c r="AS88">
        <f>TYPE(All_India_Index_Upto_April23__1[[#This Row],[Pulses and products]])</f>
        <v>1</v>
      </c>
      <c r="AT88">
        <f>TYPE(All_India_Index_Upto_April23__1[[#This Row],[Sugar and Confectionery]])</f>
        <v>1</v>
      </c>
      <c r="AU88">
        <f>TYPE(All_India_Index_Upto_April23__1[[#This Row],[Spices]])</f>
        <v>1</v>
      </c>
      <c r="AV88">
        <f>TYPE(All_India_Index_Upto_April23__1[[#This Row],[Non-alcoholic beverages]])</f>
        <v>1</v>
      </c>
      <c r="AW88">
        <f>TYPE(All_India_Index_Upto_April23__1[[#This Row],[Prepared meals, snacks, sweets etc.]])</f>
        <v>1</v>
      </c>
      <c r="AX88">
        <f>TYPE(All_India_Index_Upto_April23__1[[#This Row],[Food and beverages]])</f>
        <v>1</v>
      </c>
      <c r="AY88">
        <f>TYPE(All_India_Index_Upto_April23__1[[#This Row],[Pan, tobacco and intoxicants]])</f>
        <v>1</v>
      </c>
      <c r="AZ88">
        <f>TYPE(All_India_Index_Upto_April23__1[[#This Row],[Clothing]])</f>
        <v>1</v>
      </c>
      <c r="BA88">
        <f>TYPE(All_India_Index_Upto_April23__1[[#This Row],[Footwear]])</f>
        <v>1</v>
      </c>
      <c r="BB88">
        <f>TYPE(All_India_Index_Upto_April23__1[[#This Row],[Clothing and footwear]])</f>
        <v>1</v>
      </c>
      <c r="BC88">
        <f>TYPE(All_India_Index_Upto_April23__1[[#This Row],[Housing]])</f>
        <v>2</v>
      </c>
      <c r="BD88">
        <f>TYPE(All_India_Index_Upto_April23__1[[#This Row],[Fuel and light]])</f>
        <v>1</v>
      </c>
      <c r="BE88">
        <f>TYPE(All_India_Index_Upto_April23__1[[#This Row],[Household goods and services]])</f>
        <v>1</v>
      </c>
      <c r="BF88">
        <f>TYPE(All_India_Index_Upto_April23__1[[#This Row],[Health]])</f>
        <v>1</v>
      </c>
      <c r="BG88">
        <f>TYPE(All_India_Index_Upto_April23__1[[#This Row],[Transport and communication]])</f>
        <v>1</v>
      </c>
      <c r="BH88">
        <f>TYPE(All_India_Index_Upto_April23__1[[#This Row],[Recreation and amusement]])</f>
        <v>1</v>
      </c>
      <c r="BI88">
        <f>TYPE(All_India_Index_Upto_April23__1[[#This Row],[Education]])</f>
        <v>1</v>
      </c>
      <c r="BJ88">
        <f>TYPE(All_India_Index_Upto_April23__1[[#This Row],[Personal care and effects]])</f>
        <v>1</v>
      </c>
      <c r="BK88">
        <f>TYPE(All_India_Index_Upto_April23__1[[#This Row],[Miscellaneous]])</f>
        <v>1</v>
      </c>
      <c r="BL88">
        <f>TYPE(All_India_Index_Upto_April23__1[[#This Row],[General index]])</f>
        <v>1</v>
      </c>
    </row>
    <row r="89" spans="1:64" hidden="1" x14ac:dyDescent="0.3">
      <c r="A89" t="s">
        <v>33</v>
      </c>
      <c r="B89">
        <v>2015</v>
      </c>
      <c r="C89" t="s">
        <v>37</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t="s">
        <v>117</v>
      </c>
      <c r="V89">
        <v>119.2</v>
      </c>
      <c r="W89">
        <v>120.2</v>
      </c>
      <c r="X89">
        <v>117.7</v>
      </c>
      <c r="Y89">
        <v>112</v>
      </c>
      <c r="Z89">
        <v>116.3</v>
      </c>
      <c r="AA89">
        <v>121.4</v>
      </c>
      <c r="AB89">
        <v>112.3</v>
      </c>
      <c r="AC89">
        <v>116.1</v>
      </c>
      <c r="AD89">
        <v>121.6</v>
      </c>
      <c r="AE89">
        <f>SUM(All_India_Index_Upto_April23__1[[#This Row],[Cereals and products]:[Food and beverages]])</f>
        <v>1590.4</v>
      </c>
      <c r="AF89">
        <f>SUM(All_India_Index_Upto_April23__1[[#This Row],[Clothing]:[Clothing and footwear]])</f>
        <v>371.4</v>
      </c>
      <c r="AG89">
        <f t="shared" si="1"/>
        <v>351.4</v>
      </c>
      <c r="AI89">
        <f>TYPE(All_India_Index_Upto_April23__1[[#This Row],[Sector]])</f>
        <v>2</v>
      </c>
      <c r="AJ89">
        <f>TYPE(All_India_Index_Upto_April23__1[[#This Row],[Year]])</f>
        <v>1</v>
      </c>
      <c r="AK89">
        <f>TYPE(All_India_Index_Upto_April23__1[[#This Row],[Month]])</f>
        <v>2</v>
      </c>
      <c r="AL89">
        <f>TYPE(All_India_Index_Upto_April23__1[[#This Row],[Cereals and products]])</f>
        <v>1</v>
      </c>
      <c r="AM89">
        <f>TYPE(All_India_Index_Upto_April23__1[[#This Row],[Meat and fish]])</f>
        <v>1</v>
      </c>
      <c r="AN89">
        <f>TYPE(All_India_Index_Upto_April23__1[[#This Row],[Egg]])</f>
        <v>1</v>
      </c>
      <c r="AO89">
        <f>TYPE(All_India_Index_Upto_April23__1[[#This Row],[Milk and products]])</f>
        <v>1</v>
      </c>
      <c r="AP89">
        <f>TYPE(All_India_Index_Upto_April23__1[[#This Row],[Oils and fats]])</f>
        <v>1</v>
      </c>
      <c r="AQ89">
        <f>TYPE(All_India_Index_Upto_April23__1[[#This Row],[Fruits]])</f>
        <v>1</v>
      </c>
      <c r="AR89">
        <f>TYPE(All_India_Index_Upto_April23__1[[#This Row],[Vegetables]])</f>
        <v>1</v>
      </c>
      <c r="AS89">
        <f>TYPE(All_India_Index_Upto_April23__1[[#This Row],[Pulses and products]])</f>
        <v>1</v>
      </c>
      <c r="AT89">
        <f>TYPE(All_India_Index_Upto_April23__1[[#This Row],[Sugar and Confectionery]])</f>
        <v>1</v>
      </c>
      <c r="AU89">
        <f>TYPE(All_India_Index_Upto_April23__1[[#This Row],[Spices]])</f>
        <v>1</v>
      </c>
      <c r="AV89">
        <f>TYPE(All_India_Index_Upto_April23__1[[#This Row],[Non-alcoholic beverages]])</f>
        <v>1</v>
      </c>
      <c r="AW89">
        <f>TYPE(All_India_Index_Upto_April23__1[[#This Row],[Prepared meals, snacks, sweets etc.]])</f>
        <v>1</v>
      </c>
      <c r="AX89">
        <f>TYPE(All_India_Index_Upto_April23__1[[#This Row],[Food and beverages]])</f>
        <v>1</v>
      </c>
      <c r="AY89">
        <f>TYPE(All_India_Index_Upto_April23__1[[#This Row],[Pan, tobacco and intoxicants]])</f>
        <v>1</v>
      </c>
      <c r="AZ89">
        <f>TYPE(All_India_Index_Upto_April23__1[[#This Row],[Clothing]])</f>
        <v>1</v>
      </c>
      <c r="BA89">
        <f>TYPE(All_India_Index_Upto_April23__1[[#This Row],[Footwear]])</f>
        <v>1</v>
      </c>
      <c r="BB89">
        <f>TYPE(All_India_Index_Upto_April23__1[[#This Row],[Clothing and footwear]])</f>
        <v>1</v>
      </c>
      <c r="BC89">
        <f>TYPE(All_India_Index_Upto_April23__1[[#This Row],[Housing]])</f>
        <v>2</v>
      </c>
      <c r="BD89">
        <f>TYPE(All_India_Index_Upto_April23__1[[#This Row],[Fuel and light]])</f>
        <v>1</v>
      </c>
      <c r="BE89">
        <f>TYPE(All_India_Index_Upto_April23__1[[#This Row],[Household goods and services]])</f>
        <v>1</v>
      </c>
      <c r="BF89">
        <f>TYPE(All_India_Index_Upto_April23__1[[#This Row],[Health]])</f>
        <v>1</v>
      </c>
      <c r="BG89">
        <f>TYPE(All_India_Index_Upto_April23__1[[#This Row],[Transport and communication]])</f>
        <v>1</v>
      </c>
      <c r="BH89">
        <f>TYPE(All_India_Index_Upto_April23__1[[#This Row],[Recreation and amusement]])</f>
        <v>1</v>
      </c>
      <c r="BI89">
        <f>TYPE(All_India_Index_Upto_April23__1[[#This Row],[Education]])</f>
        <v>1</v>
      </c>
      <c r="BJ89">
        <f>TYPE(All_India_Index_Upto_April23__1[[#This Row],[Personal care and effects]])</f>
        <v>1</v>
      </c>
      <c r="BK89">
        <f>TYPE(All_India_Index_Upto_April23__1[[#This Row],[Miscellaneous]])</f>
        <v>1</v>
      </c>
      <c r="BL89">
        <f>TYPE(All_India_Index_Upto_April23__1[[#This Row],[General index]])</f>
        <v>1</v>
      </c>
    </row>
    <row r="90" spans="1:64" hidden="1" x14ac:dyDescent="0.3">
      <c r="A90" t="s">
        <v>30</v>
      </c>
      <c r="B90">
        <v>2015</v>
      </c>
      <c r="C90" t="s">
        <v>38</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U90" t="s">
        <v>89</v>
      </c>
      <c r="V90">
        <v>122.6</v>
      </c>
      <c r="W90">
        <v>122.8</v>
      </c>
      <c r="X90">
        <v>120.4</v>
      </c>
      <c r="Y90">
        <v>114.2</v>
      </c>
      <c r="Z90">
        <v>117.9</v>
      </c>
      <c r="AA90">
        <v>122</v>
      </c>
      <c r="AB90">
        <v>113</v>
      </c>
      <c r="AC90">
        <v>117.9</v>
      </c>
      <c r="AD90">
        <v>124.1</v>
      </c>
      <c r="AE90">
        <f>SUM(All_India_Index_Upto_April23__1[[#This Row],[Cereals and products]:[Food and beverages]])</f>
        <v>1617.8999999999999</v>
      </c>
      <c r="AF90">
        <f>SUM(All_India_Index_Upto_April23__1[[#This Row],[Clothing]:[Clothing and footwear]])</f>
        <v>381.5</v>
      </c>
      <c r="AG90">
        <f t="shared" si="1"/>
        <v>359.59999999999997</v>
      </c>
      <c r="AI90">
        <f>TYPE(All_India_Index_Upto_April23__1[[#This Row],[Sector]])</f>
        <v>2</v>
      </c>
      <c r="AJ90">
        <f>TYPE(All_India_Index_Upto_April23__1[[#This Row],[Year]])</f>
        <v>1</v>
      </c>
      <c r="AK90">
        <f>TYPE(All_India_Index_Upto_April23__1[[#This Row],[Month]])</f>
        <v>2</v>
      </c>
      <c r="AL90">
        <f>TYPE(All_India_Index_Upto_April23__1[[#This Row],[Cereals and products]])</f>
        <v>1</v>
      </c>
      <c r="AM90">
        <f>TYPE(All_India_Index_Upto_April23__1[[#This Row],[Meat and fish]])</f>
        <v>1</v>
      </c>
      <c r="AN90">
        <f>TYPE(All_India_Index_Upto_April23__1[[#This Row],[Egg]])</f>
        <v>1</v>
      </c>
      <c r="AO90">
        <f>TYPE(All_India_Index_Upto_April23__1[[#This Row],[Milk and products]])</f>
        <v>1</v>
      </c>
      <c r="AP90">
        <f>TYPE(All_India_Index_Upto_April23__1[[#This Row],[Oils and fats]])</f>
        <v>1</v>
      </c>
      <c r="AQ90">
        <f>TYPE(All_India_Index_Upto_April23__1[[#This Row],[Fruits]])</f>
        <v>1</v>
      </c>
      <c r="AR90">
        <f>TYPE(All_India_Index_Upto_April23__1[[#This Row],[Vegetables]])</f>
        <v>1</v>
      </c>
      <c r="AS90">
        <f>TYPE(All_India_Index_Upto_April23__1[[#This Row],[Pulses and products]])</f>
        <v>1</v>
      </c>
      <c r="AT90">
        <f>TYPE(All_India_Index_Upto_April23__1[[#This Row],[Sugar and Confectionery]])</f>
        <v>1</v>
      </c>
      <c r="AU90">
        <f>TYPE(All_India_Index_Upto_April23__1[[#This Row],[Spices]])</f>
        <v>1</v>
      </c>
      <c r="AV90">
        <f>TYPE(All_India_Index_Upto_April23__1[[#This Row],[Non-alcoholic beverages]])</f>
        <v>1</v>
      </c>
      <c r="AW90">
        <f>TYPE(All_India_Index_Upto_April23__1[[#This Row],[Prepared meals, snacks, sweets etc.]])</f>
        <v>1</v>
      </c>
      <c r="AX90">
        <f>TYPE(All_India_Index_Upto_April23__1[[#This Row],[Food and beverages]])</f>
        <v>1</v>
      </c>
      <c r="AY90">
        <f>TYPE(All_India_Index_Upto_April23__1[[#This Row],[Pan, tobacco and intoxicants]])</f>
        <v>1</v>
      </c>
      <c r="AZ90">
        <f>TYPE(All_India_Index_Upto_April23__1[[#This Row],[Clothing]])</f>
        <v>1</v>
      </c>
      <c r="BA90">
        <f>TYPE(All_India_Index_Upto_April23__1[[#This Row],[Footwear]])</f>
        <v>1</v>
      </c>
      <c r="BB90">
        <f>TYPE(All_India_Index_Upto_April23__1[[#This Row],[Clothing and footwear]])</f>
        <v>1</v>
      </c>
      <c r="BC90">
        <f>TYPE(All_India_Index_Upto_April23__1[[#This Row],[Housing]])</f>
        <v>2</v>
      </c>
      <c r="BD90">
        <f>TYPE(All_India_Index_Upto_April23__1[[#This Row],[Fuel and light]])</f>
        <v>1</v>
      </c>
      <c r="BE90">
        <f>TYPE(All_India_Index_Upto_April23__1[[#This Row],[Household goods and services]])</f>
        <v>1</v>
      </c>
      <c r="BF90">
        <f>TYPE(All_India_Index_Upto_April23__1[[#This Row],[Health]])</f>
        <v>1</v>
      </c>
      <c r="BG90">
        <f>TYPE(All_India_Index_Upto_April23__1[[#This Row],[Transport and communication]])</f>
        <v>1</v>
      </c>
      <c r="BH90">
        <f>TYPE(All_India_Index_Upto_April23__1[[#This Row],[Recreation and amusement]])</f>
        <v>1</v>
      </c>
      <c r="BI90">
        <f>TYPE(All_India_Index_Upto_April23__1[[#This Row],[Education]])</f>
        <v>1</v>
      </c>
      <c r="BJ90">
        <f>TYPE(All_India_Index_Upto_April23__1[[#This Row],[Personal care and effects]])</f>
        <v>1</v>
      </c>
      <c r="BK90">
        <f>TYPE(All_India_Index_Upto_April23__1[[#This Row],[Miscellaneous]])</f>
        <v>1</v>
      </c>
      <c r="BL90">
        <f>TYPE(All_India_Index_Upto_April23__1[[#This Row],[General index]])</f>
        <v>1</v>
      </c>
    </row>
    <row r="91" spans="1:64" hidden="1" x14ac:dyDescent="0.3">
      <c r="A91" t="s">
        <v>32</v>
      </c>
      <c r="B91">
        <v>2015</v>
      </c>
      <c r="C91" t="s">
        <v>38</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t="s">
        <v>118</v>
      </c>
      <c r="V91">
        <v>115.1</v>
      </c>
      <c r="W91">
        <v>119.2</v>
      </c>
      <c r="X91">
        <v>115.4</v>
      </c>
      <c r="Y91">
        <v>111.7</v>
      </c>
      <c r="Z91">
        <v>116.2</v>
      </c>
      <c r="AA91">
        <v>123.8</v>
      </c>
      <c r="AB91">
        <v>112.5</v>
      </c>
      <c r="AC91">
        <v>116</v>
      </c>
      <c r="AD91">
        <v>121.7</v>
      </c>
      <c r="AE91">
        <f>SUM(All_India_Index_Upto_April23__1[[#This Row],[Cereals and products]:[Food and beverages]])</f>
        <v>1636.6</v>
      </c>
      <c r="AF91">
        <f>SUM(All_India_Index_Upto_April23__1[[#This Row],[Clothing]:[Clothing and footwear]])</f>
        <v>363.1</v>
      </c>
      <c r="AG91">
        <f t="shared" si="1"/>
        <v>346</v>
      </c>
      <c r="AI91">
        <f>TYPE(All_India_Index_Upto_April23__1[[#This Row],[Sector]])</f>
        <v>2</v>
      </c>
      <c r="AJ91">
        <f>TYPE(All_India_Index_Upto_April23__1[[#This Row],[Year]])</f>
        <v>1</v>
      </c>
      <c r="AK91">
        <f>TYPE(All_India_Index_Upto_April23__1[[#This Row],[Month]])</f>
        <v>2</v>
      </c>
      <c r="AL91">
        <f>TYPE(All_India_Index_Upto_April23__1[[#This Row],[Cereals and products]])</f>
        <v>1</v>
      </c>
      <c r="AM91">
        <f>TYPE(All_India_Index_Upto_April23__1[[#This Row],[Meat and fish]])</f>
        <v>1</v>
      </c>
      <c r="AN91">
        <f>TYPE(All_India_Index_Upto_April23__1[[#This Row],[Egg]])</f>
        <v>1</v>
      </c>
      <c r="AO91">
        <f>TYPE(All_India_Index_Upto_April23__1[[#This Row],[Milk and products]])</f>
        <v>1</v>
      </c>
      <c r="AP91">
        <f>TYPE(All_India_Index_Upto_April23__1[[#This Row],[Oils and fats]])</f>
        <v>1</v>
      </c>
      <c r="AQ91">
        <f>TYPE(All_India_Index_Upto_April23__1[[#This Row],[Fruits]])</f>
        <v>1</v>
      </c>
      <c r="AR91">
        <f>TYPE(All_India_Index_Upto_April23__1[[#This Row],[Vegetables]])</f>
        <v>1</v>
      </c>
      <c r="AS91">
        <f>TYPE(All_India_Index_Upto_April23__1[[#This Row],[Pulses and products]])</f>
        <v>1</v>
      </c>
      <c r="AT91">
        <f>TYPE(All_India_Index_Upto_April23__1[[#This Row],[Sugar and Confectionery]])</f>
        <v>1</v>
      </c>
      <c r="AU91">
        <f>TYPE(All_India_Index_Upto_April23__1[[#This Row],[Spices]])</f>
        <v>1</v>
      </c>
      <c r="AV91">
        <f>TYPE(All_India_Index_Upto_April23__1[[#This Row],[Non-alcoholic beverages]])</f>
        <v>1</v>
      </c>
      <c r="AW91">
        <f>TYPE(All_India_Index_Upto_April23__1[[#This Row],[Prepared meals, snacks, sweets etc.]])</f>
        <v>1</v>
      </c>
      <c r="AX91">
        <f>TYPE(All_India_Index_Upto_April23__1[[#This Row],[Food and beverages]])</f>
        <v>1</v>
      </c>
      <c r="AY91">
        <f>TYPE(All_India_Index_Upto_April23__1[[#This Row],[Pan, tobacco and intoxicants]])</f>
        <v>1</v>
      </c>
      <c r="AZ91">
        <f>TYPE(All_India_Index_Upto_April23__1[[#This Row],[Clothing]])</f>
        <v>1</v>
      </c>
      <c r="BA91">
        <f>TYPE(All_India_Index_Upto_April23__1[[#This Row],[Footwear]])</f>
        <v>1</v>
      </c>
      <c r="BB91">
        <f>TYPE(All_India_Index_Upto_April23__1[[#This Row],[Clothing and footwear]])</f>
        <v>1</v>
      </c>
      <c r="BC91">
        <f>TYPE(All_India_Index_Upto_April23__1[[#This Row],[Housing]])</f>
        <v>2</v>
      </c>
      <c r="BD91">
        <f>TYPE(All_India_Index_Upto_April23__1[[#This Row],[Fuel and light]])</f>
        <v>1</v>
      </c>
      <c r="BE91">
        <f>TYPE(All_India_Index_Upto_April23__1[[#This Row],[Household goods and services]])</f>
        <v>1</v>
      </c>
      <c r="BF91">
        <f>TYPE(All_India_Index_Upto_April23__1[[#This Row],[Health]])</f>
        <v>1</v>
      </c>
      <c r="BG91">
        <f>TYPE(All_India_Index_Upto_April23__1[[#This Row],[Transport and communication]])</f>
        <v>1</v>
      </c>
      <c r="BH91">
        <f>TYPE(All_India_Index_Upto_April23__1[[#This Row],[Recreation and amusement]])</f>
        <v>1</v>
      </c>
      <c r="BI91">
        <f>TYPE(All_India_Index_Upto_April23__1[[#This Row],[Education]])</f>
        <v>1</v>
      </c>
      <c r="BJ91">
        <f>TYPE(All_India_Index_Upto_April23__1[[#This Row],[Personal care and effects]])</f>
        <v>1</v>
      </c>
      <c r="BK91">
        <f>TYPE(All_India_Index_Upto_April23__1[[#This Row],[Miscellaneous]])</f>
        <v>1</v>
      </c>
      <c r="BL91">
        <f>TYPE(All_India_Index_Upto_April23__1[[#This Row],[General index]])</f>
        <v>1</v>
      </c>
    </row>
    <row r="92" spans="1:64" hidden="1" x14ac:dyDescent="0.3">
      <c r="A92" t="s">
        <v>33</v>
      </c>
      <c r="B92">
        <v>2015</v>
      </c>
      <c r="C92" t="s">
        <v>38</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t="s">
        <v>118</v>
      </c>
      <c r="V92">
        <v>119.8</v>
      </c>
      <c r="W92">
        <v>121.1</v>
      </c>
      <c r="X92">
        <v>118.5</v>
      </c>
      <c r="Y92">
        <v>112.9</v>
      </c>
      <c r="Z92">
        <v>116.9</v>
      </c>
      <c r="AA92">
        <v>123.1</v>
      </c>
      <c r="AB92">
        <v>112.8</v>
      </c>
      <c r="AC92">
        <v>117</v>
      </c>
      <c r="AD92">
        <v>123</v>
      </c>
      <c r="AE92">
        <f>SUM(All_India_Index_Upto_April23__1[[#This Row],[Cereals and products]:[Food and beverages]])</f>
        <v>1623.5</v>
      </c>
      <c r="AF92">
        <f>SUM(All_India_Index_Upto_April23__1[[#This Row],[Clothing]:[Clothing and footwear]])</f>
        <v>374.1</v>
      </c>
      <c r="AG92">
        <f t="shared" si="1"/>
        <v>353.79999999999995</v>
      </c>
      <c r="AI92">
        <f>TYPE(All_India_Index_Upto_April23__1[[#This Row],[Sector]])</f>
        <v>2</v>
      </c>
      <c r="AJ92">
        <f>TYPE(All_India_Index_Upto_April23__1[[#This Row],[Year]])</f>
        <v>1</v>
      </c>
      <c r="AK92">
        <f>TYPE(All_India_Index_Upto_April23__1[[#This Row],[Month]])</f>
        <v>2</v>
      </c>
      <c r="AL92">
        <f>TYPE(All_India_Index_Upto_April23__1[[#This Row],[Cereals and products]])</f>
        <v>1</v>
      </c>
      <c r="AM92">
        <f>TYPE(All_India_Index_Upto_April23__1[[#This Row],[Meat and fish]])</f>
        <v>1</v>
      </c>
      <c r="AN92">
        <f>TYPE(All_India_Index_Upto_April23__1[[#This Row],[Egg]])</f>
        <v>1</v>
      </c>
      <c r="AO92">
        <f>TYPE(All_India_Index_Upto_April23__1[[#This Row],[Milk and products]])</f>
        <v>1</v>
      </c>
      <c r="AP92">
        <f>TYPE(All_India_Index_Upto_April23__1[[#This Row],[Oils and fats]])</f>
        <v>1</v>
      </c>
      <c r="AQ92">
        <f>TYPE(All_India_Index_Upto_April23__1[[#This Row],[Fruits]])</f>
        <v>1</v>
      </c>
      <c r="AR92">
        <f>TYPE(All_India_Index_Upto_April23__1[[#This Row],[Vegetables]])</f>
        <v>1</v>
      </c>
      <c r="AS92">
        <f>TYPE(All_India_Index_Upto_April23__1[[#This Row],[Pulses and products]])</f>
        <v>1</v>
      </c>
      <c r="AT92">
        <f>TYPE(All_India_Index_Upto_April23__1[[#This Row],[Sugar and Confectionery]])</f>
        <v>1</v>
      </c>
      <c r="AU92">
        <f>TYPE(All_India_Index_Upto_April23__1[[#This Row],[Spices]])</f>
        <v>1</v>
      </c>
      <c r="AV92">
        <f>TYPE(All_India_Index_Upto_April23__1[[#This Row],[Non-alcoholic beverages]])</f>
        <v>1</v>
      </c>
      <c r="AW92">
        <f>TYPE(All_India_Index_Upto_April23__1[[#This Row],[Prepared meals, snacks, sweets etc.]])</f>
        <v>1</v>
      </c>
      <c r="AX92">
        <f>TYPE(All_India_Index_Upto_April23__1[[#This Row],[Food and beverages]])</f>
        <v>1</v>
      </c>
      <c r="AY92">
        <f>TYPE(All_India_Index_Upto_April23__1[[#This Row],[Pan, tobacco and intoxicants]])</f>
        <v>1</v>
      </c>
      <c r="AZ92">
        <f>TYPE(All_India_Index_Upto_April23__1[[#This Row],[Clothing]])</f>
        <v>1</v>
      </c>
      <c r="BA92">
        <f>TYPE(All_India_Index_Upto_April23__1[[#This Row],[Footwear]])</f>
        <v>1</v>
      </c>
      <c r="BB92">
        <f>TYPE(All_India_Index_Upto_April23__1[[#This Row],[Clothing and footwear]])</f>
        <v>1</v>
      </c>
      <c r="BC92">
        <f>TYPE(All_India_Index_Upto_April23__1[[#This Row],[Housing]])</f>
        <v>2</v>
      </c>
      <c r="BD92">
        <f>TYPE(All_India_Index_Upto_April23__1[[#This Row],[Fuel and light]])</f>
        <v>1</v>
      </c>
      <c r="BE92">
        <f>TYPE(All_India_Index_Upto_April23__1[[#This Row],[Household goods and services]])</f>
        <v>1</v>
      </c>
      <c r="BF92">
        <f>TYPE(All_India_Index_Upto_April23__1[[#This Row],[Health]])</f>
        <v>1</v>
      </c>
      <c r="BG92">
        <f>TYPE(All_India_Index_Upto_April23__1[[#This Row],[Transport and communication]])</f>
        <v>1</v>
      </c>
      <c r="BH92">
        <f>TYPE(All_India_Index_Upto_April23__1[[#This Row],[Recreation and amusement]])</f>
        <v>1</v>
      </c>
      <c r="BI92">
        <f>TYPE(All_India_Index_Upto_April23__1[[#This Row],[Education]])</f>
        <v>1</v>
      </c>
      <c r="BJ92">
        <f>TYPE(All_India_Index_Upto_April23__1[[#This Row],[Personal care and effects]])</f>
        <v>1</v>
      </c>
      <c r="BK92">
        <f>TYPE(All_India_Index_Upto_April23__1[[#This Row],[Miscellaneous]])</f>
        <v>1</v>
      </c>
      <c r="BL92">
        <f>TYPE(All_India_Index_Upto_April23__1[[#This Row],[General index]])</f>
        <v>1</v>
      </c>
    </row>
    <row r="93" spans="1:64" hidden="1" x14ac:dyDescent="0.3">
      <c r="A93" t="s">
        <v>30</v>
      </c>
      <c r="B93">
        <v>2015</v>
      </c>
      <c r="C93" t="s">
        <v>39</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U93" t="s">
        <v>89</v>
      </c>
      <c r="V93">
        <v>123</v>
      </c>
      <c r="W93">
        <v>123</v>
      </c>
      <c r="X93">
        <v>120.8</v>
      </c>
      <c r="Y93">
        <v>114.1</v>
      </c>
      <c r="Z93">
        <v>118</v>
      </c>
      <c r="AA93">
        <v>122.9</v>
      </c>
      <c r="AB93">
        <v>112.7</v>
      </c>
      <c r="AC93">
        <v>118.1</v>
      </c>
      <c r="AD93">
        <v>124.7</v>
      </c>
      <c r="AE93">
        <f>SUM(All_India_Index_Upto_April23__1[[#This Row],[Cereals and products]:[Food and beverages]])</f>
        <v>1625.3</v>
      </c>
      <c r="AF93">
        <f>SUM(All_India_Index_Upto_April23__1[[#This Row],[Clothing]:[Clothing and footwear]])</f>
        <v>382.6</v>
      </c>
      <c r="AG93">
        <f t="shared" si="1"/>
        <v>360.1</v>
      </c>
      <c r="AI93">
        <f>TYPE(All_India_Index_Upto_April23__1[[#This Row],[Sector]])</f>
        <v>2</v>
      </c>
      <c r="AJ93">
        <f>TYPE(All_India_Index_Upto_April23__1[[#This Row],[Year]])</f>
        <v>1</v>
      </c>
      <c r="AK93">
        <f>TYPE(All_India_Index_Upto_April23__1[[#This Row],[Month]])</f>
        <v>2</v>
      </c>
      <c r="AL93">
        <f>TYPE(All_India_Index_Upto_April23__1[[#This Row],[Cereals and products]])</f>
        <v>1</v>
      </c>
      <c r="AM93">
        <f>TYPE(All_India_Index_Upto_April23__1[[#This Row],[Meat and fish]])</f>
        <v>1</v>
      </c>
      <c r="AN93">
        <f>TYPE(All_India_Index_Upto_April23__1[[#This Row],[Egg]])</f>
        <v>1</v>
      </c>
      <c r="AO93">
        <f>TYPE(All_India_Index_Upto_April23__1[[#This Row],[Milk and products]])</f>
        <v>1</v>
      </c>
      <c r="AP93">
        <f>TYPE(All_India_Index_Upto_April23__1[[#This Row],[Oils and fats]])</f>
        <v>1</v>
      </c>
      <c r="AQ93">
        <f>TYPE(All_India_Index_Upto_April23__1[[#This Row],[Fruits]])</f>
        <v>1</v>
      </c>
      <c r="AR93">
        <f>TYPE(All_India_Index_Upto_April23__1[[#This Row],[Vegetables]])</f>
        <v>1</v>
      </c>
      <c r="AS93">
        <f>TYPE(All_India_Index_Upto_April23__1[[#This Row],[Pulses and products]])</f>
        <v>1</v>
      </c>
      <c r="AT93">
        <f>TYPE(All_India_Index_Upto_April23__1[[#This Row],[Sugar and Confectionery]])</f>
        <v>1</v>
      </c>
      <c r="AU93">
        <f>TYPE(All_India_Index_Upto_April23__1[[#This Row],[Spices]])</f>
        <v>1</v>
      </c>
      <c r="AV93">
        <f>TYPE(All_India_Index_Upto_April23__1[[#This Row],[Non-alcoholic beverages]])</f>
        <v>1</v>
      </c>
      <c r="AW93">
        <f>TYPE(All_India_Index_Upto_April23__1[[#This Row],[Prepared meals, snacks, sweets etc.]])</f>
        <v>1</v>
      </c>
      <c r="AX93">
        <f>TYPE(All_India_Index_Upto_April23__1[[#This Row],[Food and beverages]])</f>
        <v>1</v>
      </c>
      <c r="AY93">
        <f>TYPE(All_India_Index_Upto_April23__1[[#This Row],[Pan, tobacco and intoxicants]])</f>
        <v>1</v>
      </c>
      <c r="AZ93">
        <f>TYPE(All_India_Index_Upto_April23__1[[#This Row],[Clothing]])</f>
        <v>1</v>
      </c>
      <c r="BA93">
        <f>TYPE(All_India_Index_Upto_April23__1[[#This Row],[Footwear]])</f>
        <v>1</v>
      </c>
      <c r="BB93">
        <f>TYPE(All_India_Index_Upto_April23__1[[#This Row],[Clothing and footwear]])</f>
        <v>1</v>
      </c>
      <c r="BC93">
        <f>TYPE(All_India_Index_Upto_April23__1[[#This Row],[Housing]])</f>
        <v>2</v>
      </c>
      <c r="BD93">
        <f>TYPE(All_India_Index_Upto_April23__1[[#This Row],[Fuel and light]])</f>
        <v>1</v>
      </c>
      <c r="BE93">
        <f>TYPE(All_India_Index_Upto_April23__1[[#This Row],[Household goods and services]])</f>
        <v>1</v>
      </c>
      <c r="BF93">
        <f>TYPE(All_India_Index_Upto_April23__1[[#This Row],[Health]])</f>
        <v>1</v>
      </c>
      <c r="BG93">
        <f>TYPE(All_India_Index_Upto_April23__1[[#This Row],[Transport and communication]])</f>
        <v>1</v>
      </c>
      <c r="BH93">
        <f>TYPE(All_India_Index_Upto_April23__1[[#This Row],[Recreation and amusement]])</f>
        <v>1</v>
      </c>
      <c r="BI93">
        <f>TYPE(All_India_Index_Upto_April23__1[[#This Row],[Education]])</f>
        <v>1</v>
      </c>
      <c r="BJ93">
        <f>TYPE(All_India_Index_Upto_April23__1[[#This Row],[Personal care and effects]])</f>
        <v>1</v>
      </c>
      <c r="BK93">
        <f>TYPE(All_India_Index_Upto_April23__1[[#This Row],[Miscellaneous]])</f>
        <v>1</v>
      </c>
      <c r="BL93">
        <f>TYPE(All_India_Index_Upto_April23__1[[#This Row],[General index]])</f>
        <v>1</v>
      </c>
    </row>
    <row r="94" spans="1:64" hidden="1" x14ac:dyDescent="0.3">
      <c r="A94" t="s">
        <v>32</v>
      </c>
      <c r="B94">
        <v>2015</v>
      </c>
      <c r="C94" t="s">
        <v>39</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t="s">
        <v>119</v>
      </c>
      <c r="V94">
        <v>115.3</v>
      </c>
      <c r="W94">
        <v>119.5</v>
      </c>
      <c r="X94">
        <v>116</v>
      </c>
      <c r="Y94">
        <v>111.5</v>
      </c>
      <c r="Z94">
        <v>116.6</v>
      </c>
      <c r="AA94">
        <v>125.4</v>
      </c>
      <c r="AB94">
        <v>111.7</v>
      </c>
      <c r="AC94">
        <v>116.3</v>
      </c>
      <c r="AD94">
        <v>122.4</v>
      </c>
      <c r="AE94">
        <f>SUM(All_India_Index_Upto_April23__1[[#This Row],[Cereals and products]:[Food and beverages]])</f>
        <v>1642.8999999999999</v>
      </c>
      <c r="AF94">
        <f>SUM(All_India_Index_Upto_April23__1[[#This Row],[Clothing]:[Clothing and footwear]])</f>
        <v>364.1</v>
      </c>
      <c r="AG94">
        <f t="shared" si="1"/>
        <v>346.3</v>
      </c>
      <c r="AI94">
        <f>TYPE(All_India_Index_Upto_April23__1[[#This Row],[Sector]])</f>
        <v>2</v>
      </c>
      <c r="AJ94">
        <f>TYPE(All_India_Index_Upto_April23__1[[#This Row],[Year]])</f>
        <v>1</v>
      </c>
      <c r="AK94">
        <f>TYPE(All_India_Index_Upto_April23__1[[#This Row],[Month]])</f>
        <v>2</v>
      </c>
      <c r="AL94">
        <f>TYPE(All_India_Index_Upto_April23__1[[#This Row],[Cereals and products]])</f>
        <v>1</v>
      </c>
      <c r="AM94">
        <f>TYPE(All_India_Index_Upto_April23__1[[#This Row],[Meat and fish]])</f>
        <v>1</v>
      </c>
      <c r="AN94">
        <f>TYPE(All_India_Index_Upto_April23__1[[#This Row],[Egg]])</f>
        <v>1</v>
      </c>
      <c r="AO94">
        <f>TYPE(All_India_Index_Upto_April23__1[[#This Row],[Milk and products]])</f>
        <v>1</v>
      </c>
      <c r="AP94">
        <f>TYPE(All_India_Index_Upto_April23__1[[#This Row],[Oils and fats]])</f>
        <v>1</v>
      </c>
      <c r="AQ94">
        <f>TYPE(All_India_Index_Upto_April23__1[[#This Row],[Fruits]])</f>
        <v>1</v>
      </c>
      <c r="AR94">
        <f>TYPE(All_India_Index_Upto_April23__1[[#This Row],[Vegetables]])</f>
        <v>1</v>
      </c>
      <c r="AS94">
        <f>TYPE(All_India_Index_Upto_April23__1[[#This Row],[Pulses and products]])</f>
        <v>1</v>
      </c>
      <c r="AT94">
        <f>TYPE(All_India_Index_Upto_April23__1[[#This Row],[Sugar and Confectionery]])</f>
        <v>1</v>
      </c>
      <c r="AU94">
        <f>TYPE(All_India_Index_Upto_April23__1[[#This Row],[Spices]])</f>
        <v>1</v>
      </c>
      <c r="AV94">
        <f>TYPE(All_India_Index_Upto_April23__1[[#This Row],[Non-alcoholic beverages]])</f>
        <v>1</v>
      </c>
      <c r="AW94">
        <f>TYPE(All_India_Index_Upto_April23__1[[#This Row],[Prepared meals, snacks, sweets etc.]])</f>
        <v>1</v>
      </c>
      <c r="AX94">
        <f>TYPE(All_India_Index_Upto_April23__1[[#This Row],[Food and beverages]])</f>
        <v>1</v>
      </c>
      <c r="AY94">
        <f>TYPE(All_India_Index_Upto_April23__1[[#This Row],[Pan, tobacco and intoxicants]])</f>
        <v>1</v>
      </c>
      <c r="AZ94">
        <f>TYPE(All_India_Index_Upto_April23__1[[#This Row],[Clothing]])</f>
        <v>1</v>
      </c>
      <c r="BA94">
        <f>TYPE(All_India_Index_Upto_April23__1[[#This Row],[Footwear]])</f>
        <v>1</v>
      </c>
      <c r="BB94">
        <f>TYPE(All_India_Index_Upto_April23__1[[#This Row],[Clothing and footwear]])</f>
        <v>1</v>
      </c>
      <c r="BC94">
        <f>TYPE(All_India_Index_Upto_April23__1[[#This Row],[Housing]])</f>
        <v>2</v>
      </c>
      <c r="BD94">
        <f>TYPE(All_India_Index_Upto_April23__1[[#This Row],[Fuel and light]])</f>
        <v>1</v>
      </c>
      <c r="BE94">
        <f>TYPE(All_India_Index_Upto_April23__1[[#This Row],[Household goods and services]])</f>
        <v>1</v>
      </c>
      <c r="BF94">
        <f>TYPE(All_India_Index_Upto_April23__1[[#This Row],[Health]])</f>
        <v>1</v>
      </c>
      <c r="BG94">
        <f>TYPE(All_India_Index_Upto_April23__1[[#This Row],[Transport and communication]])</f>
        <v>1</v>
      </c>
      <c r="BH94">
        <f>TYPE(All_India_Index_Upto_April23__1[[#This Row],[Recreation and amusement]])</f>
        <v>1</v>
      </c>
      <c r="BI94">
        <f>TYPE(All_India_Index_Upto_April23__1[[#This Row],[Education]])</f>
        <v>1</v>
      </c>
      <c r="BJ94">
        <f>TYPE(All_India_Index_Upto_April23__1[[#This Row],[Personal care and effects]])</f>
        <v>1</v>
      </c>
      <c r="BK94">
        <f>TYPE(All_India_Index_Upto_April23__1[[#This Row],[Miscellaneous]])</f>
        <v>1</v>
      </c>
      <c r="BL94">
        <f>TYPE(All_India_Index_Upto_April23__1[[#This Row],[General index]])</f>
        <v>1</v>
      </c>
    </row>
    <row r="95" spans="1:64" hidden="1" x14ac:dyDescent="0.3">
      <c r="A95" t="s">
        <v>33</v>
      </c>
      <c r="B95">
        <v>2015</v>
      </c>
      <c r="C95" t="s">
        <v>39</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t="s">
        <v>119</v>
      </c>
      <c r="V95">
        <v>120.1</v>
      </c>
      <c r="W95">
        <v>121.3</v>
      </c>
      <c r="X95">
        <v>119</v>
      </c>
      <c r="Y95">
        <v>112.7</v>
      </c>
      <c r="Z95">
        <v>117.2</v>
      </c>
      <c r="AA95">
        <v>124.4</v>
      </c>
      <c r="AB95">
        <v>112.3</v>
      </c>
      <c r="AC95">
        <v>117.2</v>
      </c>
      <c r="AD95">
        <v>123.6</v>
      </c>
      <c r="AE95">
        <f>SUM(All_India_Index_Upto_April23__1[[#This Row],[Cereals and products]:[Food and beverages]])</f>
        <v>1630.6000000000001</v>
      </c>
      <c r="AF95">
        <f>SUM(All_India_Index_Upto_April23__1[[#This Row],[Clothing]:[Clothing and footwear]])</f>
        <v>375.1</v>
      </c>
      <c r="AG95">
        <f t="shared" si="1"/>
        <v>354.09999999999997</v>
      </c>
      <c r="AI95">
        <f>TYPE(All_India_Index_Upto_April23__1[[#This Row],[Sector]])</f>
        <v>2</v>
      </c>
      <c r="AJ95">
        <f>TYPE(All_India_Index_Upto_April23__1[[#This Row],[Year]])</f>
        <v>1</v>
      </c>
      <c r="AK95">
        <f>TYPE(All_India_Index_Upto_April23__1[[#This Row],[Month]])</f>
        <v>2</v>
      </c>
      <c r="AL95">
        <f>TYPE(All_India_Index_Upto_April23__1[[#This Row],[Cereals and products]])</f>
        <v>1</v>
      </c>
      <c r="AM95">
        <f>TYPE(All_India_Index_Upto_April23__1[[#This Row],[Meat and fish]])</f>
        <v>1</v>
      </c>
      <c r="AN95">
        <f>TYPE(All_India_Index_Upto_April23__1[[#This Row],[Egg]])</f>
        <v>1</v>
      </c>
      <c r="AO95">
        <f>TYPE(All_India_Index_Upto_April23__1[[#This Row],[Milk and products]])</f>
        <v>1</v>
      </c>
      <c r="AP95">
        <f>TYPE(All_India_Index_Upto_April23__1[[#This Row],[Oils and fats]])</f>
        <v>1</v>
      </c>
      <c r="AQ95">
        <f>TYPE(All_India_Index_Upto_April23__1[[#This Row],[Fruits]])</f>
        <v>1</v>
      </c>
      <c r="AR95">
        <f>TYPE(All_India_Index_Upto_April23__1[[#This Row],[Vegetables]])</f>
        <v>1</v>
      </c>
      <c r="AS95">
        <f>TYPE(All_India_Index_Upto_April23__1[[#This Row],[Pulses and products]])</f>
        <v>1</v>
      </c>
      <c r="AT95">
        <f>TYPE(All_India_Index_Upto_April23__1[[#This Row],[Sugar and Confectionery]])</f>
        <v>1</v>
      </c>
      <c r="AU95">
        <f>TYPE(All_India_Index_Upto_April23__1[[#This Row],[Spices]])</f>
        <v>1</v>
      </c>
      <c r="AV95">
        <f>TYPE(All_India_Index_Upto_April23__1[[#This Row],[Non-alcoholic beverages]])</f>
        <v>1</v>
      </c>
      <c r="AW95">
        <f>TYPE(All_India_Index_Upto_April23__1[[#This Row],[Prepared meals, snacks, sweets etc.]])</f>
        <v>1</v>
      </c>
      <c r="AX95">
        <f>TYPE(All_India_Index_Upto_April23__1[[#This Row],[Food and beverages]])</f>
        <v>1</v>
      </c>
      <c r="AY95">
        <f>TYPE(All_India_Index_Upto_April23__1[[#This Row],[Pan, tobacco and intoxicants]])</f>
        <v>1</v>
      </c>
      <c r="AZ95">
        <f>TYPE(All_India_Index_Upto_April23__1[[#This Row],[Clothing]])</f>
        <v>1</v>
      </c>
      <c r="BA95">
        <f>TYPE(All_India_Index_Upto_April23__1[[#This Row],[Footwear]])</f>
        <v>1</v>
      </c>
      <c r="BB95">
        <f>TYPE(All_India_Index_Upto_April23__1[[#This Row],[Clothing and footwear]])</f>
        <v>1</v>
      </c>
      <c r="BC95">
        <f>TYPE(All_India_Index_Upto_April23__1[[#This Row],[Housing]])</f>
        <v>2</v>
      </c>
      <c r="BD95">
        <f>TYPE(All_India_Index_Upto_April23__1[[#This Row],[Fuel and light]])</f>
        <v>1</v>
      </c>
      <c r="BE95">
        <f>TYPE(All_India_Index_Upto_April23__1[[#This Row],[Household goods and services]])</f>
        <v>1</v>
      </c>
      <c r="BF95">
        <f>TYPE(All_India_Index_Upto_April23__1[[#This Row],[Health]])</f>
        <v>1</v>
      </c>
      <c r="BG95">
        <f>TYPE(All_India_Index_Upto_April23__1[[#This Row],[Transport and communication]])</f>
        <v>1</v>
      </c>
      <c r="BH95">
        <f>TYPE(All_India_Index_Upto_April23__1[[#This Row],[Recreation and amusement]])</f>
        <v>1</v>
      </c>
      <c r="BI95">
        <f>TYPE(All_India_Index_Upto_April23__1[[#This Row],[Education]])</f>
        <v>1</v>
      </c>
      <c r="BJ95">
        <f>TYPE(All_India_Index_Upto_April23__1[[#This Row],[Personal care and effects]])</f>
        <v>1</v>
      </c>
      <c r="BK95">
        <f>TYPE(All_India_Index_Upto_April23__1[[#This Row],[Miscellaneous]])</f>
        <v>1</v>
      </c>
      <c r="BL95">
        <f>TYPE(All_India_Index_Upto_April23__1[[#This Row],[General index]])</f>
        <v>1</v>
      </c>
    </row>
    <row r="96" spans="1:64" hidden="1" x14ac:dyDescent="0.3">
      <c r="A96" t="s">
        <v>30</v>
      </c>
      <c r="B96">
        <v>2015</v>
      </c>
      <c r="C96" t="s">
        <v>40</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U96" t="s">
        <v>89</v>
      </c>
      <c r="V96">
        <v>123.8</v>
      </c>
      <c r="W96">
        <v>123.7</v>
      </c>
      <c r="X96">
        <v>121.1</v>
      </c>
      <c r="Y96">
        <v>113.6</v>
      </c>
      <c r="Z96">
        <v>118.5</v>
      </c>
      <c r="AA96">
        <v>123.6</v>
      </c>
      <c r="AB96">
        <v>112.5</v>
      </c>
      <c r="AC96">
        <v>118.2</v>
      </c>
      <c r="AD96">
        <v>126.1</v>
      </c>
      <c r="AE96">
        <f>SUM(All_India_Index_Upto_April23__1[[#This Row],[Cereals and products]:[Food and beverages]])</f>
        <v>1646.6</v>
      </c>
      <c r="AF96">
        <f>SUM(All_India_Index_Upto_April23__1[[#This Row],[Clothing]:[Clothing and footwear]])</f>
        <v>384.8</v>
      </c>
      <c r="AG96">
        <f t="shared" si="1"/>
        <v>361.1</v>
      </c>
      <c r="AI96">
        <f>TYPE(All_India_Index_Upto_April23__1[[#This Row],[Sector]])</f>
        <v>2</v>
      </c>
      <c r="AJ96">
        <f>TYPE(All_India_Index_Upto_April23__1[[#This Row],[Year]])</f>
        <v>1</v>
      </c>
      <c r="AK96">
        <f>TYPE(All_India_Index_Upto_April23__1[[#This Row],[Month]])</f>
        <v>2</v>
      </c>
      <c r="AL96">
        <f>TYPE(All_India_Index_Upto_April23__1[[#This Row],[Cereals and products]])</f>
        <v>1</v>
      </c>
      <c r="AM96">
        <f>TYPE(All_India_Index_Upto_April23__1[[#This Row],[Meat and fish]])</f>
        <v>1</v>
      </c>
      <c r="AN96">
        <f>TYPE(All_India_Index_Upto_April23__1[[#This Row],[Egg]])</f>
        <v>1</v>
      </c>
      <c r="AO96">
        <f>TYPE(All_India_Index_Upto_April23__1[[#This Row],[Milk and products]])</f>
        <v>1</v>
      </c>
      <c r="AP96">
        <f>TYPE(All_India_Index_Upto_April23__1[[#This Row],[Oils and fats]])</f>
        <v>1</v>
      </c>
      <c r="AQ96">
        <f>TYPE(All_India_Index_Upto_April23__1[[#This Row],[Fruits]])</f>
        <v>1</v>
      </c>
      <c r="AR96">
        <f>TYPE(All_India_Index_Upto_April23__1[[#This Row],[Vegetables]])</f>
        <v>1</v>
      </c>
      <c r="AS96">
        <f>TYPE(All_India_Index_Upto_April23__1[[#This Row],[Pulses and products]])</f>
        <v>1</v>
      </c>
      <c r="AT96">
        <f>TYPE(All_India_Index_Upto_April23__1[[#This Row],[Sugar and Confectionery]])</f>
        <v>1</v>
      </c>
      <c r="AU96">
        <f>TYPE(All_India_Index_Upto_April23__1[[#This Row],[Spices]])</f>
        <v>1</v>
      </c>
      <c r="AV96">
        <f>TYPE(All_India_Index_Upto_April23__1[[#This Row],[Non-alcoholic beverages]])</f>
        <v>1</v>
      </c>
      <c r="AW96">
        <f>TYPE(All_India_Index_Upto_April23__1[[#This Row],[Prepared meals, snacks, sweets etc.]])</f>
        <v>1</v>
      </c>
      <c r="AX96">
        <f>TYPE(All_India_Index_Upto_April23__1[[#This Row],[Food and beverages]])</f>
        <v>1</v>
      </c>
      <c r="AY96">
        <f>TYPE(All_India_Index_Upto_April23__1[[#This Row],[Pan, tobacco and intoxicants]])</f>
        <v>1</v>
      </c>
      <c r="AZ96">
        <f>TYPE(All_India_Index_Upto_April23__1[[#This Row],[Clothing]])</f>
        <v>1</v>
      </c>
      <c r="BA96">
        <f>TYPE(All_India_Index_Upto_April23__1[[#This Row],[Footwear]])</f>
        <v>1</v>
      </c>
      <c r="BB96">
        <f>TYPE(All_India_Index_Upto_April23__1[[#This Row],[Clothing and footwear]])</f>
        <v>1</v>
      </c>
      <c r="BC96">
        <f>TYPE(All_India_Index_Upto_April23__1[[#This Row],[Housing]])</f>
        <v>2</v>
      </c>
      <c r="BD96">
        <f>TYPE(All_India_Index_Upto_April23__1[[#This Row],[Fuel and light]])</f>
        <v>1</v>
      </c>
      <c r="BE96">
        <f>TYPE(All_India_Index_Upto_April23__1[[#This Row],[Household goods and services]])</f>
        <v>1</v>
      </c>
      <c r="BF96">
        <f>TYPE(All_India_Index_Upto_April23__1[[#This Row],[Health]])</f>
        <v>1</v>
      </c>
      <c r="BG96">
        <f>TYPE(All_India_Index_Upto_April23__1[[#This Row],[Transport and communication]])</f>
        <v>1</v>
      </c>
      <c r="BH96">
        <f>TYPE(All_India_Index_Upto_April23__1[[#This Row],[Recreation and amusement]])</f>
        <v>1</v>
      </c>
      <c r="BI96">
        <f>TYPE(All_India_Index_Upto_April23__1[[#This Row],[Education]])</f>
        <v>1</v>
      </c>
      <c r="BJ96">
        <f>TYPE(All_India_Index_Upto_April23__1[[#This Row],[Personal care and effects]])</f>
        <v>1</v>
      </c>
      <c r="BK96">
        <f>TYPE(All_India_Index_Upto_April23__1[[#This Row],[Miscellaneous]])</f>
        <v>1</v>
      </c>
      <c r="BL96">
        <f>TYPE(All_India_Index_Upto_April23__1[[#This Row],[General index]])</f>
        <v>1</v>
      </c>
    </row>
    <row r="97" spans="1:64" hidden="1" x14ac:dyDescent="0.3">
      <c r="A97" t="s">
        <v>32</v>
      </c>
      <c r="B97">
        <v>2015</v>
      </c>
      <c r="C97" t="s">
        <v>40</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t="s">
        <v>120</v>
      </c>
      <c r="V97">
        <v>115.3</v>
      </c>
      <c r="W97">
        <v>120</v>
      </c>
      <c r="X97">
        <v>116.6</v>
      </c>
      <c r="Y97">
        <v>109.9</v>
      </c>
      <c r="Z97">
        <v>117.2</v>
      </c>
      <c r="AA97">
        <v>126.2</v>
      </c>
      <c r="AB97">
        <v>112</v>
      </c>
      <c r="AC97">
        <v>116.2</v>
      </c>
      <c r="AD97">
        <v>123.2</v>
      </c>
      <c r="AE97">
        <f>SUM(All_India_Index_Upto_April23__1[[#This Row],[Cereals and products]:[Food and beverages]])</f>
        <v>1658.8999999999999</v>
      </c>
      <c r="AF97">
        <f>SUM(All_India_Index_Upto_April23__1[[#This Row],[Clothing]:[Clothing and footwear]])</f>
        <v>364.8</v>
      </c>
      <c r="AG97">
        <f t="shared" si="1"/>
        <v>345.20000000000005</v>
      </c>
      <c r="AI97">
        <f>TYPE(All_India_Index_Upto_April23__1[[#This Row],[Sector]])</f>
        <v>2</v>
      </c>
      <c r="AJ97">
        <f>TYPE(All_India_Index_Upto_April23__1[[#This Row],[Year]])</f>
        <v>1</v>
      </c>
      <c r="AK97">
        <f>TYPE(All_India_Index_Upto_April23__1[[#This Row],[Month]])</f>
        <v>2</v>
      </c>
      <c r="AL97">
        <f>TYPE(All_India_Index_Upto_April23__1[[#This Row],[Cereals and products]])</f>
        <v>1</v>
      </c>
      <c r="AM97">
        <f>TYPE(All_India_Index_Upto_April23__1[[#This Row],[Meat and fish]])</f>
        <v>1</v>
      </c>
      <c r="AN97">
        <f>TYPE(All_India_Index_Upto_April23__1[[#This Row],[Egg]])</f>
        <v>1</v>
      </c>
      <c r="AO97">
        <f>TYPE(All_India_Index_Upto_April23__1[[#This Row],[Milk and products]])</f>
        <v>1</v>
      </c>
      <c r="AP97">
        <f>TYPE(All_India_Index_Upto_April23__1[[#This Row],[Oils and fats]])</f>
        <v>1</v>
      </c>
      <c r="AQ97">
        <f>TYPE(All_India_Index_Upto_April23__1[[#This Row],[Fruits]])</f>
        <v>1</v>
      </c>
      <c r="AR97">
        <f>TYPE(All_India_Index_Upto_April23__1[[#This Row],[Vegetables]])</f>
        <v>1</v>
      </c>
      <c r="AS97">
        <f>TYPE(All_India_Index_Upto_April23__1[[#This Row],[Pulses and products]])</f>
        <v>1</v>
      </c>
      <c r="AT97">
        <f>TYPE(All_India_Index_Upto_April23__1[[#This Row],[Sugar and Confectionery]])</f>
        <v>1</v>
      </c>
      <c r="AU97">
        <f>TYPE(All_India_Index_Upto_April23__1[[#This Row],[Spices]])</f>
        <v>1</v>
      </c>
      <c r="AV97">
        <f>TYPE(All_India_Index_Upto_April23__1[[#This Row],[Non-alcoholic beverages]])</f>
        <v>1</v>
      </c>
      <c r="AW97">
        <f>TYPE(All_India_Index_Upto_April23__1[[#This Row],[Prepared meals, snacks, sweets etc.]])</f>
        <v>1</v>
      </c>
      <c r="AX97">
        <f>TYPE(All_India_Index_Upto_April23__1[[#This Row],[Food and beverages]])</f>
        <v>1</v>
      </c>
      <c r="AY97">
        <f>TYPE(All_India_Index_Upto_April23__1[[#This Row],[Pan, tobacco and intoxicants]])</f>
        <v>1</v>
      </c>
      <c r="AZ97">
        <f>TYPE(All_India_Index_Upto_April23__1[[#This Row],[Clothing]])</f>
        <v>1</v>
      </c>
      <c r="BA97">
        <f>TYPE(All_India_Index_Upto_April23__1[[#This Row],[Footwear]])</f>
        <v>1</v>
      </c>
      <c r="BB97">
        <f>TYPE(All_India_Index_Upto_April23__1[[#This Row],[Clothing and footwear]])</f>
        <v>1</v>
      </c>
      <c r="BC97">
        <f>TYPE(All_India_Index_Upto_April23__1[[#This Row],[Housing]])</f>
        <v>2</v>
      </c>
      <c r="BD97">
        <f>TYPE(All_India_Index_Upto_April23__1[[#This Row],[Fuel and light]])</f>
        <v>1</v>
      </c>
      <c r="BE97">
        <f>TYPE(All_India_Index_Upto_April23__1[[#This Row],[Household goods and services]])</f>
        <v>1</v>
      </c>
      <c r="BF97">
        <f>TYPE(All_India_Index_Upto_April23__1[[#This Row],[Health]])</f>
        <v>1</v>
      </c>
      <c r="BG97">
        <f>TYPE(All_India_Index_Upto_April23__1[[#This Row],[Transport and communication]])</f>
        <v>1</v>
      </c>
      <c r="BH97">
        <f>TYPE(All_India_Index_Upto_April23__1[[#This Row],[Recreation and amusement]])</f>
        <v>1</v>
      </c>
      <c r="BI97">
        <f>TYPE(All_India_Index_Upto_April23__1[[#This Row],[Education]])</f>
        <v>1</v>
      </c>
      <c r="BJ97">
        <f>TYPE(All_India_Index_Upto_April23__1[[#This Row],[Personal care and effects]])</f>
        <v>1</v>
      </c>
      <c r="BK97">
        <f>TYPE(All_India_Index_Upto_April23__1[[#This Row],[Miscellaneous]])</f>
        <v>1</v>
      </c>
      <c r="BL97">
        <f>TYPE(All_India_Index_Upto_April23__1[[#This Row],[General index]])</f>
        <v>1</v>
      </c>
    </row>
    <row r="98" spans="1:64" hidden="1" x14ac:dyDescent="0.3">
      <c r="A98" t="s">
        <v>33</v>
      </c>
      <c r="B98">
        <v>2015</v>
      </c>
      <c r="C98" t="s">
        <v>40</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t="s">
        <v>120</v>
      </c>
      <c r="V98">
        <v>120.6</v>
      </c>
      <c r="W98">
        <v>122</v>
      </c>
      <c r="X98">
        <v>119.4</v>
      </c>
      <c r="Y98">
        <v>111.7</v>
      </c>
      <c r="Z98">
        <v>117.8</v>
      </c>
      <c r="AA98">
        <v>125.1</v>
      </c>
      <c r="AB98">
        <v>112.3</v>
      </c>
      <c r="AC98">
        <v>117.2</v>
      </c>
      <c r="AD98">
        <v>124.8</v>
      </c>
      <c r="AE98">
        <f>SUM(All_India_Index_Upto_April23__1[[#This Row],[Cereals and products]:[Food and beverages]])</f>
        <v>1649.6</v>
      </c>
      <c r="AF98">
        <f>SUM(All_India_Index_Upto_April23__1[[#This Row],[Clothing]:[Clothing and footwear]])</f>
        <v>376.70000000000005</v>
      </c>
      <c r="AG98">
        <f t="shared" si="1"/>
        <v>354.3</v>
      </c>
      <c r="AI98">
        <f>TYPE(All_India_Index_Upto_April23__1[[#This Row],[Sector]])</f>
        <v>2</v>
      </c>
      <c r="AJ98">
        <f>TYPE(All_India_Index_Upto_April23__1[[#This Row],[Year]])</f>
        <v>1</v>
      </c>
      <c r="AK98">
        <f>TYPE(All_India_Index_Upto_April23__1[[#This Row],[Month]])</f>
        <v>2</v>
      </c>
      <c r="AL98">
        <f>TYPE(All_India_Index_Upto_April23__1[[#This Row],[Cereals and products]])</f>
        <v>1</v>
      </c>
      <c r="AM98">
        <f>TYPE(All_India_Index_Upto_April23__1[[#This Row],[Meat and fish]])</f>
        <v>1</v>
      </c>
      <c r="AN98">
        <f>TYPE(All_India_Index_Upto_April23__1[[#This Row],[Egg]])</f>
        <v>1</v>
      </c>
      <c r="AO98">
        <f>TYPE(All_India_Index_Upto_April23__1[[#This Row],[Milk and products]])</f>
        <v>1</v>
      </c>
      <c r="AP98">
        <f>TYPE(All_India_Index_Upto_April23__1[[#This Row],[Oils and fats]])</f>
        <v>1</v>
      </c>
      <c r="AQ98">
        <f>TYPE(All_India_Index_Upto_April23__1[[#This Row],[Fruits]])</f>
        <v>1</v>
      </c>
      <c r="AR98">
        <f>TYPE(All_India_Index_Upto_April23__1[[#This Row],[Vegetables]])</f>
        <v>1</v>
      </c>
      <c r="AS98">
        <f>TYPE(All_India_Index_Upto_April23__1[[#This Row],[Pulses and products]])</f>
        <v>1</v>
      </c>
      <c r="AT98">
        <f>TYPE(All_India_Index_Upto_April23__1[[#This Row],[Sugar and Confectionery]])</f>
        <v>1</v>
      </c>
      <c r="AU98">
        <f>TYPE(All_India_Index_Upto_April23__1[[#This Row],[Spices]])</f>
        <v>1</v>
      </c>
      <c r="AV98">
        <f>TYPE(All_India_Index_Upto_April23__1[[#This Row],[Non-alcoholic beverages]])</f>
        <v>1</v>
      </c>
      <c r="AW98">
        <f>TYPE(All_India_Index_Upto_April23__1[[#This Row],[Prepared meals, snacks, sweets etc.]])</f>
        <v>1</v>
      </c>
      <c r="AX98">
        <f>TYPE(All_India_Index_Upto_April23__1[[#This Row],[Food and beverages]])</f>
        <v>1</v>
      </c>
      <c r="AY98">
        <f>TYPE(All_India_Index_Upto_April23__1[[#This Row],[Pan, tobacco and intoxicants]])</f>
        <v>1</v>
      </c>
      <c r="AZ98">
        <f>TYPE(All_India_Index_Upto_April23__1[[#This Row],[Clothing]])</f>
        <v>1</v>
      </c>
      <c r="BA98">
        <f>TYPE(All_India_Index_Upto_April23__1[[#This Row],[Footwear]])</f>
        <v>1</v>
      </c>
      <c r="BB98">
        <f>TYPE(All_India_Index_Upto_April23__1[[#This Row],[Clothing and footwear]])</f>
        <v>1</v>
      </c>
      <c r="BC98">
        <f>TYPE(All_India_Index_Upto_April23__1[[#This Row],[Housing]])</f>
        <v>2</v>
      </c>
      <c r="BD98">
        <f>TYPE(All_India_Index_Upto_April23__1[[#This Row],[Fuel and light]])</f>
        <v>1</v>
      </c>
      <c r="BE98">
        <f>TYPE(All_India_Index_Upto_April23__1[[#This Row],[Household goods and services]])</f>
        <v>1</v>
      </c>
      <c r="BF98">
        <f>TYPE(All_India_Index_Upto_April23__1[[#This Row],[Health]])</f>
        <v>1</v>
      </c>
      <c r="BG98">
        <f>TYPE(All_India_Index_Upto_April23__1[[#This Row],[Transport and communication]])</f>
        <v>1</v>
      </c>
      <c r="BH98">
        <f>TYPE(All_India_Index_Upto_April23__1[[#This Row],[Recreation and amusement]])</f>
        <v>1</v>
      </c>
      <c r="BI98">
        <f>TYPE(All_India_Index_Upto_April23__1[[#This Row],[Education]])</f>
        <v>1</v>
      </c>
      <c r="BJ98">
        <f>TYPE(All_India_Index_Upto_April23__1[[#This Row],[Personal care and effects]])</f>
        <v>1</v>
      </c>
      <c r="BK98">
        <f>TYPE(All_India_Index_Upto_April23__1[[#This Row],[Miscellaneous]])</f>
        <v>1</v>
      </c>
      <c r="BL98">
        <f>TYPE(All_India_Index_Upto_April23__1[[#This Row],[General index]])</f>
        <v>1</v>
      </c>
    </row>
    <row r="99" spans="1:64" hidden="1" x14ac:dyDescent="0.3">
      <c r="A99" t="s">
        <v>30</v>
      </c>
      <c r="B99">
        <v>2015</v>
      </c>
      <c r="C99" t="s">
        <v>41</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U99" t="s">
        <v>89</v>
      </c>
      <c r="V99">
        <v>123.7</v>
      </c>
      <c r="W99">
        <v>124.5</v>
      </c>
      <c r="X99">
        <v>121.4</v>
      </c>
      <c r="Y99">
        <v>113.8</v>
      </c>
      <c r="Z99">
        <v>119.6</v>
      </c>
      <c r="AA99">
        <v>124.5</v>
      </c>
      <c r="AB99">
        <v>113.7</v>
      </c>
      <c r="AC99">
        <v>118.8</v>
      </c>
      <c r="AD99">
        <v>127</v>
      </c>
      <c r="AE99">
        <f>SUM(All_India_Index_Upto_April23__1[[#This Row],[Cereals and products]:[Food and beverages]])</f>
        <v>1657.6000000000001</v>
      </c>
      <c r="AF99">
        <f>SUM(All_India_Index_Upto_April23__1[[#This Row],[Clothing]:[Clothing and footwear]])</f>
        <v>387.1</v>
      </c>
      <c r="AG99">
        <f t="shared" si="1"/>
        <v>362</v>
      </c>
      <c r="AI99">
        <f>TYPE(All_India_Index_Upto_April23__1[[#This Row],[Sector]])</f>
        <v>2</v>
      </c>
      <c r="AJ99">
        <f>TYPE(All_India_Index_Upto_April23__1[[#This Row],[Year]])</f>
        <v>1</v>
      </c>
      <c r="AK99">
        <f>TYPE(All_India_Index_Upto_April23__1[[#This Row],[Month]])</f>
        <v>2</v>
      </c>
      <c r="AL99">
        <f>TYPE(All_India_Index_Upto_April23__1[[#This Row],[Cereals and products]])</f>
        <v>1</v>
      </c>
      <c r="AM99">
        <f>TYPE(All_India_Index_Upto_April23__1[[#This Row],[Meat and fish]])</f>
        <v>1</v>
      </c>
      <c r="AN99">
        <f>TYPE(All_India_Index_Upto_April23__1[[#This Row],[Egg]])</f>
        <v>1</v>
      </c>
      <c r="AO99">
        <f>TYPE(All_India_Index_Upto_April23__1[[#This Row],[Milk and products]])</f>
        <v>1</v>
      </c>
      <c r="AP99">
        <f>TYPE(All_India_Index_Upto_April23__1[[#This Row],[Oils and fats]])</f>
        <v>1</v>
      </c>
      <c r="AQ99">
        <f>TYPE(All_India_Index_Upto_April23__1[[#This Row],[Fruits]])</f>
        <v>1</v>
      </c>
      <c r="AR99">
        <f>TYPE(All_India_Index_Upto_April23__1[[#This Row],[Vegetables]])</f>
        <v>1</v>
      </c>
      <c r="AS99">
        <f>TYPE(All_India_Index_Upto_April23__1[[#This Row],[Pulses and products]])</f>
        <v>1</v>
      </c>
      <c r="AT99">
        <f>TYPE(All_India_Index_Upto_April23__1[[#This Row],[Sugar and Confectionery]])</f>
        <v>1</v>
      </c>
      <c r="AU99">
        <f>TYPE(All_India_Index_Upto_April23__1[[#This Row],[Spices]])</f>
        <v>1</v>
      </c>
      <c r="AV99">
        <f>TYPE(All_India_Index_Upto_April23__1[[#This Row],[Non-alcoholic beverages]])</f>
        <v>1</v>
      </c>
      <c r="AW99">
        <f>TYPE(All_India_Index_Upto_April23__1[[#This Row],[Prepared meals, snacks, sweets etc.]])</f>
        <v>1</v>
      </c>
      <c r="AX99">
        <f>TYPE(All_India_Index_Upto_April23__1[[#This Row],[Food and beverages]])</f>
        <v>1</v>
      </c>
      <c r="AY99">
        <f>TYPE(All_India_Index_Upto_April23__1[[#This Row],[Pan, tobacco and intoxicants]])</f>
        <v>1</v>
      </c>
      <c r="AZ99">
        <f>TYPE(All_India_Index_Upto_April23__1[[#This Row],[Clothing]])</f>
        <v>1</v>
      </c>
      <c r="BA99">
        <f>TYPE(All_India_Index_Upto_April23__1[[#This Row],[Footwear]])</f>
        <v>1</v>
      </c>
      <c r="BB99">
        <f>TYPE(All_India_Index_Upto_April23__1[[#This Row],[Clothing and footwear]])</f>
        <v>1</v>
      </c>
      <c r="BC99">
        <f>TYPE(All_India_Index_Upto_April23__1[[#This Row],[Housing]])</f>
        <v>2</v>
      </c>
      <c r="BD99">
        <f>TYPE(All_India_Index_Upto_April23__1[[#This Row],[Fuel and light]])</f>
        <v>1</v>
      </c>
      <c r="BE99">
        <f>TYPE(All_India_Index_Upto_April23__1[[#This Row],[Household goods and services]])</f>
        <v>1</v>
      </c>
      <c r="BF99">
        <f>TYPE(All_India_Index_Upto_April23__1[[#This Row],[Health]])</f>
        <v>1</v>
      </c>
      <c r="BG99">
        <f>TYPE(All_India_Index_Upto_April23__1[[#This Row],[Transport and communication]])</f>
        <v>1</v>
      </c>
      <c r="BH99">
        <f>TYPE(All_India_Index_Upto_April23__1[[#This Row],[Recreation and amusement]])</f>
        <v>1</v>
      </c>
      <c r="BI99">
        <f>TYPE(All_India_Index_Upto_April23__1[[#This Row],[Education]])</f>
        <v>1</v>
      </c>
      <c r="BJ99">
        <f>TYPE(All_India_Index_Upto_April23__1[[#This Row],[Personal care and effects]])</f>
        <v>1</v>
      </c>
      <c r="BK99">
        <f>TYPE(All_India_Index_Upto_April23__1[[#This Row],[Miscellaneous]])</f>
        <v>1</v>
      </c>
      <c r="BL99">
        <f>TYPE(All_India_Index_Upto_April23__1[[#This Row],[General index]])</f>
        <v>1</v>
      </c>
    </row>
    <row r="100" spans="1:64" hidden="1" x14ac:dyDescent="0.3">
      <c r="A100" t="s">
        <v>32</v>
      </c>
      <c r="B100">
        <v>2015</v>
      </c>
      <c r="C100" t="s">
        <v>41</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t="s">
        <v>121</v>
      </c>
      <c r="V100">
        <v>115.1</v>
      </c>
      <c r="W100">
        <v>120.4</v>
      </c>
      <c r="X100">
        <v>117.1</v>
      </c>
      <c r="Y100">
        <v>109.1</v>
      </c>
      <c r="Z100">
        <v>117.3</v>
      </c>
      <c r="AA100">
        <v>126.5</v>
      </c>
      <c r="AB100">
        <v>112.9</v>
      </c>
      <c r="AC100">
        <v>116.2</v>
      </c>
      <c r="AD100">
        <v>123.5</v>
      </c>
      <c r="AE100">
        <f>SUM(All_India_Index_Upto_April23__1[[#This Row],[Cereals and products]:[Food and beverages]])</f>
        <v>1664.8</v>
      </c>
      <c r="AF100">
        <f>SUM(All_India_Index_Upto_April23__1[[#This Row],[Clothing]:[Clothing and footwear]])</f>
        <v>365.8</v>
      </c>
      <c r="AG100">
        <f t="shared" si="1"/>
        <v>344.6</v>
      </c>
      <c r="AI100">
        <f>TYPE(All_India_Index_Upto_April23__1[[#This Row],[Sector]])</f>
        <v>2</v>
      </c>
      <c r="AJ100">
        <f>TYPE(All_India_Index_Upto_April23__1[[#This Row],[Year]])</f>
        <v>1</v>
      </c>
      <c r="AK100">
        <f>TYPE(All_India_Index_Upto_April23__1[[#This Row],[Month]])</f>
        <v>2</v>
      </c>
      <c r="AL100">
        <f>TYPE(All_India_Index_Upto_April23__1[[#This Row],[Cereals and products]])</f>
        <v>1</v>
      </c>
      <c r="AM100">
        <f>TYPE(All_India_Index_Upto_April23__1[[#This Row],[Meat and fish]])</f>
        <v>1</v>
      </c>
      <c r="AN100">
        <f>TYPE(All_India_Index_Upto_April23__1[[#This Row],[Egg]])</f>
        <v>1</v>
      </c>
      <c r="AO100">
        <f>TYPE(All_India_Index_Upto_April23__1[[#This Row],[Milk and products]])</f>
        <v>1</v>
      </c>
      <c r="AP100">
        <f>TYPE(All_India_Index_Upto_April23__1[[#This Row],[Oils and fats]])</f>
        <v>1</v>
      </c>
      <c r="AQ100">
        <f>TYPE(All_India_Index_Upto_April23__1[[#This Row],[Fruits]])</f>
        <v>1</v>
      </c>
      <c r="AR100">
        <f>TYPE(All_India_Index_Upto_April23__1[[#This Row],[Vegetables]])</f>
        <v>1</v>
      </c>
      <c r="AS100">
        <f>TYPE(All_India_Index_Upto_April23__1[[#This Row],[Pulses and products]])</f>
        <v>1</v>
      </c>
      <c r="AT100">
        <f>TYPE(All_India_Index_Upto_April23__1[[#This Row],[Sugar and Confectionery]])</f>
        <v>1</v>
      </c>
      <c r="AU100">
        <f>TYPE(All_India_Index_Upto_April23__1[[#This Row],[Spices]])</f>
        <v>1</v>
      </c>
      <c r="AV100">
        <f>TYPE(All_India_Index_Upto_April23__1[[#This Row],[Non-alcoholic beverages]])</f>
        <v>1</v>
      </c>
      <c r="AW100">
        <f>TYPE(All_India_Index_Upto_April23__1[[#This Row],[Prepared meals, snacks, sweets etc.]])</f>
        <v>1</v>
      </c>
      <c r="AX100">
        <f>TYPE(All_India_Index_Upto_April23__1[[#This Row],[Food and beverages]])</f>
        <v>1</v>
      </c>
      <c r="AY100">
        <f>TYPE(All_India_Index_Upto_April23__1[[#This Row],[Pan, tobacco and intoxicants]])</f>
        <v>1</v>
      </c>
      <c r="AZ100">
        <f>TYPE(All_India_Index_Upto_April23__1[[#This Row],[Clothing]])</f>
        <v>1</v>
      </c>
      <c r="BA100">
        <f>TYPE(All_India_Index_Upto_April23__1[[#This Row],[Footwear]])</f>
        <v>1</v>
      </c>
      <c r="BB100">
        <f>TYPE(All_India_Index_Upto_April23__1[[#This Row],[Clothing and footwear]])</f>
        <v>1</v>
      </c>
      <c r="BC100">
        <f>TYPE(All_India_Index_Upto_April23__1[[#This Row],[Housing]])</f>
        <v>2</v>
      </c>
      <c r="BD100">
        <f>TYPE(All_India_Index_Upto_April23__1[[#This Row],[Fuel and light]])</f>
        <v>1</v>
      </c>
      <c r="BE100">
        <f>TYPE(All_India_Index_Upto_April23__1[[#This Row],[Household goods and services]])</f>
        <v>1</v>
      </c>
      <c r="BF100">
        <f>TYPE(All_India_Index_Upto_April23__1[[#This Row],[Health]])</f>
        <v>1</v>
      </c>
      <c r="BG100">
        <f>TYPE(All_India_Index_Upto_April23__1[[#This Row],[Transport and communication]])</f>
        <v>1</v>
      </c>
      <c r="BH100">
        <f>TYPE(All_India_Index_Upto_April23__1[[#This Row],[Recreation and amusement]])</f>
        <v>1</v>
      </c>
      <c r="BI100">
        <f>TYPE(All_India_Index_Upto_April23__1[[#This Row],[Education]])</f>
        <v>1</v>
      </c>
      <c r="BJ100">
        <f>TYPE(All_India_Index_Upto_April23__1[[#This Row],[Personal care and effects]])</f>
        <v>1</v>
      </c>
      <c r="BK100">
        <f>TYPE(All_India_Index_Upto_April23__1[[#This Row],[Miscellaneous]])</f>
        <v>1</v>
      </c>
      <c r="BL100">
        <f>TYPE(All_India_Index_Upto_April23__1[[#This Row],[General index]])</f>
        <v>1</v>
      </c>
    </row>
    <row r="101" spans="1:64" hidden="1" x14ac:dyDescent="0.3">
      <c r="A101" t="s">
        <v>33</v>
      </c>
      <c r="B101">
        <v>2015</v>
      </c>
      <c r="C101" t="s">
        <v>41</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t="s">
        <v>121</v>
      </c>
      <c r="V101">
        <v>120.4</v>
      </c>
      <c r="W101">
        <v>122.6</v>
      </c>
      <c r="X101">
        <v>119.8</v>
      </c>
      <c r="Y101">
        <v>111.3</v>
      </c>
      <c r="Z101">
        <v>118.3</v>
      </c>
      <c r="AA101">
        <v>125.7</v>
      </c>
      <c r="AB101">
        <v>113.4</v>
      </c>
      <c r="AC101">
        <v>117.5</v>
      </c>
      <c r="AD101">
        <v>125.4</v>
      </c>
      <c r="AE101">
        <f>SUM(All_India_Index_Upto_April23__1[[#This Row],[Cereals and products]:[Food and beverages]])</f>
        <v>1658.3000000000002</v>
      </c>
      <c r="AF101">
        <f>SUM(All_India_Index_Upto_April23__1[[#This Row],[Clothing]:[Clothing and footwear]])</f>
        <v>378.5</v>
      </c>
      <c r="AG101">
        <f t="shared" si="1"/>
        <v>354.3</v>
      </c>
      <c r="AI101">
        <f>TYPE(All_India_Index_Upto_April23__1[[#This Row],[Sector]])</f>
        <v>2</v>
      </c>
      <c r="AJ101">
        <f>TYPE(All_India_Index_Upto_April23__1[[#This Row],[Year]])</f>
        <v>1</v>
      </c>
      <c r="AK101">
        <f>TYPE(All_India_Index_Upto_April23__1[[#This Row],[Month]])</f>
        <v>2</v>
      </c>
      <c r="AL101">
        <f>TYPE(All_India_Index_Upto_April23__1[[#This Row],[Cereals and products]])</f>
        <v>1</v>
      </c>
      <c r="AM101">
        <f>TYPE(All_India_Index_Upto_April23__1[[#This Row],[Meat and fish]])</f>
        <v>1</v>
      </c>
      <c r="AN101">
        <f>TYPE(All_India_Index_Upto_April23__1[[#This Row],[Egg]])</f>
        <v>1</v>
      </c>
      <c r="AO101">
        <f>TYPE(All_India_Index_Upto_April23__1[[#This Row],[Milk and products]])</f>
        <v>1</v>
      </c>
      <c r="AP101">
        <f>TYPE(All_India_Index_Upto_April23__1[[#This Row],[Oils and fats]])</f>
        <v>1</v>
      </c>
      <c r="AQ101">
        <f>TYPE(All_India_Index_Upto_April23__1[[#This Row],[Fruits]])</f>
        <v>1</v>
      </c>
      <c r="AR101">
        <f>TYPE(All_India_Index_Upto_April23__1[[#This Row],[Vegetables]])</f>
        <v>1</v>
      </c>
      <c r="AS101">
        <f>TYPE(All_India_Index_Upto_April23__1[[#This Row],[Pulses and products]])</f>
        <v>1</v>
      </c>
      <c r="AT101">
        <f>TYPE(All_India_Index_Upto_April23__1[[#This Row],[Sugar and Confectionery]])</f>
        <v>1</v>
      </c>
      <c r="AU101">
        <f>TYPE(All_India_Index_Upto_April23__1[[#This Row],[Spices]])</f>
        <v>1</v>
      </c>
      <c r="AV101">
        <f>TYPE(All_India_Index_Upto_April23__1[[#This Row],[Non-alcoholic beverages]])</f>
        <v>1</v>
      </c>
      <c r="AW101">
        <f>TYPE(All_India_Index_Upto_April23__1[[#This Row],[Prepared meals, snacks, sweets etc.]])</f>
        <v>1</v>
      </c>
      <c r="AX101">
        <f>TYPE(All_India_Index_Upto_April23__1[[#This Row],[Food and beverages]])</f>
        <v>1</v>
      </c>
      <c r="AY101">
        <f>TYPE(All_India_Index_Upto_April23__1[[#This Row],[Pan, tobacco and intoxicants]])</f>
        <v>1</v>
      </c>
      <c r="AZ101">
        <f>TYPE(All_India_Index_Upto_April23__1[[#This Row],[Clothing]])</f>
        <v>1</v>
      </c>
      <c r="BA101">
        <f>TYPE(All_India_Index_Upto_April23__1[[#This Row],[Footwear]])</f>
        <v>1</v>
      </c>
      <c r="BB101">
        <f>TYPE(All_India_Index_Upto_April23__1[[#This Row],[Clothing and footwear]])</f>
        <v>1</v>
      </c>
      <c r="BC101">
        <f>TYPE(All_India_Index_Upto_April23__1[[#This Row],[Housing]])</f>
        <v>2</v>
      </c>
      <c r="BD101">
        <f>TYPE(All_India_Index_Upto_April23__1[[#This Row],[Fuel and light]])</f>
        <v>1</v>
      </c>
      <c r="BE101">
        <f>TYPE(All_India_Index_Upto_April23__1[[#This Row],[Household goods and services]])</f>
        <v>1</v>
      </c>
      <c r="BF101">
        <f>TYPE(All_India_Index_Upto_April23__1[[#This Row],[Health]])</f>
        <v>1</v>
      </c>
      <c r="BG101">
        <f>TYPE(All_India_Index_Upto_April23__1[[#This Row],[Transport and communication]])</f>
        <v>1</v>
      </c>
      <c r="BH101">
        <f>TYPE(All_India_Index_Upto_April23__1[[#This Row],[Recreation and amusement]])</f>
        <v>1</v>
      </c>
      <c r="BI101">
        <f>TYPE(All_India_Index_Upto_April23__1[[#This Row],[Education]])</f>
        <v>1</v>
      </c>
      <c r="BJ101">
        <f>TYPE(All_India_Index_Upto_April23__1[[#This Row],[Personal care and effects]])</f>
        <v>1</v>
      </c>
      <c r="BK101">
        <f>TYPE(All_India_Index_Upto_April23__1[[#This Row],[Miscellaneous]])</f>
        <v>1</v>
      </c>
      <c r="BL101">
        <f>TYPE(All_India_Index_Upto_April23__1[[#This Row],[General index]])</f>
        <v>1</v>
      </c>
    </row>
    <row r="102" spans="1:64" hidden="1" x14ac:dyDescent="0.3">
      <c r="A102" t="s">
        <v>30</v>
      </c>
      <c r="B102">
        <v>2015</v>
      </c>
      <c r="C102" t="s">
        <v>42</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U102" t="s">
        <v>89</v>
      </c>
      <c r="V102">
        <v>124.4</v>
      </c>
      <c r="W102">
        <v>125.1</v>
      </c>
      <c r="X102">
        <v>122</v>
      </c>
      <c r="Y102">
        <v>113.8</v>
      </c>
      <c r="Z102">
        <v>120.1</v>
      </c>
      <c r="AA102">
        <v>125.1</v>
      </c>
      <c r="AB102">
        <v>114.2</v>
      </c>
      <c r="AC102">
        <v>119.2</v>
      </c>
      <c r="AD102">
        <v>127.7</v>
      </c>
      <c r="AE102">
        <f>SUM(All_India_Index_Upto_April23__1[[#This Row],[Cereals and products]:[Food and beverages]])</f>
        <v>1674.6</v>
      </c>
      <c r="AF102">
        <f>SUM(All_India_Index_Upto_April23__1[[#This Row],[Clothing]:[Clothing and footwear]])</f>
        <v>389</v>
      </c>
      <c r="AG102">
        <f t="shared" si="1"/>
        <v>363.3</v>
      </c>
      <c r="AI102">
        <f>TYPE(All_India_Index_Upto_April23__1[[#This Row],[Sector]])</f>
        <v>2</v>
      </c>
      <c r="AJ102">
        <f>TYPE(All_India_Index_Upto_April23__1[[#This Row],[Year]])</f>
        <v>1</v>
      </c>
      <c r="AK102">
        <f>TYPE(All_India_Index_Upto_April23__1[[#This Row],[Month]])</f>
        <v>2</v>
      </c>
      <c r="AL102">
        <f>TYPE(All_India_Index_Upto_April23__1[[#This Row],[Cereals and products]])</f>
        <v>1</v>
      </c>
      <c r="AM102">
        <f>TYPE(All_India_Index_Upto_April23__1[[#This Row],[Meat and fish]])</f>
        <v>1</v>
      </c>
      <c r="AN102">
        <f>TYPE(All_India_Index_Upto_April23__1[[#This Row],[Egg]])</f>
        <v>1</v>
      </c>
      <c r="AO102">
        <f>TYPE(All_India_Index_Upto_April23__1[[#This Row],[Milk and products]])</f>
        <v>1</v>
      </c>
      <c r="AP102">
        <f>TYPE(All_India_Index_Upto_April23__1[[#This Row],[Oils and fats]])</f>
        <v>1</v>
      </c>
      <c r="AQ102">
        <f>TYPE(All_India_Index_Upto_April23__1[[#This Row],[Fruits]])</f>
        <v>1</v>
      </c>
      <c r="AR102">
        <f>TYPE(All_India_Index_Upto_April23__1[[#This Row],[Vegetables]])</f>
        <v>1</v>
      </c>
      <c r="AS102">
        <f>TYPE(All_India_Index_Upto_April23__1[[#This Row],[Pulses and products]])</f>
        <v>1</v>
      </c>
      <c r="AT102">
        <f>TYPE(All_India_Index_Upto_April23__1[[#This Row],[Sugar and Confectionery]])</f>
        <v>1</v>
      </c>
      <c r="AU102">
        <f>TYPE(All_India_Index_Upto_April23__1[[#This Row],[Spices]])</f>
        <v>1</v>
      </c>
      <c r="AV102">
        <f>TYPE(All_India_Index_Upto_April23__1[[#This Row],[Non-alcoholic beverages]])</f>
        <v>1</v>
      </c>
      <c r="AW102">
        <f>TYPE(All_India_Index_Upto_April23__1[[#This Row],[Prepared meals, snacks, sweets etc.]])</f>
        <v>1</v>
      </c>
      <c r="AX102">
        <f>TYPE(All_India_Index_Upto_April23__1[[#This Row],[Food and beverages]])</f>
        <v>1</v>
      </c>
      <c r="AY102">
        <f>TYPE(All_India_Index_Upto_April23__1[[#This Row],[Pan, tobacco and intoxicants]])</f>
        <v>1</v>
      </c>
      <c r="AZ102">
        <f>TYPE(All_India_Index_Upto_April23__1[[#This Row],[Clothing]])</f>
        <v>1</v>
      </c>
      <c r="BA102">
        <f>TYPE(All_India_Index_Upto_April23__1[[#This Row],[Footwear]])</f>
        <v>1</v>
      </c>
      <c r="BB102">
        <f>TYPE(All_India_Index_Upto_April23__1[[#This Row],[Clothing and footwear]])</f>
        <v>1</v>
      </c>
      <c r="BC102">
        <f>TYPE(All_India_Index_Upto_April23__1[[#This Row],[Housing]])</f>
        <v>2</v>
      </c>
      <c r="BD102">
        <f>TYPE(All_India_Index_Upto_April23__1[[#This Row],[Fuel and light]])</f>
        <v>1</v>
      </c>
      <c r="BE102">
        <f>TYPE(All_India_Index_Upto_April23__1[[#This Row],[Household goods and services]])</f>
        <v>1</v>
      </c>
      <c r="BF102">
        <f>TYPE(All_India_Index_Upto_April23__1[[#This Row],[Health]])</f>
        <v>1</v>
      </c>
      <c r="BG102">
        <f>TYPE(All_India_Index_Upto_April23__1[[#This Row],[Transport and communication]])</f>
        <v>1</v>
      </c>
      <c r="BH102">
        <f>TYPE(All_India_Index_Upto_April23__1[[#This Row],[Recreation and amusement]])</f>
        <v>1</v>
      </c>
      <c r="BI102">
        <f>TYPE(All_India_Index_Upto_April23__1[[#This Row],[Education]])</f>
        <v>1</v>
      </c>
      <c r="BJ102">
        <f>TYPE(All_India_Index_Upto_April23__1[[#This Row],[Personal care and effects]])</f>
        <v>1</v>
      </c>
      <c r="BK102">
        <f>TYPE(All_India_Index_Upto_April23__1[[#This Row],[Miscellaneous]])</f>
        <v>1</v>
      </c>
      <c r="BL102">
        <f>TYPE(All_India_Index_Upto_April23__1[[#This Row],[General index]])</f>
        <v>1</v>
      </c>
    </row>
    <row r="103" spans="1:64" hidden="1" x14ac:dyDescent="0.3">
      <c r="A103" t="s">
        <v>32</v>
      </c>
      <c r="B103">
        <v>2015</v>
      </c>
      <c r="C103" t="s">
        <v>42</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t="s">
        <v>122</v>
      </c>
      <c r="V103">
        <v>114.9</v>
      </c>
      <c r="W103">
        <v>120.7</v>
      </c>
      <c r="X103">
        <v>117.7</v>
      </c>
      <c r="Y103">
        <v>109.3</v>
      </c>
      <c r="Z103">
        <v>117.7</v>
      </c>
      <c r="AA103">
        <v>126.5</v>
      </c>
      <c r="AB103">
        <v>113.5</v>
      </c>
      <c r="AC103">
        <v>116.5</v>
      </c>
      <c r="AD103">
        <v>124.2</v>
      </c>
      <c r="AE103">
        <f>SUM(All_India_Index_Upto_April23__1[[#This Row],[Cereals and products]:[Food and beverages]])</f>
        <v>1692.8000000000002</v>
      </c>
      <c r="AF103">
        <f>SUM(All_India_Index_Upto_April23__1[[#This Row],[Clothing]:[Clothing and footwear]])</f>
        <v>366.79999999999995</v>
      </c>
      <c r="AG103">
        <f t="shared" si="1"/>
        <v>344.90000000000003</v>
      </c>
      <c r="AI103">
        <f>TYPE(All_India_Index_Upto_April23__1[[#This Row],[Sector]])</f>
        <v>2</v>
      </c>
      <c r="AJ103">
        <f>TYPE(All_India_Index_Upto_April23__1[[#This Row],[Year]])</f>
        <v>1</v>
      </c>
      <c r="AK103">
        <f>TYPE(All_India_Index_Upto_April23__1[[#This Row],[Month]])</f>
        <v>2</v>
      </c>
      <c r="AL103">
        <f>TYPE(All_India_Index_Upto_April23__1[[#This Row],[Cereals and products]])</f>
        <v>1</v>
      </c>
      <c r="AM103">
        <f>TYPE(All_India_Index_Upto_April23__1[[#This Row],[Meat and fish]])</f>
        <v>1</v>
      </c>
      <c r="AN103">
        <f>TYPE(All_India_Index_Upto_April23__1[[#This Row],[Egg]])</f>
        <v>1</v>
      </c>
      <c r="AO103">
        <f>TYPE(All_India_Index_Upto_April23__1[[#This Row],[Milk and products]])</f>
        <v>1</v>
      </c>
      <c r="AP103">
        <f>TYPE(All_India_Index_Upto_April23__1[[#This Row],[Oils and fats]])</f>
        <v>1</v>
      </c>
      <c r="AQ103">
        <f>TYPE(All_India_Index_Upto_April23__1[[#This Row],[Fruits]])</f>
        <v>1</v>
      </c>
      <c r="AR103">
        <f>TYPE(All_India_Index_Upto_April23__1[[#This Row],[Vegetables]])</f>
        <v>1</v>
      </c>
      <c r="AS103">
        <f>TYPE(All_India_Index_Upto_April23__1[[#This Row],[Pulses and products]])</f>
        <v>1</v>
      </c>
      <c r="AT103">
        <f>TYPE(All_India_Index_Upto_April23__1[[#This Row],[Sugar and Confectionery]])</f>
        <v>1</v>
      </c>
      <c r="AU103">
        <f>TYPE(All_India_Index_Upto_April23__1[[#This Row],[Spices]])</f>
        <v>1</v>
      </c>
      <c r="AV103">
        <f>TYPE(All_India_Index_Upto_April23__1[[#This Row],[Non-alcoholic beverages]])</f>
        <v>1</v>
      </c>
      <c r="AW103">
        <f>TYPE(All_India_Index_Upto_April23__1[[#This Row],[Prepared meals, snacks, sweets etc.]])</f>
        <v>1</v>
      </c>
      <c r="AX103">
        <f>TYPE(All_India_Index_Upto_April23__1[[#This Row],[Food and beverages]])</f>
        <v>1</v>
      </c>
      <c r="AY103">
        <f>TYPE(All_India_Index_Upto_April23__1[[#This Row],[Pan, tobacco and intoxicants]])</f>
        <v>1</v>
      </c>
      <c r="AZ103">
        <f>TYPE(All_India_Index_Upto_April23__1[[#This Row],[Clothing]])</f>
        <v>1</v>
      </c>
      <c r="BA103">
        <f>TYPE(All_India_Index_Upto_April23__1[[#This Row],[Footwear]])</f>
        <v>1</v>
      </c>
      <c r="BB103">
        <f>TYPE(All_India_Index_Upto_April23__1[[#This Row],[Clothing and footwear]])</f>
        <v>1</v>
      </c>
      <c r="BC103">
        <f>TYPE(All_India_Index_Upto_April23__1[[#This Row],[Housing]])</f>
        <v>2</v>
      </c>
      <c r="BD103">
        <f>TYPE(All_India_Index_Upto_April23__1[[#This Row],[Fuel and light]])</f>
        <v>1</v>
      </c>
      <c r="BE103">
        <f>TYPE(All_India_Index_Upto_April23__1[[#This Row],[Household goods and services]])</f>
        <v>1</v>
      </c>
      <c r="BF103">
        <f>TYPE(All_India_Index_Upto_April23__1[[#This Row],[Health]])</f>
        <v>1</v>
      </c>
      <c r="BG103">
        <f>TYPE(All_India_Index_Upto_April23__1[[#This Row],[Transport and communication]])</f>
        <v>1</v>
      </c>
      <c r="BH103">
        <f>TYPE(All_India_Index_Upto_April23__1[[#This Row],[Recreation and amusement]])</f>
        <v>1</v>
      </c>
      <c r="BI103">
        <f>TYPE(All_India_Index_Upto_April23__1[[#This Row],[Education]])</f>
        <v>1</v>
      </c>
      <c r="BJ103">
        <f>TYPE(All_India_Index_Upto_April23__1[[#This Row],[Personal care and effects]])</f>
        <v>1</v>
      </c>
      <c r="BK103">
        <f>TYPE(All_India_Index_Upto_April23__1[[#This Row],[Miscellaneous]])</f>
        <v>1</v>
      </c>
      <c r="BL103">
        <f>TYPE(All_India_Index_Upto_April23__1[[#This Row],[General index]])</f>
        <v>1</v>
      </c>
    </row>
    <row r="104" spans="1:64" hidden="1" x14ac:dyDescent="0.3">
      <c r="A104" t="s">
        <v>33</v>
      </c>
      <c r="B104">
        <v>2015</v>
      </c>
      <c r="C104" t="s">
        <v>42</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t="s">
        <v>122</v>
      </c>
      <c r="V104">
        <v>120.8</v>
      </c>
      <c r="W104">
        <v>123</v>
      </c>
      <c r="X104">
        <v>120.4</v>
      </c>
      <c r="Y104">
        <v>111.4</v>
      </c>
      <c r="Z104">
        <v>118.7</v>
      </c>
      <c r="AA104">
        <v>125.9</v>
      </c>
      <c r="AB104">
        <v>113.9</v>
      </c>
      <c r="AC104">
        <v>117.9</v>
      </c>
      <c r="AD104">
        <v>126.1</v>
      </c>
      <c r="AE104">
        <f>SUM(All_India_Index_Upto_April23__1[[#This Row],[Cereals and products]:[Food and beverages]])</f>
        <v>1678.9999999999998</v>
      </c>
      <c r="AF104">
        <f>SUM(All_India_Index_Upto_April23__1[[#This Row],[Clothing]:[Clothing and footwear]])</f>
        <v>380.1</v>
      </c>
      <c r="AG104">
        <f t="shared" si="1"/>
        <v>355.20000000000005</v>
      </c>
      <c r="AI104">
        <f>TYPE(All_India_Index_Upto_April23__1[[#This Row],[Sector]])</f>
        <v>2</v>
      </c>
      <c r="AJ104">
        <f>TYPE(All_India_Index_Upto_April23__1[[#This Row],[Year]])</f>
        <v>1</v>
      </c>
      <c r="AK104">
        <f>TYPE(All_India_Index_Upto_April23__1[[#This Row],[Month]])</f>
        <v>2</v>
      </c>
      <c r="AL104">
        <f>TYPE(All_India_Index_Upto_April23__1[[#This Row],[Cereals and products]])</f>
        <v>1</v>
      </c>
      <c r="AM104">
        <f>TYPE(All_India_Index_Upto_April23__1[[#This Row],[Meat and fish]])</f>
        <v>1</v>
      </c>
      <c r="AN104">
        <f>TYPE(All_India_Index_Upto_April23__1[[#This Row],[Egg]])</f>
        <v>1</v>
      </c>
      <c r="AO104">
        <f>TYPE(All_India_Index_Upto_April23__1[[#This Row],[Milk and products]])</f>
        <v>1</v>
      </c>
      <c r="AP104">
        <f>TYPE(All_India_Index_Upto_April23__1[[#This Row],[Oils and fats]])</f>
        <v>1</v>
      </c>
      <c r="AQ104">
        <f>TYPE(All_India_Index_Upto_April23__1[[#This Row],[Fruits]])</f>
        <v>1</v>
      </c>
      <c r="AR104">
        <f>TYPE(All_India_Index_Upto_April23__1[[#This Row],[Vegetables]])</f>
        <v>1</v>
      </c>
      <c r="AS104">
        <f>TYPE(All_India_Index_Upto_April23__1[[#This Row],[Pulses and products]])</f>
        <v>1</v>
      </c>
      <c r="AT104">
        <f>TYPE(All_India_Index_Upto_April23__1[[#This Row],[Sugar and Confectionery]])</f>
        <v>1</v>
      </c>
      <c r="AU104">
        <f>TYPE(All_India_Index_Upto_April23__1[[#This Row],[Spices]])</f>
        <v>1</v>
      </c>
      <c r="AV104">
        <f>TYPE(All_India_Index_Upto_April23__1[[#This Row],[Non-alcoholic beverages]])</f>
        <v>1</v>
      </c>
      <c r="AW104">
        <f>TYPE(All_India_Index_Upto_April23__1[[#This Row],[Prepared meals, snacks, sweets etc.]])</f>
        <v>1</v>
      </c>
      <c r="AX104">
        <f>TYPE(All_India_Index_Upto_April23__1[[#This Row],[Food and beverages]])</f>
        <v>1</v>
      </c>
      <c r="AY104">
        <f>TYPE(All_India_Index_Upto_April23__1[[#This Row],[Pan, tobacco and intoxicants]])</f>
        <v>1</v>
      </c>
      <c r="AZ104">
        <f>TYPE(All_India_Index_Upto_April23__1[[#This Row],[Clothing]])</f>
        <v>1</v>
      </c>
      <c r="BA104">
        <f>TYPE(All_India_Index_Upto_April23__1[[#This Row],[Footwear]])</f>
        <v>1</v>
      </c>
      <c r="BB104">
        <f>TYPE(All_India_Index_Upto_April23__1[[#This Row],[Clothing and footwear]])</f>
        <v>1</v>
      </c>
      <c r="BC104">
        <f>TYPE(All_India_Index_Upto_April23__1[[#This Row],[Housing]])</f>
        <v>2</v>
      </c>
      <c r="BD104">
        <f>TYPE(All_India_Index_Upto_April23__1[[#This Row],[Fuel and light]])</f>
        <v>1</v>
      </c>
      <c r="BE104">
        <f>TYPE(All_India_Index_Upto_April23__1[[#This Row],[Household goods and services]])</f>
        <v>1</v>
      </c>
      <c r="BF104">
        <f>TYPE(All_India_Index_Upto_April23__1[[#This Row],[Health]])</f>
        <v>1</v>
      </c>
      <c r="BG104">
        <f>TYPE(All_India_Index_Upto_April23__1[[#This Row],[Transport and communication]])</f>
        <v>1</v>
      </c>
      <c r="BH104">
        <f>TYPE(All_India_Index_Upto_April23__1[[#This Row],[Recreation and amusement]])</f>
        <v>1</v>
      </c>
      <c r="BI104">
        <f>TYPE(All_India_Index_Upto_April23__1[[#This Row],[Education]])</f>
        <v>1</v>
      </c>
      <c r="BJ104">
        <f>TYPE(All_India_Index_Upto_April23__1[[#This Row],[Personal care and effects]])</f>
        <v>1</v>
      </c>
      <c r="BK104">
        <f>TYPE(All_India_Index_Upto_April23__1[[#This Row],[Miscellaneous]])</f>
        <v>1</v>
      </c>
      <c r="BL104">
        <f>TYPE(All_India_Index_Upto_April23__1[[#This Row],[General index]])</f>
        <v>1</v>
      </c>
    </row>
    <row r="105" spans="1:64" hidden="1" x14ac:dyDescent="0.3">
      <c r="A105" t="s">
        <v>30</v>
      </c>
      <c r="B105">
        <v>2015</v>
      </c>
      <c r="C105" t="s">
        <v>43</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U105" t="s">
        <v>89</v>
      </c>
      <c r="V105">
        <v>125.6</v>
      </c>
      <c r="W105">
        <v>125.6</v>
      </c>
      <c r="X105">
        <v>122.6</v>
      </c>
      <c r="Y105">
        <v>114</v>
      </c>
      <c r="Z105">
        <v>120.9</v>
      </c>
      <c r="AA105">
        <v>125.8</v>
      </c>
      <c r="AB105">
        <v>114.2</v>
      </c>
      <c r="AC105">
        <v>119.6</v>
      </c>
      <c r="AD105">
        <v>128.30000000000001</v>
      </c>
      <c r="AE105">
        <f>SUM(All_India_Index_Upto_April23__1[[#This Row],[Cereals and products]:[Food and beverages]])</f>
        <v>1686.3</v>
      </c>
      <c r="AF105">
        <f>SUM(All_India_Index_Upto_April23__1[[#This Row],[Clothing]:[Clothing and footwear]])</f>
        <v>391.79999999999995</v>
      </c>
      <c r="AG105">
        <f t="shared" si="1"/>
        <v>365.2</v>
      </c>
      <c r="AI105">
        <f>TYPE(All_India_Index_Upto_April23__1[[#This Row],[Sector]])</f>
        <v>2</v>
      </c>
      <c r="AJ105">
        <f>TYPE(All_India_Index_Upto_April23__1[[#This Row],[Year]])</f>
        <v>1</v>
      </c>
      <c r="AK105">
        <f>TYPE(All_India_Index_Upto_April23__1[[#This Row],[Month]])</f>
        <v>2</v>
      </c>
      <c r="AL105">
        <f>TYPE(All_India_Index_Upto_April23__1[[#This Row],[Cereals and products]])</f>
        <v>1</v>
      </c>
      <c r="AM105">
        <f>TYPE(All_India_Index_Upto_April23__1[[#This Row],[Meat and fish]])</f>
        <v>1</v>
      </c>
      <c r="AN105">
        <f>TYPE(All_India_Index_Upto_April23__1[[#This Row],[Egg]])</f>
        <v>1</v>
      </c>
      <c r="AO105">
        <f>TYPE(All_India_Index_Upto_April23__1[[#This Row],[Milk and products]])</f>
        <v>1</v>
      </c>
      <c r="AP105">
        <f>TYPE(All_India_Index_Upto_April23__1[[#This Row],[Oils and fats]])</f>
        <v>1</v>
      </c>
      <c r="AQ105">
        <f>TYPE(All_India_Index_Upto_April23__1[[#This Row],[Fruits]])</f>
        <v>1</v>
      </c>
      <c r="AR105">
        <f>TYPE(All_India_Index_Upto_April23__1[[#This Row],[Vegetables]])</f>
        <v>1</v>
      </c>
      <c r="AS105">
        <f>TYPE(All_India_Index_Upto_April23__1[[#This Row],[Pulses and products]])</f>
        <v>1</v>
      </c>
      <c r="AT105">
        <f>TYPE(All_India_Index_Upto_April23__1[[#This Row],[Sugar and Confectionery]])</f>
        <v>1</v>
      </c>
      <c r="AU105">
        <f>TYPE(All_India_Index_Upto_April23__1[[#This Row],[Spices]])</f>
        <v>1</v>
      </c>
      <c r="AV105">
        <f>TYPE(All_India_Index_Upto_April23__1[[#This Row],[Non-alcoholic beverages]])</f>
        <v>1</v>
      </c>
      <c r="AW105">
        <f>TYPE(All_India_Index_Upto_April23__1[[#This Row],[Prepared meals, snacks, sweets etc.]])</f>
        <v>1</v>
      </c>
      <c r="AX105">
        <f>TYPE(All_India_Index_Upto_April23__1[[#This Row],[Food and beverages]])</f>
        <v>1</v>
      </c>
      <c r="AY105">
        <f>TYPE(All_India_Index_Upto_April23__1[[#This Row],[Pan, tobacco and intoxicants]])</f>
        <v>1</v>
      </c>
      <c r="AZ105">
        <f>TYPE(All_India_Index_Upto_April23__1[[#This Row],[Clothing]])</f>
        <v>1</v>
      </c>
      <c r="BA105">
        <f>TYPE(All_India_Index_Upto_April23__1[[#This Row],[Footwear]])</f>
        <v>1</v>
      </c>
      <c r="BB105">
        <f>TYPE(All_India_Index_Upto_April23__1[[#This Row],[Clothing and footwear]])</f>
        <v>1</v>
      </c>
      <c r="BC105">
        <f>TYPE(All_India_Index_Upto_April23__1[[#This Row],[Housing]])</f>
        <v>2</v>
      </c>
      <c r="BD105">
        <f>TYPE(All_India_Index_Upto_April23__1[[#This Row],[Fuel and light]])</f>
        <v>1</v>
      </c>
      <c r="BE105">
        <f>TYPE(All_India_Index_Upto_April23__1[[#This Row],[Household goods and services]])</f>
        <v>1</v>
      </c>
      <c r="BF105">
        <f>TYPE(All_India_Index_Upto_April23__1[[#This Row],[Health]])</f>
        <v>1</v>
      </c>
      <c r="BG105">
        <f>TYPE(All_India_Index_Upto_April23__1[[#This Row],[Transport and communication]])</f>
        <v>1</v>
      </c>
      <c r="BH105">
        <f>TYPE(All_India_Index_Upto_April23__1[[#This Row],[Recreation and amusement]])</f>
        <v>1</v>
      </c>
      <c r="BI105">
        <f>TYPE(All_India_Index_Upto_April23__1[[#This Row],[Education]])</f>
        <v>1</v>
      </c>
      <c r="BJ105">
        <f>TYPE(All_India_Index_Upto_April23__1[[#This Row],[Personal care and effects]])</f>
        <v>1</v>
      </c>
      <c r="BK105">
        <f>TYPE(All_India_Index_Upto_April23__1[[#This Row],[Miscellaneous]])</f>
        <v>1</v>
      </c>
      <c r="BL105">
        <f>TYPE(All_India_Index_Upto_April23__1[[#This Row],[General index]])</f>
        <v>1</v>
      </c>
    </row>
    <row r="106" spans="1:64" hidden="1" x14ac:dyDescent="0.3">
      <c r="A106" t="s">
        <v>32</v>
      </c>
      <c r="B106">
        <v>2015</v>
      </c>
      <c r="C106" t="s">
        <v>43</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t="s">
        <v>123</v>
      </c>
      <c r="V106">
        <v>115.1</v>
      </c>
      <c r="W106">
        <v>121</v>
      </c>
      <c r="X106">
        <v>118.1</v>
      </c>
      <c r="Y106">
        <v>109.3</v>
      </c>
      <c r="Z106">
        <v>117.9</v>
      </c>
      <c r="AA106">
        <v>126.6</v>
      </c>
      <c r="AB106">
        <v>113.3</v>
      </c>
      <c r="AC106">
        <v>116.6</v>
      </c>
      <c r="AD106">
        <v>124.6</v>
      </c>
      <c r="AE106">
        <f>SUM(All_India_Index_Upto_April23__1[[#This Row],[Cereals and products]:[Food and beverages]])</f>
        <v>1708.4999999999998</v>
      </c>
      <c r="AF106">
        <f>SUM(All_India_Index_Upto_April23__1[[#This Row],[Clothing]:[Clothing and footwear]])</f>
        <v>368.5</v>
      </c>
      <c r="AG106">
        <f t="shared" si="1"/>
        <v>345.4</v>
      </c>
      <c r="AI106">
        <f>TYPE(All_India_Index_Upto_April23__1[[#This Row],[Sector]])</f>
        <v>2</v>
      </c>
      <c r="AJ106">
        <f>TYPE(All_India_Index_Upto_April23__1[[#This Row],[Year]])</f>
        <v>1</v>
      </c>
      <c r="AK106">
        <f>TYPE(All_India_Index_Upto_April23__1[[#This Row],[Month]])</f>
        <v>2</v>
      </c>
      <c r="AL106">
        <f>TYPE(All_India_Index_Upto_April23__1[[#This Row],[Cereals and products]])</f>
        <v>1</v>
      </c>
      <c r="AM106">
        <f>TYPE(All_India_Index_Upto_April23__1[[#This Row],[Meat and fish]])</f>
        <v>1</v>
      </c>
      <c r="AN106">
        <f>TYPE(All_India_Index_Upto_April23__1[[#This Row],[Egg]])</f>
        <v>1</v>
      </c>
      <c r="AO106">
        <f>TYPE(All_India_Index_Upto_April23__1[[#This Row],[Milk and products]])</f>
        <v>1</v>
      </c>
      <c r="AP106">
        <f>TYPE(All_India_Index_Upto_April23__1[[#This Row],[Oils and fats]])</f>
        <v>1</v>
      </c>
      <c r="AQ106">
        <f>TYPE(All_India_Index_Upto_April23__1[[#This Row],[Fruits]])</f>
        <v>1</v>
      </c>
      <c r="AR106">
        <f>TYPE(All_India_Index_Upto_April23__1[[#This Row],[Vegetables]])</f>
        <v>1</v>
      </c>
      <c r="AS106">
        <f>TYPE(All_India_Index_Upto_April23__1[[#This Row],[Pulses and products]])</f>
        <v>1</v>
      </c>
      <c r="AT106">
        <f>TYPE(All_India_Index_Upto_April23__1[[#This Row],[Sugar and Confectionery]])</f>
        <v>1</v>
      </c>
      <c r="AU106">
        <f>TYPE(All_India_Index_Upto_April23__1[[#This Row],[Spices]])</f>
        <v>1</v>
      </c>
      <c r="AV106">
        <f>TYPE(All_India_Index_Upto_April23__1[[#This Row],[Non-alcoholic beverages]])</f>
        <v>1</v>
      </c>
      <c r="AW106">
        <f>TYPE(All_India_Index_Upto_April23__1[[#This Row],[Prepared meals, snacks, sweets etc.]])</f>
        <v>1</v>
      </c>
      <c r="AX106">
        <f>TYPE(All_India_Index_Upto_April23__1[[#This Row],[Food and beverages]])</f>
        <v>1</v>
      </c>
      <c r="AY106">
        <f>TYPE(All_India_Index_Upto_April23__1[[#This Row],[Pan, tobacco and intoxicants]])</f>
        <v>1</v>
      </c>
      <c r="AZ106">
        <f>TYPE(All_India_Index_Upto_April23__1[[#This Row],[Clothing]])</f>
        <v>1</v>
      </c>
      <c r="BA106">
        <f>TYPE(All_India_Index_Upto_April23__1[[#This Row],[Footwear]])</f>
        <v>1</v>
      </c>
      <c r="BB106">
        <f>TYPE(All_India_Index_Upto_April23__1[[#This Row],[Clothing and footwear]])</f>
        <v>1</v>
      </c>
      <c r="BC106">
        <f>TYPE(All_India_Index_Upto_April23__1[[#This Row],[Housing]])</f>
        <v>2</v>
      </c>
      <c r="BD106">
        <f>TYPE(All_India_Index_Upto_April23__1[[#This Row],[Fuel and light]])</f>
        <v>1</v>
      </c>
      <c r="BE106">
        <f>TYPE(All_India_Index_Upto_April23__1[[#This Row],[Household goods and services]])</f>
        <v>1</v>
      </c>
      <c r="BF106">
        <f>TYPE(All_India_Index_Upto_April23__1[[#This Row],[Health]])</f>
        <v>1</v>
      </c>
      <c r="BG106">
        <f>TYPE(All_India_Index_Upto_April23__1[[#This Row],[Transport and communication]])</f>
        <v>1</v>
      </c>
      <c r="BH106">
        <f>TYPE(All_India_Index_Upto_April23__1[[#This Row],[Recreation and amusement]])</f>
        <v>1</v>
      </c>
      <c r="BI106">
        <f>TYPE(All_India_Index_Upto_April23__1[[#This Row],[Education]])</f>
        <v>1</v>
      </c>
      <c r="BJ106">
        <f>TYPE(All_India_Index_Upto_April23__1[[#This Row],[Personal care and effects]])</f>
        <v>1</v>
      </c>
      <c r="BK106">
        <f>TYPE(All_India_Index_Upto_April23__1[[#This Row],[Miscellaneous]])</f>
        <v>1</v>
      </c>
      <c r="BL106">
        <f>TYPE(All_India_Index_Upto_April23__1[[#This Row],[General index]])</f>
        <v>1</v>
      </c>
    </row>
    <row r="107" spans="1:64" hidden="1" x14ac:dyDescent="0.3">
      <c r="A107" t="s">
        <v>33</v>
      </c>
      <c r="B107">
        <v>2015</v>
      </c>
      <c r="C107" t="s">
        <v>43</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t="s">
        <v>123</v>
      </c>
      <c r="V107">
        <v>121.6</v>
      </c>
      <c r="W107">
        <v>123.4</v>
      </c>
      <c r="X107">
        <v>120.9</v>
      </c>
      <c r="Y107">
        <v>111.5</v>
      </c>
      <c r="Z107">
        <v>119.2</v>
      </c>
      <c r="AA107">
        <v>126.3</v>
      </c>
      <c r="AB107">
        <v>113.8</v>
      </c>
      <c r="AC107">
        <v>118.1</v>
      </c>
      <c r="AD107">
        <v>126.6</v>
      </c>
      <c r="AE107">
        <f>SUM(All_India_Index_Upto_April23__1[[#This Row],[Cereals and products]:[Food and beverages]])</f>
        <v>1692.1</v>
      </c>
      <c r="AF107">
        <f>SUM(All_India_Index_Upto_April23__1[[#This Row],[Clothing]:[Clothing and footwear]])</f>
        <v>382.4</v>
      </c>
      <c r="AG107">
        <f t="shared" si="1"/>
        <v>356.5</v>
      </c>
      <c r="AI107">
        <f>TYPE(All_India_Index_Upto_April23__1[[#This Row],[Sector]])</f>
        <v>2</v>
      </c>
      <c r="AJ107">
        <f>TYPE(All_India_Index_Upto_April23__1[[#This Row],[Year]])</f>
        <v>1</v>
      </c>
      <c r="AK107">
        <f>TYPE(All_India_Index_Upto_April23__1[[#This Row],[Month]])</f>
        <v>2</v>
      </c>
      <c r="AL107">
        <f>TYPE(All_India_Index_Upto_April23__1[[#This Row],[Cereals and products]])</f>
        <v>1</v>
      </c>
      <c r="AM107">
        <f>TYPE(All_India_Index_Upto_April23__1[[#This Row],[Meat and fish]])</f>
        <v>1</v>
      </c>
      <c r="AN107">
        <f>TYPE(All_India_Index_Upto_April23__1[[#This Row],[Egg]])</f>
        <v>1</v>
      </c>
      <c r="AO107">
        <f>TYPE(All_India_Index_Upto_April23__1[[#This Row],[Milk and products]])</f>
        <v>1</v>
      </c>
      <c r="AP107">
        <f>TYPE(All_India_Index_Upto_April23__1[[#This Row],[Oils and fats]])</f>
        <v>1</v>
      </c>
      <c r="AQ107">
        <f>TYPE(All_India_Index_Upto_April23__1[[#This Row],[Fruits]])</f>
        <v>1</v>
      </c>
      <c r="AR107">
        <f>TYPE(All_India_Index_Upto_April23__1[[#This Row],[Vegetables]])</f>
        <v>1</v>
      </c>
      <c r="AS107">
        <f>TYPE(All_India_Index_Upto_April23__1[[#This Row],[Pulses and products]])</f>
        <v>1</v>
      </c>
      <c r="AT107">
        <f>TYPE(All_India_Index_Upto_April23__1[[#This Row],[Sugar and Confectionery]])</f>
        <v>1</v>
      </c>
      <c r="AU107">
        <f>TYPE(All_India_Index_Upto_April23__1[[#This Row],[Spices]])</f>
        <v>1</v>
      </c>
      <c r="AV107">
        <f>TYPE(All_India_Index_Upto_April23__1[[#This Row],[Non-alcoholic beverages]])</f>
        <v>1</v>
      </c>
      <c r="AW107">
        <f>TYPE(All_India_Index_Upto_April23__1[[#This Row],[Prepared meals, snacks, sweets etc.]])</f>
        <v>1</v>
      </c>
      <c r="AX107">
        <f>TYPE(All_India_Index_Upto_April23__1[[#This Row],[Food and beverages]])</f>
        <v>1</v>
      </c>
      <c r="AY107">
        <f>TYPE(All_India_Index_Upto_April23__1[[#This Row],[Pan, tobacco and intoxicants]])</f>
        <v>1</v>
      </c>
      <c r="AZ107">
        <f>TYPE(All_India_Index_Upto_April23__1[[#This Row],[Clothing]])</f>
        <v>1</v>
      </c>
      <c r="BA107">
        <f>TYPE(All_India_Index_Upto_April23__1[[#This Row],[Footwear]])</f>
        <v>1</v>
      </c>
      <c r="BB107">
        <f>TYPE(All_India_Index_Upto_April23__1[[#This Row],[Clothing and footwear]])</f>
        <v>1</v>
      </c>
      <c r="BC107">
        <f>TYPE(All_India_Index_Upto_April23__1[[#This Row],[Housing]])</f>
        <v>2</v>
      </c>
      <c r="BD107">
        <f>TYPE(All_India_Index_Upto_April23__1[[#This Row],[Fuel and light]])</f>
        <v>1</v>
      </c>
      <c r="BE107">
        <f>TYPE(All_India_Index_Upto_April23__1[[#This Row],[Household goods and services]])</f>
        <v>1</v>
      </c>
      <c r="BF107">
        <f>TYPE(All_India_Index_Upto_April23__1[[#This Row],[Health]])</f>
        <v>1</v>
      </c>
      <c r="BG107">
        <f>TYPE(All_India_Index_Upto_April23__1[[#This Row],[Transport and communication]])</f>
        <v>1</v>
      </c>
      <c r="BH107">
        <f>TYPE(All_India_Index_Upto_April23__1[[#This Row],[Recreation and amusement]])</f>
        <v>1</v>
      </c>
      <c r="BI107">
        <f>TYPE(All_India_Index_Upto_April23__1[[#This Row],[Education]])</f>
        <v>1</v>
      </c>
      <c r="BJ107">
        <f>TYPE(All_India_Index_Upto_April23__1[[#This Row],[Personal care and effects]])</f>
        <v>1</v>
      </c>
      <c r="BK107">
        <f>TYPE(All_India_Index_Upto_April23__1[[#This Row],[Miscellaneous]])</f>
        <v>1</v>
      </c>
      <c r="BL107">
        <f>TYPE(All_India_Index_Upto_April23__1[[#This Row],[General index]])</f>
        <v>1</v>
      </c>
    </row>
    <row r="108" spans="1:64" hidden="1" x14ac:dyDescent="0.3">
      <c r="A108" t="s">
        <v>30</v>
      </c>
      <c r="B108">
        <v>2015</v>
      </c>
      <c r="C108" t="s">
        <v>44</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U108" t="s">
        <v>89</v>
      </c>
      <c r="V108">
        <v>125.7</v>
      </c>
      <c r="W108">
        <v>126</v>
      </c>
      <c r="X108">
        <v>123.1</v>
      </c>
      <c r="Y108">
        <v>114</v>
      </c>
      <c r="Z108">
        <v>121.6</v>
      </c>
      <c r="AA108">
        <v>125.6</v>
      </c>
      <c r="AB108">
        <v>114.1</v>
      </c>
      <c r="AC108">
        <v>119.8</v>
      </c>
      <c r="AD108">
        <v>127.9</v>
      </c>
      <c r="AE108">
        <f>SUM(All_India_Index_Upto_April23__1[[#This Row],[Cereals and products]:[Food and beverages]])</f>
        <v>1682.3000000000002</v>
      </c>
      <c r="AF108">
        <f>SUM(All_India_Index_Upto_April23__1[[#This Row],[Clothing]:[Clothing and footwear]])</f>
        <v>392.9</v>
      </c>
      <c r="AG108">
        <f t="shared" si="1"/>
        <v>365.7</v>
      </c>
      <c r="AI108">
        <f>TYPE(All_India_Index_Upto_April23__1[[#This Row],[Sector]])</f>
        <v>2</v>
      </c>
      <c r="AJ108">
        <f>TYPE(All_India_Index_Upto_April23__1[[#This Row],[Year]])</f>
        <v>1</v>
      </c>
      <c r="AK108">
        <f>TYPE(All_India_Index_Upto_April23__1[[#This Row],[Month]])</f>
        <v>2</v>
      </c>
      <c r="AL108">
        <f>TYPE(All_India_Index_Upto_April23__1[[#This Row],[Cereals and products]])</f>
        <v>1</v>
      </c>
      <c r="AM108">
        <f>TYPE(All_India_Index_Upto_April23__1[[#This Row],[Meat and fish]])</f>
        <v>1</v>
      </c>
      <c r="AN108">
        <f>TYPE(All_India_Index_Upto_April23__1[[#This Row],[Egg]])</f>
        <v>1</v>
      </c>
      <c r="AO108">
        <f>TYPE(All_India_Index_Upto_April23__1[[#This Row],[Milk and products]])</f>
        <v>1</v>
      </c>
      <c r="AP108">
        <f>TYPE(All_India_Index_Upto_April23__1[[#This Row],[Oils and fats]])</f>
        <v>1</v>
      </c>
      <c r="AQ108">
        <f>TYPE(All_India_Index_Upto_April23__1[[#This Row],[Fruits]])</f>
        <v>1</v>
      </c>
      <c r="AR108">
        <f>TYPE(All_India_Index_Upto_April23__1[[#This Row],[Vegetables]])</f>
        <v>1</v>
      </c>
      <c r="AS108">
        <f>TYPE(All_India_Index_Upto_April23__1[[#This Row],[Pulses and products]])</f>
        <v>1</v>
      </c>
      <c r="AT108">
        <f>TYPE(All_India_Index_Upto_April23__1[[#This Row],[Sugar and Confectionery]])</f>
        <v>1</v>
      </c>
      <c r="AU108">
        <f>TYPE(All_India_Index_Upto_April23__1[[#This Row],[Spices]])</f>
        <v>1</v>
      </c>
      <c r="AV108">
        <f>TYPE(All_India_Index_Upto_April23__1[[#This Row],[Non-alcoholic beverages]])</f>
        <v>1</v>
      </c>
      <c r="AW108">
        <f>TYPE(All_India_Index_Upto_April23__1[[#This Row],[Prepared meals, snacks, sweets etc.]])</f>
        <v>1</v>
      </c>
      <c r="AX108">
        <f>TYPE(All_India_Index_Upto_April23__1[[#This Row],[Food and beverages]])</f>
        <v>1</v>
      </c>
      <c r="AY108">
        <f>TYPE(All_India_Index_Upto_April23__1[[#This Row],[Pan, tobacco and intoxicants]])</f>
        <v>1</v>
      </c>
      <c r="AZ108">
        <f>TYPE(All_India_Index_Upto_April23__1[[#This Row],[Clothing]])</f>
        <v>1</v>
      </c>
      <c r="BA108">
        <f>TYPE(All_India_Index_Upto_April23__1[[#This Row],[Footwear]])</f>
        <v>1</v>
      </c>
      <c r="BB108">
        <f>TYPE(All_India_Index_Upto_April23__1[[#This Row],[Clothing and footwear]])</f>
        <v>1</v>
      </c>
      <c r="BC108">
        <f>TYPE(All_India_Index_Upto_April23__1[[#This Row],[Housing]])</f>
        <v>2</v>
      </c>
      <c r="BD108">
        <f>TYPE(All_India_Index_Upto_April23__1[[#This Row],[Fuel and light]])</f>
        <v>1</v>
      </c>
      <c r="BE108">
        <f>TYPE(All_India_Index_Upto_April23__1[[#This Row],[Household goods and services]])</f>
        <v>1</v>
      </c>
      <c r="BF108">
        <f>TYPE(All_India_Index_Upto_April23__1[[#This Row],[Health]])</f>
        <v>1</v>
      </c>
      <c r="BG108">
        <f>TYPE(All_India_Index_Upto_April23__1[[#This Row],[Transport and communication]])</f>
        <v>1</v>
      </c>
      <c r="BH108">
        <f>TYPE(All_India_Index_Upto_April23__1[[#This Row],[Recreation and amusement]])</f>
        <v>1</v>
      </c>
      <c r="BI108">
        <f>TYPE(All_India_Index_Upto_April23__1[[#This Row],[Education]])</f>
        <v>1</v>
      </c>
      <c r="BJ108">
        <f>TYPE(All_India_Index_Upto_April23__1[[#This Row],[Personal care and effects]])</f>
        <v>1</v>
      </c>
      <c r="BK108">
        <f>TYPE(All_India_Index_Upto_April23__1[[#This Row],[Miscellaneous]])</f>
        <v>1</v>
      </c>
      <c r="BL108">
        <f>TYPE(All_India_Index_Upto_April23__1[[#This Row],[General index]])</f>
        <v>1</v>
      </c>
    </row>
    <row r="109" spans="1:64" hidden="1" x14ac:dyDescent="0.3">
      <c r="A109" t="s">
        <v>32</v>
      </c>
      <c r="B109">
        <v>2015</v>
      </c>
      <c r="C109" t="s">
        <v>44</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t="s">
        <v>122</v>
      </c>
      <c r="V109">
        <v>116</v>
      </c>
      <c r="W109">
        <v>121</v>
      </c>
      <c r="X109">
        <v>118.6</v>
      </c>
      <c r="Y109">
        <v>109.3</v>
      </c>
      <c r="Z109">
        <v>118.1</v>
      </c>
      <c r="AA109">
        <v>126.6</v>
      </c>
      <c r="AB109">
        <v>113.2</v>
      </c>
      <c r="AC109">
        <v>116.7</v>
      </c>
      <c r="AD109">
        <v>124</v>
      </c>
      <c r="AE109">
        <f>SUM(All_India_Index_Upto_April23__1[[#This Row],[Cereals and products]:[Food and beverages]])</f>
        <v>1698.8</v>
      </c>
      <c r="AF109">
        <f>SUM(All_India_Index_Upto_April23__1[[#This Row],[Clothing]:[Clothing and footwear]])</f>
        <v>369.4</v>
      </c>
      <c r="AG109">
        <f t="shared" si="1"/>
        <v>346.3</v>
      </c>
      <c r="AI109">
        <f>TYPE(All_India_Index_Upto_April23__1[[#This Row],[Sector]])</f>
        <v>2</v>
      </c>
      <c r="AJ109">
        <f>TYPE(All_India_Index_Upto_April23__1[[#This Row],[Year]])</f>
        <v>1</v>
      </c>
      <c r="AK109">
        <f>TYPE(All_India_Index_Upto_April23__1[[#This Row],[Month]])</f>
        <v>2</v>
      </c>
      <c r="AL109">
        <f>TYPE(All_India_Index_Upto_April23__1[[#This Row],[Cereals and products]])</f>
        <v>1</v>
      </c>
      <c r="AM109">
        <f>TYPE(All_India_Index_Upto_April23__1[[#This Row],[Meat and fish]])</f>
        <v>1</v>
      </c>
      <c r="AN109">
        <f>TYPE(All_India_Index_Upto_April23__1[[#This Row],[Egg]])</f>
        <v>1</v>
      </c>
      <c r="AO109">
        <f>TYPE(All_India_Index_Upto_April23__1[[#This Row],[Milk and products]])</f>
        <v>1</v>
      </c>
      <c r="AP109">
        <f>TYPE(All_India_Index_Upto_April23__1[[#This Row],[Oils and fats]])</f>
        <v>1</v>
      </c>
      <c r="AQ109">
        <f>TYPE(All_India_Index_Upto_April23__1[[#This Row],[Fruits]])</f>
        <v>1</v>
      </c>
      <c r="AR109">
        <f>TYPE(All_India_Index_Upto_April23__1[[#This Row],[Vegetables]])</f>
        <v>1</v>
      </c>
      <c r="AS109">
        <f>TYPE(All_India_Index_Upto_April23__1[[#This Row],[Pulses and products]])</f>
        <v>1</v>
      </c>
      <c r="AT109">
        <f>TYPE(All_India_Index_Upto_April23__1[[#This Row],[Sugar and Confectionery]])</f>
        <v>1</v>
      </c>
      <c r="AU109">
        <f>TYPE(All_India_Index_Upto_April23__1[[#This Row],[Spices]])</f>
        <v>1</v>
      </c>
      <c r="AV109">
        <f>TYPE(All_India_Index_Upto_April23__1[[#This Row],[Non-alcoholic beverages]])</f>
        <v>1</v>
      </c>
      <c r="AW109">
        <f>TYPE(All_India_Index_Upto_April23__1[[#This Row],[Prepared meals, snacks, sweets etc.]])</f>
        <v>1</v>
      </c>
      <c r="AX109">
        <f>TYPE(All_India_Index_Upto_April23__1[[#This Row],[Food and beverages]])</f>
        <v>1</v>
      </c>
      <c r="AY109">
        <f>TYPE(All_India_Index_Upto_April23__1[[#This Row],[Pan, tobacco and intoxicants]])</f>
        <v>1</v>
      </c>
      <c r="AZ109">
        <f>TYPE(All_India_Index_Upto_April23__1[[#This Row],[Clothing]])</f>
        <v>1</v>
      </c>
      <c r="BA109">
        <f>TYPE(All_India_Index_Upto_April23__1[[#This Row],[Footwear]])</f>
        <v>1</v>
      </c>
      <c r="BB109">
        <f>TYPE(All_India_Index_Upto_April23__1[[#This Row],[Clothing and footwear]])</f>
        <v>1</v>
      </c>
      <c r="BC109">
        <f>TYPE(All_India_Index_Upto_April23__1[[#This Row],[Housing]])</f>
        <v>2</v>
      </c>
      <c r="BD109">
        <f>TYPE(All_India_Index_Upto_April23__1[[#This Row],[Fuel and light]])</f>
        <v>1</v>
      </c>
      <c r="BE109">
        <f>TYPE(All_India_Index_Upto_April23__1[[#This Row],[Household goods and services]])</f>
        <v>1</v>
      </c>
      <c r="BF109">
        <f>TYPE(All_India_Index_Upto_April23__1[[#This Row],[Health]])</f>
        <v>1</v>
      </c>
      <c r="BG109">
        <f>TYPE(All_India_Index_Upto_April23__1[[#This Row],[Transport and communication]])</f>
        <v>1</v>
      </c>
      <c r="BH109">
        <f>TYPE(All_India_Index_Upto_April23__1[[#This Row],[Recreation and amusement]])</f>
        <v>1</v>
      </c>
      <c r="BI109">
        <f>TYPE(All_India_Index_Upto_April23__1[[#This Row],[Education]])</f>
        <v>1</v>
      </c>
      <c r="BJ109">
        <f>TYPE(All_India_Index_Upto_April23__1[[#This Row],[Personal care and effects]])</f>
        <v>1</v>
      </c>
      <c r="BK109">
        <f>TYPE(All_India_Index_Upto_April23__1[[#This Row],[Miscellaneous]])</f>
        <v>1</v>
      </c>
      <c r="BL109">
        <f>TYPE(All_India_Index_Upto_April23__1[[#This Row],[General index]])</f>
        <v>1</v>
      </c>
    </row>
    <row r="110" spans="1:64" hidden="1" x14ac:dyDescent="0.3">
      <c r="A110" t="s">
        <v>33</v>
      </c>
      <c r="B110">
        <v>2015</v>
      </c>
      <c r="C110" t="s">
        <v>44</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t="s">
        <v>122</v>
      </c>
      <c r="V110">
        <v>122</v>
      </c>
      <c r="W110">
        <v>123.6</v>
      </c>
      <c r="X110">
        <v>121.4</v>
      </c>
      <c r="Y110">
        <v>111.5</v>
      </c>
      <c r="Z110">
        <v>119.6</v>
      </c>
      <c r="AA110">
        <v>126.2</v>
      </c>
      <c r="AB110">
        <v>113.7</v>
      </c>
      <c r="AC110">
        <v>118.3</v>
      </c>
      <c r="AD110">
        <v>126.1</v>
      </c>
      <c r="AE110">
        <f>SUM(All_India_Index_Upto_April23__1[[#This Row],[Cereals and products]:[Food and beverages]])</f>
        <v>1686.1000000000001</v>
      </c>
      <c r="AF110">
        <f>SUM(All_India_Index_Upto_April23__1[[#This Row],[Clothing]:[Clothing and footwear]])</f>
        <v>383.5</v>
      </c>
      <c r="AG110">
        <f t="shared" si="1"/>
        <v>357.1</v>
      </c>
      <c r="AI110">
        <f>TYPE(All_India_Index_Upto_April23__1[[#This Row],[Sector]])</f>
        <v>2</v>
      </c>
      <c r="AJ110">
        <f>TYPE(All_India_Index_Upto_April23__1[[#This Row],[Year]])</f>
        <v>1</v>
      </c>
      <c r="AK110">
        <f>TYPE(All_India_Index_Upto_April23__1[[#This Row],[Month]])</f>
        <v>2</v>
      </c>
      <c r="AL110">
        <f>TYPE(All_India_Index_Upto_April23__1[[#This Row],[Cereals and products]])</f>
        <v>1</v>
      </c>
      <c r="AM110">
        <f>TYPE(All_India_Index_Upto_April23__1[[#This Row],[Meat and fish]])</f>
        <v>1</v>
      </c>
      <c r="AN110">
        <f>TYPE(All_India_Index_Upto_April23__1[[#This Row],[Egg]])</f>
        <v>1</v>
      </c>
      <c r="AO110">
        <f>TYPE(All_India_Index_Upto_April23__1[[#This Row],[Milk and products]])</f>
        <v>1</v>
      </c>
      <c r="AP110">
        <f>TYPE(All_India_Index_Upto_April23__1[[#This Row],[Oils and fats]])</f>
        <v>1</v>
      </c>
      <c r="AQ110">
        <f>TYPE(All_India_Index_Upto_April23__1[[#This Row],[Fruits]])</f>
        <v>1</v>
      </c>
      <c r="AR110">
        <f>TYPE(All_India_Index_Upto_April23__1[[#This Row],[Vegetables]])</f>
        <v>1</v>
      </c>
      <c r="AS110">
        <f>TYPE(All_India_Index_Upto_April23__1[[#This Row],[Pulses and products]])</f>
        <v>1</v>
      </c>
      <c r="AT110">
        <f>TYPE(All_India_Index_Upto_April23__1[[#This Row],[Sugar and Confectionery]])</f>
        <v>1</v>
      </c>
      <c r="AU110">
        <f>TYPE(All_India_Index_Upto_April23__1[[#This Row],[Spices]])</f>
        <v>1</v>
      </c>
      <c r="AV110">
        <f>TYPE(All_India_Index_Upto_April23__1[[#This Row],[Non-alcoholic beverages]])</f>
        <v>1</v>
      </c>
      <c r="AW110">
        <f>TYPE(All_India_Index_Upto_April23__1[[#This Row],[Prepared meals, snacks, sweets etc.]])</f>
        <v>1</v>
      </c>
      <c r="AX110">
        <f>TYPE(All_India_Index_Upto_April23__1[[#This Row],[Food and beverages]])</f>
        <v>1</v>
      </c>
      <c r="AY110">
        <f>TYPE(All_India_Index_Upto_April23__1[[#This Row],[Pan, tobacco and intoxicants]])</f>
        <v>1</v>
      </c>
      <c r="AZ110">
        <f>TYPE(All_India_Index_Upto_April23__1[[#This Row],[Clothing]])</f>
        <v>1</v>
      </c>
      <c r="BA110">
        <f>TYPE(All_India_Index_Upto_April23__1[[#This Row],[Footwear]])</f>
        <v>1</v>
      </c>
      <c r="BB110">
        <f>TYPE(All_India_Index_Upto_April23__1[[#This Row],[Clothing and footwear]])</f>
        <v>1</v>
      </c>
      <c r="BC110">
        <f>TYPE(All_India_Index_Upto_April23__1[[#This Row],[Housing]])</f>
        <v>2</v>
      </c>
      <c r="BD110">
        <f>TYPE(All_India_Index_Upto_April23__1[[#This Row],[Fuel and light]])</f>
        <v>1</v>
      </c>
      <c r="BE110">
        <f>TYPE(All_India_Index_Upto_April23__1[[#This Row],[Household goods and services]])</f>
        <v>1</v>
      </c>
      <c r="BF110">
        <f>TYPE(All_India_Index_Upto_April23__1[[#This Row],[Health]])</f>
        <v>1</v>
      </c>
      <c r="BG110">
        <f>TYPE(All_India_Index_Upto_April23__1[[#This Row],[Transport and communication]])</f>
        <v>1</v>
      </c>
      <c r="BH110">
        <f>TYPE(All_India_Index_Upto_April23__1[[#This Row],[Recreation and amusement]])</f>
        <v>1</v>
      </c>
      <c r="BI110">
        <f>TYPE(All_India_Index_Upto_April23__1[[#This Row],[Education]])</f>
        <v>1</v>
      </c>
      <c r="BJ110">
        <f>TYPE(All_India_Index_Upto_April23__1[[#This Row],[Personal care and effects]])</f>
        <v>1</v>
      </c>
      <c r="BK110">
        <f>TYPE(All_India_Index_Upto_April23__1[[#This Row],[Miscellaneous]])</f>
        <v>1</v>
      </c>
      <c r="BL110">
        <f>TYPE(All_India_Index_Upto_April23__1[[#This Row],[General index]])</f>
        <v>1</v>
      </c>
    </row>
    <row r="111" spans="1:64" hidden="1" x14ac:dyDescent="0.3">
      <c r="A111" t="s">
        <v>30</v>
      </c>
      <c r="B111">
        <v>2016</v>
      </c>
      <c r="C111" t="s">
        <v>31</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U111" t="s">
        <v>89</v>
      </c>
      <c r="V111">
        <v>126.2</v>
      </c>
      <c r="W111">
        <v>126.6</v>
      </c>
      <c r="X111">
        <v>123.7</v>
      </c>
      <c r="Y111">
        <v>113.6</v>
      </c>
      <c r="Z111">
        <v>121.4</v>
      </c>
      <c r="AA111">
        <v>126.2</v>
      </c>
      <c r="AB111">
        <v>114.9</v>
      </c>
      <c r="AC111">
        <v>120.1</v>
      </c>
      <c r="AD111">
        <v>128.1</v>
      </c>
      <c r="AE111">
        <f>SUM(All_India_Index_Upto_April23__1[[#This Row],[Cereals and products]:[Food and beverages]])</f>
        <v>1690.1000000000001</v>
      </c>
      <c r="AF111">
        <f>SUM(All_India_Index_Upto_April23__1[[#This Row],[Clothing]:[Clothing and footwear]])</f>
        <v>394.70000000000005</v>
      </c>
      <c r="AG111">
        <f t="shared" si="1"/>
        <v>366.4</v>
      </c>
      <c r="AI111">
        <f>TYPE(All_India_Index_Upto_April23__1[[#This Row],[Sector]])</f>
        <v>2</v>
      </c>
      <c r="AJ111">
        <f>TYPE(All_India_Index_Upto_April23__1[[#This Row],[Year]])</f>
        <v>1</v>
      </c>
      <c r="AK111">
        <f>TYPE(All_India_Index_Upto_April23__1[[#This Row],[Month]])</f>
        <v>2</v>
      </c>
      <c r="AL111">
        <f>TYPE(All_India_Index_Upto_April23__1[[#This Row],[Cereals and products]])</f>
        <v>1</v>
      </c>
      <c r="AM111">
        <f>TYPE(All_India_Index_Upto_April23__1[[#This Row],[Meat and fish]])</f>
        <v>1</v>
      </c>
      <c r="AN111">
        <f>TYPE(All_India_Index_Upto_April23__1[[#This Row],[Egg]])</f>
        <v>1</v>
      </c>
      <c r="AO111">
        <f>TYPE(All_India_Index_Upto_April23__1[[#This Row],[Milk and products]])</f>
        <v>1</v>
      </c>
      <c r="AP111">
        <f>TYPE(All_India_Index_Upto_April23__1[[#This Row],[Oils and fats]])</f>
        <v>1</v>
      </c>
      <c r="AQ111">
        <f>TYPE(All_India_Index_Upto_April23__1[[#This Row],[Fruits]])</f>
        <v>1</v>
      </c>
      <c r="AR111">
        <f>TYPE(All_India_Index_Upto_April23__1[[#This Row],[Vegetables]])</f>
        <v>1</v>
      </c>
      <c r="AS111">
        <f>TYPE(All_India_Index_Upto_April23__1[[#This Row],[Pulses and products]])</f>
        <v>1</v>
      </c>
      <c r="AT111">
        <f>TYPE(All_India_Index_Upto_April23__1[[#This Row],[Sugar and Confectionery]])</f>
        <v>1</v>
      </c>
      <c r="AU111">
        <f>TYPE(All_India_Index_Upto_April23__1[[#This Row],[Spices]])</f>
        <v>1</v>
      </c>
      <c r="AV111">
        <f>TYPE(All_India_Index_Upto_April23__1[[#This Row],[Non-alcoholic beverages]])</f>
        <v>1</v>
      </c>
      <c r="AW111">
        <f>TYPE(All_India_Index_Upto_April23__1[[#This Row],[Prepared meals, snacks, sweets etc.]])</f>
        <v>1</v>
      </c>
      <c r="AX111">
        <f>TYPE(All_India_Index_Upto_April23__1[[#This Row],[Food and beverages]])</f>
        <v>1</v>
      </c>
      <c r="AY111">
        <f>TYPE(All_India_Index_Upto_April23__1[[#This Row],[Pan, tobacco and intoxicants]])</f>
        <v>1</v>
      </c>
      <c r="AZ111">
        <f>TYPE(All_India_Index_Upto_April23__1[[#This Row],[Clothing]])</f>
        <v>1</v>
      </c>
      <c r="BA111">
        <f>TYPE(All_India_Index_Upto_April23__1[[#This Row],[Footwear]])</f>
        <v>1</v>
      </c>
      <c r="BB111">
        <f>TYPE(All_India_Index_Upto_April23__1[[#This Row],[Clothing and footwear]])</f>
        <v>1</v>
      </c>
      <c r="BC111">
        <f>TYPE(All_India_Index_Upto_April23__1[[#This Row],[Housing]])</f>
        <v>2</v>
      </c>
      <c r="BD111">
        <f>TYPE(All_India_Index_Upto_April23__1[[#This Row],[Fuel and light]])</f>
        <v>1</v>
      </c>
      <c r="BE111">
        <f>TYPE(All_India_Index_Upto_April23__1[[#This Row],[Household goods and services]])</f>
        <v>1</v>
      </c>
      <c r="BF111">
        <f>TYPE(All_India_Index_Upto_April23__1[[#This Row],[Health]])</f>
        <v>1</v>
      </c>
      <c r="BG111">
        <f>TYPE(All_India_Index_Upto_April23__1[[#This Row],[Transport and communication]])</f>
        <v>1</v>
      </c>
      <c r="BH111">
        <f>TYPE(All_India_Index_Upto_April23__1[[#This Row],[Recreation and amusement]])</f>
        <v>1</v>
      </c>
      <c r="BI111">
        <f>TYPE(All_India_Index_Upto_April23__1[[#This Row],[Education]])</f>
        <v>1</v>
      </c>
      <c r="BJ111">
        <f>TYPE(All_India_Index_Upto_April23__1[[#This Row],[Personal care and effects]])</f>
        <v>1</v>
      </c>
      <c r="BK111">
        <f>TYPE(All_India_Index_Upto_April23__1[[#This Row],[Miscellaneous]])</f>
        <v>1</v>
      </c>
      <c r="BL111">
        <f>TYPE(All_India_Index_Upto_April23__1[[#This Row],[General index]])</f>
        <v>1</v>
      </c>
    </row>
    <row r="112" spans="1:64" hidden="1" x14ac:dyDescent="0.3">
      <c r="A112" t="s">
        <v>32</v>
      </c>
      <c r="B112">
        <v>2016</v>
      </c>
      <c r="C112" t="s">
        <v>31</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t="s">
        <v>124</v>
      </c>
      <c r="V112">
        <v>116.9</v>
      </c>
      <c r="W112">
        <v>121.6</v>
      </c>
      <c r="X112">
        <v>119.1</v>
      </c>
      <c r="Y112">
        <v>108.9</v>
      </c>
      <c r="Z112">
        <v>118.5</v>
      </c>
      <c r="AA112">
        <v>126.4</v>
      </c>
      <c r="AB112">
        <v>114</v>
      </c>
      <c r="AC112">
        <v>116.8</v>
      </c>
      <c r="AD112">
        <v>124.2</v>
      </c>
      <c r="AE112">
        <f>SUM(All_India_Index_Upto_April23__1[[#This Row],[Cereals and products]:[Food and beverages]])</f>
        <v>1701.4</v>
      </c>
      <c r="AF112">
        <f>SUM(All_India_Index_Upto_April23__1[[#This Row],[Clothing]:[Clothing and footwear]])</f>
        <v>370.5</v>
      </c>
      <c r="AG112">
        <f t="shared" si="1"/>
        <v>347.4</v>
      </c>
      <c r="AI112">
        <f>TYPE(All_India_Index_Upto_April23__1[[#This Row],[Sector]])</f>
        <v>2</v>
      </c>
      <c r="AJ112">
        <f>TYPE(All_India_Index_Upto_April23__1[[#This Row],[Year]])</f>
        <v>1</v>
      </c>
      <c r="AK112">
        <f>TYPE(All_India_Index_Upto_April23__1[[#This Row],[Month]])</f>
        <v>2</v>
      </c>
      <c r="AL112">
        <f>TYPE(All_India_Index_Upto_April23__1[[#This Row],[Cereals and products]])</f>
        <v>1</v>
      </c>
      <c r="AM112">
        <f>TYPE(All_India_Index_Upto_April23__1[[#This Row],[Meat and fish]])</f>
        <v>1</v>
      </c>
      <c r="AN112">
        <f>TYPE(All_India_Index_Upto_April23__1[[#This Row],[Egg]])</f>
        <v>1</v>
      </c>
      <c r="AO112">
        <f>TYPE(All_India_Index_Upto_April23__1[[#This Row],[Milk and products]])</f>
        <v>1</v>
      </c>
      <c r="AP112">
        <f>TYPE(All_India_Index_Upto_April23__1[[#This Row],[Oils and fats]])</f>
        <v>1</v>
      </c>
      <c r="AQ112">
        <f>TYPE(All_India_Index_Upto_April23__1[[#This Row],[Fruits]])</f>
        <v>1</v>
      </c>
      <c r="AR112">
        <f>TYPE(All_India_Index_Upto_April23__1[[#This Row],[Vegetables]])</f>
        <v>1</v>
      </c>
      <c r="AS112">
        <f>TYPE(All_India_Index_Upto_April23__1[[#This Row],[Pulses and products]])</f>
        <v>1</v>
      </c>
      <c r="AT112">
        <f>TYPE(All_India_Index_Upto_April23__1[[#This Row],[Sugar and Confectionery]])</f>
        <v>1</v>
      </c>
      <c r="AU112">
        <f>TYPE(All_India_Index_Upto_April23__1[[#This Row],[Spices]])</f>
        <v>1</v>
      </c>
      <c r="AV112">
        <f>TYPE(All_India_Index_Upto_April23__1[[#This Row],[Non-alcoholic beverages]])</f>
        <v>1</v>
      </c>
      <c r="AW112">
        <f>TYPE(All_India_Index_Upto_April23__1[[#This Row],[Prepared meals, snacks, sweets etc.]])</f>
        <v>1</v>
      </c>
      <c r="AX112">
        <f>TYPE(All_India_Index_Upto_April23__1[[#This Row],[Food and beverages]])</f>
        <v>1</v>
      </c>
      <c r="AY112">
        <f>TYPE(All_India_Index_Upto_April23__1[[#This Row],[Pan, tobacco and intoxicants]])</f>
        <v>1</v>
      </c>
      <c r="AZ112">
        <f>TYPE(All_India_Index_Upto_April23__1[[#This Row],[Clothing]])</f>
        <v>1</v>
      </c>
      <c r="BA112">
        <f>TYPE(All_India_Index_Upto_April23__1[[#This Row],[Footwear]])</f>
        <v>1</v>
      </c>
      <c r="BB112">
        <f>TYPE(All_India_Index_Upto_April23__1[[#This Row],[Clothing and footwear]])</f>
        <v>1</v>
      </c>
      <c r="BC112">
        <f>TYPE(All_India_Index_Upto_April23__1[[#This Row],[Housing]])</f>
        <v>2</v>
      </c>
      <c r="BD112">
        <f>TYPE(All_India_Index_Upto_April23__1[[#This Row],[Fuel and light]])</f>
        <v>1</v>
      </c>
      <c r="BE112">
        <f>TYPE(All_India_Index_Upto_April23__1[[#This Row],[Household goods and services]])</f>
        <v>1</v>
      </c>
      <c r="BF112">
        <f>TYPE(All_India_Index_Upto_April23__1[[#This Row],[Health]])</f>
        <v>1</v>
      </c>
      <c r="BG112">
        <f>TYPE(All_India_Index_Upto_April23__1[[#This Row],[Transport and communication]])</f>
        <v>1</v>
      </c>
      <c r="BH112">
        <f>TYPE(All_India_Index_Upto_April23__1[[#This Row],[Recreation and amusement]])</f>
        <v>1</v>
      </c>
      <c r="BI112">
        <f>TYPE(All_India_Index_Upto_April23__1[[#This Row],[Education]])</f>
        <v>1</v>
      </c>
      <c r="BJ112">
        <f>TYPE(All_India_Index_Upto_April23__1[[#This Row],[Personal care and effects]])</f>
        <v>1</v>
      </c>
      <c r="BK112">
        <f>TYPE(All_India_Index_Upto_April23__1[[#This Row],[Miscellaneous]])</f>
        <v>1</v>
      </c>
      <c r="BL112">
        <f>TYPE(All_India_Index_Upto_April23__1[[#This Row],[General index]])</f>
        <v>1</v>
      </c>
    </row>
    <row r="113" spans="1:64" hidden="1" x14ac:dyDescent="0.3">
      <c r="A113" t="s">
        <v>33</v>
      </c>
      <c r="B113">
        <v>2016</v>
      </c>
      <c r="C113" t="s">
        <v>31</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t="s">
        <v>124</v>
      </c>
      <c r="V113">
        <v>122.7</v>
      </c>
      <c r="W113">
        <v>124.2</v>
      </c>
      <c r="X113">
        <v>122</v>
      </c>
      <c r="Y113">
        <v>111.1</v>
      </c>
      <c r="Z113">
        <v>119.8</v>
      </c>
      <c r="AA113">
        <v>126.3</v>
      </c>
      <c r="AB113">
        <v>114.5</v>
      </c>
      <c r="AC113">
        <v>118.5</v>
      </c>
      <c r="AD113">
        <v>126.3</v>
      </c>
      <c r="AE113">
        <f>SUM(All_India_Index_Upto_April23__1[[#This Row],[Cereals and products]:[Food and beverages]])</f>
        <v>1691.7</v>
      </c>
      <c r="AF113">
        <f>SUM(All_India_Index_Upto_April23__1[[#This Row],[Clothing]:[Clothing and footwear]])</f>
        <v>384.9</v>
      </c>
      <c r="AG113">
        <f t="shared" si="1"/>
        <v>358</v>
      </c>
      <c r="AI113">
        <f>TYPE(All_India_Index_Upto_April23__1[[#This Row],[Sector]])</f>
        <v>2</v>
      </c>
      <c r="AJ113">
        <f>TYPE(All_India_Index_Upto_April23__1[[#This Row],[Year]])</f>
        <v>1</v>
      </c>
      <c r="AK113">
        <f>TYPE(All_India_Index_Upto_April23__1[[#This Row],[Month]])</f>
        <v>2</v>
      </c>
      <c r="AL113">
        <f>TYPE(All_India_Index_Upto_April23__1[[#This Row],[Cereals and products]])</f>
        <v>1</v>
      </c>
      <c r="AM113">
        <f>TYPE(All_India_Index_Upto_April23__1[[#This Row],[Meat and fish]])</f>
        <v>1</v>
      </c>
      <c r="AN113">
        <f>TYPE(All_India_Index_Upto_April23__1[[#This Row],[Egg]])</f>
        <v>1</v>
      </c>
      <c r="AO113">
        <f>TYPE(All_India_Index_Upto_April23__1[[#This Row],[Milk and products]])</f>
        <v>1</v>
      </c>
      <c r="AP113">
        <f>TYPE(All_India_Index_Upto_April23__1[[#This Row],[Oils and fats]])</f>
        <v>1</v>
      </c>
      <c r="AQ113">
        <f>TYPE(All_India_Index_Upto_April23__1[[#This Row],[Fruits]])</f>
        <v>1</v>
      </c>
      <c r="AR113">
        <f>TYPE(All_India_Index_Upto_April23__1[[#This Row],[Vegetables]])</f>
        <v>1</v>
      </c>
      <c r="AS113">
        <f>TYPE(All_India_Index_Upto_April23__1[[#This Row],[Pulses and products]])</f>
        <v>1</v>
      </c>
      <c r="AT113">
        <f>TYPE(All_India_Index_Upto_April23__1[[#This Row],[Sugar and Confectionery]])</f>
        <v>1</v>
      </c>
      <c r="AU113">
        <f>TYPE(All_India_Index_Upto_April23__1[[#This Row],[Spices]])</f>
        <v>1</v>
      </c>
      <c r="AV113">
        <f>TYPE(All_India_Index_Upto_April23__1[[#This Row],[Non-alcoholic beverages]])</f>
        <v>1</v>
      </c>
      <c r="AW113">
        <f>TYPE(All_India_Index_Upto_April23__1[[#This Row],[Prepared meals, snacks, sweets etc.]])</f>
        <v>1</v>
      </c>
      <c r="AX113">
        <f>TYPE(All_India_Index_Upto_April23__1[[#This Row],[Food and beverages]])</f>
        <v>1</v>
      </c>
      <c r="AY113">
        <f>TYPE(All_India_Index_Upto_April23__1[[#This Row],[Pan, tobacco and intoxicants]])</f>
        <v>1</v>
      </c>
      <c r="AZ113">
        <f>TYPE(All_India_Index_Upto_April23__1[[#This Row],[Clothing]])</f>
        <v>1</v>
      </c>
      <c r="BA113">
        <f>TYPE(All_India_Index_Upto_April23__1[[#This Row],[Footwear]])</f>
        <v>1</v>
      </c>
      <c r="BB113">
        <f>TYPE(All_India_Index_Upto_April23__1[[#This Row],[Clothing and footwear]])</f>
        <v>1</v>
      </c>
      <c r="BC113">
        <f>TYPE(All_India_Index_Upto_April23__1[[#This Row],[Housing]])</f>
        <v>2</v>
      </c>
      <c r="BD113">
        <f>TYPE(All_India_Index_Upto_April23__1[[#This Row],[Fuel and light]])</f>
        <v>1</v>
      </c>
      <c r="BE113">
        <f>TYPE(All_India_Index_Upto_April23__1[[#This Row],[Household goods and services]])</f>
        <v>1</v>
      </c>
      <c r="BF113">
        <f>TYPE(All_India_Index_Upto_April23__1[[#This Row],[Health]])</f>
        <v>1</v>
      </c>
      <c r="BG113">
        <f>TYPE(All_India_Index_Upto_April23__1[[#This Row],[Transport and communication]])</f>
        <v>1</v>
      </c>
      <c r="BH113">
        <f>TYPE(All_India_Index_Upto_April23__1[[#This Row],[Recreation and amusement]])</f>
        <v>1</v>
      </c>
      <c r="BI113">
        <f>TYPE(All_India_Index_Upto_April23__1[[#This Row],[Education]])</f>
        <v>1</v>
      </c>
      <c r="BJ113">
        <f>TYPE(All_India_Index_Upto_April23__1[[#This Row],[Personal care and effects]])</f>
        <v>1</v>
      </c>
      <c r="BK113">
        <f>TYPE(All_India_Index_Upto_April23__1[[#This Row],[Miscellaneous]])</f>
        <v>1</v>
      </c>
      <c r="BL113">
        <f>TYPE(All_India_Index_Upto_April23__1[[#This Row],[General index]])</f>
        <v>1</v>
      </c>
    </row>
    <row r="114" spans="1:64" hidden="1" x14ac:dyDescent="0.3">
      <c r="A114" t="s">
        <v>30</v>
      </c>
      <c r="B114">
        <v>2016</v>
      </c>
      <c r="C114" t="s">
        <v>34</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U114" t="s">
        <v>89</v>
      </c>
      <c r="V114">
        <v>127.5</v>
      </c>
      <c r="W114">
        <v>127.1</v>
      </c>
      <c r="X114">
        <v>124.3</v>
      </c>
      <c r="Y114">
        <v>113.9</v>
      </c>
      <c r="Z114">
        <v>122.3</v>
      </c>
      <c r="AA114">
        <v>127.1</v>
      </c>
      <c r="AB114">
        <v>116.8</v>
      </c>
      <c r="AC114">
        <v>120.9</v>
      </c>
      <c r="AD114">
        <v>127.9</v>
      </c>
      <c r="AE114">
        <f>SUM(All_India_Index_Upto_April23__1[[#This Row],[Cereals and products]:[Food and beverages]])</f>
        <v>1682.6</v>
      </c>
      <c r="AF114">
        <f>SUM(All_India_Index_Upto_April23__1[[#This Row],[Clothing]:[Clothing and footwear]])</f>
        <v>397.1</v>
      </c>
      <c r="AG114">
        <f t="shared" si="1"/>
        <v>368.5</v>
      </c>
      <c r="AI114">
        <f>TYPE(All_India_Index_Upto_April23__1[[#This Row],[Sector]])</f>
        <v>2</v>
      </c>
      <c r="AJ114">
        <f>TYPE(All_India_Index_Upto_April23__1[[#This Row],[Year]])</f>
        <v>1</v>
      </c>
      <c r="AK114">
        <f>TYPE(All_India_Index_Upto_April23__1[[#This Row],[Month]])</f>
        <v>2</v>
      </c>
      <c r="AL114">
        <f>TYPE(All_India_Index_Upto_April23__1[[#This Row],[Cereals and products]])</f>
        <v>1</v>
      </c>
      <c r="AM114">
        <f>TYPE(All_India_Index_Upto_April23__1[[#This Row],[Meat and fish]])</f>
        <v>1</v>
      </c>
      <c r="AN114">
        <f>TYPE(All_India_Index_Upto_April23__1[[#This Row],[Egg]])</f>
        <v>1</v>
      </c>
      <c r="AO114">
        <f>TYPE(All_India_Index_Upto_April23__1[[#This Row],[Milk and products]])</f>
        <v>1</v>
      </c>
      <c r="AP114">
        <f>TYPE(All_India_Index_Upto_April23__1[[#This Row],[Oils and fats]])</f>
        <v>1</v>
      </c>
      <c r="AQ114">
        <f>TYPE(All_India_Index_Upto_April23__1[[#This Row],[Fruits]])</f>
        <v>1</v>
      </c>
      <c r="AR114">
        <f>TYPE(All_India_Index_Upto_April23__1[[#This Row],[Vegetables]])</f>
        <v>1</v>
      </c>
      <c r="AS114">
        <f>TYPE(All_India_Index_Upto_April23__1[[#This Row],[Pulses and products]])</f>
        <v>1</v>
      </c>
      <c r="AT114">
        <f>TYPE(All_India_Index_Upto_April23__1[[#This Row],[Sugar and Confectionery]])</f>
        <v>1</v>
      </c>
      <c r="AU114">
        <f>TYPE(All_India_Index_Upto_April23__1[[#This Row],[Spices]])</f>
        <v>1</v>
      </c>
      <c r="AV114">
        <f>TYPE(All_India_Index_Upto_April23__1[[#This Row],[Non-alcoholic beverages]])</f>
        <v>1</v>
      </c>
      <c r="AW114">
        <f>TYPE(All_India_Index_Upto_April23__1[[#This Row],[Prepared meals, snacks, sweets etc.]])</f>
        <v>1</v>
      </c>
      <c r="AX114">
        <f>TYPE(All_India_Index_Upto_April23__1[[#This Row],[Food and beverages]])</f>
        <v>1</v>
      </c>
      <c r="AY114">
        <f>TYPE(All_India_Index_Upto_April23__1[[#This Row],[Pan, tobacco and intoxicants]])</f>
        <v>1</v>
      </c>
      <c r="AZ114">
        <f>TYPE(All_India_Index_Upto_April23__1[[#This Row],[Clothing]])</f>
        <v>1</v>
      </c>
      <c r="BA114">
        <f>TYPE(All_India_Index_Upto_April23__1[[#This Row],[Footwear]])</f>
        <v>1</v>
      </c>
      <c r="BB114">
        <f>TYPE(All_India_Index_Upto_April23__1[[#This Row],[Clothing and footwear]])</f>
        <v>1</v>
      </c>
      <c r="BC114">
        <f>TYPE(All_India_Index_Upto_April23__1[[#This Row],[Housing]])</f>
        <v>2</v>
      </c>
      <c r="BD114">
        <f>TYPE(All_India_Index_Upto_April23__1[[#This Row],[Fuel and light]])</f>
        <v>1</v>
      </c>
      <c r="BE114">
        <f>TYPE(All_India_Index_Upto_April23__1[[#This Row],[Household goods and services]])</f>
        <v>1</v>
      </c>
      <c r="BF114">
        <f>TYPE(All_India_Index_Upto_April23__1[[#This Row],[Health]])</f>
        <v>1</v>
      </c>
      <c r="BG114">
        <f>TYPE(All_India_Index_Upto_April23__1[[#This Row],[Transport and communication]])</f>
        <v>1</v>
      </c>
      <c r="BH114">
        <f>TYPE(All_India_Index_Upto_April23__1[[#This Row],[Recreation and amusement]])</f>
        <v>1</v>
      </c>
      <c r="BI114">
        <f>TYPE(All_India_Index_Upto_April23__1[[#This Row],[Education]])</f>
        <v>1</v>
      </c>
      <c r="BJ114">
        <f>TYPE(All_India_Index_Upto_April23__1[[#This Row],[Personal care and effects]])</f>
        <v>1</v>
      </c>
      <c r="BK114">
        <f>TYPE(All_India_Index_Upto_April23__1[[#This Row],[Miscellaneous]])</f>
        <v>1</v>
      </c>
      <c r="BL114">
        <f>TYPE(All_India_Index_Upto_April23__1[[#This Row],[General index]])</f>
        <v>1</v>
      </c>
    </row>
    <row r="115" spans="1:64" hidden="1" x14ac:dyDescent="0.3">
      <c r="A115" t="s">
        <v>32</v>
      </c>
      <c r="B115">
        <v>2016</v>
      </c>
      <c r="C115" t="s">
        <v>34</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t="s">
        <v>125</v>
      </c>
      <c r="V115">
        <v>116</v>
      </c>
      <c r="W115">
        <v>121.8</v>
      </c>
      <c r="X115">
        <v>119.5</v>
      </c>
      <c r="Y115">
        <v>109.1</v>
      </c>
      <c r="Z115">
        <v>118.8</v>
      </c>
      <c r="AA115">
        <v>126.3</v>
      </c>
      <c r="AB115">
        <v>116.2</v>
      </c>
      <c r="AC115">
        <v>117.2</v>
      </c>
      <c r="AD115">
        <v>123.8</v>
      </c>
      <c r="AE115">
        <f>SUM(All_India_Index_Upto_April23__1[[#This Row],[Cereals and products]:[Food and beverages]])</f>
        <v>1676.1</v>
      </c>
      <c r="AF115">
        <f>SUM(All_India_Index_Upto_April23__1[[#This Row],[Clothing]:[Clothing and footwear]])</f>
        <v>371.6</v>
      </c>
      <c r="AG115">
        <f t="shared" si="1"/>
        <v>346.9</v>
      </c>
      <c r="AI115">
        <f>TYPE(All_India_Index_Upto_April23__1[[#This Row],[Sector]])</f>
        <v>2</v>
      </c>
      <c r="AJ115">
        <f>TYPE(All_India_Index_Upto_April23__1[[#This Row],[Year]])</f>
        <v>1</v>
      </c>
      <c r="AK115">
        <f>TYPE(All_India_Index_Upto_April23__1[[#This Row],[Month]])</f>
        <v>2</v>
      </c>
      <c r="AL115">
        <f>TYPE(All_India_Index_Upto_April23__1[[#This Row],[Cereals and products]])</f>
        <v>1</v>
      </c>
      <c r="AM115">
        <f>TYPE(All_India_Index_Upto_April23__1[[#This Row],[Meat and fish]])</f>
        <v>1</v>
      </c>
      <c r="AN115">
        <f>TYPE(All_India_Index_Upto_April23__1[[#This Row],[Egg]])</f>
        <v>1</v>
      </c>
      <c r="AO115">
        <f>TYPE(All_India_Index_Upto_April23__1[[#This Row],[Milk and products]])</f>
        <v>1</v>
      </c>
      <c r="AP115">
        <f>TYPE(All_India_Index_Upto_April23__1[[#This Row],[Oils and fats]])</f>
        <v>1</v>
      </c>
      <c r="AQ115">
        <f>TYPE(All_India_Index_Upto_April23__1[[#This Row],[Fruits]])</f>
        <v>1</v>
      </c>
      <c r="AR115">
        <f>TYPE(All_India_Index_Upto_April23__1[[#This Row],[Vegetables]])</f>
        <v>1</v>
      </c>
      <c r="AS115">
        <f>TYPE(All_India_Index_Upto_April23__1[[#This Row],[Pulses and products]])</f>
        <v>1</v>
      </c>
      <c r="AT115">
        <f>TYPE(All_India_Index_Upto_April23__1[[#This Row],[Sugar and Confectionery]])</f>
        <v>1</v>
      </c>
      <c r="AU115">
        <f>TYPE(All_India_Index_Upto_April23__1[[#This Row],[Spices]])</f>
        <v>1</v>
      </c>
      <c r="AV115">
        <f>TYPE(All_India_Index_Upto_April23__1[[#This Row],[Non-alcoholic beverages]])</f>
        <v>1</v>
      </c>
      <c r="AW115">
        <f>TYPE(All_India_Index_Upto_April23__1[[#This Row],[Prepared meals, snacks, sweets etc.]])</f>
        <v>1</v>
      </c>
      <c r="AX115">
        <f>TYPE(All_India_Index_Upto_April23__1[[#This Row],[Food and beverages]])</f>
        <v>1</v>
      </c>
      <c r="AY115">
        <f>TYPE(All_India_Index_Upto_April23__1[[#This Row],[Pan, tobacco and intoxicants]])</f>
        <v>1</v>
      </c>
      <c r="AZ115">
        <f>TYPE(All_India_Index_Upto_April23__1[[#This Row],[Clothing]])</f>
        <v>1</v>
      </c>
      <c r="BA115">
        <f>TYPE(All_India_Index_Upto_April23__1[[#This Row],[Footwear]])</f>
        <v>1</v>
      </c>
      <c r="BB115">
        <f>TYPE(All_India_Index_Upto_April23__1[[#This Row],[Clothing and footwear]])</f>
        <v>1</v>
      </c>
      <c r="BC115">
        <f>TYPE(All_India_Index_Upto_April23__1[[#This Row],[Housing]])</f>
        <v>2</v>
      </c>
      <c r="BD115">
        <f>TYPE(All_India_Index_Upto_April23__1[[#This Row],[Fuel and light]])</f>
        <v>1</v>
      </c>
      <c r="BE115">
        <f>TYPE(All_India_Index_Upto_April23__1[[#This Row],[Household goods and services]])</f>
        <v>1</v>
      </c>
      <c r="BF115">
        <f>TYPE(All_India_Index_Upto_April23__1[[#This Row],[Health]])</f>
        <v>1</v>
      </c>
      <c r="BG115">
        <f>TYPE(All_India_Index_Upto_April23__1[[#This Row],[Transport and communication]])</f>
        <v>1</v>
      </c>
      <c r="BH115">
        <f>TYPE(All_India_Index_Upto_April23__1[[#This Row],[Recreation and amusement]])</f>
        <v>1</v>
      </c>
      <c r="BI115">
        <f>TYPE(All_India_Index_Upto_April23__1[[#This Row],[Education]])</f>
        <v>1</v>
      </c>
      <c r="BJ115">
        <f>TYPE(All_India_Index_Upto_April23__1[[#This Row],[Personal care and effects]])</f>
        <v>1</v>
      </c>
      <c r="BK115">
        <f>TYPE(All_India_Index_Upto_April23__1[[#This Row],[Miscellaneous]])</f>
        <v>1</v>
      </c>
      <c r="BL115">
        <f>TYPE(All_India_Index_Upto_April23__1[[#This Row],[General index]])</f>
        <v>1</v>
      </c>
    </row>
    <row r="116" spans="1:64" hidden="1" x14ac:dyDescent="0.3">
      <c r="A116" t="s">
        <v>33</v>
      </c>
      <c r="B116">
        <v>2016</v>
      </c>
      <c r="C116" t="s">
        <v>34</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t="s">
        <v>125</v>
      </c>
      <c r="V116">
        <v>123.1</v>
      </c>
      <c r="W116">
        <v>124.6</v>
      </c>
      <c r="X116">
        <v>122.5</v>
      </c>
      <c r="Y116">
        <v>111.4</v>
      </c>
      <c r="Z116">
        <v>120.3</v>
      </c>
      <c r="AA116">
        <v>126.6</v>
      </c>
      <c r="AB116">
        <v>116.6</v>
      </c>
      <c r="AC116">
        <v>119.1</v>
      </c>
      <c r="AD116">
        <v>126</v>
      </c>
      <c r="AE116">
        <f>SUM(All_India_Index_Upto_April23__1[[#This Row],[Cereals and products]:[Food and beverages]])</f>
        <v>1678.1</v>
      </c>
      <c r="AF116">
        <f>SUM(All_India_Index_Upto_April23__1[[#This Row],[Clothing]:[Clothing and footwear]])</f>
        <v>386.9</v>
      </c>
      <c r="AG116">
        <f t="shared" si="1"/>
        <v>359.1</v>
      </c>
      <c r="AI116">
        <f>TYPE(All_India_Index_Upto_April23__1[[#This Row],[Sector]])</f>
        <v>2</v>
      </c>
      <c r="AJ116">
        <f>TYPE(All_India_Index_Upto_April23__1[[#This Row],[Year]])</f>
        <v>1</v>
      </c>
      <c r="AK116">
        <f>TYPE(All_India_Index_Upto_April23__1[[#This Row],[Month]])</f>
        <v>2</v>
      </c>
      <c r="AL116">
        <f>TYPE(All_India_Index_Upto_April23__1[[#This Row],[Cereals and products]])</f>
        <v>1</v>
      </c>
      <c r="AM116">
        <f>TYPE(All_India_Index_Upto_April23__1[[#This Row],[Meat and fish]])</f>
        <v>1</v>
      </c>
      <c r="AN116">
        <f>TYPE(All_India_Index_Upto_April23__1[[#This Row],[Egg]])</f>
        <v>1</v>
      </c>
      <c r="AO116">
        <f>TYPE(All_India_Index_Upto_April23__1[[#This Row],[Milk and products]])</f>
        <v>1</v>
      </c>
      <c r="AP116">
        <f>TYPE(All_India_Index_Upto_April23__1[[#This Row],[Oils and fats]])</f>
        <v>1</v>
      </c>
      <c r="AQ116">
        <f>TYPE(All_India_Index_Upto_April23__1[[#This Row],[Fruits]])</f>
        <v>1</v>
      </c>
      <c r="AR116">
        <f>TYPE(All_India_Index_Upto_April23__1[[#This Row],[Vegetables]])</f>
        <v>1</v>
      </c>
      <c r="AS116">
        <f>TYPE(All_India_Index_Upto_April23__1[[#This Row],[Pulses and products]])</f>
        <v>1</v>
      </c>
      <c r="AT116">
        <f>TYPE(All_India_Index_Upto_April23__1[[#This Row],[Sugar and Confectionery]])</f>
        <v>1</v>
      </c>
      <c r="AU116">
        <f>TYPE(All_India_Index_Upto_April23__1[[#This Row],[Spices]])</f>
        <v>1</v>
      </c>
      <c r="AV116">
        <f>TYPE(All_India_Index_Upto_April23__1[[#This Row],[Non-alcoholic beverages]])</f>
        <v>1</v>
      </c>
      <c r="AW116">
        <f>TYPE(All_India_Index_Upto_April23__1[[#This Row],[Prepared meals, snacks, sweets etc.]])</f>
        <v>1</v>
      </c>
      <c r="AX116">
        <f>TYPE(All_India_Index_Upto_April23__1[[#This Row],[Food and beverages]])</f>
        <v>1</v>
      </c>
      <c r="AY116">
        <f>TYPE(All_India_Index_Upto_April23__1[[#This Row],[Pan, tobacco and intoxicants]])</f>
        <v>1</v>
      </c>
      <c r="AZ116">
        <f>TYPE(All_India_Index_Upto_April23__1[[#This Row],[Clothing]])</f>
        <v>1</v>
      </c>
      <c r="BA116">
        <f>TYPE(All_India_Index_Upto_April23__1[[#This Row],[Footwear]])</f>
        <v>1</v>
      </c>
      <c r="BB116">
        <f>TYPE(All_India_Index_Upto_April23__1[[#This Row],[Clothing and footwear]])</f>
        <v>1</v>
      </c>
      <c r="BC116">
        <f>TYPE(All_India_Index_Upto_April23__1[[#This Row],[Housing]])</f>
        <v>2</v>
      </c>
      <c r="BD116">
        <f>TYPE(All_India_Index_Upto_April23__1[[#This Row],[Fuel and light]])</f>
        <v>1</v>
      </c>
      <c r="BE116">
        <f>TYPE(All_India_Index_Upto_April23__1[[#This Row],[Household goods and services]])</f>
        <v>1</v>
      </c>
      <c r="BF116">
        <f>TYPE(All_India_Index_Upto_April23__1[[#This Row],[Health]])</f>
        <v>1</v>
      </c>
      <c r="BG116">
        <f>TYPE(All_India_Index_Upto_April23__1[[#This Row],[Transport and communication]])</f>
        <v>1</v>
      </c>
      <c r="BH116">
        <f>TYPE(All_India_Index_Upto_April23__1[[#This Row],[Recreation and amusement]])</f>
        <v>1</v>
      </c>
      <c r="BI116">
        <f>TYPE(All_India_Index_Upto_April23__1[[#This Row],[Education]])</f>
        <v>1</v>
      </c>
      <c r="BJ116">
        <f>TYPE(All_India_Index_Upto_April23__1[[#This Row],[Personal care and effects]])</f>
        <v>1</v>
      </c>
      <c r="BK116">
        <f>TYPE(All_India_Index_Upto_April23__1[[#This Row],[Miscellaneous]])</f>
        <v>1</v>
      </c>
      <c r="BL116">
        <f>TYPE(All_India_Index_Upto_April23__1[[#This Row],[General index]])</f>
        <v>1</v>
      </c>
    </row>
    <row r="117" spans="1:64" hidden="1" x14ac:dyDescent="0.3">
      <c r="A117" t="s">
        <v>30</v>
      </c>
      <c r="B117">
        <v>2016</v>
      </c>
      <c r="C117" t="s">
        <v>35</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U117" t="s">
        <v>89</v>
      </c>
      <c r="V117">
        <v>127</v>
      </c>
      <c r="W117">
        <v>127.7</v>
      </c>
      <c r="X117">
        <v>124.8</v>
      </c>
      <c r="Y117">
        <v>113.6</v>
      </c>
      <c r="Z117">
        <v>122.5</v>
      </c>
      <c r="AA117">
        <v>127.5</v>
      </c>
      <c r="AB117">
        <v>117.4</v>
      </c>
      <c r="AC117">
        <v>121.1</v>
      </c>
      <c r="AD117">
        <v>128</v>
      </c>
      <c r="AE117">
        <f>SUM(All_India_Index_Upto_April23__1[[#This Row],[Cereals and products]:[Food and beverages]])</f>
        <v>1682.7000000000003</v>
      </c>
      <c r="AF117">
        <f>SUM(All_India_Index_Upto_April23__1[[#This Row],[Clothing]:[Clothing and footwear]])</f>
        <v>398.40000000000003</v>
      </c>
      <c r="AG117">
        <f t="shared" si="1"/>
        <v>368.29999999999995</v>
      </c>
      <c r="AI117">
        <f>TYPE(All_India_Index_Upto_April23__1[[#This Row],[Sector]])</f>
        <v>2</v>
      </c>
      <c r="AJ117">
        <f>TYPE(All_India_Index_Upto_April23__1[[#This Row],[Year]])</f>
        <v>1</v>
      </c>
      <c r="AK117">
        <f>TYPE(All_India_Index_Upto_April23__1[[#This Row],[Month]])</f>
        <v>2</v>
      </c>
      <c r="AL117">
        <f>TYPE(All_India_Index_Upto_April23__1[[#This Row],[Cereals and products]])</f>
        <v>1</v>
      </c>
      <c r="AM117">
        <f>TYPE(All_India_Index_Upto_April23__1[[#This Row],[Meat and fish]])</f>
        <v>1</v>
      </c>
      <c r="AN117">
        <f>TYPE(All_India_Index_Upto_April23__1[[#This Row],[Egg]])</f>
        <v>1</v>
      </c>
      <c r="AO117">
        <f>TYPE(All_India_Index_Upto_April23__1[[#This Row],[Milk and products]])</f>
        <v>1</v>
      </c>
      <c r="AP117">
        <f>TYPE(All_India_Index_Upto_April23__1[[#This Row],[Oils and fats]])</f>
        <v>1</v>
      </c>
      <c r="AQ117">
        <f>TYPE(All_India_Index_Upto_April23__1[[#This Row],[Fruits]])</f>
        <v>1</v>
      </c>
      <c r="AR117">
        <f>TYPE(All_India_Index_Upto_April23__1[[#This Row],[Vegetables]])</f>
        <v>1</v>
      </c>
      <c r="AS117">
        <f>TYPE(All_India_Index_Upto_April23__1[[#This Row],[Pulses and products]])</f>
        <v>1</v>
      </c>
      <c r="AT117">
        <f>TYPE(All_India_Index_Upto_April23__1[[#This Row],[Sugar and Confectionery]])</f>
        <v>1</v>
      </c>
      <c r="AU117">
        <f>TYPE(All_India_Index_Upto_April23__1[[#This Row],[Spices]])</f>
        <v>1</v>
      </c>
      <c r="AV117">
        <f>TYPE(All_India_Index_Upto_April23__1[[#This Row],[Non-alcoholic beverages]])</f>
        <v>1</v>
      </c>
      <c r="AW117">
        <f>TYPE(All_India_Index_Upto_April23__1[[#This Row],[Prepared meals, snacks, sweets etc.]])</f>
        <v>1</v>
      </c>
      <c r="AX117">
        <f>TYPE(All_India_Index_Upto_April23__1[[#This Row],[Food and beverages]])</f>
        <v>1</v>
      </c>
      <c r="AY117">
        <f>TYPE(All_India_Index_Upto_April23__1[[#This Row],[Pan, tobacco and intoxicants]])</f>
        <v>1</v>
      </c>
      <c r="AZ117">
        <f>TYPE(All_India_Index_Upto_April23__1[[#This Row],[Clothing]])</f>
        <v>1</v>
      </c>
      <c r="BA117">
        <f>TYPE(All_India_Index_Upto_April23__1[[#This Row],[Footwear]])</f>
        <v>1</v>
      </c>
      <c r="BB117">
        <f>TYPE(All_India_Index_Upto_April23__1[[#This Row],[Clothing and footwear]])</f>
        <v>1</v>
      </c>
      <c r="BC117">
        <f>TYPE(All_India_Index_Upto_April23__1[[#This Row],[Housing]])</f>
        <v>2</v>
      </c>
      <c r="BD117">
        <f>TYPE(All_India_Index_Upto_April23__1[[#This Row],[Fuel and light]])</f>
        <v>1</v>
      </c>
      <c r="BE117">
        <f>TYPE(All_India_Index_Upto_April23__1[[#This Row],[Household goods and services]])</f>
        <v>1</v>
      </c>
      <c r="BF117">
        <f>TYPE(All_India_Index_Upto_April23__1[[#This Row],[Health]])</f>
        <v>1</v>
      </c>
      <c r="BG117">
        <f>TYPE(All_India_Index_Upto_April23__1[[#This Row],[Transport and communication]])</f>
        <v>1</v>
      </c>
      <c r="BH117">
        <f>TYPE(All_India_Index_Upto_April23__1[[#This Row],[Recreation and amusement]])</f>
        <v>1</v>
      </c>
      <c r="BI117">
        <f>TYPE(All_India_Index_Upto_April23__1[[#This Row],[Education]])</f>
        <v>1</v>
      </c>
      <c r="BJ117">
        <f>TYPE(All_India_Index_Upto_April23__1[[#This Row],[Personal care and effects]])</f>
        <v>1</v>
      </c>
      <c r="BK117">
        <f>TYPE(All_India_Index_Upto_April23__1[[#This Row],[Miscellaneous]])</f>
        <v>1</v>
      </c>
      <c r="BL117">
        <f>TYPE(All_India_Index_Upto_April23__1[[#This Row],[General index]])</f>
        <v>1</v>
      </c>
    </row>
    <row r="118" spans="1:64" hidden="1" x14ac:dyDescent="0.3">
      <c r="A118" t="s">
        <v>32</v>
      </c>
      <c r="B118">
        <v>2016</v>
      </c>
      <c r="C118" t="s">
        <v>35</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t="s">
        <v>126</v>
      </c>
      <c r="V118">
        <v>114.8</v>
      </c>
      <c r="W118">
        <v>122.3</v>
      </c>
      <c r="X118">
        <v>119.7</v>
      </c>
      <c r="Y118">
        <v>108.5</v>
      </c>
      <c r="Z118">
        <v>119.1</v>
      </c>
      <c r="AA118">
        <v>126.4</v>
      </c>
      <c r="AB118">
        <v>117.1</v>
      </c>
      <c r="AC118">
        <v>117.3</v>
      </c>
      <c r="AD118">
        <v>123.8</v>
      </c>
      <c r="AE118">
        <f>SUM(All_India_Index_Upto_April23__1[[#This Row],[Cereals and products]:[Food and beverages]])</f>
        <v>1667.6000000000001</v>
      </c>
      <c r="AF118">
        <f>SUM(All_India_Index_Upto_April23__1[[#This Row],[Clothing]:[Clothing and footwear]])</f>
        <v>372.2</v>
      </c>
      <c r="AG118">
        <f t="shared" si="1"/>
        <v>345.6</v>
      </c>
      <c r="AI118">
        <f>TYPE(All_India_Index_Upto_April23__1[[#This Row],[Sector]])</f>
        <v>2</v>
      </c>
      <c r="AJ118">
        <f>TYPE(All_India_Index_Upto_April23__1[[#This Row],[Year]])</f>
        <v>1</v>
      </c>
      <c r="AK118">
        <f>TYPE(All_India_Index_Upto_April23__1[[#This Row],[Month]])</f>
        <v>2</v>
      </c>
      <c r="AL118">
        <f>TYPE(All_India_Index_Upto_April23__1[[#This Row],[Cereals and products]])</f>
        <v>1</v>
      </c>
      <c r="AM118">
        <f>TYPE(All_India_Index_Upto_April23__1[[#This Row],[Meat and fish]])</f>
        <v>1</v>
      </c>
      <c r="AN118">
        <f>TYPE(All_India_Index_Upto_April23__1[[#This Row],[Egg]])</f>
        <v>1</v>
      </c>
      <c r="AO118">
        <f>TYPE(All_India_Index_Upto_April23__1[[#This Row],[Milk and products]])</f>
        <v>1</v>
      </c>
      <c r="AP118">
        <f>TYPE(All_India_Index_Upto_April23__1[[#This Row],[Oils and fats]])</f>
        <v>1</v>
      </c>
      <c r="AQ118">
        <f>TYPE(All_India_Index_Upto_April23__1[[#This Row],[Fruits]])</f>
        <v>1</v>
      </c>
      <c r="AR118">
        <f>TYPE(All_India_Index_Upto_April23__1[[#This Row],[Vegetables]])</f>
        <v>1</v>
      </c>
      <c r="AS118">
        <f>TYPE(All_India_Index_Upto_April23__1[[#This Row],[Pulses and products]])</f>
        <v>1</v>
      </c>
      <c r="AT118">
        <f>TYPE(All_India_Index_Upto_April23__1[[#This Row],[Sugar and Confectionery]])</f>
        <v>1</v>
      </c>
      <c r="AU118">
        <f>TYPE(All_India_Index_Upto_April23__1[[#This Row],[Spices]])</f>
        <v>1</v>
      </c>
      <c r="AV118">
        <f>TYPE(All_India_Index_Upto_April23__1[[#This Row],[Non-alcoholic beverages]])</f>
        <v>1</v>
      </c>
      <c r="AW118">
        <f>TYPE(All_India_Index_Upto_April23__1[[#This Row],[Prepared meals, snacks, sweets etc.]])</f>
        <v>1</v>
      </c>
      <c r="AX118">
        <f>TYPE(All_India_Index_Upto_April23__1[[#This Row],[Food and beverages]])</f>
        <v>1</v>
      </c>
      <c r="AY118">
        <f>TYPE(All_India_Index_Upto_April23__1[[#This Row],[Pan, tobacco and intoxicants]])</f>
        <v>1</v>
      </c>
      <c r="AZ118">
        <f>TYPE(All_India_Index_Upto_April23__1[[#This Row],[Clothing]])</f>
        <v>1</v>
      </c>
      <c r="BA118">
        <f>TYPE(All_India_Index_Upto_April23__1[[#This Row],[Footwear]])</f>
        <v>1</v>
      </c>
      <c r="BB118">
        <f>TYPE(All_India_Index_Upto_April23__1[[#This Row],[Clothing and footwear]])</f>
        <v>1</v>
      </c>
      <c r="BC118">
        <f>TYPE(All_India_Index_Upto_April23__1[[#This Row],[Housing]])</f>
        <v>2</v>
      </c>
      <c r="BD118">
        <f>TYPE(All_India_Index_Upto_April23__1[[#This Row],[Fuel and light]])</f>
        <v>1</v>
      </c>
      <c r="BE118">
        <f>TYPE(All_India_Index_Upto_April23__1[[#This Row],[Household goods and services]])</f>
        <v>1</v>
      </c>
      <c r="BF118">
        <f>TYPE(All_India_Index_Upto_April23__1[[#This Row],[Health]])</f>
        <v>1</v>
      </c>
      <c r="BG118">
        <f>TYPE(All_India_Index_Upto_April23__1[[#This Row],[Transport and communication]])</f>
        <v>1</v>
      </c>
      <c r="BH118">
        <f>TYPE(All_India_Index_Upto_April23__1[[#This Row],[Recreation and amusement]])</f>
        <v>1</v>
      </c>
      <c r="BI118">
        <f>TYPE(All_India_Index_Upto_April23__1[[#This Row],[Education]])</f>
        <v>1</v>
      </c>
      <c r="BJ118">
        <f>TYPE(All_India_Index_Upto_April23__1[[#This Row],[Personal care and effects]])</f>
        <v>1</v>
      </c>
      <c r="BK118">
        <f>TYPE(All_India_Index_Upto_April23__1[[#This Row],[Miscellaneous]])</f>
        <v>1</v>
      </c>
      <c r="BL118">
        <f>TYPE(All_India_Index_Upto_April23__1[[#This Row],[General index]])</f>
        <v>1</v>
      </c>
    </row>
    <row r="119" spans="1:64" hidden="1" x14ac:dyDescent="0.3">
      <c r="A119" t="s">
        <v>33</v>
      </c>
      <c r="B119">
        <v>2016</v>
      </c>
      <c r="C119" t="s">
        <v>35</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t="s">
        <v>126</v>
      </c>
      <c r="V119">
        <v>122.4</v>
      </c>
      <c r="W119">
        <v>125.1</v>
      </c>
      <c r="X119">
        <v>122.9</v>
      </c>
      <c r="Y119">
        <v>110.9</v>
      </c>
      <c r="Z119">
        <v>120.6</v>
      </c>
      <c r="AA119">
        <v>126.9</v>
      </c>
      <c r="AB119">
        <v>117.3</v>
      </c>
      <c r="AC119">
        <v>119.3</v>
      </c>
      <c r="AD119">
        <v>126</v>
      </c>
      <c r="AE119">
        <f>SUM(All_India_Index_Upto_April23__1[[#This Row],[Cereals and products]:[Food and beverages]])</f>
        <v>1675.2</v>
      </c>
      <c r="AF119">
        <f>SUM(All_India_Index_Upto_April23__1[[#This Row],[Clothing]:[Clothing and footwear]])</f>
        <v>387.9</v>
      </c>
      <c r="AG119">
        <f t="shared" si="1"/>
        <v>358.4</v>
      </c>
      <c r="AI119">
        <f>TYPE(All_India_Index_Upto_April23__1[[#This Row],[Sector]])</f>
        <v>2</v>
      </c>
      <c r="AJ119">
        <f>TYPE(All_India_Index_Upto_April23__1[[#This Row],[Year]])</f>
        <v>1</v>
      </c>
      <c r="AK119">
        <f>TYPE(All_India_Index_Upto_April23__1[[#This Row],[Month]])</f>
        <v>2</v>
      </c>
      <c r="AL119">
        <f>TYPE(All_India_Index_Upto_April23__1[[#This Row],[Cereals and products]])</f>
        <v>1</v>
      </c>
      <c r="AM119">
        <f>TYPE(All_India_Index_Upto_April23__1[[#This Row],[Meat and fish]])</f>
        <v>1</v>
      </c>
      <c r="AN119">
        <f>TYPE(All_India_Index_Upto_April23__1[[#This Row],[Egg]])</f>
        <v>1</v>
      </c>
      <c r="AO119">
        <f>TYPE(All_India_Index_Upto_April23__1[[#This Row],[Milk and products]])</f>
        <v>1</v>
      </c>
      <c r="AP119">
        <f>TYPE(All_India_Index_Upto_April23__1[[#This Row],[Oils and fats]])</f>
        <v>1</v>
      </c>
      <c r="AQ119">
        <f>TYPE(All_India_Index_Upto_April23__1[[#This Row],[Fruits]])</f>
        <v>1</v>
      </c>
      <c r="AR119">
        <f>TYPE(All_India_Index_Upto_April23__1[[#This Row],[Vegetables]])</f>
        <v>1</v>
      </c>
      <c r="AS119">
        <f>TYPE(All_India_Index_Upto_April23__1[[#This Row],[Pulses and products]])</f>
        <v>1</v>
      </c>
      <c r="AT119">
        <f>TYPE(All_India_Index_Upto_April23__1[[#This Row],[Sugar and Confectionery]])</f>
        <v>1</v>
      </c>
      <c r="AU119">
        <f>TYPE(All_India_Index_Upto_April23__1[[#This Row],[Spices]])</f>
        <v>1</v>
      </c>
      <c r="AV119">
        <f>TYPE(All_India_Index_Upto_April23__1[[#This Row],[Non-alcoholic beverages]])</f>
        <v>1</v>
      </c>
      <c r="AW119">
        <f>TYPE(All_India_Index_Upto_April23__1[[#This Row],[Prepared meals, snacks, sweets etc.]])</f>
        <v>1</v>
      </c>
      <c r="AX119">
        <f>TYPE(All_India_Index_Upto_April23__1[[#This Row],[Food and beverages]])</f>
        <v>1</v>
      </c>
      <c r="AY119">
        <f>TYPE(All_India_Index_Upto_April23__1[[#This Row],[Pan, tobacco and intoxicants]])</f>
        <v>1</v>
      </c>
      <c r="AZ119">
        <f>TYPE(All_India_Index_Upto_April23__1[[#This Row],[Clothing]])</f>
        <v>1</v>
      </c>
      <c r="BA119">
        <f>TYPE(All_India_Index_Upto_April23__1[[#This Row],[Footwear]])</f>
        <v>1</v>
      </c>
      <c r="BB119">
        <f>TYPE(All_India_Index_Upto_April23__1[[#This Row],[Clothing and footwear]])</f>
        <v>1</v>
      </c>
      <c r="BC119">
        <f>TYPE(All_India_Index_Upto_April23__1[[#This Row],[Housing]])</f>
        <v>2</v>
      </c>
      <c r="BD119">
        <f>TYPE(All_India_Index_Upto_April23__1[[#This Row],[Fuel and light]])</f>
        <v>1</v>
      </c>
      <c r="BE119">
        <f>TYPE(All_India_Index_Upto_April23__1[[#This Row],[Household goods and services]])</f>
        <v>1</v>
      </c>
      <c r="BF119">
        <f>TYPE(All_India_Index_Upto_April23__1[[#This Row],[Health]])</f>
        <v>1</v>
      </c>
      <c r="BG119">
        <f>TYPE(All_India_Index_Upto_April23__1[[#This Row],[Transport and communication]])</f>
        <v>1</v>
      </c>
      <c r="BH119">
        <f>TYPE(All_India_Index_Upto_April23__1[[#This Row],[Recreation and amusement]])</f>
        <v>1</v>
      </c>
      <c r="BI119">
        <f>TYPE(All_India_Index_Upto_April23__1[[#This Row],[Education]])</f>
        <v>1</v>
      </c>
      <c r="BJ119">
        <f>TYPE(All_India_Index_Upto_April23__1[[#This Row],[Personal care and effects]])</f>
        <v>1</v>
      </c>
      <c r="BK119">
        <f>TYPE(All_India_Index_Upto_April23__1[[#This Row],[Miscellaneous]])</f>
        <v>1</v>
      </c>
      <c r="BL119">
        <f>TYPE(All_India_Index_Upto_April23__1[[#This Row],[General index]])</f>
        <v>1</v>
      </c>
    </row>
    <row r="120" spans="1:64" hidden="1" x14ac:dyDescent="0.3">
      <c r="A120" t="s">
        <v>30</v>
      </c>
      <c r="B120">
        <v>2016</v>
      </c>
      <c r="C120" t="s">
        <v>36</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U120" t="s">
        <v>89</v>
      </c>
      <c r="V120">
        <v>127</v>
      </c>
      <c r="W120">
        <v>128</v>
      </c>
      <c r="X120">
        <v>125.2</v>
      </c>
      <c r="Y120">
        <v>114.4</v>
      </c>
      <c r="Z120">
        <v>123.2</v>
      </c>
      <c r="AA120">
        <v>127.9</v>
      </c>
      <c r="AB120">
        <v>118.4</v>
      </c>
      <c r="AC120">
        <v>121.7</v>
      </c>
      <c r="AD120">
        <v>129</v>
      </c>
      <c r="AE120">
        <f>SUM(All_India_Index_Upto_April23__1[[#This Row],[Cereals and products]:[Food and beverages]])</f>
        <v>1701.6000000000004</v>
      </c>
      <c r="AF120">
        <f>SUM(All_India_Index_Upto_April23__1[[#This Row],[Clothing]:[Clothing and footwear]])</f>
        <v>400</v>
      </c>
      <c r="AG120">
        <f t="shared" si="1"/>
        <v>369.4</v>
      </c>
      <c r="AI120">
        <f>TYPE(All_India_Index_Upto_April23__1[[#This Row],[Sector]])</f>
        <v>2</v>
      </c>
      <c r="AJ120">
        <f>TYPE(All_India_Index_Upto_April23__1[[#This Row],[Year]])</f>
        <v>1</v>
      </c>
      <c r="AK120">
        <f>TYPE(All_India_Index_Upto_April23__1[[#This Row],[Month]])</f>
        <v>2</v>
      </c>
      <c r="AL120">
        <f>TYPE(All_India_Index_Upto_April23__1[[#This Row],[Cereals and products]])</f>
        <v>1</v>
      </c>
      <c r="AM120">
        <f>TYPE(All_India_Index_Upto_April23__1[[#This Row],[Meat and fish]])</f>
        <v>1</v>
      </c>
      <c r="AN120">
        <f>TYPE(All_India_Index_Upto_April23__1[[#This Row],[Egg]])</f>
        <v>1</v>
      </c>
      <c r="AO120">
        <f>TYPE(All_India_Index_Upto_April23__1[[#This Row],[Milk and products]])</f>
        <v>1</v>
      </c>
      <c r="AP120">
        <f>TYPE(All_India_Index_Upto_April23__1[[#This Row],[Oils and fats]])</f>
        <v>1</v>
      </c>
      <c r="AQ120">
        <f>TYPE(All_India_Index_Upto_April23__1[[#This Row],[Fruits]])</f>
        <v>1</v>
      </c>
      <c r="AR120">
        <f>TYPE(All_India_Index_Upto_April23__1[[#This Row],[Vegetables]])</f>
        <v>1</v>
      </c>
      <c r="AS120">
        <f>TYPE(All_India_Index_Upto_April23__1[[#This Row],[Pulses and products]])</f>
        <v>1</v>
      </c>
      <c r="AT120">
        <f>TYPE(All_India_Index_Upto_April23__1[[#This Row],[Sugar and Confectionery]])</f>
        <v>1</v>
      </c>
      <c r="AU120">
        <f>TYPE(All_India_Index_Upto_April23__1[[#This Row],[Spices]])</f>
        <v>1</v>
      </c>
      <c r="AV120">
        <f>TYPE(All_India_Index_Upto_April23__1[[#This Row],[Non-alcoholic beverages]])</f>
        <v>1</v>
      </c>
      <c r="AW120">
        <f>TYPE(All_India_Index_Upto_April23__1[[#This Row],[Prepared meals, snacks, sweets etc.]])</f>
        <v>1</v>
      </c>
      <c r="AX120">
        <f>TYPE(All_India_Index_Upto_April23__1[[#This Row],[Food and beverages]])</f>
        <v>1</v>
      </c>
      <c r="AY120">
        <f>TYPE(All_India_Index_Upto_April23__1[[#This Row],[Pan, tobacco and intoxicants]])</f>
        <v>1</v>
      </c>
      <c r="AZ120">
        <f>TYPE(All_India_Index_Upto_April23__1[[#This Row],[Clothing]])</f>
        <v>1</v>
      </c>
      <c r="BA120">
        <f>TYPE(All_India_Index_Upto_April23__1[[#This Row],[Footwear]])</f>
        <v>1</v>
      </c>
      <c r="BB120">
        <f>TYPE(All_India_Index_Upto_April23__1[[#This Row],[Clothing and footwear]])</f>
        <v>1</v>
      </c>
      <c r="BC120">
        <f>TYPE(All_India_Index_Upto_April23__1[[#This Row],[Housing]])</f>
        <v>2</v>
      </c>
      <c r="BD120">
        <f>TYPE(All_India_Index_Upto_April23__1[[#This Row],[Fuel and light]])</f>
        <v>1</v>
      </c>
      <c r="BE120">
        <f>TYPE(All_India_Index_Upto_April23__1[[#This Row],[Household goods and services]])</f>
        <v>1</v>
      </c>
      <c r="BF120">
        <f>TYPE(All_India_Index_Upto_April23__1[[#This Row],[Health]])</f>
        <v>1</v>
      </c>
      <c r="BG120">
        <f>TYPE(All_India_Index_Upto_April23__1[[#This Row],[Transport and communication]])</f>
        <v>1</v>
      </c>
      <c r="BH120">
        <f>TYPE(All_India_Index_Upto_April23__1[[#This Row],[Recreation and amusement]])</f>
        <v>1</v>
      </c>
      <c r="BI120">
        <f>TYPE(All_India_Index_Upto_April23__1[[#This Row],[Education]])</f>
        <v>1</v>
      </c>
      <c r="BJ120">
        <f>TYPE(All_India_Index_Upto_April23__1[[#This Row],[Personal care and effects]])</f>
        <v>1</v>
      </c>
      <c r="BK120">
        <f>TYPE(All_India_Index_Upto_April23__1[[#This Row],[Miscellaneous]])</f>
        <v>1</v>
      </c>
      <c r="BL120">
        <f>TYPE(All_India_Index_Upto_April23__1[[#This Row],[General index]])</f>
        <v>1</v>
      </c>
    </row>
    <row r="121" spans="1:64" hidden="1" x14ac:dyDescent="0.3">
      <c r="A121" t="s">
        <v>32</v>
      </c>
      <c r="B121">
        <v>2016</v>
      </c>
      <c r="C121" t="s">
        <v>36</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t="s">
        <v>127</v>
      </c>
      <c r="V121">
        <v>114.6</v>
      </c>
      <c r="W121">
        <v>122.8</v>
      </c>
      <c r="X121">
        <v>120</v>
      </c>
      <c r="Y121">
        <v>110</v>
      </c>
      <c r="Z121">
        <v>119.5</v>
      </c>
      <c r="AA121">
        <v>127.6</v>
      </c>
      <c r="AB121">
        <v>117.6</v>
      </c>
      <c r="AC121">
        <v>118.2</v>
      </c>
      <c r="AD121">
        <v>125.3</v>
      </c>
      <c r="AE121">
        <f>SUM(All_India_Index_Upto_April23__1[[#This Row],[Cereals and products]:[Food and beverages]])</f>
        <v>1706.3</v>
      </c>
      <c r="AF121">
        <f>SUM(All_India_Index_Upto_April23__1[[#This Row],[Clothing]:[Clothing and footwear]])</f>
        <v>373.1</v>
      </c>
      <c r="AG121">
        <f t="shared" si="1"/>
        <v>347.4</v>
      </c>
      <c r="AI121">
        <f>TYPE(All_India_Index_Upto_April23__1[[#This Row],[Sector]])</f>
        <v>2</v>
      </c>
      <c r="AJ121">
        <f>TYPE(All_India_Index_Upto_April23__1[[#This Row],[Year]])</f>
        <v>1</v>
      </c>
      <c r="AK121">
        <f>TYPE(All_India_Index_Upto_April23__1[[#This Row],[Month]])</f>
        <v>2</v>
      </c>
      <c r="AL121">
        <f>TYPE(All_India_Index_Upto_April23__1[[#This Row],[Cereals and products]])</f>
        <v>1</v>
      </c>
      <c r="AM121">
        <f>TYPE(All_India_Index_Upto_April23__1[[#This Row],[Meat and fish]])</f>
        <v>1</v>
      </c>
      <c r="AN121">
        <f>TYPE(All_India_Index_Upto_April23__1[[#This Row],[Egg]])</f>
        <v>1</v>
      </c>
      <c r="AO121">
        <f>TYPE(All_India_Index_Upto_April23__1[[#This Row],[Milk and products]])</f>
        <v>1</v>
      </c>
      <c r="AP121">
        <f>TYPE(All_India_Index_Upto_April23__1[[#This Row],[Oils and fats]])</f>
        <v>1</v>
      </c>
      <c r="AQ121">
        <f>TYPE(All_India_Index_Upto_April23__1[[#This Row],[Fruits]])</f>
        <v>1</v>
      </c>
      <c r="AR121">
        <f>TYPE(All_India_Index_Upto_April23__1[[#This Row],[Vegetables]])</f>
        <v>1</v>
      </c>
      <c r="AS121">
        <f>TYPE(All_India_Index_Upto_April23__1[[#This Row],[Pulses and products]])</f>
        <v>1</v>
      </c>
      <c r="AT121">
        <f>TYPE(All_India_Index_Upto_April23__1[[#This Row],[Sugar and Confectionery]])</f>
        <v>1</v>
      </c>
      <c r="AU121">
        <f>TYPE(All_India_Index_Upto_April23__1[[#This Row],[Spices]])</f>
        <v>1</v>
      </c>
      <c r="AV121">
        <f>TYPE(All_India_Index_Upto_April23__1[[#This Row],[Non-alcoholic beverages]])</f>
        <v>1</v>
      </c>
      <c r="AW121">
        <f>TYPE(All_India_Index_Upto_April23__1[[#This Row],[Prepared meals, snacks, sweets etc.]])</f>
        <v>1</v>
      </c>
      <c r="AX121">
        <f>TYPE(All_India_Index_Upto_April23__1[[#This Row],[Food and beverages]])</f>
        <v>1</v>
      </c>
      <c r="AY121">
        <f>TYPE(All_India_Index_Upto_April23__1[[#This Row],[Pan, tobacco and intoxicants]])</f>
        <v>1</v>
      </c>
      <c r="AZ121">
        <f>TYPE(All_India_Index_Upto_April23__1[[#This Row],[Clothing]])</f>
        <v>1</v>
      </c>
      <c r="BA121">
        <f>TYPE(All_India_Index_Upto_April23__1[[#This Row],[Footwear]])</f>
        <v>1</v>
      </c>
      <c r="BB121">
        <f>TYPE(All_India_Index_Upto_April23__1[[#This Row],[Clothing and footwear]])</f>
        <v>1</v>
      </c>
      <c r="BC121">
        <f>TYPE(All_India_Index_Upto_April23__1[[#This Row],[Housing]])</f>
        <v>2</v>
      </c>
      <c r="BD121">
        <f>TYPE(All_India_Index_Upto_April23__1[[#This Row],[Fuel and light]])</f>
        <v>1</v>
      </c>
      <c r="BE121">
        <f>TYPE(All_India_Index_Upto_April23__1[[#This Row],[Household goods and services]])</f>
        <v>1</v>
      </c>
      <c r="BF121">
        <f>TYPE(All_India_Index_Upto_April23__1[[#This Row],[Health]])</f>
        <v>1</v>
      </c>
      <c r="BG121">
        <f>TYPE(All_India_Index_Upto_April23__1[[#This Row],[Transport and communication]])</f>
        <v>1</v>
      </c>
      <c r="BH121">
        <f>TYPE(All_India_Index_Upto_April23__1[[#This Row],[Recreation and amusement]])</f>
        <v>1</v>
      </c>
      <c r="BI121">
        <f>TYPE(All_India_Index_Upto_April23__1[[#This Row],[Education]])</f>
        <v>1</v>
      </c>
      <c r="BJ121">
        <f>TYPE(All_India_Index_Upto_April23__1[[#This Row],[Personal care and effects]])</f>
        <v>1</v>
      </c>
      <c r="BK121">
        <f>TYPE(All_India_Index_Upto_April23__1[[#This Row],[Miscellaneous]])</f>
        <v>1</v>
      </c>
      <c r="BL121">
        <f>TYPE(All_India_Index_Upto_April23__1[[#This Row],[General index]])</f>
        <v>1</v>
      </c>
    </row>
    <row r="122" spans="1:64" hidden="1" x14ac:dyDescent="0.3">
      <c r="A122" t="s">
        <v>33</v>
      </c>
      <c r="B122">
        <v>2016</v>
      </c>
      <c r="C122" t="s">
        <v>36</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t="s">
        <v>127</v>
      </c>
      <c r="V122">
        <v>122.3</v>
      </c>
      <c r="W122">
        <v>125.5</v>
      </c>
      <c r="X122">
        <v>123.2</v>
      </c>
      <c r="Y122">
        <v>112.1</v>
      </c>
      <c r="Z122">
        <v>121.1</v>
      </c>
      <c r="AA122">
        <v>127.7</v>
      </c>
      <c r="AB122">
        <v>118.1</v>
      </c>
      <c r="AC122">
        <v>120</v>
      </c>
      <c r="AD122">
        <v>127.3</v>
      </c>
      <c r="AE122">
        <f>SUM(All_India_Index_Upto_April23__1[[#This Row],[Cereals and products]:[Food and beverages]])</f>
        <v>1701.3</v>
      </c>
      <c r="AF122">
        <f>SUM(All_India_Index_Upto_April23__1[[#This Row],[Clothing]:[Clothing and footwear]])</f>
        <v>389.20000000000005</v>
      </c>
      <c r="AG122">
        <f t="shared" si="1"/>
        <v>359.9</v>
      </c>
      <c r="AI122">
        <f>TYPE(All_India_Index_Upto_April23__1[[#This Row],[Sector]])</f>
        <v>2</v>
      </c>
      <c r="AJ122">
        <f>TYPE(All_India_Index_Upto_April23__1[[#This Row],[Year]])</f>
        <v>1</v>
      </c>
      <c r="AK122">
        <f>TYPE(All_India_Index_Upto_April23__1[[#This Row],[Month]])</f>
        <v>2</v>
      </c>
      <c r="AL122">
        <f>TYPE(All_India_Index_Upto_April23__1[[#This Row],[Cereals and products]])</f>
        <v>1</v>
      </c>
      <c r="AM122">
        <f>TYPE(All_India_Index_Upto_April23__1[[#This Row],[Meat and fish]])</f>
        <v>1</v>
      </c>
      <c r="AN122">
        <f>TYPE(All_India_Index_Upto_April23__1[[#This Row],[Egg]])</f>
        <v>1</v>
      </c>
      <c r="AO122">
        <f>TYPE(All_India_Index_Upto_April23__1[[#This Row],[Milk and products]])</f>
        <v>1</v>
      </c>
      <c r="AP122">
        <f>TYPE(All_India_Index_Upto_April23__1[[#This Row],[Oils and fats]])</f>
        <v>1</v>
      </c>
      <c r="AQ122">
        <f>TYPE(All_India_Index_Upto_April23__1[[#This Row],[Fruits]])</f>
        <v>1</v>
      </c>
      <c r="AR122">
        <f>TYPE(All_India_Index_Upto_April23__1[[#This Row],[Vegetables]])</f>
        <v>1</v>
      </c>
      <c r="AS122">
        <f>TYPE(All_India_Index_Upto_April23__1[[#This Row],[Pulses and products]])</f>
        <v>1</v>
      </c>
      <c r="AT122">
        <f>TYPE(All_India_Index_Upto_April23__1[[#This Row],[Sugar and Confectionery]])</f>
        <v>1</v>
      </c>
      <c r="AU122">
        <f>TYPE(All_India_Index_Upto_April23__1[[#This Row],[Spices]])</f>
        <v>1</v>
      </c>
      <c r="AV122">
        <f>TYPE(All_India_Index_Upto_April23__1[[#This Row],[Non-alcoholic beverages]])</f>
        <v>1</v>
      </c>
      <c r="AW122">
        <f>TYPE(All_India_Index_Upto_April23__1[[#This Row],[Prepared meals, snacks, sweets etc.]])</f>
        <v>1</v>
      </c>
      <c r="AX122">
        <f>TYPE(All_India_Index_Upto_April23__1[[#This Row],[Food and beverages]])</f>
        <v>1</v>
      </c>
      <c r="AY122">
        <f>TYPE(All_India_Index_Upto_April23__1[[#This Row],[Pan, tobacco and intoxicants]])</f>
        <v>1</v>
      </c>
      <c r="AZ122">
        <f>TYPE(All_India_Index_Upto_April23__1[[#This Row],[Clothing]])</f>
        <v>1</v>
      </c>
      <c r="BA122">
        <f>TYPE(All_India_Index_Upto_April23__1[[#This Row],[Footwear]])</f>
        <v>1</v>
      </c>
      <c r="BB122">
        <f>TYPE(All_India_Index_Upto_April23__1[[#This Row],[Clothing and footwear]])</f>
        <v>1</v>
      </c>
      <c r="BC122">
        <f>TYPE(All_India_Index_Upto_April23__1[[#This Row],[Housing]])</f>
        <v>2</v>
      </c>
      <c r="BD122">
        <f>TYPE(All_India_Index_Upto_April23__1[[#This Row],[Fuel and light]])</f>
        <v>1</v>
      </c>
      <c r="BE122">
        <f>TYPE(All_India_Index_Upto_April23__1[[#This Row],[Household goods and services]])</f>
        <v>1</v>
      </c>
      <c r="BF122">
        <f>TYPE(All_India_Index_Upto_April23__1[[#This Row],[Health]])</f>
        <v>1</v>
      </c>
      <c r="BG122">
        <f>TYPE(All_India_Index_Upto_April23__1[[#This Row],[Transport and communication]])</f>
        <v>1</v>
      </c>
      <c r="BH122">
        <f>TYPE(All_India_Index_Upto_April23__1[[#This Row],[Recreation and amusement]])</f>
        <v>1</v>
      </c>
      <c r="BI122">
        <f>TYPE(All_India_Index_Upto_April23__1[[#This Row],[Education]])</f>
        <v>1</v>
      </c>
      <c r="BJ122">
        <f>TYPE(All_India_Index_Upto_April23__1[[#This Row],[Personal care and effects]])</f>
        <v>1</v>
      </c>
      <c r="BK122">
        <f>TYPE(All_India_Index_Upto_April23__1[[#This Row],[Miscellaneous]])</f>
        <v>1</v>
      </c>
      <c r="BL122">
        <f>TYPE(All_India_Index_Upto_April23__1[[#This Row],[General index]])</f>
        <v>1</v>
      </c>
    </row>
    <row r="123" spans="1:64" hidden="1" x14ac:dyDescent="0.3">
      <c r="A123" t="s">
        <v>30</v>
      </c>
      <c r="B123">
        <v>2016</v>
      </c>
      <c r="C123" t="s">
        <v>37</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U123" t="s">
        <v>89</v>
      </c>
      <c r="V123">
        <v>127.4</v>
      </c>
      <c r="W123">
        <v>128.5</v>
      </c>
      <c r="X123">
        <v>125.8</v>
      </c>
      <c r="Y123">
        <v>115.1</v>
      </c>
      <c r="Z123">
        <v>123.6</v>
      </c>
      <c r="AA123">
        <v>129.1</v>
      </c>
      <c r="AB123">
        <v>119.7</v>
      </c>
      <c r="AC123">
        <v>122.5</v>
      </c>
      <c r="AD123">
        <v>130.30000000000001</v>
      </c>
      <c r="AE123">
        <f>SUM(All_India_Index_Upto_April23__1[[#This Row],[Cereals and products]:[Food and beverages]])</f>
        <v>1723.6999999999998</v>
      </c>
      <c r="AF123">
        <f>SUM(All_India_Index_Upto_April23__1[[#This Row],[Clothing]:[Clothing and footwear]])</f>
        <v>401.3</v>
      </c>
      <c r="AG123">
        <f t="shared" si="1"/>
        <v>371</v>
      </c>
      <c r="AI123">
        <f>TYPE(All_India_Index_Upto_April23__1[[#This Row],[Sector]])</f>
        <v>2</v>
      </c>
      <c r="AJ123">
        <f>TYPE(All_India_Index_Upto_April23__1[[#This Row],[Year]])</f>
        <v>1</v>
      </c>
      <c r="AK123">
        <f>TYPE(All_India_Index_Upto_April23__1[[#This Row],[Month]])</f>
        <v>2</v>
      </c>
      <c r="AL123">
        <f>TYPE(All_India_Index_Upto_April23__1[[#This Row],[Cereals and products]])</f>
        <v>1</v>
      </c>
      <c r="AM123">
        <f>TYPE(All_India_Index_Upto_April23__1[[#This Row],[Meat and fish]])</f>
        <v>1</v>
      </c>
      <c r="AN123">
        <f>TYPE(All_India_Index_Upto_April23__1[[#This Row],[Egg]])</f>
        <v>1</v>
      </c>
      <c r="AO123">
        <f>TYPE(All_India_Index_Upto_April23__1[[#This Row],[Milk and products]])</f>
        <v>1</v>
      </c>
      <c r="AP123">
        <f>TYPE(All_India_Index_Upto_April23__1[[#This Row],[Oils and fats]])</f>
        <v>1</v>
      </c>
      <c r="AQ123">
        <f>TYPE(All_India_Index_Upto_April23__1[[#This Row],[Fruits]])</f>
        <v>1</v>
      </c>
      <c r="AR123">
        <f>TYPE(All_India_Index_Upto_April23__1[[#This Row],[Vegetables]])</f>
        <v>1</v>
      </c>
      <c r="AS123">
        <f>TYPE(All_India_Index_Upto_April23__1[[#This Row],[Pulses and products]])</f>
        <v>1</v>
      </c>
      <c r="AT123">
        <f>TYPE(All_India_Index_Upto_April23__1[[#This Row],[Sugar and Confectionery]])</f>
        <v>1</v>
      </c>
      <c r="AU123">
        <f>TYPE(All_India_Index_Upto_April23__1[[#This Row],[Spices]])</f>
        <v>1</v>
      </c>
      <c r="AV123">
        <f>TYPE(All_India_Index_Upto_April23__1[[#This Row],[Non-alcoholic beverages]])</f>
        <v>1</v>
      </c>
      <c r="AW123">
        <f>TYPE(All_India_Index_Upto_April23__1[[#This Row],[Prepared meals, snacks, sweets etc.]])</f>
        <v>1</v>
      </c>
      <c r="AX123">
        <f>TYPE(All_India_Index_Upto_April23__1[[#This Row],[Food and beverages]])</f>
        <v>1</v>
      </c>
      <c r="AY123">
        <f>TYPE(All_India_Index_Upto_April23__1[[#This Row],[Pan, tobacco and intoxicants]])</f>
        <v>1</v>
      </c>
      <c r="AZ123">
        <f>TYPE(All_India_Index_Upto_April23__1[[#This Row],[Clothing]])</f>
        <v>1</v>
      </c>
      <c r="BA123">
        <f>TYPE(All_India_Index_Upto_April23__1[[#This Row],[Footwear]])</f>
        <v>1</v>
      </c>
      <c r="BB123">
        <f>TYPE(All_India_Index_Upto_April23__1[[#This Row],[Clothing and footwear]])</f>
        <v>1</v>
      </c>
      <c r="BC123">
        <f>TYPE(All_India_Index_Upto_April23__1[[#This Row],[Housing]])</f>
        <v>2</v>
      </c>
      <c r="BD123">
        <f>TYPE(All_India_Index_Upto_April23__1[[#This Row],[Fuel and light]])</f>
        <v>1</v>
      </c>
      <c r="BE123">
        <f>TYPE(All_India_Index_Upto_April23__1[[#This Row],[Household goods and services]])</f>
        <v>1</v>
      </c>
      <c r="BF123">
        <f>TYPE(All_India_Index_Upto_April23__1[[#This Row],[Health]])</f>
        <v>1</v>
      </c>
      <c r="BG123">
        <f>TYPE(All_India_Index_Upto_April23__1[[#This Row],[Transport and communication]])</f>
        <v>1</v>
      </c>
      <c r="BH123">
        <f>TYPE(All_India_Index_Upto_April23__1[[#This Row],[Recreation and amusement]])</f>
        <v>1</v>
      </c>
      <c r="BI123">
        <f>TYPE(All_India_Index_Upto_April23__1[[#This Row],[Education]])</f>
        <v>1</v>
      </c>
      <c r="BJ123">
        <f>TYPE(All_India_Index_Upto_April23__1[[#This Row],[Personal care and effects]])</f>
        <v>1</v>
      </c>
      <c r="BK123">
        <f>TYPE(All_India_Index_Upto_April23__1[[#This Row],[Miscellaneous]])</f>
        <v>1</v>
      </c>
      <c r="BL123">
        <f>TYPE(All_India_Index_Upto_April23__1[[#This Row],[General index]])</f>
        <v>1</v>
      </c>
    </row>
    <row r="124" spans="1:64" hidden="1" x14ac:dyDescent="0.3">
      <c r="A124" t="s">
        <v>32</v>
      </c>
      <c r="B124">
        <v>2016</v>
      </c>
      <c r="C124" t="s">
        <v>37</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t="s">
        <v>128</v>
      </c>
      <c r="V124">
        <v>115</v>
      </c>
      <c r="W124">
        <v>123.2</v>
      </c>
      <c r="X124">
        <v>120.3</v>
      </c>
      <c r="Y124">
        <v>110.7</v>
      </c>
      <c r="Z124">
        <v>119.8</v>
      </c>
      <c r="AA124">
        <v>128</v>
      </c>
      <c r="AB124">
        <v>118.5</v>
      </c>
      <c r="AC124">
        <v>118.7</v>
      </c>
      <c r="AD124">
        <v>126.6</v>
      </c>
      <c r="AE124">
        <f>SUM(All_India_Index_Upto_April23__1[[#This Row],[Cereals and products]:[Food and beverages]])</f>
        <v>1746.7999999999997</v>
      </c>
      <c r="AF124">
        <f>SUM(All_India_Index_Upto_April23__1[[#This Row],[Clothing]:[Clothing and footwear]])</f>
        <v>374.1</v>
      </c>
      <c r="AG124">
        <f t="shared" si="1"/>
        <v>348.9</v>
      </c>
      <c r="AI124">
        <f>TYPE(All_India_Index_Upto_April23__1[[#This Row],[Sector]])</f>
        <v>2</v>
      </c>
      <c r="AJ124">
        <f>TYPE(All_India_Index_Upto_April23__1[[#This Row],[Year]])</f>
        <v>1</v>
      </c>
      <c r="AK124">
        <f>TYPE(All_India_Index_Upto_April23__1[[#This Row],[Month]])</f>
        <v>2</v>
      </c>
      <c r="AL124">
        <f>TYPE(All_India_Index_Upto_April23__1[[#This Row],[Cereals and products]])</f>
        <v>1</v>
      </c>
      <c r="AM124">
        <f>TYPE(All_India_Index_Upto_April23__1[[#This Row],[Meat and fish]])</f>
        <v>1</v>
      </c>
      <c r="AN124">
        <f>TYPE(All_India_Index_Upto_April23__1[[#This Row],[Egg]])</f>
        <v>1</v>
      </c>
      <c r="AO124">
        <f>TYPE(All_India_Index_Upto_April23__1[[#This Row],[Milk and products]])</f>
        <v>1</v>
      </c>
      <c r="AP124">
        <f>TYPE(All_India_Index_Upto_April23__1[[#This Row],[Oils and fats]])</f>
        <v>1</v>
      </c>
      <c r="AQ124">
        <f>TYPE(All_India_Index_Upto_April23__1[[#This Row],[Fruits]])</f>
        <v>1</v>
      </c>
      <c r="AR124">
        <f>TYPE(All_India_Index_Upto_April23__1[[#This Row],[Vegetables]])</f>
        <v>1</v>
      </c>
      <c r="AS124">
        <f>TYPE(All_India_Index_Upto_April23__1[[#This Row],[Pulses and products]])</f>
        <v>1</v>
      </c>
      <c r="AT124">
        <f>TYPE(All_India_Index_Upto_April23__1[[#This Row],[Sugar and Confectionery]])</f>
        <v>1</v>
      </c>
      <c r="AU124">
        <f>TYPE(All_India_Index_Upto_April23__1[[#This Row],[Spices]])</f>
        <v>1</v>
      </c>
      <c r="AV124">
        <f>TYPE(All_India_Index_Upto_April23__1[[#This Row],[Non-alcoholic beverages]])</f>
        <v>1</v>
      </c>
      <c r="AW124">
        <f>TYPE(All_India_Index_Upto_April23__1[[#This Row],[Prepared meals, snacks, sweets etc.]])</f>
        <v>1</v>
      </c>
      <c r="AX124">
        <f>TYPE(All_India_Index_Upto_April23__1[[#This Row],[Food and beverages]])</f>
        <v>1</v>
      </c>
      <c r="AY124">
        <f>TYPE(All_India_Index_Upto_April23__1[[#This Row],[Pan, tobacco and intoxicants]])</f>
        <v>1</v>
      </c>
      <c r="AZ124">
        <f>TYPE(All_India_Index_Upto_April23__1[[#This Row],[Clothing]])</f>
        <v>1</v>
      </c>
      <c r="BA124">
        <f>TYPE(All_India_Index_Upto_April23__1[[#This Row],[Footwear]])</f>
        <v>1</v>
      </c>
      <c r="BB124">
        <f>TYPE(All_India_Index_Upto_April23__1[[#This Row],[Clothing and footwear]])</f>
        <v>1</v>
      </c>
      <c r="BC124">
        <f>TYPE(All_India_Index_Upto_April23__1[[#This Row],[Housing]])</f>
        <v>2</v>
      </c>
      <c r="BD124">
        <f>TYPE(All_India_Index_Upto_April23__1[[#This Row],[Fuel and light]])</f>
        <v>1</v>
      </c>
      <c r="BE124">
        <f>TYPE(All_India_Index_Upto_April23__1[[#This Row],[Household goods and services]])</f>
        <v>1</v>
      </c>
      <c r="BF124">
        <f>TYPE(All_India_Index_Upto_April23__1[[#This Row],[Health]])</f>
        <v>1</v>
      </c>
      <c r="BG124">
        <f>TYPE(All_India_Index_Upto_April23__1[[#This Row],[Transport and communication]])</f>
        <v>1</v>
      </c>
      <c r="BH124">
        <f>TYPE(All_India_Index_Upto_April23__1[[#This Row],[Recreation and amusement]])</f>
        <v>1</v>
      </c>
      <c r="BI124">
        <f>TYPE(All_India_Index_Upto_April23__1[[#This Row],[Education]])</f>
        <v>1</v>
      </c>
      <c r="BJ124">
        <f>TYPE(All_India_Index_Upto_April23__1[[#This Row],[Personal care and effects]])</f>
        <v>1</v>
      </c>
      <c r="BK124">
        <f>TYPE(All_India_Index_Upto_April23__1[[#This Row],[Miscellaneous]])</f>
        <v>1</v>
      </c>
      <c r="BL124">
        <f>TYPE(All_India_Index_Upto_April23__1[[#This Row],[General index]])</f>
        <v>1</v>
      </c>
    </row>
    <row r="125" spans="1:64" hidden="1" x14ac:dyDescent="0.3">
      <c r="A125" t="s">
        <v>33</v>
      </c>
      <c r="B125">
        <v>2016</v>
      </c>
      <c r="C125" t="s">
        <v>37</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t="s">
        <v>128</v>
      </c>
      <c r="V125">
        <v>122.7</v>
      </c>
      <c r="W125">
        <v>126</v>
      </c>
      <c r="X125">
        <v>123.7</v>
      </c>
      <c r="Y125">
        <v>112.8</v>
      </c>
      <c r="Z125">
        <v>121.5</v>
      </c>
      <c r="AA125">
        <v>128.5</v>
      </c>
      <c r="AB125">
        <v>119.2</v>
      </c>
      <c r="AC125">
        <v>120.7</v>
      </c>
      <c r="AD125">
        <v>128.6</v>
      </c>
      <c r="AE125">
        <f>SUM(All_India_Index_Upto_April23__1[[#This Row],[Cereals and products]:[Food and beverages]])</f>
        <v>1730.4</v>
      </c>
      <c r="AF125">
        <f>SUM(All_India_Index_Upto_April23__1[[#This Row],[Clothing]:[Clothing and footwear]])</f>
        <v>390.4</v>
      </c>
      <c r="AG125">
        <f t="shared" si="1"/>
        <v>361.5</v>
      </c>
      <c r="AI125">
        <f>TYPE(All_India_Index_Upto_April23__1[[#This Row],[Sector]])</f>
        <v>2</v>
      </c>
      <c r="AJ125">
        <f>TYPE(All_India_Index_Upto_April23__1[[#This Row],[Year]])</f>
        <v>1</v>
      </c>
      <c r="AK125">
        <f>TYPE(All_India_Index_Upto_April23__1[[#This Row],[Month]])</f>
        <v>2</v>
      </c>
      <c r="AL125">
        <f>TYPE(All_India_Index_Upto_April23__1[[#This Row],[Cereals and products]])</f>
        <v>1</v>
      </c>
      <c r="AM125">
        <f>TYPE(All_India_Index_Upto_April23__1[[#This Row],[Meat and fish]])</f>
        <v>1</v>
      </c>
      <c r="AN125">
        <f>TYPE(All_India_Index_Upto_April23__1[[#This Row],[Egg]])</f>
        <v>1</v>
      </c>
      <c r="AO125">
        <f>TYPE(All_India_Index_Upto_April23__1[[#This Row],[Milk and products]])</f>
        <v>1</v>
      </c>
      <c r="AP125">
        <f>TYPE(All_India_Index_Upto_April23__1[[#This Row],[Oils and fats]])</f>
        <v>1</v>
      </c>
      <c r="AQ125">
        <f>TYPE(All_India_Index_Upto_April23__1[[#This Row],[Fruits]])</f>
        <v>1</v>
      </c>
      <c r="AR125">
        <f>TYPE(All_India_Index_Upto_April23__1[[#This Row],[Vegetables]])</f>
        <v>1</v>
      </c>
      <c r="AS125">
        <f>TYPE(All_India_Index_Upto_April23__1[[#This Row],[Pulses and products]])</f>
        <v>1</v>
      </c>
      <c r="AT125">
        <f>TYPE(All_India_Index_Upto_April23__1[[#This Row],[Sugar and Confectionery]])</f>
        <v>1</v>
      </c>
      <c r="AU125">
        <f>TYPE(All_India_Index_Upto_April23__1[[#This Row],[Spices]])</f>
        <v>1</v>
      </c>
      <c r="AV125">
        <f>TYPE(All_India_Index_Upto_April23__1[[#This Row],[Non-alcoholic beverages]])</f>
        <v>1</v>
      </c>
      <c r="AW125">
        <f>TYPE(All_India_Index_Upto_April23__1[[#This Row],[Prepared meals, snacks, sweets etc.]])</f>
        <v>1</v>
      </c>
      <c r="AX125">
        <f>TYPE(All_India_Index_Upto_April23__1[[#This Row],[Food and beverages]])</f>
        <v>1</v>
      </c>
      <c r="AY125">
        <f>TYPE(All_India_Index_Upto_April23__1[[#This Row],[Pan, tobacco and intoxicants]])</f>
        <v>1</v>
      </c>
      <c r="AZ125">
        <f>TYPE(All_India_Index_Upto_April23__1[[#This Row],[Clothing]])</f>
        <v>1</v>
      </c>
      <c r="BA125">
        <f>TYPE(All_India_Index_Upto_April23__1[[#This Row],[Footwear]])</f>
        <v>1</v>
      </c>
      <c r="BB125">
        <f>TYPE(All_India_Index_Upto_April23__1[[#This Row],[Clothing and footwear]])</f>
        <v>1</v>
      </c>
      <c r="BC125">
        <f>TYPE(All_India_Index_Upto_April23__1[[#This Row],[Housing]])</f>
        <v>2</v>
      </c>
      <c r="BD125">
        <f>TYPE(All_India_Index_Upto_April23__1[[#This Row],[Fuel and light]])</f>
        <v>1</v>
      </c>
      <c r="BE125">
        <f>TYPE(All_India_Index_Upto_April23__1[[#This Row],[Household goods and services]])</f>
        <v>1</v>
      </c>
      <c r="BF125">
        <f>TYPE(All_India_Index_Upto_April23__1[[#This Row],[Health]])</f>
        <v>1</v>
      </c>
      <c r="BG125">
        <f>TYPE(All_India_Index_Upto_April23__1[[#This Row],[Transport and communication]])</f>
        <v>1</v>
      </c>
      <c r="BH125">
        <f>TYPE(All_India_Index_Upto_April23__1[[#This Row],[Recreation and amusement]])</f>
        <v>1</v>
      </c>
      <c r="BI125">
        <f>TYPE(All_India_Index_Upto_April23__1[[#This Row],[Education]])</f>
        <v>1</v>
      </c>
      <c r="BJ125">
        <f>TYPE(All_India_Index_Upto_April23__1[[#This Row],[Personal care and effects]])</f>
        <v>1</v>
      </c>
      <c r="BK125">
        <f>TYPE(All_India_Index_Upto_April23__1[[#This Row],[Miscellaneous]])</f>
        <v>1</v>
      </c>
      <c r="BL125">
        <f>TYPE(All_India_Index_Upto_April23__1[[#This Row],[General index]])</f>
        <v>1</v>
      </c>
    </row>
    <row r="126" spans="1:64" hidden="1" x14ac:dyDescent="0.3">
      <c r="A126" t="s">
        <v>30</v>
      </c>
      <c r="B126">
        <v>2016</v>
      </c>
      <c r="C126" t="s">
        <v>38</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U126" t="s">
        <v>89</v>
      </c>
      <c r="V126">
        <v>128</v>
      </c>
      <c r="W126">
        <v>129.30000000000001</v>
      </c>
      <c r="X126">
        <v>126.2</v>
      </c>
      <c r="Y126">
        <v>116.3</v>
      </c>
      <c r="Z126">
        <v>124.1</v>
      </c>
      <c r="AA126">
        <v>130.19999999999999</v>
      </c>
      <c r="AB126">
        <v>119.9</v>
      </c>
      <c r="AC126">
        <v>123.3</v>
      </c>
      <c r="AD126">
        <v>131.9</v>
      </c>
      <c r="AE126">
        <f>SUM(All_India_Index_Upto_April23__1[[#This Row],[Cereals and products]:[Food and beverages]])</f>
        <v>1748.6</v>
      </c>
      <c r="AF126">
        <f>SUM(All_India_Index_Upto_April23__1[[#This Row],[Clothing]:[Clothing and footwear]])</f>
        <v>403.5</v>
      </c>
      <c r="AG126">
        <f t="shared" si="1"/>
        <v>373.6</v>
      </c>
      <c r="AI126">
        <f>TYPE(All_India_Index_Upto_April23__1[[#This Row],[Sector]])</f>
        <v>2</v>
      </c>
      <c r="AJ126">
        <f>TYPE(All_India_Index_Upto_April23__1[[#This Row],[Year]])</f>
        <v>1</v>
      </c>
      <c r="AK126">
        <f>TYPE(All_India_Index_Upto_April23__1[[#This Row],[Month]])</f>
        <v>2</v>
      </c>
      <c r="AL126">
        <f>TYPE(All_India_Index_Upto_April23__1[[#This Row],[Cereals and products]])</f>
        <v>1</v>
      </c>
      <c r="AM126">
        <f>TYPE(All_India_Index_Upto_April23__1[[#This Row],[Meat and fish]])</f>
        <v>1</v>
      </c>
      <c r="AN126">
        <f>TYPE(All_India_Index_Upto_April23__1[[#This Row],[Egg]])</f>
        <v>1</v>
      </c>
      <c r="AO126">
        <f>TYPE(All_India_Index_Upto_April23__1[[#This Row],[Milk and products]])</f>
        <v>1</v>
      </c>
      <c r="AP126">
        <f>TYPE(All_India_Index_Upto_April23__1[[#This Row],[Oils and fats]])</f>
        <v>1</v>
      </c>
      <c r="AQ126">
        <f>TYPE(All_India_Index_Upto_April23__1[[#This Row],[Fruits]])</f>
        <v>1</v>
      </c>
      <c r="AR126">
        <f>TYPE(All_India_Index_Upto_April23__1[[#This Row],[Vegetables]])</f>
        <v>1</v>
      </c>
      <c r="AS126">
        <f>TYPE(All_India_Index_Upto_April23__1[[#This Row],[Pulses and products]])</f>
        <v>1</v>
      </c>
      <c r="AT126">
        <f>TYPE(All_India_Index_Upto_April23__1[[#This Row],[Sugar and Confectionery]])</f>
        <v>1</v>
      </c>
      <c r="AU126">
        <f>TYPE(All_India_Index_Upto_April23__1[[#This Row],[Spices]])</f>
        <v>1</v>
      </c>
      <c r="AV126">
        <f>TYPE(All_India_Index_Upto_April23__1[[#This Row],[Non-alcoholic beverages]])</f>
        <v>1</v>
      </c>
      <c r="AW126">
        <f>TYPE(All_India_Index_Upto_April23__1[[#This Row],[Prepared meals, snacks, sweets etc.]])</f>
        <v>1</v>
      </c>
      <c r="AX126">
        <f>TYPE(All_India_Index_Upto_April23__1[[#This Row],[Food and beverages]])</f>
        <v>1</v>
      </c>
      <c r="AY126">
        <f>TYPE(All_India_Index_Upto_April23__1[[#This Row],[Pan, tobacco and intoxicants]])</f>
        <v>1</v>
      </c>
      <c r="AZ126">
        <f>TYPE(All_India_Index_Upto_April23__1[[#This Row],[Clothing]])</f>
        <v>1</v>
      </c>
      <c r="BA126">
        <f>TYPE(All_India_Index_Upto_April23__1[[#This Row],[Footwear]])</f>
        <v>1</v>
      </c>
      <c r="BB126">
        <f>TYPE(All_India_Index_Upto_April23__1[[#This Row],[Clothing and footwear]])</f>
        <v>1</v>
      </c>
      <c r="BC126">
        <f>TYPE(All_India_Index_Upto_April23__1[[#This Row],[Housing]])</f>
        <v>2</v>
      </c>
      <c r="BD126">
        <f>TYPE(All_India_Index_Upto_April23__1[[#This Row],[Fuel and light]])</f>
        <v>1</v>
      </c>
      <c r="BE126">
        <f>TYPE(All_India_Index_Upto_April23__1[[#This Row],[Household goods and services]])</f>
        <v>1</v>
      </c>
      <c r="BF126">
        <f>TYPE(All_India_Index_Upto_April23__1[[#This Row],[Health]])</f>
        <v>1</v>
      </c>
      <c r="BG126">
        <f>TYPE(All_India_Index_Upto_April23__1[[#This Row],[Transport and communication]])</f>
        <v>1</v>
      </c>
      <c r="BH126">
        <f>TYPE(All_India_Index_Upto_April23__1[[#This Row],[Recreation and amusement]])</f>
        <v>1</v>
      </c>
      <c r="BI126">
        <f>TYPE(All_India_Index_Upto_April23__1[[#This Row],[Education]])</f>
        <v>1</v>
      </c>
      <c r="BJ126">
        <f>TYPE(All_India_Index_Upto_April23__1[[#This Row],[Personal care and effects]])</f>
        <v>1</v>
      </c>
      <c r="BK126">
        <f>TYPE(All_India_Index_Upto_April23__1[[#This Row],[Miscellaneous]])</f>
        <v>1</v>
      </c>
      <c r="BL126">
        <f>TYPE(All_India_Index_Upto_April23__1[[#This Row],[General index]])</f>
        <v>1</v>
      </c>
    </row>
    <row r="127" spans="1:64" hidden="1" x14ac:dyDescent="0.3">
      <c r="A127" t="s">
        <v>32</v>
      </c>
      <c r="B127">
        <v>2016</v>
      </c>
      <c r="C127" t="s">
        <v>38</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t="s">
        <v>129</v>
      </c>
      <c r="V127">
        <v>115.5</v>
      </c>
      <c r="W127">
        <v>123.2</v>
      </c>
      <c r="X127">
        <v>120.6</v>
      </c>
      <c r="Y127">
        <v>112.3</v>
      </c>
      <c r="Z127">
        <v>119.9</v>
      </c>
      <c r="AA127">
        <v>129.30000000000001</v>
      </c>
      <c r="AB127">
        <v>118.8</v>
      </c>
      <c r="AC127">
        <v>119.6</v>
      </c>
      <c r="AD127">
        <v>128.1</v>
      </c>
      <c r="AE127">
        <f>SUM(All_India_Index_Upto_April23__1[[#This Row],[Cereals and products]:[Food and beverages]])</f>
        <v>1787.0000000000002</v>
      </c>
      <c r="AF127">
        <f>SUM(All_India_Index_Upto_April23__1[[#This Row],[Clothing]:[Clothing and footwear]])</f>
        <v>375.29999999999995</v>
      </c>
      <c r="AG127">
        <f t="shared" si="1"/>
        <v>351</v>
      </c>
      <c r="AI127">
        <f>TYPE(All_India_Index_Upto_April23__1[[#This Row],[Sector]])</f>
        <v>2</v>
      </c>
      <c r="AJ127">
        <f>TYPE(All_India_Index_Upto_April23__1[[#This Row],[Year]])</f>
        <v>1</v>
      </c>
      <c r="AK127">
        <f>TYPE(All_India_Index_Upto_April23__1[[#This Row],[Month]])</f>
        <v>2</v>
      </c>
      <c r="AL127">
        <f>TYPE(All_India_Index_Upto_April23__1[[#This Row],[Cereals and products]])</f>
        <v>1</v>
      </c>
      <c r="AM127">
        <f>TYPE(All_India_Index_Upto_April23__1[[#This Row],[Meat and fish]])</f>
        <v>1</v>
      </c>
      <c r="AN127">
        <f>TYPE(All_India_Index_Upto_April23__1[[#This Row],[Egg]])</f>
        <v>1</v>
      </c>
      <c r="AO127">
        <f>TYPE(All_India_Index_Upto_April23__1[[#This Row],[Milk and products]])</f>
        <v>1</v>
      </c>
      <c r="AP127">
        <f>TYPE(All_India_Index_Upto_April23__1[[#This Row],[Oils and fats]])</f>
        <v>1</v>
      </c>
      <c r="AQ127">
        <f>TYPE(All_India_Index_Upto_April23__1[[#This Row],[Fruits]])</f>
        <v>1</v>
      </c>
      <c r="AR127">
        <f>TYPE(All_India_Index_Upto_April23__1[[#This Row],[Vegetables]])</f>
        <v>1</v>
      </c>
      <c r="AS127">
        <f>TYPE(All_India_Index_Upto_April23__1[[#This Row],[Pulses and products]])</f>
        <v>1</v>
      </c>
      <c r="AT127">
        <f>TYPE(All_India_Index_Upto_April23__1[[#This Row],[Sugar and Confectionery]])</f>
        <v>1</v>
      </c>
      <c r="AU127">
        <f>TYPE(All_India_Index_Upto_April23__1[[#This Row],[Spices]])</f>
        <v>1</v>
      </c>
      <c r="AV127">
        <f>TYPE(All_India_Index_Upto_April23__1[[#This Row],[Non-alcoholic beverages]])</f>
        <v>1</v>
      </c>
      <c r="AW127">
        <f>TYPE(All_India_Index_Upto_April23__1[[#This Row],[Prepared meals, snacks, sweets etc.]])</f>
        <v>1</v>
      </c>
      <c r="AX127">
        <f>TYPE(All_India_Index_Upto_April23__1[[#This Row],[Food and beverages]])</f>
        <v>1</v>
      </c>
      <c r="AY127">
        <f>TYPE(All_India_Index_Upto_April23__1[[#This Row],[Pan, tobacco and intoxicants]])</f>
        <v>1</v>
      </c>
      <c r="AZ127">
        <f>TYPE(All_India_Index_Upto_April23__1[[#This Row],[Clothing]])</f>
        <v>1</v>
      </c>
      <c r="BA127">
        <f>TYPE(All_India_Index_Upto_April23__1[[#This Row],[Footwear]])</f>
        <v>1</v>
      </c>
      <c r="BB127">
        <f>TYPE(All_India_Index_Upto_April23__1[[#This Row],[Clothing and footwear]])</f>
        <v>1</v>
      </c>
      <c r="BC127">
        <f>TYPE(All_India_Index_Upto_April23__1[[#This Row],[Housing]])</f>
        <v>2</v>
      </c>
      <c r="BD127">
        <f>TYPE(All_India_Index_Upto_April23__1[[#This Row],[Fuel and light]])</f>
        <v>1</v>
      </c>
      <c r="BE127">
        <f>TYPE(All_India_Index_Upto_April23__1[[#This Row],[Household goods and services]])</f>
        <v>1</v>
      </c>
      <c r="BF127">
        <f>TYPE(All_India_Index_Upto_April23__1[[#This Row],[Health]])</f>
        <v>1</v>
      </c>
      <c r="BG127">
        <f>TYPE(All_India_Index_Upto_April23__1[[#This Row],[Transport and communication]])</f>
        <v>1</v>
      </c>
      <c r="BH127">
        <f>TYPE(All_India_Index_Upto_April23__1[[#This Row],[Recreation and amusement]])</f>
        <v>1</v>
      </c>
      <c r="BI127">
        <f>TYPE(All_India_Index_Upto_April23__1[[#This Row],[Education]])</f>
        <v>1</v>
      </c>
      <c r="BJ127">
        <f>TYPE(All_India_Index_Upto_April23__1[[#This Row],[Personal care and effects]])</f>
        <v>1</v>
      </c>
      <c r="BK127">
        <f>TYPE(All_India_Index_Upto_April23__1[[#This Row],[Miscellaneous]])</f>
        <v>1</v>
      </c>
      <c r="BL127">
        <f>TYPE(All_India_Index_Upto_April23__1[[#This Row],[General index]])</f>
        <v>1</v>
      </c>
    </row>
    <row r="128" spans="1:64" hidden="1" x14ac:dyDescent="0.3">
      <c r="A128" s="25" t="s">
        <v>33</v>
      </c>
      <c r="B128">
        <v>2016</v>
      </c>
      <c r="C128" s="25" t="s">
        <v>38</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t="s">
        <v>129</v>
      </c>
      <c r="V128">
        <v>123.3</v>
      </c>
      <c r="W128">
        <v>126.4</v>
      </c>
      <c r="X128">
        <v>124.1</v>
      </c>
      <c r="Y128">
        <v>114.2</v>
      </c>
      <c r="Z128">
        <v>121.7</v>
      </c>
      <c r="AA128">
        <v>129.69999999999999</v>
      </c>
      <c r="AB128">
        <v>119.4</v>
      </c>
      <c r="AC128">
        <v>121.5</v>
      </c>
      <c r="AD128">
        <v>130.1</v>
      </c>
      <c r="AE128">
        <f>SUM(All_India_Index_Upto_April23__1[[#This Row],[Cereals and products]:[Food and beverages]])</f>
        <v>1760.6</v>
      </c>
      <c r="AF128">
        <f>SUM(All_India_Index_Upto_April23__1[[#This Row],[Clothing]:[Clothing and footwear]])</f>
        <v>392.1</v>
      </c>
      <c r="AG128">
        <f t="shared" si="1"/>
        <v>363.9</v>
      </c>
      <c r="AI128">
        <f>TYPE(All_India_Index_Upto_April23__1[[#This Row],[Sector]])</f>
        <v>2</v>
      </c>
      <c r="AJ128">
        <f>TYPE(All_India_Index_Upto_April23__1[[#This Row],[Year]])</f>
        <v>1</v>
      </c>
      <c r="AK128">
        <f>TYPE(All_India_Index_Upto_April23__1[[#This Row],[Month]])</f>
        <v>2</v>
      </c>
      <c r="AL128">
        <f>TYPE(All_India_Index_Upto_April23__1[[#This Row],[Cereals and products]])</f>
        <v>1</v>
      </c>
      <c r="AM128">
        <f>TYPE(All_India_Index_Upto_April23__1[[#This Row],[Meat and fish]])</f>
        <v>1</v>
      </c>
      <c r="AN128">
        <f>TYPE(All_India_Index_Upto_April23__1[[#This Row],[Egg]])</f>
        <v>1</v>
      </c>
      <c r="AO128">
        <f>TYPE(All_India_Index_Upto_April23__1[[#This Row],[Milk and products]])</f>
        <v>1</v>
      </c>
      <c r="AP128">
        <f>TYPE(All_India_Index_Upto_April23__1[[#This Row],[Oils and fats]])</f>
        <v>1</v>
      </c>
      <c r="AQ128">
        <f>TYPE(All_India_Index_Upto_April23__1[[#This Row],[Fruits]])</f>
        <v>1</v>
      </c>
      <c r="AR128">
        <f>TYPE(All_India_Index_Upto_April23__1[[#This Row],[Vegetables]])</f>
        <v>1</v>
      </c>
      <c r="AS128">
        <f>TYPE(All_India_Index_Upto_April23__1[[#This Row],[Pulses and products]])</f>
        <v>1</v>
      </c>
      <c r="AT128">
        <f>TYPE(All_India_Index_Upto_April23__1[[#This Row],[Sugar and Confectionery]])</f>
        <v>1</v>
      </c>
      <c r="AU128">
        <f>TYPE(All_India_Index_Upto_April23__1[[#This Row],[Spices]])</f>
        <v>1</v>
      </c>
      <c r="AV128">
        <f>TYPE(All_India_Index_Upto_April23__1[[#This Row],[Non-alcoholic beverages]])</f>
        <v>1</v>
      </c>
      <c r="AW128">
        <f>TYPE(All_India_Index_Upto_April23__1[[#This Row],[Prepared meals, snacks, sweets etc.]])</f>
        <v>1</v>
      </c>
      <c r="AX128">
        <f>TYPE(All_India_Index_Upto_April23__1[[#This Row],[Food and beverages]])</f>
        <v>1</v>
      </c>
      <c r="AY128">
        <f>TYPE(All_India_Index_Upto_April23__1[[#This Row],[Pan, tobacco and intoxicants]])</f>
        <v>1</v>
      </c>
      <c r="AZ128">
        <f>TYPE(All_India_Index_Upto_April23__1[[#This Row],[Clothing]])</f>
        <v>1</v>
      </c>
      <c r="BA128">
        <f>TYPE(All_India_Index_Upto_April23__1[[#This Row],[Footwear]])</f>
        <v>1</v>
      </c>
      <c r="BB128">
        <f>TYPE(All_India_Index_Upto_April23__1[[#This Row],[Clothing and footwear]])</f>
        <v>1</v>
      </c>
      <c r="BC128">
        <f>TYPE(All_India_Index_Upto_April23__1[[#This Row],[Housing]])</f>
        <v>2</v>
      </c>
      <c r="BD128">
        <f>TYPE(All_India_Index_Upto_April23__1[[#This Row],[Fuel and light]])</f>
        <v>1</v>
      </c>
      <c r="BE128">
        <f>TYPE(All_India_Index_Upto_April23__1[[#This Row],[Household goods and services]])</f>
        <v>1</v>
      </c>
      <c r="BF128">
        <f>TYPE(All_India_Index_Upto_April23__1[[#This Row],[Health]])</f>
        <v>1</v>
      </c>
      <c r="BG128">
        <f>TYPE(All_India_Index_Upto_April23__1[[#This Row],[Transport and communication]])</f>
        <v>1</v>
      </c>
      <c r="BH128">
        <f>TYPE(All_India_Index_Upto_April23__1[[#This Row],[Recreation and amusement]])</f>
        <v>1</v>
      </c>
      <c r="BI128">
        <f>TYPE(All_India_Index_Upto_April23__1[[#This Row],[Education]])</f>
        <v>1</v>
      </c>
      <c r="BJ128">
        <f>TYPE(All_India_Index_Upto_April23__1[[#This Row],[Personal care and effects]])</f>
        <v>1</v>
      </c>
      <c r="BK128">
        <f>TYPE(All_India_Index_Upto_April23__1[[#This Row],[Miscellaneous]])</f>
        <v>1</v>
      </c>
      <c r="BL128">
        <f>TYPE(All_India_Index_Upto_April23__1[[#This Row],[General index]])</f>
        <v>1</v>
      </c>
    </row>
    <row r="129" spans="1:64" hidden="1" x14ac:dyDescent="0.3">
      <c r="A129" s="25" t="s">
        <v>30</v>
      </c>
      <c r="B129">
        <v>2016</v>
      </c>
      <c r="C129" s="25" t="s">
        <v>39</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U129" t="s">
        <v>89</v>
      </c>
      <c r="V129">
        <v>128.19999999999999</v>
      </c>
      <c r="W129">
        <v>130</v>
      </c>
      <c r="X129">
        <v>126.7</v>
      </c>
      <c r="Y129">
        <v>116.4</v>
      </c>
      <c r="Z129">
        <v>125.2</v>
      </c>
      <c r="AA129">
        <v>130.80000000000001</v>
      </c>
      <c r="AB129">
        <v>120.9</v>
      </c>
      <c r="AC129">
        <v>123.8</v>
      </c>
      <c r="AD129">
        <v>133</v>
      </c>
      <c r="AE129">
        <f>SUM(All_India_Index_Upto_April23__1[[#This Row],[Cereals and products]:[Food and beverages]])</f>
        <v>1770.2999999999997</v>
      </c>
      <c r="AF129">
        <f>SUM(All_India_Index_Upto_April23__1[[#This Row],[Clothing]:[Clothing and footwear]])</f>
        <v>405.9</v>
      </c>
      <c r="AG129">
        <f t="shared" si="1"/>
        <v>374.6</v>
      </c>
      <c r="AI129">
        <f>TYPE(All_India_Index_Upto_April23__1[[#This Row],[Sector]])</f>
        <v>2</v>
      </c>
      <c r="AJ129">
        <f>TYPE(All_India_Index_Upto_April23__1[[#This Row],[Year]])</f>
        <v>1</v>
      </c>
      <c r="AK129">
        <f>TYPE(All_India_Index_Upto_April23__1[[#This Row],[Month]])</f>
        <v>2</v>
      </c>
      <c r="AL129">
        <f>TYPE(All_India_Index_Upto_April23__1[[#This Row],[Cereals and products]])</f>
        <v>1</v>
      </c>
      <c r="AM129">
        <f>TYPE(All_India_Index_Upto_April23__1[[#This Row],[Meat and fish]])</f>
        <v>1</v>
      </c>
      <c r="AN129">
        <f>TYPE(All_India_Index_Upto_April23__1[[#This Row],[Egg]])</f>
        <v>1</v>
      </c>
      <c r="AO129">
        <f>TYPE(All_India_Index_Upto_April23__1[[#This Row],[Milk and products]])</f>
        <v>1</v>
      </c>
      <c r="AP129">
        <f>TYPE(All_India_Index_Upto_April23__1[[#This Row],[Oils and fats]])</f>
        <v>1</v>
      </c>
      <c r="AQ129">
        <f>TYPE(All_India_Index_Upto_April23__1[[#This Row],[Fruits]])</f>
        <v>1</v>
      </c>
      <c r="AR129">
        <f>TYPE(All_India_Index_Upto_April23__1[[#This Row],[Vegetables]])</f>
        <v>1</v>
      </c>
      <c r="AS129">
        <f>TYPE(All_India_Index_Upto_April23__1[[#This Row],[Pulses and products]])</f>
        <v>1</v>
      </c>
      <c r="AT129">
        <f>TYPE(All_India_Index_Upto_April23__1[[#This Row],[Sugar and Confectionery]])</f>
        <v>1</v>
      </c>
      <c r="AU129">
        <f>TYPE(All_India_Index_Upto_April23__1[[#This Row],[Spices]])</f>
        <v>1</v>
      </c>
      <c r="AV129">
        <f>TYPE(All_India_Index_Upto_April23__1[[#This Row],[Non-alcoholic beverages]])</f>
        <v>1</v>
      </c>
      <c r="AW129">
        <f>TYPE(All_India_Index_Upto_April23__1[[#This Row],[Prepared meals, snacks, sweets etc.]])</f>
        <v>1</v>
      </c>
      <c r="AX129">
        <f>TYPE(All_India_Index_Upto_April23__1[[#This Row],[Food and beverages]])</f>
        <v>1</v>
      </c>
      <c r="AY129">
        <f>TYPE(All_India_Index_Upto_April23__1[[#This Row],[Pan, tobacco and intoxicants]])</f>
        <v>1</v>
      </c>
      <c r="AZ129">
        <f>TYPE(All_India_Index_Upto_April23__1[[#This Row],[Clothing]])</f>
        <v>1</v>
      </c>
      <c r="BA129">
        <f>TYPE(All_India_Index_Upto_April23__1[[#This Row],[Footwear]])</f>
        <v>1</v>
      </c>
      <c r="BB129">
        <f>TYPE(All_India_Index_Upto_April23__1[[#This Row],[Clothing and footwear]])</f>
        <v>1</v>
      </c>
      <c r="BC129">
        <f>TYPE(All_India_Index_Upto_April23__1[[#This Row],[Housing]])</f>
        <v>2</v>
      </c>
      <c r="BD129">
        <f>TYPE(All_India_Index_Upto_April23__1[[#This Row],[Fuel and light]])</f>
        <v>1</v>
      </c>
      <c r="BE129">
        <f>TYPE(All_India_Index_Upto_April23__1[[#This Row],[Household goods and services]])</f>
        <v>1</v>
      </c>
      <c r="BF129">
        <f>TYPE(All_India_Index_Upto_April23__1[[#This Row],[Health]])</f>
        <v>1</v>
      </c>
      <c r="BG129">
        <f>TYPE(All_India_Index_Upto_April23__1[[#This Row],[Transport and communication]])</f>
        <v>1</v>
      </c>
      <c r="BH129">
        <f>TYPE(All_India_Index_Upto_April23__1[[#This Row],[Recreation and amusement]])</f>
        <v>1</v>
      </c>
      <c r="BI129">
        <f>TYPE(All_India_Index_Upto_April23__1[[#This Row],[Education]])</f>
        <v>1</v>
      </c>
      <c r="BJ129">
        <f>TYPE(All_India_Index_Upto_April23__1[[#This Row],[Personal care and effects]])</f>
        <v>1</v>
      </c>
      <c r="BK129">
        <f>TYPE(All_India_Index_Upto_April23__1[[#This Row],[Miscellaneous]])</f>
        <v>1</v>
      </c>
      <c r="BL129">
        <f>TYPE(All_India_Index_Upto_April23__1[[#This Row],[General index]])</f>
        <v>1</v>
      </c>
    </row>
    <row r="130" spans="1:64" hidden="1" x14ac:dyDescent="0.3">
      <c r="A130" s="25" t="s">
        <v>32</v>
      </c>
      <c r="B130">
        <v>2016</v>
      </c>
      <c r="C130" s="25" t="s">
        <v>39</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t="s">
        <v>130</v>
      </c>
      <c r="V130">
        <v>115.5</v>
      </c>
      <c r="W130">
        <v>123.5</v>
      </c>
      <c r="X130">
        <v>120.9</v>
      </c>
      <c r="Y130">
        <v>111.7</v>
      </c>
      <c r="Z130">
        <v>120.3</v>
      </c>
      <c r="AA130">
        <v>130.80000000000001</v>
      </c>
      <c r="AB130">
        <v>120</v>
      </c>
      <c r="AC130">
        <v>119.9</v>
      </c>
      <c r="AD130">
        <v>129</v>
      </c>
      <c r="AE130">
        <f>SUM(All_India_Index_Upto_April23__1[[#This Row],[Cereals and products]:[Food and beverages]])</f>
        <v>1811.5000000000002</v>
      </c>
      <c r="AF130">
        <f>SUM(All_India_Index_Upto_April23__1[[#This Row],[Clothing]:[Clothing and footwear]])</f>
        <v>375.9</v>
      </c>
      <c r="AG130">
        <f t="shared" si="1"/>
        <v>350.7</v>
      </c>
      <c r="AI130">
        <f>TYPE(All_India_Index_Upto_April23__1[[#This Row],[Sector]])</f>
        <v>2</v>
      </c>
      <c r="AJ130">
        <f>TYPE(All_India_Index_Upto_April23__1[[#This Row],[Year]])</f>
        <v>1</v>
      </c>
      <c r="AK130">
        <f>TYPE(All_India_Index_Upto_April23__1[[#This Row],[Month]])</f>
        <v>2</v>
      </c>
      <c r="AL130">
        <f>TYPE(All_India_Index_Upto_April23__1[[#This Row],[Cereals and products]])</f>
        <v>1</v>
      </c>
      <c r="AM130">
        <f>TYPE(All_India_Index_Upto_April23__1[[#This Row],[Meat and fish]])</f>
        <v>1</v>
      </c>
      <c r="AN130">
        <f>TYPE(All_India_Index_Upto_April23__1[[#This Row],[Egg]])</f>
        <v>1</v>
      </c>
      <c r="AO130">
        <f>TYPE(All_India_Index_Upto_April23__1[[#This Row],[Milk and products]])</f>
        <v>1</v>
      </c>
      <c r="AP130">
        <f>TYPE(All_India_Index_Upto_April23__1[[#This Row],[Oils and fats]])</f>
        <v>1</v>
      </c>
      <c r="AQ130">
        <f>TYPE(All_India_Index_Upto_April23__1[[#This Row],[Fruits]])</f>
        <v>1</v>
      </c>
      <c r="AR130">
        <f>TYPE(All_India_Index_Upto_April23__1[[#This Row],[Vegetables]])</f>
        <v>1</v>
      </c>
      <c r="AS130">
        <f>TYPE(All_India_Index_Upto_April23__1[[#This Row],[Pulses and products]])</f>
        <v>1</v>
      </c>
      <c r="AT130">
        <f>TYPE(All_India_Index_Upto_April23__1[[#This Row],[Sugar and Confectionery]])</f>
        <v>1</v>
      </c>
      <c r="AU130">
        <f>TYPE(All_India_Index_Upto_April23__1[[#This Row],[Spices]])</f>
        <v>1</v>
      </c>
      <c r="AV130">
        <f>TYPE(All_India_Index_Upto_April23__1[[#This Row],[Non-alcoholic beverages]])</f>
        <v>1</v>
      </c>
      <c r="AW130">
        <f>TYPE(All_India_Index_Upto_April23__1[[#This Row],[Prepared meals, snacks, sweets etc.]])</f>
        <v>1</v>
      </c>
      <c r="AX130">
        <f>TYPE(All_India_Index_Upto_April23__1[[#This Row],[Food and beverages]])</f>
        <v>1</v>
      </c>
      <c r="AY130">
        <f>TYPE(All_India_Index_Upto_April23__1[[#This Row],[Pan, tobacco and intoxicants]])</f>
        <v>1</v>
      </c>
      <c r="AZ130">
        <f>TYPE(All_India_Index_Upto_April23__1[[#This Row],[Clothing]])</f>
        <v>1</v>
      </c>
      <c r="BA130">
        <f>TYPE(All_India_Index_Upto_April23__1[[#This Row],[Footwear]])</f>
        <v>1</v>
      </c>
      <c r="BB130">
        <f>TYPE(All_India_Index_Upto_April23__1[[#This Row],[Clothing and footwear]])</f>
        <v>1</v>
      </c>
      <c r="BC130">
        <f>TYPE(All_India_Index_Upto_April23__1[[#This Row],[Housing]])</f>
        <v>2</v>
      </c>
      <c r="BD130">
        <f>TYPE(All_India_Index_Upto_April23__1[[#This Row],[Fuel and light]])</f>
        <v>1</v>
      </c>
      <c r="BE130">
        <f>TYPE(All_India_Index_Upto_April23__1[[#This Row],[Household goods and services]])</f>
        <v>1</v>
      </c>
      <c r="BF130">
        <f>TYPE(All_India_Index_Upto_April23__1[[#This Row],[Health]])</f>
        <v>1</v>
      </c>
      <c r="BG130">
        <f>TYPE(All_India_Index_Upto_April23__1[[#This Row],[Transport and communication]])</f>
        <v>1</v>
      </c>
      <c r="BH130">
        <f>TYPE(All_India_Index_Upto_April23__1[[#This Row],[Recreation and amusement]])</f>
        <v>1</v>
      </c>
      <c r="BI130">
        <f>TYPE(All_India_Index_Upto_April23__1[[#This Row],[Education]])</f>
        <v>1</v>
      </c>
      <c r="BJ130">
        <f>TYPE(All_India_Index_Upto_April23__1[[#This Row],[Personal care and effects]])</f>
        <v>1</v>
      </c>
      <c r="BK130">
        <f>TYPE(All_India_Index_Upto_April23__1[[#This Row],[Miscellaneous]])</f>
        <v>1</v>
      </c>
      <c r="BL130">
        <f>TYPE(All_India_Index_Upto_April23__1[[#This Row],[General index]])</f>
        <v>1</v>
      </c>
    </row>
    <row r="131" spans="1:64" hidden="1" x14ac:dyDescent="0.3">
      <c r="A131" s="25" t="s">
        <v>33</v>
      </c>
      <c r="B131">
        <v>2016</v>
      </c>
      <c r="C131" s="25" t="s">
        <v>39</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t="s">
        <v>130</v>
      </c>
      <c r="V131">
        <v>123.4</v>
      </c>
      <c r="W131">
        <v>126.9</v>
      </c>
      <c r="X131">
        <v>124.5</v>
      </c>
      <c r="Y131">
        <v>113.9</v>
      </c>
      <c r="Z131">
        <v>122.4</v>
      </c>
      <c r="AA131">
        <v>130.80000000000001</v>
      </c>
      <c r="AB131">
        <v>120.5</v>
      </c>
      <c r="AC131">
        <v>121.9</v>
      </c>
      <c r="AD131">
        <v>131.1</v>
      </c>
      <c r="AE131">
        <f>SUM(All_India_Index_Upto_April23__1[[#This Row],[Cereals and products]:[Food and beverages]])</f>
        <v>1783.5</v>
      </c>
      <c r="AF131">
        <f>SUM(All_India_Index_Upto_April23__1[[#This Row],[Clothing]:[Clothing and footwear]])</f>
        <v>393.8</v>
      </c>
      <c r="AG131">
        <f t="shared" ref="AG131:AG194" si="2">SUM(U131:W131,Y131)</f>
        <v>364.20000000000005</v>
      </c>
      <c r="AI131">
        <f>TYPE(All_India_Index_Upto_April23__1[[#This Row],[Sector]])</f>
        <v>2</v>
      </c>
      <c r="AJ131">
        <f>TYPE(All_India_Index_Upto_April23__1[[#This Row],[Year]])</f>
        <v>1</v>
      </c>
      <c r="AK131">
        <f>TYPE(All_India_Index_Upto_April23__1[[#This Row],[Month]])</f>
        <v>2</v>
      </c>
      <c r="AL131">
        <f>TYPE(All_India_Index_Upto_April23__1[[#This Row],[Cereals and products]])</f>
        <v>1</v>
      </c>
      <c r="AM131">
        <f>TYPE(All_India_Index_Upto_April23__1[[#This Row],[Meat and fish]])</f>
        <v>1</v>
      </c>
      <c r="AN131">
        <f>TYPE(All_India_Index_Upto_April23__1[[#This Row],[Egg]])</f>
        <v>1</v>
      </c>
      <c r="AO131">
        <f>TYPE(All_India_Index_Upto_April23__1[[#This Row],[Milk and products]])</f>
        <v>1</v>
      </c>
      <c r="AP131">
        <f>TYPE(All_India_Index_Upto_April23__1[[#This Row],[Oils and fats]])</f>
        <v>1</v>
      </c>
      <c r="AQ131">
        <f>TYPE(All_India_Index_Upto_April23__1[[#This Row],[Fruits]])</f>
        <v>1</v>
      </c>
      <c r="AR131">
        <f>TYPE(All_India_Index_Upto_April23__1[[#This Row],[Vegetables]])</f>
        <v>1</v>
      </c>
      <c r="AS131">
        <f>TYPE(All_India_Index_Upto_April23__1[[#This Row],[Pulses and products]])</f>
        <v>1</v>
      </c>
      <c r="AT131">
        <f>TYPE(All_India_Index_Upto_April23__1[[#This Row],[Sugar and Confectionery]])</f>
        <v>1</v>
      </c>
      <c r="AU131">
        <f>TYPE(All_India_Index_Upto_April23__1[[#This Row],[Spices]])</f>
        <v>1</v>
      </c>
      <c r="AV131">
        <f>TYPE(All_India_Index_Upto_April23__1[[#This Row],[Non-alcoholic beverages]])</f>
        <v>1</v>
      </c>
      <c r="AW131">
        <f>TYPE(All_India_Index_Upto_April23__1[[#This Row],[Prepared meals, snacks, sweets etc.]])</f>
        <v>1</v>
      </c>
      <c r="AX131">
        <f>TYPE(All_India_Index_Upto_April23__1[[#This Row],[Food and beverages]])</f>
        <v>1</v>
      </c>
      <c r="AY131">
        <f>TYPE(All_India_Index_Upto_April23__1[[#This Row],[Pan, tobacco and intoxicants]])</f>
        <v>1</v>
      </c>
      <c r="AZ131">
        <f>TYPE(All_India_Index_Upto_April23__1[[#This Row],[Clothing]])</f>
        <v>1</v>
      </c>
      <c r="BA131">
        <f>TYPE(All_India_Index_Upto_April23__1[[#This Row],[Footwear]])</f>
        <v>1</v>
      </c>
      <c r="BB131">
        <f>TYPE(All_India_Index_Upto_April23__1[[#This Row],[Clothing and footwear]])</f>
        <v>1</v>
      </c>
      <c r="BC131">
        <f>TYPE(All_India_Index_Upto_April23__1[[#This Row],[Housing]])</f>
        <v>2</v>
      </c>
      <c r="BD131">
        <f>TYPE(All_India_Index_Upto_April23__1[[#This Row],[Fuel and light]])</f>
        <v>1</v>
      </c>
      <c r="BE131">
        <f>TYPE(All_India_Index_Upto_April23__1[[#This Row],[Household goods and services]])</f>
        <v>1</v>
      </c>
      <c r="BF131">
        <f>TYPE(All_India_Index_Upto_April23__1[[#This Row],[Health]])</f>
        <v>1</v>
      </c>
      <c r="BG131">
        <f>TYPE(All_India_Index_Upto_April23__1[[#This Row],[Transport and communication]])</f>
        <v>1</v>
      </c>
      <c r="BH131">
        <f>TYPE(All_India_Index_Upto_April23__1[[#This Row],[Recreation and amusement]])</f>
        <v>1</v>
      </c>
      <c r="BI131">
        <f>TYPE(All_India_Index_Upto_April23__1[[#This Row],[Education]])</f>
        <v>1</v>
      </c>
      <c r="BJ131">
        <f>TYPE(All_India_Index_Upto_April23__1[[#This Row],[Personal care and effects]])</f>
        <v>1</v>
      </c>
      <c r="BK131">
        <f>TYPE(All_India_Index_Upto_April23__1[[#This Row],[Miscellaneous]])</f>
        <v>1</v>
      </c>
      <c r="BL131">
        <f>TYPE(All_India_Index_Upto_April23__1[[#This Row],[General index]])</f>
        <v>1</v>
      </c>
    </row>
    <row r="132" spans="1:64" hidden="1" x14ac:dyDescent="0.3">
      <c r="A132" s="25" t="s">
        <v>30</v>
      </c>
      <c r="B132">
        <v>2016</v>
      </c>
      <c r="C132" s="25" t="s">
        <v>40</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U132" t="s">
        <v>89</v>
      </c>
      <c r="V132">
        <v>129.1</v>
      </c>
      <c r="W132">
        <v>130.6</v>
      </c>
      <c r="X132">
        <v>127</v>
      </c>
      <c r="Y132">
        <v>116</v>
      </c>
      <c r="Z132">
        <v>125.5</v>
      </c>
      <c r="AA132">
        <v>131.9</v>
      </c>
      <c r="AB132">
        <v>122</v>
      </c>
      <c r="AC132">
        <v>124.2</v>
      </c>
      <c r="AD132">
        <v>133.5</v>
      </c>
      <c r="AE132">
        <f>SUM(All_India_Index_Upto_April23__1[[#This Row],[Cereals and products]:[Food and beverages]])</f>
        <v>1777.4999999999998</v>
      </c>
      <c r="AF132">
        <f>SUM(All_India_Index_Upto_April23__1[[#This Row],[Clothing]:[Clothing and footwear]])</f>
        <v>407.9</v>
      </c>
      <c r="AG132">
        <f t="shared" si="2"/>
        <v>375.7</v>
      </c>
      <c r="AI132">
        <f>TYPE(All_India_Index_Upto_April23__1[[#This Row],[Sector]])</f>
        <v>2</v>
      </c>
      <c r="AJ132">
        <f>TYPE(All_India_Index_Upto_April23__1[[#This Row],[Year]])</f>
        <v>1</v>
      </c>
      <c r="AK132">
        <f>TYPE(All_India_Index_Upto_April23__1[[#This Row],[Month]])</f>
        <v>2</v>
      </c>
      <c r="AL132">
        <f>TYPE(All_India_Index_Upto_April23__1[[#This Row],[Cereals and products]])</f>
        <v>1</v>
      </c>
      <c r="AM132">
        <f>TYPE(All_India_Index_Upto_April23__1[[#This Row],[Meat and fish]])</f>
        <v>1</v>
      </c>
      <c r="AN132">
        <f>TYPE(All_India_Index_Upto_April23__1[[#This Row],[Egg]])</f>
        <v>1</v>
      </c>
      <c r="AO132">
        <f>TYPE(All_India_Index_Upto_April23__1[[#This Row],[Milk and products]])</f>
        <v>1</v>
      </c>
      <c r="AP132">
        <f>TYPE(All_India_Index_Upto_April23__1[[#This Row],[Oils and fats]])</f>
        <v>1</v>
      </c>
      <c r="AQ132">
        <f>TYPE(All_India_Index_Upto_April23__1[[#This Row],[Fruits]])</f>
        <v>1</v>
      </c>
      <c r="AR132">
        <f>TYPE(All_India_Index_Upto_April23__1[[#This Row],[Vegetables]])</f>
        <v>1</v>
      </c>
      <c r="AS132">
        <f>TYPE(All_India_Index_Upto_April23__1[[#This Row],[Pulses and products]])</f>
        <v>1</v>
      </c>
      <c r="AT132">
        <f>TYPE(All_India_Index_Upto_April23__1[[#This Row],[Sugar and Confectionery]])</f>
        <v>1</v>
      </c>
      <c r="AU132">
        <f>TYPE(All_India_Index_Upto_April23__1[[#This Row],[Spices]])</f>
        <v>1</v>
      </c>
      <c r="AV132">
        <f>TYPE(All_India_Index_Upto_April23__1[[#This Row],[Non-alcoholic beverages]])</f>
        <v>1</v>
      </c>
      <c r="AW132">
        <f>TYPE(All_India_Index_Upto_April23__1[[#This Row],[Prepared meals, snacks, sweets etc.]])</f>
        <v>1</v>
      </c>
      <c r="AX132">
        <f>TYPE(All_India_Index_Upto_April23__1[[#This Row],[Food and beverages]])</f>
        <v>1</v>
      </c>
      <c r="AY132">
        <f>TYPE(All_India_Index_Upto_April23__1[[#This Row],[Pan, tobacco and intoxicants]])</f>
        <v>1</v>
      </c>
      <c r="AZ132">
        <f>TYPE(All_India_Index_Upto_April23__1[[#This Row],[Clothing]])</f>
        <v>1</v>
      </c>
      <c r="BA132">
        <f>TYPE(All_India_Index_Upto_April23__1[[#This Row],[Footwear]])</f>
        <v>1</v>
      </c>
      <c r="BB132">
        <f>TYPE(All_India_Index_Upto_April23__1[[#This Row],[Clothing and footwear]])</f>
        <v>1</v>
      </c>
      <c r="BC132">
        <f>TYPE(All_India_Index_Upto_April23__1[[#This Row],[Housing]])</f>
        <v>2</v>
      </c>
      <c r="BD132">
        <f>TYPE(All_India_Index_Upto_April23__1[[#This Row],[Fuel and light]])</f>
        <v>1</v>
      </c>
      <c r="BE132">
        <f>TYPE(All_India_Index_Upto_April23__1[[#This Row],[Household goods and services]])</f>
        <v>1</v>
      </c>
      <c r="BF132">
        <f>TYPE(All_India_Index_Upto_April23__1[[#This Row],[Health]])</f>
        <v>1</v>
      </c>
      <c r="BG132">
        <f>TYPE(All_India_Index_Upto_April23__1[[#This Row],[Transport and communication]])</f>
        <v>1</v>
      </c>
      <c r="BH132">
        <f>TYPE(All_India_Index_Upto_April23__1[[#This Row],[Recreation and amusement]])</f>
        <v>1</v>
      </c>
      <c r="BI132">
        <f>TYPE(All_India_Index_Upto_April23__1[[#This Row],[Education]])</f>
        <v>1</v>
      </c>
      <c r="BJ132">
        <f>TYPE(All_India_Index_Upto_April23__1[[#This Row],[Personal care and effects]])</f>
        <v>1</v>
      </c>
      <c r="BK132">
        <f>TYPE(All_India_Index_Upto_April23__1[[#This Row],[Miscellaneous]])</f>
        <v>1</v>
      </c>
      <c r="BL132">
        <f>TYPE(All_India_Index_Upto_April23__1[[#This Row],[General index]])</f>
        <v>1</v>
      </c>
    </row>
    <row r="133" spans="1:64" hidden="1" x14ac:dyDescent="0.3">
      <c r="A133" s="25" t="s">
        <v>32</v>
      </c>
      <c r="B133">
        <v>2016</v>
      </c>
      <c r="C133" s="25" t="s">
        <v>40</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t="s">
        <v>131</v>
      </c>
      <c r="V133">
        <v>114.7</v>
      </c>
      <c r="W133">
        <v>123.9</v>
      </c>
      <c r="X133">
        <v>121.2</v>
      </c>
      <c r="Y133">
        <v>110.4</v>
      </c>
      <c r="Z133">
        <v>120.6</v>
      </c>
      <c r="AA133">
        <v>131.5</v>
      </c>
      <c r="AB133">
        <v>120.9</v>
      </c>
      <c r="AC133">
        <v>119.9</v>
      </c>
      <c r="AD133">
        <v>128.4</v>
      </c>
      <c r="AE133">
        <f>SUM(All_India_Index_Upto_April23__1[[#This Row],[Cereals and products]:[Food and beverages]])</f>
        <v>1783.9999999999995</v>
      </c>
      <c r="AF133">
        <f>SUM(All_India_Index_Upto_April23__1[[#This Row],[Clothing]:[Clothing and footwear]])</f>
        <v>377</v>
      </c>
      <c r="AG133">
        <f t="shared" si="2"/>
        <v>349</v>
      </c>
      <c r="AI133">
        <f>TYPE(All_India_Index_Upto_April23__1[[#This Row],[Sector]])</f>
        <v>2</v>
      </c>
      <c r="AJ133">
        <f>TYPE(All_India_Index_Upto_April23__1[[#This Row],[Year]])</f>
        <v>1</v>
      </c>
      <c r="AK133">
        <f>TYPE(All_India_Index_Upto_April23__1[[#This Row],[Month]])</f>
        <v>2</v>
      </c>
      <c r="AL133">
        <f>TYPE(All_India_Index_Upto_April23__1[[#This Row],[Cereals and products]])</f>
        <v>1</v>
      </c>
      <c r="AM133">
        <f>TYPE(All_India_Index_Upto_April23__1[[#This Row],[Meat and fish]])</f>
        <v>1</v>
      </c>
      <c r="AN133">
        <f>TYPE(All_India_Index_Upto_April23__1[[#This Row],[Egg]])</f>
        <v>1</v>
      </c>
      <c r="AO133">
        <f>TYPE(All_India_Index_Upto_April23__1[[#This Row],[Milk and products]])</f>
        <v>1</v>
      </c>
      <c r="AP133">
        <f>TYPE(All_India_Index_Upto_April23__1[[#This Row],[Oils and fats]])</f>
        <v>1</v>
      </c>
      <c r="AQ133">
        <f>TYPE(All_India_Index_Upto_April23__1[[#This Row],[Fruits]])</f>
        <v>1</v>
      </c>
      <c r="AR133">
        <f>TYPE(All_India_Index_Upto_April23__1[[#This Row],[Vegetables]])</f>
        <v>1</v>
      </c>
      <c r="AS133">
        <f>TYPE(All_India_Index_Upto_April23__1[[#This Row],[Pulses and products]])</f>
        <v>1</v>
      </c>
      <c r="AT133">
        <f>TYPE(All_India_Index_Upto_April23__1[[#This Row],[Sugar and Confectionery]])</f>
        <v>1</v>
      </c>
      <c r="AU133">
        <f>TYPE(All_India_Index_Upto_April23__1[[#This Row],[Spices]])</f>
        <v>1</v>
      </c>
      <c r="AV133">
        <f>TYPE(All_India_Index_Upto_April23__1[[#This Row],[Non-alcoholic beverages]])</f>
        <v>1</v>
      </c>
      <c r="AW133">
        <f>TYPE(All_India_Index_Upto_April23__1[[#This Row],[Prepared meals, snacks, sweets etc.]])</f>
        <v>1</v>
      </c>
      <c r="AX133">
        <f>TYPE(All_India_Index_Upto_April23__1[[#This Row],[Food and beverages]])</f>
        <v>1</v>
      </c>
      <c r="AY133">
        <f>TYPE(All_India_Index_Upto_April23__1[[#This Row],[Pan, tobacco and intoxicants]])</f>
        <v>1</v>
      </c>
      <c r="AZ133">
        <f>TYPE(All_India_Index_Upto_April23__1[[#This Row],[Clothing]])</f>
        <v>1</v>
      </c>
      <c r="BA133">
        <f>TYPE(All_India_Index_Upto_April23__1[[#This Row],[Footwear]])</f>
        <v>1</v>
      </c>
      <c r="BB133">
        <f>TYPE(All_India_Index_Upto_April23__1[[#This Row],[Clothing and footwear]])</f>
        <v>1</v>
      </c>
      <c r="BC133">
        <f>TYPE(All_India_Index_Upto_April23__1[[#This Row],[Housing]])</f>
        <v>2</v>
      </c>
      <c r="BD133">
        <f>TYPE(All_India_Index_Upto_April23__1[[#This Row],[Fuel and light]])</f>
        <v>1</v>
      </c>
      <c r="BE133">
        <f>TYPE(All_India_Index_Upto_April23__1[[#This Row],[Household goods and services]])</f>
        <v>1</v>
      </c>
      <c r="BF133">
        <f>TYPE(All_India_Index_Upto_April23__1[[#This Row],[Health]])</f>
        <v>1</v>
      </c>
      <c r="BG133">
        <f>TYPE(All_India_Index_Upto_April23__1[[#This Row],[Transport and communication]])</f>
        <v>1</v>
      </c>
      <c r="BH133">
        <f>TYPE(All_India_Index_Upto_April23__1[[#This Row],[Recreation and amusement]])</f>
        <v>1</v>
      </c>
      <c r="BI133">
        <f>TYPE(All_India_Index_Upto_April23__1[[#This Row],[Education]])</f>
        <v>1</v>
      </c>
      <c r="BJ133">
        <f>TYPE(All_India_Index_Upto_April23__1[[#This Row],[Personal care and effects]])</f>
        <v>1</v>
      </c>
      <c r="BK133">
        <f>TYPE(All_India_Index_Upto_April23__1[[#This Row],[Miscellaneous]])</f>
        <v>1</v>
      </c>
      <c r="BL133">
        <f>TYPE(All_India_Index_Upto_April23__1[[#This Row],[General index]])</f>
        <v>1</v>
      </c>
    </row>
    <row r="134" spans="1:64" hidden="1" x14ac:dyDescent="0.3">
      <c r="A134" s="25" t="s">
        <v>33</v>
      </c>
      <c r="B134">
        <v>2016</v>
      </c>
      <c r="C134" s="25" t="s">
        <v>40</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t="s">
        <v>131</v>
      </c>
      <c r="V134">
        <v>123.6</v>
      </c>
      <c r="W134">
        <v>127.4</v>
      </c>
      <c r="X134">
        <v>124.8</v>
      </c>
      <c r="Y134">
        <v>113.1</v>
      </c>
      <c r="Z134">
        <v>122.7</v>
      </c>
      <c r="AA134">
        <v>131.69999999999999</v>
      </c>
      <c r="AB134">
        <v>121.5</v>
      </c>
      <c r="AC134">
        <v>122.1</v>
      </c>
      <c r="AD134">
        <v>131.1</v>
      </c>
      <c r="AE134">
        <f>SUM(All_India_Index_Upto_April23__1[[#This Row],[Cereals and products]:[Food and beverages]])</f>
        <v>1777.9</v>
      </c>
      <c r="AF134">
        <f>SUM(All_India_Index_Upto_April23__1[[#This Row],[Clothing]:[Clothing and footwear]])</f>
        <v>395.49999999999994</v>
      </c>
      <c r="AG134">
        <f t="shared" si="2"/>
        <v>364.1</v>
      </c>
      <c r="AI134">
        <f>TYPE(All_India_Index_Upto_April23__1[[#This Row],[Sector]])</f>
        <v>2</v>
      </c>
      <c r="AJ134">
        <f>TYPE(All_India_Index_Upto_April23__1[[#This Row],[Year]])</f>
        <v>1</v>
      </c>
      <c r="AK134">
        <f>TYPE(All_India_Index_Upto_April23__1[[#This Row],[Month]])</f>
        <v>2</v>
      </c>
      <c r="AL134">
        <f>TYPE(All_India_Index_Upto_April23__1[[#This Row],[Cereals and products]])</f>
        <v>1</v>
      </c>
      <c r="AM134">
        <f>TYPE(All_India_Index_Upto_April23__1[[#This Row],[Meat and fish]])</f>
        <v>1</v>
      </c>
      <c r="AN134">
        <f>TYPE(All_India_Index_Upto_April23__1[[#This Row],[Egg]])</f>
        <v>1</v>
      </c>
      <c r="AO134">
        <f>TYPE(All_India_Index_Upto_April23__1[[#This Row],[Milk and products]])</f>
        <v>1</v>
      </c>
      <c r="AP134">
        <f>TYPE(All_India_Index_Upto_April23__1[[#This Row],[Oils and fats]])</f>
        <v>1</v>
      </c>
      <c r="AQ134">
        <f>TYPE(All_India_Index_Upto_April23__1[[#This Row],[Fruits]])</f>
        <v>1</v>
      </c>
      <c r="AR134">
        <f>TYPE(All_India_Index_Upto_April23__1[[#This Row],[Vegetables]])</f>
        <v>1</v>
      </c>
      <c r="AS134">
        <f>TYPE(All_India_Index_Upto_April23__1[[#This Row],[Pulses and products]])</f>
        <v>1</v>
      </c>
      <c r="AT134">
        <f>TYPE(All_India_Index_Upto_April23__1[[#This Row],[Sugar and Confectionery]])</f>
        <v>1</v>
      </c>
      <c r="AU134">
        <f>TYPE(All_India_Index_Upto_April23__1[[#This Row],[Spices]])</f>
        <v>1</v>
      </c>
      <c r="AV134">
        <f>TYPE(All_India_Index_Upto_April23__1[[#This Row],[Non-alcoholic beverages]])</f>
        <v>1</v>
      </c>
      <c r="AW134">
        <f>TYPE(All_India_Index_Upto_April23__1[[#This Row],[Prepared meals, snacks, sweets etc.]])</f>
        <v>1</v>
      </c>
      <c r="AX134">
        <f>TYPE(All_India_Index_Upto_April23__1[[#This Row],[Food and beverages]])</f>
        <v>1</v>
      </c>
      <c r="AY134">
        <f>TYPE(All_India_Index_Upto_April23__1[[#This Row],[Pan, tobacco and intoxicants]])</f>
        <v>1</v>
      </c>
      <c r="AZ134">
        <f>TYPE(All_India_Index_Upto_April23__1[[#This Row],[Clothing]])</f>
        <v>1</v>
      </c>
      <c r="BA134">
        <f>TYPE(All_India_Index_Upto_April23__1[[#This Row],[Footwear]])</f>
        <v>1</v>
      </c>
      <c r="BB134">
        <f>TYPE(All_India_Index_Upto_April23__1[[#This Row],[Clothing and footwear]])</f>
        <v>1</v>
      </c>
      <c r="BC134">
        <f>TYPE(All_India_Index_Upto_April23__1[[#This Row],[Housing]])</f>
        <v>2</v>
      </c>
      <c r="BD134">
        <f>TYPE(All_India_Index_Upto_April23__1[[#This Row],[Fuel and light]])</f>
        <v>1</v>
      </c>
      <c r="BE134">
        <f>TYPE(All_India_Index_Upto_April23__1[[#This Row],[Household goods and services]])</f>
        <v>1</v>
      </c>
      <c r="BF134">
        <f>TYPE(All_India_Index_Upto_April23__1[[#This Row],[Health]])</f>
        <v>1</v>
      </c>
      <c r="BG134">
        <f>TYPE(All_India_Index_Upto_April23__1[[#This Row],[Transport and communication]])</f>
        <v>1</v>
      </c>
      <c r="BH134">
        <f>TYPE(All_India_Index_Upto_April23__1[[#This Row],[Recreation and amusement]])</f>
        <v>1</v>
      </c>
      <c r="BI134">
        <f>TYPE(All_India_Index_Upto_April23__1[[#This Row],[Education]])</f>
        <v>1</v>
      </c>
      <c r="BJ134">
        <f>TYPE(All_India_Index_Upto_April23__1[[#This Row],[Personal care and effects]])</f>
        <v>1</v>
      </c>
      <c r="BK134">
        <f>TYPE(All_India_Index_Upto_April23__1[[#This Row],[Miscellaneous]])</f>
        <v>1</v>
      </c>
      <c r="BL134">
        <f>TYPE(All_India_Index_Upto_April23__1[[#This Row],[General index]])</f>
        <v>1</v>
      </c>
    </row>
    <row r="135" spans="1:64" hidden="1" x14ac:dyDescent="0.3">
      <c r="A135" s="25" t="s">
        <v>30</v>
      </c>
      <c r="B135">
        <v>2016</v>
      </c>
      <c r="C135" s="25" t="s">
        <v>41</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U135" t="s">
        <v>89</v>
      </c>
      <c r="V135">
        <v>129.69999999999999</v>
      </c>
      <c r="W135">
        <v>131.1</v>
      </c>
      <c r="X135">
        <v>127.8</v>
      </c>
      <c r="Y135">
        <v>117</v>
      </c>
      <c r="Z135">
        <v>125.7</v>
      </c>
      <c r="AA135">
        <v>132.19999999999999</v>
      </c>
      <c r="AB135">
        <v>122.8</v>
      </c>
      <c r="AC135">
        <v>124.9</v>
      </c>
      <c r="AD135">
        <v>133.4</v>
      </c>
      <c r="AE135">
        <f>SUM(All_India_Index_Upto_April23__1[[#This Row],[Cereals and products]:[Food and beverages]])</f>
        <v>1770.7</v>
      </c>
      <c r="AF135">
        <f>SUM(All_India_Index_Upto_April23__1[[#This Row],[Clothing]:[Clothing and footwear]])</f>
        <v>409.8</v>
      </c>
      <c r="AG135">
        <f t="shared" si="2"/>
        <v>377.79999999999995</v>
      </c>
      <c r="AI135">
        <f>TYPE(All_India_Index_Upto_April23__1[[#This Row],[Sector]])</f>
        <v>2</v>
      </c>
      <c r="AJ135">
        <f>TYPE(All_India_Index_Upto_April23__1[[#This Row],[Year]])</f>
        <v>1</v>
      </c>
      <c r="AK135">
        <f>TYPE(All_India_Index_Upto_April23__1[[#This Row],[Month]])</f>
        <v>2</v>
      </c>
      <c r="AL135">
        <f>TYPE(All_India_Index_Upto_April23__1[[#This Row],[Cereals and products]])</f>
        <v>1</v>
      </c>
      <c r="AM135">
        <f>TYPE(All_India_Index_Upto_April23__1[[#This Row],[Meat and fish]])</f>
        <v>1</v>
      </c>
      <c r="AN135">
        <f>TYPE(All_India_Index_Upto_April23__1[[#This Row],[Egg]])</f>
        <v>1</v>
      </c>
      <c r="AO135">
        <f>TYPE(All_India_Index_Upto_April23__1[[#This Row],[Milk and products]])</f>
        <v>1</v>
      </c>
      <c r="AP135">
        <f>TYPE(All_India_Index_Upto_April23__1[[#This Row],[Oils and fats]])</f>
        <v>1</v>
      </c>
      <c r="AQ135">
        <f>TYPE(All_India_Index_Upto_April23__1[[#This Row],[Fruits]])</f>
        <v>1</v>
      </c>
      <c r="AR135">
        <f>TYPE(All_India_Index_Upto_April23__1[[#This Row],[Vegetables]])</f>
        <v>1</v>
      </c>
      <c r="AS135">
        <f>TYPE(All_India_Index_Upto_April23__1[[#This Row],[Pulses and products]])</f>
        <v>1</v>
      </c>
      <c r="AT135">
        <f>TYPE(All_India_Index_Upto_April23__1[[#This Row],[Sugar and Confectionery]])</f>
        <v>1</v>
      </c>
      <c r="AU135">
        <f>TYPE(All_India_Index_Upto_April23__1[[#This Row],[Spices]])</f>
        <v>1</v>
      </c>
      <c r="AV135">
        <f>TYPE(All_India_Index_Upto_April23__1[[#This Row],[Non-alcoholic beverages]])</f>
        <v>1</v>
      </c>
      <c r="AW135">
        <f>TYPE(All_India_Index_Upto_April23__1[[#This Row],[Prepared meals, snacks, sweets etc.]])</f>
        <v>1</v>
      </c>
      <c r="AX135">
        <f>TYPE(All_India_Index_Upto_April23__1[[#This Row],[Food and beverages]])</f>
        <v>1</v>
      </c>
      <c r="AY135">
        <f>TYPE(All_India_Index_Upto_April23__1[[#This Row],[Pan, tobacco and intoxicants]])</f>
        <v>1</v>
      </c>
      <c r="AZ135">
        <f>TYPE(All_India_Index_Upto_April23__1[[#This Row],[Clothing]])</f>
        <v>1</v>
      </c>
      <c r="BA135">
        <f>TYPE(All_India_Index_Upto_April23__1[[#This Row],[Footwear]])</f>
        <v>1</v>
      </c>
      <c r="BB135">
        <f>TYPE(All_India_Index_Upto_April23__1[[#This Row],[Clothing and footwear]])</f>
        <v>1</v>
      </c>
      <c r="BC135">
        <f>TYPE(All_India_Index_Upto_April23__1[[#This Row],[Housing]])</f>
        <v>2</v>
      </c>
      <c r="BD135">
        <f>TYPE(All_India_Index_Upto_April23__1[[#This Row],[Fuel and light]])</f>
        <v>1</v>
      </c>
      <c r="BE135">
        <f>TYPE(All_India_Index_Upto_April23__1[[#This Row],[Household goods and services]])</f>
        <v>1</v>
      </c>
      <c r="BF135">
        <f>TYPE(All_India_Index_Upto_April23__1[[#This Row],[Health]])</f>
        <v>1</v>
      </c>
      <c r="BG135">
        <f>TYPE(All_India_Index_Upto_April23__1[[#This Row],[Transport and communication]])</f>
        <v>1</v>
      </c>
      <c r="BH135">
        <f>TYPE(All_India_Index_Upto_April23__1[[#This Row],[Recreation and amusement]])</f>
        <v>1</v>
      </c>
      <c r="BI135">
        <f>TYPE(All_India_Index_Upto_April23__1[[#This Row],[Education]])</f>
        <v>1</v>
      </c>
      <c r="BJ135">
        <f>TYPE(All_India_Index_Upto_April23__1[[#This Row],[Personal care and effects]])</f>
        <v>1</v>
      </c>
      <c r="BK135">
        <f>TYPE(All_India_Index_Upto_April23__1[[#This Row],[Miscellaneous]])</f>
        <v>1</v>
      </c>
      <c r="BL135">
        <f>TYPE(All_India_Index_Upto_April23__1[[#This Row],[General index]])</f>
        <v>1</v>
      </c>
    </row>
    <row r="136" spans="1:64" hidden="1" x14ac:dyDescent="0.3">
      <c r="A136" s="25" t="s">
        <v>32</v>
      </c>
      <c r="B136">
        <v>2016</v>
      </c>
      <c r="C136" s="25" t="s">
        <v>41</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t="s">
        <v>132</v>
      </c>
      <c r="V136">
        <v>114.8</v>
      </c>
      <c r="W136">
        <v>124.3</v>
      </c>
      <c r="X136">
        <v>121.4</v>
      </c>
      <c r="Y136">
        <v>111.8</v>
      </c>
      <c r="Z136">
        <v>120.8</v>
      </c>
      <c r="AA136">
        <v>131.6</v>
      </c>
      <c r="AB136">
        <v>121.2</v>
      </c>
      <c r="AC136">
        <v>120.5</v>
      </c>
      <c r="AD136">
        <v>128</v>
      </c>
      <c r="AE136">
        <f>SUM(All_India_Index_Upto_April23__1[[#This Row],[Cereals and products]:[Food and beverages]])</f>
        <v>1756.3999999999996</v>
      </c>
      <c r="AF136">
        <f>SUM(All_India_Index_Upto_April23__1[[#This Row],[Clothing]:[Clothing and footwear]])</f>
        <v>378</v>
      </c>
      <c r="AG136">
        <f t="shared" si="2"/>
        <v>350.9</v>
      </c>
      <c r="AI136">
        <f>TYPE(All_India_Index_Upto_April23__1[[#This Row],[Sector]])</f>
        <v>2</v>
      </c>
      <c r="AJ136">
        <f>TYPE(All_India_Index_Upto_April23__1[[#This Row],[Year]])</f>
        <v>1</v>
      </c>
      <c r="AK136">
        <f>TYPE(All_India_Index_Upto_April23__1[[#This Row],[Month]])</f>
        <v>2</v>
      </c>
      <c r="AL136">
        <f>TYPE(All_India_Index_Upto_April23__1[[#This Row],[Cereals and products]])</f>
        <v>1</v>
      </c>
      <c r="AM136">
        <f>TYPE(All_India_Index_Upto_April23__1[[#This Row],[Meat and fish]])</f>
        <v>1</v>
      </c>
      <c r="AN136">
        <f>TYPE(All_India_Index_Upto_April23__1[[#This Row],[Egg]])</f>
        <v>1</v>
      </c>
      <c r="AO136">
        <f>TYPE(All_India_Index_Upto_April23__1[[#This Row],[Milk and products]])</f>
        <v>1</v>
      </c>
      <c r="AP136">
        <f>TYPE(All_India_Index_Upto_April23__1[[#This Row],[Oils and fats]])</f>
        <v>1</v>
      </c>
      <c r="AQ136">
        <f>TYPE(All_India_Index_Upto_April23__1[[#This Row],[Fruits]])</f>
        <v>1</v>
      </c>
      <c r="AR136">
        <f>TYPE(All_India_Index_Upto_April23__1[[#This Row],[Vegetables]])</f>
        <v>1</v>
      </c>
      <c r="AS136">
        <f>TYPE(All_India_Index_Upto_April23__1[[#This Row],[Pulses and products]])</f>
        <v>1</v>
      </c>
      <c r="AT136">
        <f>TYPE(All_India_Index_Upto_April23__1[[#This Row],[Sugar and Confectionery]])</f>
        <v>1</v>
      </c>
      <c r="AU136">
        <f>TYPE(All_India_Index_Upto_April23__1[[#This Row],[Spices]])</f>
        <v>1</v>
      </c>
      <c r="AV136">
        <f>TYPE(All_India_Index_Upto_April23__1[[#This Row],[Non-alcoholic beverages]])</f>
        <v>1</v>
      </c>
      <c r="AW136">
        <f>TYPE(All_India_Index_Upto_April23__1[[#This Row],[Prepared meals, snacks, sweets etc.]])</f>
        <v>1</v>
      </c>
      <c r="AX136">
        <f>TYPE(All_India_Index_Upto_April23__1[[#This Row],[Food and beverages]])</f>
        <v>1</v>
      </c>
      <c r="AY136">
        <f>TYPE(All_India_Index_Upto_April23__1[[#This Row],[Pan, tobacco and intoxicants]])</f>
        <v>1</v>
      </c>
      <c r="AZ136">
        <f>TYPE(All_India_Index_Upto_April23__1[[#This Row],[Clothing]])</f>
        <v>1</v>
      </c>
      <c r="BA136">
        <f>TYPE(All_India_Index_Upto_April23__1[[#This Row],[Footwear]])</f>
        <v>1</v>
      </c>
      <c r="BB136">
        <f>TYPE(All_India_Index_Upto_April23__1[[#This Row],[Clothing and footwear]])</f>
        <v>1</v>
      </c>
      <c r="BC136">
        <f>TYPE(All_India_Index_Upto_April23__1[[#This Row],[Housing]])</f>
        <v>2</v>
      </c>
      <c r="BD136">
        <f>TYPE(All_India_Index_Upto_April23__1[[#This Row],[Fuel and light]])</f>
        <v>1</v>
      </c>
      <c r="BE136">
        <f>TYPE(All_India_Index_Upto_April23__1[[#This Row],[Household goods and services]])</f>
        <v>1</v>
      </c>
      <c r="BF136">
        <f>TYPE(All_India_Index_Upto_April23__1[[#This Row],[Health]])</f>
        <v>1</v>
      </c>
      <c r="BG136">
        <f>TYPE(All_India_Index_Upto_April23__1[[#This Row],[Transport and communication]])</f>
        <v>1</v>
      </c>
      <c r="BH136">
        <f>TYPE(All_India_Index_Upto_April23__1[[#This Row],[Recreation and amusement]])</f>
        <v>1</v>
      </c>
      <c r="BI136">
        <f>TYPE(All_India_Index_Upto_April23__1[[#This Row],[Education]])</f>
        <v>1</v>
      </c>
      <c r="BJ136">
        <f>TYPE(All_India_Index_Upto_April23__1[[#This Row],[Personal care and effects]])</f>
        <v>1</v>
      </c>
      <c r="BK136">
        <f>TYPE(All_India_Index_Upto_April23__1[[#This Row],[Miscellaneous]])</f>
        <v>1</v>
      </c>
      <c r="BL136">
        <f>TYPE(All_India_Index_Upto_April23__1[[#This Row],[General index]])</f>
        <v>1</v>
      </c>
    </row>
    <row r="137" spans="1:64" hidden="1" x14ac:dyDescent="0.3">
      <c r="A137" s="25" t="s">
        <v>33</v>
      </c>
      <c r="B137">
        <v>2016</v>
      </c>
      <c r="C137" s="25" t="s">
        <v>41</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t="s">
        <v>132</v>
      </c>
      <c r="V137">
        <v>124.1</v>
      </c>
      <c r="W137">
        <v>127.9</v>
      </c>
      <c r="X137">
        <v>125.4</v>
      </c>
      <c r="Y137">
        <v>114.3</v>
      </c>
      <c r="Z137">
        <v>122.9</v>
      </c>
      <c r="AA137">
        <v>131.80000000000001</v>
      </c>
      <c r="AB137">
        <v>122.1</v>
      </c>
      <c r="AC137">
        <v>122.8</v>
      </c>
      <c r="AD137">
        <v>130.9</v>
      </c>
      <c r="AE137">
        <f>SUM(All_India_Index_Upto_April23__1[[#This Row],[Cereals and products]:[Food and beverages]])</f>
        <v>1763.6999999999998</v>
      </c>
      <c r="AF137">
        <f>SUM(All_India_Index_Upto_April23__1[[#This Row],[Clothing]:[Clothing and footwear]])</f>
        <v>397</v>
      </c>
      <c r="AG137">
        <f t="shared" si="2"/>
        <v>366.3</v>
      </c>
      <c r="AI137">
        <f>TYPE(All_India_Index_Upto_April23__1[[#This Row],[Sector]])</f>
        <v>2</v>
      </c>
      <c r="AJ137">
        <f>TYPE(All_India_Index_Upto_April23__1[[#This Row],[Year]])</f>
        <v>1</v>
      </c>
      <c r="AK137">
        <f>TYPE(All_India_Index_Upto_April23__1[[#This Row],[Month]])</f>
        <v>2</v>
      </c>
      <c r="AL137">
        <f>TYPE(All_India_Index_Upto_April23__1[[#This Row],[Cereals and products]])</f>
        <v>1</v>
      </c>
      <c r="AM137">
        <f>TYPE(All_India_Index_Upto_April23__1[[#This Row],[Meat and fish]])</f>
        <v>1</v>
      </c>
      <c r="AN137">
        <f>TYPE(All_India_Index_Upto_April23__1[[#This Row],[Egg]])</f>
        <v>1</v>
      </c>
      <c r="AO137">
        <f>TYPE(All_India_Index_Upto_April23__1[[#This Row],[Milk and products]])</f>
        <v>1</v>
      </c>
      <c r="AP137">
        <f>TYPE(All_India_Index_Upto_April23__1[[#This Row],[Oils and fats]])</f>
        <v>1</v>
      </c>
      <c r="AQ137">
        <f>TYPE(All_India_Index_Upto_April23__1[[#This Row],[Fruits]])</f>
        <v>1</v>
      </c>
      <c r="AR137">
        <f>TYPE(All_India_Index_Upto_April23__1[[#This Row],[Vegetables]])</f>
        <v>1</v>
      </c>
      <c r="AS137">
        <f>TYPE(All_India_Index_Upto_April23__1[[#This Row],[Pulses and products]])</f>
        <v>1</v>
      </c>
      <c r="AT137">
        <f>TYPE(All_India_Index_Upto_April23__1[[#This Row],[Sugar and Confectionery]])</f>
        <v>1</v>
      </c>
      <c r="AU137">
        <f>TYPE(All_India_Index_Upto_April23__1[[#This Row],[Spices]])</f>
        <v>1</v>
      </c>
      <c r="AV137">
        <f>TYPE(All_India_Index_Upto_April23__1[[#This Row],[Non-alcoholic beverages]])</f>
        <v>1</v>
      </c>
      <c r="AW137">
        <f>TYPE(All_India_Index_Upto_April23__1[[#This Row],[Prepared meals, snacks, sweets etc.]])</f>
        <v>1</v>
      </c>
      <c r="AX137">
        <f>TYPE(All_India_Index_Upto_April23__1[[#This Row],[Food and beverages]])</f>
        <v>1</v>
      </c>
      <c r="AY137">
        <f>TYPE(All_India_Index_Upto_April23__1[[#This Row],[Pan, tobacco and intoxicants]])</f>
        <v>1</v>
      </c>
      <c r="AZ137">
        <f>TYPE(All_India_Index_Upto_April23__1[[#This Row],[Clothing]])</f>
        <v>1</v>
      </c>
      <c r="BA137">
        <f>TYPE(All_India_Index_Upto_April23__1[[#This Row],[Footwear]])</f>
        <v>1</v>
      </c>
      <c r="BB137">
        <f>TYPE(All_India_Index_Upto_April23__1[[#This Row],[Clothing and footwear]])</f>
        <v>1</v>
      </c>
      <c r="BC137">
        <f>TYPE(All_India_Index_Upto_April23__1[[#This Row],[Housing]])</f>
        <v>2</v>
      </c>
      <c r="BD137">
        <f>TYPE(All_India_Index_Upto_April23__1[[#This Row],[Fuel and light]])</f>
        <v>1</v>
      </c>
      <c r="BE137">
        <f>TYPE(All_India_Index_Upto_April23__1[[#This Row],[Household goods and services]])</f>
        <v>1</v>
      </c>
      <c r="BF137">
        <f>TYPE(All_India_Index_Upto_April23__1[[#This Row],[Health]])</f>
        <v>1</v>
      </c>
      <c r="BG137">
        <f>TYPE(All_India_Index_Upto_April23__1[[#This Row],[Transport and communication]])</f>
        <v>1</v>
      </c>
      <c r="BH137">
        <f>TYPE(All_India_Index_Upto_April23__1[[#This Row],[Recreation and amusement]])</f>
        <v>1</v>
      </c>
      <c r="BI137">
        <f>TYPE(All_India_Index_Upto_April23__1[[#This Row],[Education]])</f>
        <v>1</v>
      </c>
      <c r="BJ137">
        <f>TYPE(All_India_Index_Upto_April23__1[[#This Row],[Personal care and effects]])</f>
        <v>1</v>
      </c>
      <c r="BK137">
        <f>TYPE(All_India_Index_Upto_April23__1[[#This Row],[Miscellaneous]])</f>
        <v>1</v>
      </c>
      <c r="BL137">
        <f>TYPE(All_India_Index_Upto_April23__1[[#This Row],[General index]])</f>
        <v>1</v>
      </c>
    </row>
    <row r="138" spans="1:64" hidden="1" x14ac:dyDescent="0.3">
      <c r="A138" s="25" t="s">
        <v>30</v>
      </c>
      <c r="B138">
        <v>2016</v>
      </c>
      <c r="C138" s="25" t="s">
        <v>42</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U138" t="s">
        <v>89</v>
      </c>
      <c r="V138">
        <v>129.80000000000001</v>
      </c>
      <c r="W138">
        <v>131.80000000000001</v>
      </c>
      <c r="X138">
        <v>128.69999999999999</v>
      </c>
      <c r="Y138">
        <v>117.8</v>
      </c>
      <c r="Z138">
        <v>126.5</v>
      </c>
      <c r="AA138">
        <v>133</v>
      </c>
      <c r="AB138">
        <v>123</v>
      </c>
      <c r="AC138">
        <v>125.7</v>
      </c>
      <c r="AD138">
        <v>133.80000000000001</v>
      </c>
      <c r="AE138">
        <f>SUM(All_India_Index_Upto_April23__1[[#This Row],[Cereals and products]:[Food and beverages]])</f>
        <v>1771.8000000000002</v>
      </c>
      <c r="AF138">
        <f>SUM(All_India_Index_Upto_April23__1[[#This Row],[Clothing]:[Clothing and footwear]])</f>
        <v>412.7</v>
      </c>
      <c r="AG138">
        <f t="shared" si="2"/>
        <v>379.40000000000003</v>
      </c>
      <c r="AI138">
        <f>TYPE(All_India_Index_Upto_April23__1[[#This Row],[Sector]])</f>
        <v>2</v>
      </c>
      <c r="AJ138">
        <f>TYPE(All_India_Index_Upto_April23__1[[#This Row],[Year]])</f>
        <v>1</v>
      </c>
      <c r="AK138">
        <f>TYPE(All_India_Index_Upto_April23__1[[#This Row],[Month]])</f>
        <v>2</v>
      </c>
      <c r="AL138">
        <f>TYPE(All_India_Index_Upto_April23__1[[#This Row],[Cereals and products]])</f>
        <v>1</v>
      </c>
      <c r="AM138">
        <f>TYPE(All_India_Index_Upto_April23__1[[#This Row],[Meat and fish]])</f>
        <v>1</v>
      </c>
      <c r="AN138">
        <f>TYPE(All_India_Index_Upto_April23__1[[#This Row],[Egg]])</f>
        <v>1</v>
      </c>
      <c r="AO138">
        <f>TYPE(All_India_Index_Upto_April23__1[[#This Row],[Milk and products]])</f>
        <v>1</v>
      </c>
      <c r="AP138">
        <f>TYPE(All_India_Index_Upto_April23__1[[#This Row],[Oils and fats]])</f>
        <v>1</v>
      </c>
      <c r="AQ138">
        <f>TYPE(All_India_Index_Upto_April23__1[[#This Row],[Fruits]])</f>
        <v>1</v>
      </c>
      <c r="AR138">
        <f>TYPE(All_India_Index_Upto_April23__1[[#This Row],[Vegetables]])</f>
        <v>1</v>
      </c>
      <c r="AS138">
        <f>TYPE(All_India_Index_Upto_April23__1[[#This Row],[Pulses and products]])</f>
        <v>1</v>
      </c>
      <c r="AT138">
        <f>TYPE(All_India_Index_Upto_April23__1[[#This Row],[Sugar and Confectionery]])</f>
        <v>1</v>
      </c>
      <c r="AU138">
        <f>TYPE(All_India_Index_Upto_April23__1[[#This Row],[Spices]])</f>
        <v>1</v>
      </c>
      <c r="AV138">
        <f>TYPE(All_India_Index_Upto_April23__1[[#This Row],[Non-alcoholic beverages]])</f>
        <v>1</v>
      </c>
      <c r="AW138">
        <f>TYPE(All_India_Index_Upto_April23__1[[#This Row],[Prepared meals, snacks, sweets etc.]])</f>
        <v>1</v>
      </c>
      <c r="AX138">
        <f>TYPE(All_India_Index_Upto_April23__1[[#This Row],[Food and beverages]])</f>
        <v>1</v>
      </c>
      <c r="AY138">
        <f>TYPE(All_India_Index_Upto_April23__1[[#This Row],[Pan, tobacco and intoxicants]])</f>
        <v>1</v>
      </c>
      <c r="AZ138">
        <f>TYPE(All_India_Index_Upto_April23__1[[#This Row],[Clothing]])</f>
        <v>1</v>
      </c>
      <c r="BA138">
        <f>TYPE(All_India_Index_Upto_April23__1[[#This Row],[Footwear]])</f>
        <v>1</v>
      </c>
      <c r="BB138">
        <f>TYPE(All_India_Index_Upto_April23__1[[#This Row],[Clothing and footwear]])</f>
        <v>1</v>
      </c>
      <c r="BC138">
        <f>TYPE(All_India_Index_Upto_April23__1[[#This Row],[Housing]])</f>
        <v>2</v>
      </c>
      <c r="BD138">
        <f>TYPE(All_India_Index_Upto_April23__1[[#This Row],[Fuel and light]])</f>
        <v>1</v>
      </c>
      <c r="BE138">
        <f>TYPE(All_India_Index_Upto_April23__1[[#This Row],[Household goods and services]])</f>
        <v>1</v>
      </c>
      <c r="BF138">
        <f>TYPE(All_India_Index_Upto_April23__1[[#This Row],[Health]])</f>
        <v>1</v>
      </c>
      <c r="BG138">
        <f>TYPE(All_India_Index_Upto_April23__1[[#This Row],[Transport and communication]])</f>
        <v>1</v>
      </c>
      <c r="BH138">
        <f>TYPE(All_India_Index_Upto_April23__1[[#This Row],[Recreation and amusement]])</f>
        <v>1</v>
      </c>
      <c r="BI138">
        <f>TYPE(All_India_Index_Upto_April23__1[[#This Row],[Education]])</f>
        <v>1</v>
      </c>
      <c r="BJ138">
        <f>TYPE(All_India_Index_Upto_April23__1[[#This Row],[Personal care and effects]])</f>
        <v>1</v>
      </c>
      <c r="BK138">
        <f>TYPE(All_India_Index_Upto_April23__1[[#This Row],[Miscellaneous]])</f>
        <v>1</v>
      </c>
      <c r="BL138">
        <f>TYPE(All_India_Index_Upto_April23__1[[#This Row],[General index]])</f>
        <v>1</v>
      </c>
    </row>
    <row r="139" spans="1:64" hidden="1" x14ac:dyDescent="0.3">
      <c r="A139" s="25" t="s">
        <v>32</v>
      </c>
      <c r="B139">
        <v>2016</v>
      </c>
      <c r="C139" s="25" t="s">
        <v>42</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t="s">
        <v>133</v>
      </c>
      <c r="V139">
        <v>115.2</v>
      </c>
      <c r="W139">
        <v>124.5</v>
      </c>
      <c r="X139">
        <v>121.8</v>
      </c>
      <c r="Y139">
        <v>112.8</v>
      </c>
      <c r="Z139">
        <v>121.2</v>
      </c>
      <c r="AA139">
        <v>131.9</v>
      </c>
      <c r="AB139">
        <v>120.8</v>
      </c>
      <c r="AC139">
        <v>120.9</v>
      </c>
      <c r="AD139">
        <v>128.6</v>
      </c>
      <c r="AE139">
        <f>SUM(All_India_Index_Upto_April23__1[[#This Row],[Cereals and products]:[Food and beverages]])</f>
        <v>1762.8999999999999</v>
      </c>
      <c r="AF139">
        <f>SUM(All_India_Index_Upto_April23__1[[#This Row],[Clothing]:[Clothing and footwear]])</f>
        <v>379</v>
      </c>
      <c r="AG139">
        <f t="shared" si="2"/>
        <v>352.5</v>
      </c>
      <c r="AI139">
        <f>TYPE(All_India_Index_Upto_April23__1[[#This Row],[Sector]])</f>
        <v>2</v>
      </c>
      <c r="AJ139">
        <f>TYPE(All_India_Index_Upto_April23__1[[#This Row],[Year]])</f>
        <v>1</v>
      </c>
      <c r="AK139">
        <f>TYPE(All_India_Index_Upto_April23__1[[#This Row],[Month]])</f>
        <v>2</v>
      </c>
      <c r="AL139">
        <f>TYPE(All_India_Index_Upto_April23__1[[#This Row],[Cereals and products]])</f>
        <v>1</v>
      </c>
      <c r="AM139">
        <f>TYPE(All_India_Index_Upto_April23__1[[#This Row],[Meat and fish]])</f>
        <v>1</v>
      </c>
      <c r="AN139">
        <f>TYPE(All_India_Index_Upto_April23__1[[#This Row],[Egg]])</f>
        <v>1</v>
      </c>
      <c r="AO139">
        <f>TYPE(All_India_Index_Upto_April23__1[[#This Row],[Milk and products]])</f>
        <v>1</v>
      </c>
      <c r="AP139">
        <f>TYPE(All_India_Index_Upto_April23__1[[#This Row],[Oils and fats]])</f>
        <v>1</v>
      </c>
      <c r="AQ139">
        <f>TYPE(All_India_Index_Upto_April23__1[[#This Row],[Fruits]])</f>
        <v>1</v>
      </c>
      <c r="AR139">
        <f>TYPE(All_India_Index_Upto_April23__1[[#This Row],[Vegetables]])</f>
        <v>1</v>
      </c>
      <c r="AS139">
        <f>TYPE(All_India_Index_Upto_April23__1[[#This Row],[Pulses and products]])</f>
        <v>1</v>
      </c>
      <c r="AT139">
        <f>TYPE(All_India_Index_Upto_April23__1[[#This Row],[Sugar and Confectionery]])</f>
        <v>1</v>
      </c>
      <c r="AU139">
        <f>TYPE(All_India_Index_Upto_April23__1[[#This Row],[Spices]])</f>
        <v>1</v>
      </c>
      <c r="AV139">
        <f>TYPE(All_India_Index_Upto_April23__1[[#This Row],[Non-alcoholic beverages]])</f>
        <v>1</v>
      </c>
      <c r="AW139">
        <f>TYPE(All_India_Index_Upto_April23__1[[#This Row],[Prepared meals, snacks, sweets etc.]])</f>
        <v>1</v>
      </c>
      <c r="AX139">
        <f>TYPE(All_India_Index_Upto_April23__1[[#This Row],[Food and beverages]])</f>
        <v>1</v>
      </c>
      <c r="AY139">
        <f>TYPE(All_India_Index_Upto_April23__1[[#This Row],[Pan, tobacco and intoxicants]])</f>
        <v>1</v>
      </c>
      <c r="AZ139">
        <f>TYPE(All_India_Index_Upto_April23__1[[#This Row],[Clothing]])</f>
        <v>1</v>
      </c>
      <c r="BA139">
        <f>TYPE(All_India_Index_Upto_April23__1[[#This Row],[Footwear]])</f>
        <v>1</v>
      </c>
      <c r="BB139">
        <f>TYPE(All_India_Index_Upto_April23__1[[#This Row],[Clothing and footwear]])</f>
        <v>1</v>
      </c>
      <c r="BC139">
        <f>TYPE(All_India_Index_Upto_April23__1[[#This Row],[Housing]])</f>
        <v>2</v>
      </c>
      <c r="BD139">
        <f>TYPE(All_India_Index_Upto_April23__1[[#This Row],[Fuel and light]])</f>
        <v>1</v>
      </c>
      <c r="BE139">
        <f>TYPE(All_India_Index_Upto_April23__1[[#This Row],[Household goods and services]])</f>
        <v>1</v>
      </c>
      <c r="BF139">
        <f>TYPE(All_India_Index_Upto_April23__1[[#This Row],[Health]])</f>
        <v>1</v>
      </c>
      <c r="BG139">
        <f>TYPE(All_India_Index_Upto_April23__1[[#This Row],[Transport and communication]])</f>
        <v>1</v>
      </c>
      <c r="BH139">
        <f>TYPE(All_India_Index_Upto_April23__1[[#This Row],[Recreation and amusement]])</f>
        <v>1</v>
      </c>
      <c r="BI139">
        <f>TYPE(All_India_Index_Upto_April23__1[[#This Row],[Education]])</f>
        <v>1</v>
      </c>
      <c r="BJ139">
        <f>TYPE(All_India_Index_Upto_April23__1[[#This Row],[Personal care and effects]])</f>
        <v>1</v>
      </c>
      <c r="BK139">
        <f>TYPE(All_India_Index_Upto_April23__1[[#This Row],[Miscellaneous]])</f>
        <v>1</v>
      </c>
      <c r="BL139">
        <f>TYPE(All_India_Index_Upto_April23__1[[#This Row],[General index]])</f>
        <v>1</v>
      </c>
    </row>
    <row r="140" spans="1:64" hidden="1" x14ac:dyDescent="0.3">
      <c r="A140" s="25" t="s">
        <v>33</v>
      </c>
      <c r="B140">
        <v>2016</v>
      </c>
      <c r="C140" s="25" t="s">
        <v>42</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t="s">
        <v>133</v>
      </c>
      <c r="V140">
        <v>124.3</v>
      </c>
      <c r="W140">
        <v>128.4</v>
      </c>
      <c r="X140">
        <v>126.1</v>
      </c>
      <c r="Y140">
        <v>115.2</v>
      </c>
      <c r="Z140">
        <v>123.5</v>
      </c>
      <c r="AA140">
        <v>132.4</v>
      </c>
      <c r="AB140">
        <v>122.1</v>
      </c>
      <c r="AC140">
        <v>123.4</v>
      </c>
      <c r="AD140">
        <v>131.4</v>
      </c>
      <c r="AE140">
        <f>SUM(All_India_Index_Upto_April23__1[[#This Row],[Cereals and products]:[Food and beverages]])</f>
        <v>1766.7999999999995</v>
      </c>
      <c r="AF140">
        <f>SUM(All_India_Index_Upto_April23__1[[#This Row],[Clothing]:[Clothing and footwear]])</f>
        <v>399.1</v>
      </c>
      <c r="AG140">
        <f t="shared" si="2"/>
        <v>367.9</v>
      </c>
      <c r="AI140">
        <f>TYPE(All_India_Index_Upto_April23__1[[#This Row],[Sector]])</f>
        <v>2</v>
      </c>
      <c r="AJ140">
        <f>TYPE(All_India_Index_Upto_April23__1[[#This Row],[Year]])</f>
        <v>1</v>
      </c>
      <c r="AK140">
        <f>TYPE(All_India_Index_Upto_April23__1[[#This Row],[Month]])</f>
        <v>2</v>
      </c>
      <c r="AL140">
        <f>TYPE(All_India_Index_Upto_April23__1[[#This Row],[Cereals and products]])</f>
        <v>1</v>
      </c>
      <c r="AM140">
        <f>TYPE(All_India_Index_Upto_April23__1[[#This Row],[Meat and fish]])</f>
        <v>1</v>
      </c>
      <c r="AN140">
        <f>TYPE(All_India_Index_Upto_April23__1[[#This Row],[Egg]])</f>
        <v>1</v>
      </c>
      <c r="AO140">
        <f>TYPE(All_India_Index_Upto_April23__1[[#This Row],[Milk and products]])</f>
        <v>1</v>
      </c>
      <c r="AP140">
        <f>TYPE(All_India_Index_Upto_April23__1[[#This Row],[Oils and fats]])</f>
        <v>1</v>
      </c>
      <c r="AQ140">
        <f>TYPE(All_India_Index_Upto_April23__1[[#This Row],[Fruits]])</f>
        <v>1</v>
      </c>
      <c r="AR140">
        <f>TYPE(All_India_Index_Upto_April23__1[[#This Row],[Vegetables]])</f>
        <v>1</v>
      </c>
      <c r="AS140">
        <f>TYPE(All_India_Index_Upto_April23__1[[#This Row],[Pulses and products]])</f>
        <v>1</v>
      </c>
      <c r="AT140">
        <f>TYPE(All_India_Index_Upto_April23__1[[#This Row],[Sugar and Confectionery]])</f>
        <v>1</v>
      </c>
      <c r="AU140">
        <f>TYPE(All_India_Index_Upto_April23__1[[#This Row],[Spices]])</f>
        <v>1</v>
      </c>
      <c r="AV140">
        <f>TYPE(All_India_Index_Upto_April23__1[[#This Row],[Non-alcoholic beverages]])</f>
        <v>1</v>
      </c>
      <c r="AW140">
        <f>TYPE(All_India_Index_Upto_April23__1[[#This Row],[Prepared meals, snacks, sweets etc.]])</f>
        <v>1</v>
      </c>
      <c r="AX140">
        <f>TYPE(All_India_Index_Upto_April23__1[[#This Row],[Food and beverages]])</f>
        <v>1</v>
      </c>
      <c r="AY140">
        <f>TYPE(All_India_Index_Upto_April23__1[[#This Row],[Pan, tobacco and intoxicants]])</f>
        <v>1</v>
      </c>
      <c r="AZ140">
        <f>TYPE(All_India_Index_Upto_April23__1[[#This Row],[Clothing]])</f>
        <v>1</v>
      </c>
      <c r="BA140">
        <f>TYPE(All_India_Index_Upto_April23__1[[#This Row],[Footwear]])</f>
        <v>1</v>
      </c>
      <c r="BB140">
        <f>TYPE(All_India_Index_Upto_April23__1[[#This Row],[Clothing and footwear]])</f>
        <v>1</v>
      </c>
      <c r="BC140">
        <f>TYPE(All_India_Index_Upto_April23__1[[#This Row],[Housing]])</f>
        <v>2</v>
      </c>
      <c r="BD140">
        <f>TYPE(All_India_Index_Upto_April23__1[[#This Row],[Fuel and light]])</f>
        <v>1</v>
      </c>
      <c r="BE140">
        <f>TYPE(All_India_Index_Upto_April23__1[[#This Row],[Household goods and services]])</f>
        <v>1</v>
      </c>
      <c r="BF140">
        <f>TYPE(All_India_Index_Upto_April23__1[[#This Row],[Health]])</f>
        <v>1</v>
      </c>
      <c r="BG140">
        <f>TYPE(All_India_Index_Upto_April23__1[[#This Row],[Transport and communication]])</f>
        <v>1</v>
      </c>
      <c r="BH140">
        <f>TYPE(All_India_Index_Upto_April23__1[[#This Row],[Recreation and amusement]])</f>
        <v>1</v>
      </c>
      <c r="BI140">
        <f>TYPE(All_India_Index_Upto_April23__1[[#This Row],[Education]])</f>
        <v>1</v>
      </c>
      <c r="BJ140">
        <f>TYPE(All_India_Index_Upto_April23__1[[#This Row],[Personal care and effects]])</f>
        <v>1</v>
      </c>
      <c r="BK140">
        <f>TYPE(All_India_Index_Upto_April23__1[[#This Row],[Miscellaneous]])</f>
        <v>1</v>
      </c>
      <c r="BL140">
        <f>TYPE(All_India_Index_Upto_April23__1[[#This Row],[General index]])</f>
        <v>1</v>
      </c>
    </row>
    <row r="141" spans="1:64" hidden="1" x14ac:dyDescent="0.3">
      <c r="A141" s="25" t="s">
        <v>30</v>
      </c>
      <c r="B141">
        <v>2016</v>
      </c>
      <c r="C141" s="25" t="s">
        <v>43</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U141" t="s">
        <v>89</v>
      </c>
      <c r="V141">
        <v>130.30000000000001</v>
      </c>
      <c r="W141">
        <v>132.1</v>
      </c>
      <c r="X141">
        <v>129.1</v>
      </c>
      <c r="Y141">
        <v>118.2</v>
      </c>
      <c r="Z141">
        <v>126.9</v>
      </c>
      <c r="AA141">
        <v>133.69999999999999</v>
      </c>
      <c r="AB141">
        <v>123.5</v>
      </c>
      <c r="AC141">
        <v>126.1</v>
      </c>
      <c r="AD141">
        <v>133.6</v>
      </c>
      <c r="AE141">
        <f>SUM(All_India_Index_Upto_April23__1[[#This Row],[Cereals and products]:[Food and beverages]])</f>
        <v>1764.6</v>
      </c>
      <c r="AF141">
        <f>SUM(All_India_Index_Upto_April23__1[[#This Row],[Clothing]:[Clothing and footwear]])</f>
        <v>413.59999999999997</v>
      </c>
      <c r="AG141">
        <f t="shared" si="2"/>
        <v>380.59999999999997</v>
      </c>
      <c r="AI141">
        <f>TYPE(All_India_Index_Upto_April23__1[[#This Row],[Sector]])</f>
        <v>2</v>
      </c>
      <c r="AJ141">
        <f>TYPE(All_India_Index_Upto_April23__1[[#This Row],[Year]])</f>
        <v>1</v>
      </c>
      <c r="AK141">
        <f>TYPE(All_India_Index_Upto_April23__1[[#This Row],[Month]])</f>
        <v>2</v>
      </c>
      <c r="AL141">
        <f>TYPE(All_India_Index_Upto_April23__1[[#This Row],[Cereals and products]])</f>
        <v>1</v>
      </c>
      <c r="AM141">
        <f>TYPE(All_India_Index_Upto_April23__1[[#This Row],[Meat and fish]])</f>
        <v>1</v>
      </c>
      <c r="AN141">
        <f>TYPE(All_India_Index_Upto_April23__1[[#This Row],[Egg]])</f>
        <v>1</v>
      </c>
      <c r="AO141">
        <f>TYPE(All_India_Index_Upto_April23__1[[#This Row],[Milk and products]])</f>
        <v>1</v>
      </c>
      <c r="AP141">
        <f>TYPE(All_India_Index_Upto_April23__1[[#This Row],[Oils and fats]])</f>
        <v>1</v>
      </c>
      <c r="AQ141">
        <f>TYPE(All_India_Index_Upto_April23__1[[#This Row],[Fruits]])</f>
        <v>1</v>
      </c>
      <c r="AR141">
        <f>TYPE(All_India_Index_Upto_April23__1[[#This Row],[Vegetables]])</f>
        <v>1</v>
      </c>
      <c r="AS141">
        <f>TYPE(All_India_Index_Upto_April23__1[[#This Row],[Pulses and products]])</f>
        <v>1</v>
      </c>
      <c r="AT141">
        <f>TYPE(All_India_Index_Upto_April23__1[[#This Row],[Sugar and Confectionery]])</f>
        <v>1</v>
      </c>
      <c r="AU141">
        <f>TYPE(All_India_Index_Upto_April23__1[[#This Row],[Spices]])</f>
        <v>1</v>
      </c>
      <c r="AV141">
        <f>TYPE(All_India_Index_Upto_April23__1[[#This Row],[Non-alcoholic beverages]])</f>
        <v>1</v>
      </c>
      <c r="AW141">
        <f>TYPE(All_India_Index_Upto_April23__1[[#This Row],[Prepared meals, snacks, sweets etc.]])</f>
        <v>1</v>
      </c>
      <c r="AX141">
        <f>TYPE(All_India_Index_Upto_April23__1[[#This Row],[Food and beverages]])</f>
        <v>1</v>
      </c>
      <c r="AY141">
        <f>TYPE(All_India_Index_Upto_April23__1[[#This Row],[Pan, tobacco and intoxicants]])</f>
        <v>1</v>
      </c>
      <c r="AZ141">
        <f>TYPE(All_India_Index_Upto_April23__1[[#This Row],[Clothing]])</f>
        <v>1</v>
      </c>
      <c r="BA141">
        <f>TYPE(All_India_Index_Upto_April23__1[[#This Row],[Footwear]])</f>
        <v>1</v>
      </c>
      <c r="BB141">
        <f>TYPE(All_India_Index_Upto_April23__1[[#This Row],[Clothing and footwear]])</f>
        <v>1</v>
      </c>
      <c r="BC141">
        <f>TYPE(All_India_Index_Upto_April23__1[[#This Row],[Housing]])</f>
        <v>2</v>
      </c>
      <c r="BD141">
        <f>TYPE(All_India_Index_Upto_April23__1[[#This Row],[Fuel and light]])</f>
        <v>1</v>
      </c>
      <c r="BE141">
        <f>TYPE(All_India_Index_Upto_April23__1[[#This Row],[Household goods and services]])</f>
        <v>1</v>
      </c>
      <c r="BF141">
        <f>TYPE(All_India_Index_Upto_April23__1[[#This Row],[Health]])</f>
        <v>1</v>
      </c>
      <c r="BG141">
        <f>TYPE(All_India_Index_Upto_April23__1[[#This Row],[Transport and communication]])</f>
        <v>1</v>
      </c>
      <c r="BH141">
        <f>TYPE(All_India_Index_Upto_April23__1[[#This Row],[Recreation and amusement]])</f>
        <v>1</v>
      </c>
      <c r="BI141">
        <f>TYPE(All_India_Index_Upto_April23__1[[#This Row],[Education]])</f>
        <v>1</v>
      </c>
      <c r="BJ141">
        <f>TYPE(All_India_Index_Upto_April23__1[[#This Row],[Personal care and effects]])</f>
        <v>1</v>
      </c>
      <c r="BK141">
        <f>TYPE(All_India_Index_Upto_April23__1[[#This Row],[Miscellaneous]])</f>
        <v>1</v>
      </c>
      <c r="BL141">
        <f>TYPE(All_India_Index_Upto_April23__1[[#This Row],[General index]])</f>
        <v>1</v>
      </c>
    </row>
    <row r="142" spans="1:64" hidden="1" x14ac:dyDescent="0.3">
      <c r="A142" s="25" t="s">
        <v>32</v>
      </c>
      <c r="B142">
        <v>2016</v>
      </c>
      <c r="C142" s="25" t="s">
        <v>43</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t="s">
        <v>134</v>
      </c>
      <c r="V142">
        <v>116.2</v>
      </c>
      <c r="W142">
        <v>124.7</v>
      </c>
      <c r="X142">
        <v>122.1</v>
      </c>
      <c r="Y142">
        <v>113.4</v>
      </c>
      <c r="Z142">
        <v>121.7</v>
      </c>
      <c r="AA142">
        <v>132.1</v>
      </c>
      <c r="AB142">
        <v>121.3</v>
      </c>
      <c r="AC142">
        <v>121.3</v>
      </c>
      <c r="AD142">
        <v>128.5</v>
      </c>
      <c r="AE142">
        <f>SUM(All_India_Index_Upto_April23__1[[#This Row],[Cereals and products]:[Food and beverages]])</f>
        <v>1755.2</v>
      </c>
      <c r="AF142">
        <f>SUM(All_India_Index_Upto_April23__1[[#This Row],[Clothing]:[Clothing and footwear]])</f>
        <v>380.2</v>
      </c>
      <c r="AG142">
        <f t="shared" si="2"/>
        <v>354.3</v>
      </c>
      <c r="AI142">
        <f>TYPE(All_India_Index_Upto_April23__1[[#This Row],[Sector]])</f>
        <v>2</v>
      </c>
      <c r="AJ142">
        <f>TYPE(All_India_Index_Upto_April23__1[[#This Row],[Year]])</f>
        <v>1</v>
      </c>
      <c r="AK142">
        <f>TYPE(All_India_Index_Upto_April23__1[[#This Row],[Month]])</f>
        <v>2</v>
      </c>
      <c r="AL142">
        <f>TYPE(All_India_Index_Upto_April23__1[[#This Row],[Cereals and products]])</f>
        <v>1</v>
      </c>
      <c r="AM142">
        <f>TYPE(All_India_Index_Upto_April23__1[[#This Row],[Meat and fish]])</f>
        <v>1</v>
      </c>
      <c r="AN142">
        <f>TYPE(All_India_Index_Upto_April23__1[[#This Row],[Egg]])</f>
        <v>1</v>
      </c>
      <c r="AO142">
        <f>TYPE(All_India_Index_Upto_April23__1[[#This Row],[Milk and products]])</f>
        <v>1</v>
      </c>
      <c r="AP142">
        <f>TYPE(All_India_Index_Upto_April23__1[[#This Row],[Oils and fats]])</f>
        <v>1</v>
      </c>
      <c r="AQ142">
        <f>TYPE(All_India_Index_Upto_April23__1[[#This Row],[Fruits]])</f>
        <v>1</v>
      </c>
      <c r="AR142">
        <f>TYPE(All_India_Index_Upto_April23__1[[#This Row],[Vegetables]])</f>
        <v>1</v>
      </c>
      <c r="AS142">
        <f>TYPE(All_India_Index_Upto_April23__1[[#This Row],[Pulses and products]])</f>
        <v>1</v>
      </c>
      <c r="AT142">
        <f>TYPE(All_India_Index_Upto_April23__1[[#This Row],[Sugar and Confectionery]])</f>
        <v>1</v>
      </c>
      <c r="AU142">
        <f>TYPE(All_India_Index_Upto_April23__1[[#This Row],[Spices]])</f>
        <v>1</v>
      </c>
      <c r="AV142">
        <f>TYPE(All_India_Index_Upto_April23__1[[#This Row],[Non-alcoholic beverages]])</f>
        <v>1</v>
      </c>
      <c r="AW142">
        <f>TYPE(All_India_Index_Upto_April23__1[[#This Row],[Prepared meals, snacks, sweets etc.]])</f>
        <v>1</v>
      </c>
      <c r="AX142">
        <f>TYPE(All_India_Index_Upto_April23__1[[#This Row],[Food and beverages]])</f>
        <v>1</v>
      </c>
      <c r="AY142">
        <f>TYPE(All_India_Index_Upto_April23__1[[#This Row],[Pan, tobacco and intoxicants]])</f>
        <v>1</v>
      </c>
      <c r="AZ142">
        <f>TYPE(All_India_Index_Upto_April23__1[[#This Row],[Clothing]])</f>
        <v>1</v>
      </c>
      <c r="BA142">
        <f>TYPE(All_India_Index_Upto_April23__1[[#This Row],[Footwear]])</f>
        <v>1</v>
      </c>
      <c r="BB142">
        <f>TYPE(All_India_Index_Upto_April23__1[[#This Row],[Clothing and footwear]])</f>
        <v>1</v>
      </c>
      <c r="BC142">
        <f>TYPE(All_India_Index_Upto_April23__1[[#This Row],[Housing]])</f>
        <v>2</v>
      </c>
      <c r="BD142">
        <f>TYPE(All_India_Index_Upto_April23__1[[#This Row],[Fuel and light]])</f>
        <v>1</v>
      </c>
      <c r="BE142">
        <f>TYPE(All_India_Index_Upto_April23__1[[#This Row],[Household goods and services]])</f>
        <v>1</v>
      </c>
      <c r="BF142">
        <f>TYPE(All_India_Index_Upto_April23__1[[#This Row],[Health]])</f>
        <v>1</v>
      </c>
      <c r="BG142">
        <f>TYPE(All_India_Index_Upto_April23__1[[#This Row],[Transport and communication]])</f>
        <v>1</v>
      </c>
      <c r="BH142">
        <f>TYPE(All_India_Index_Upto_April23__1[[#This Row],[Recreation and amusement]])</f>
        <v>1</v>
      </c>
      <c r="BI142">
        <f>TYPE(All_India_Index_Upto_April23__1[[#This Row],[Education]])</f>
        <v>1</v>
      </c>
      <c r="BJ142">
        <f>TYPE(All_India_Index_Upto_April23__1[[#This Row],[Personal care and effects]])</f>
        <v>1</v>
      </c>
      <c r="BK142">
        <f>TYPE(All_India_Index_Upto_April23__1[[#This Row],[Miscellaneous]])</f>
        <v>1</v>
      </c>
      <c r="BL142">
        <f>TYPE(All_India_Index_Upto_April23__1[[#This Row],[General index]])</f>
        <v>1</v>
      </c>
    </row>
    <row r="143" spans="1:64" hidden="1" x14ac:dyDescent="0.3">
      <c r="A143" s="25" t="s">
        <v>33</v>
      </c>
      <c r="B143">
        <v>2016</v>
      </c>
      <c r="C143" s="25" t="s">
        <v>43</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t="s">
        <v>134</v>
      </c>
      <c r="V143">
        <v>125</v>
      </c>
      <c r="W143">
        <v>128.6</v>
      </c>
      <c r="X143">
        <v>126.4</v>
      </c>
      <c r="Y143">
        <v>115.7</v>
      </c>
      <c r="Z143">
        <v>124</v>
      </c>
      <c r="AA143">
        <v>132.80000000000001</v>
      </c>
      <c r="AB143">
        <v>122.6</v>
      </c>
      <c r="AC143">
        <v>123.8</v>
      </c>
      <c r="AD143">
        <v>131.19999999999999</v>
      </c>
      <c r="AE143">
        <f>SUM(All_India_Index_Upto_April23__1[[#This Row],[Cereals and products]:[Food and beverages]])</f>
        <v>1759.8</v>
      </c>
      <c r="AF143">
        <f>SUM(All_India_Index_Upto_April23__1[[#This Row],[Clothing]:[Clothing and footwear]])</f>
        <v>400.1</v>
      </c>
      <c r="AG143">
        <f t="shared" si="2"/>
        <v>369.3</v>
      </c>
      <c r="AI143">
        <f>TYPE(All_India_Index_Upto_April23__1[[#This Row],[Sector]])</f>
        <v>2</v>
      </c>
      <c r="AJ143">
        <f>TYPE(All_India_Index_Upto_April23__1[[#This Row],[Year]])</f>
        <v>1</v>
      </c>
      <c r="AK143">
        <f>TYPE(All_India_Index_Upto_April23__1[[#This Row],[Month]])</f>
        <v>2</v>
      </c>
      <c r="AL143">
        <f>TYPE(All_India_Index_Upto_April23__1[[#This Row],[Cereals and products]])</f>
        <v>1</v>
      </c>
      <c r="AM143">
        <f>TYPE(All_India_Index_Upto_April23__1[[#This Row],[Meat and fish]])</f>
        <v>1</v>
      </c>
      <c r="AN143">
        <f>TYPE(All_India_Index_Upto_April23__1[[#This Row],[Egg]])</f>
        <v>1</v>
      </c>
      <c r="AO143">
        <f>TYPE(All_India_Index_Upto_April23__1[[#This Row],[Milk and products]])</f>
        <v>1</v>
      </c>
      <c r="AP143">
        <f>TYPE(All_India_Index_Upto_April23__1[[#This Row],[Oils and fats]])</f>
        <v>1</v>
      </c>
      <c r="AQ143">
        <f>TYPE(All_India_Index_Upto_April23__1[[#This Row],[Fruits]])</f>
        <v>1</v>
      </c>
      <c r="AR143">
        <f>TYPE(All_India_Index_Upto_April23__1[[#This Row],[Vegetables]])</f>
        <v>1</v>
      </c>
      <c r="AS143">
        <f>TYPE(All_India_Index_Upto_April23__1[[#This Row],[Pulses and products]])</f>
        <v>1</v>
      </c>
      <c r="AT143">
        <f>TYPE(All_India_Index_Upto_April23__1[[#This Row],[Sugar and Confectionery]])</f>
        <v>1</v>
      </c>
      <c r="AU143">
        <f>TYPE(All_India_Index_Upto_April23__1[[#This Row],[Spices]])</f>
        <v>1</v>
      </c>
      <c r="AV143">
        <f>TYPE(All_India_Index_Upto_April23__1[[#This Row],[Non-alcoholic beverages]])</f>
        <v>1</v>
      </c>
      <c r="AW143">
        <f>TYPE(All_India_Index_Upto_April23__1[[#This Row],[Prepared meals, snacks, sweets etc.]])</f>
        <v>1</v>
      </c>
      <c r="AX143">
        <f>TYPE(All_India_Index_Upto_April23__1[[#This Row],[Food and beverages]])</f>
        <v>1</v>
      </c>
      <c r="AY143">
        <f>TYPE(All_India_Index_Upto_April23__1[[#This Row],[Pan, tobacco and intoxicants]])</f>
        <v>1</v>
      </c>
      <c r="AZ143">
        <f>TYPE(All_India_Index_Upto_April23__1[[#This Row],[Clothing]])</f>
        <v>1</v>
      </c>
      <c r="BA143">
        <f>TYPE(All_India_Index_Upto_April23__1[[#This Row],[Footwear]])</f>
        <v>1</v>
      </c>
      <c r="BB143">
        <f>TYPE(All_India_Index_Upto_April23__1[[#This Row],[Clothing and footwear]])</f>
        <v>1</v>
      </c>
      <c r="BC143">
        <f>TYPE(All_India_Index_Upto_April23__1[[#This Row],[Housing]])</f>
        <v>2</v>
      </c>
      <c r="BD143">
        <f>TYPE(All_India_Index_Upto_April23__1[[#This Row],[Fuel and light]])</f>
        <v>1</v>
      </c>
      <c r="BE143">
        <f>TYPE(All_India_Index_Upto_April23__1[[#This Row],[Household goods and services]])</f>
        <v>1</v>
      </c>
      <c r="BF143">
        <f>TYPE(All_India_Index_Upto_April23__1[[#This Row],[Health]])</f>
        <v>1</v>
      </c>
      <c r="BG143">
        <f>TYPE(All_India_Index_Upto_April23__1[[#This Row],[Transport and communication]])</f>
        <v>1</v>
      </c>
      <c r="BH143">
        <f>TYPE(All_India_Index_Upto_April23__1[[#This Row],[Recreation and amusement]])</f>
        <v>1</v>
      </c>
      <c r="BI143">
        <f>TYPE(All_India_Index_Upto_April23__1[[#This Row],[Education]])</f>
        <v>1</v>
      </c>
      <c r="BJ143">
        <f>TYPE(All_India_Index_Upto_April23__1[[#This Row],[Personal care and effects]])</f>
        <v>1</v>
      </c>
      <c r="BK143">
        <f>TYPE(All_India_Index_Upto_April23__1[[#This Row],[Miscellaneous]])</f>
        <v>1</v>
      </c>
      <c r="BL143">
        <f>TYPE(All_India_Index_Upto_April23__1[[#This Row],[General index]])</f>
        <v>1</v>
      </c>
    </row>
    <row r="144" spans="1:64" hidden="1" x14ac:dyDescent="0.3">
      <c r="A144" s="25" t="s">
        <v>30</v>
      </c>
      <c r="B144">
        <v>2016</v>
      </c>
      <c r="C144" s="25" t="s">
        <v>44</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U144" t="s">
        <v>89</v>
      </c>
      <c r="V144">
        <v>132</v>
      </c>
      <c r="W144">
        <v>132.9</v>
      </c>
      <c r="X144">
        <v>129.69999999999999</v>
      </c>
      <c r="Y144">
        <v>118.6</v>
      </c>
      <c r="Z144">
        <v>127.3</v>
      </c>
      <c r="AA144">
        <v>134.19999999999999</v>
      </c>
      <c r="AB144">
        <v>121.9</v>
      </c>
      <c r="AC144">
        <v>126.3</v>
      </c>
      <c r="AD144">
        <v>132.80000000000001</v>
      </c>
      <c r="AE144">
        <f>SUM(All_India_Index_Upto_April23__1[[#This Row],[Cereals and products]:[Food and beverages]])</f>
        <v>1749.1</v>
      </c>
      <c r="AF144">
        <f>SUM(All_India_Index_Upto_April23__1[[#This Row],[Clothing]:[Clothing and footwear]])</f>
        <v>415.3</v>
      </c>
      <c r="AG144">
        <f t="shared" si="2"/>
        <v>383.5</v>
      </c>
      <c r="AI144">
        <f>TYPE(All_India_Index_Upto_April23__1[[#This Row],[Sector]])</f>
        <v>2</v>
      </c>
      <c r="AJ144">
        <f>TYPE(All_India_Index_Upto_April23__1[[#This Row],[Year]])</f>
        <v>1</v>
      </c>
      <c r="AK144">
        <f>TYPE(All_India_Index_Upto_April23__1[[#This Row],[Month]])</f>
        <v>2</v>
      </c>
      <c r="AL144">
        <f>TYPE(All_India_Index_Upto_April23__1[[#This Row],[Cereals and products]])</f>
        <v>1</v>
      </c>
      <c r="AM144">
        <f>TYPE(All_India_Index_Upto_April23__1[[#This Row],[Meat and fish]])</f>
        <v>1</v>
      </c>
      <c r="AN144">
        <f>TYPE(All_India_Index_Upto_April23__1[[#This Row],[Egg]])</f>
        <v>1</v>
      </c>
      <c r="AO144">
        <f>TYPE(All_India_Index_Upto_April23__1[[#This Row],[Milk and products]])</f>
        <v>1</v>
      </c>
      <c r="AP144">
        <f>TYPE(All_India_Index_Upto_April23__1[[#This Row],[Oils and fats]])</f>
        <v>1</v>
      </c>
      <c r="AQ144">
        <f>TYPE(All_India_Index_Upto_April23__1[[#This Row],[Fruits]])</f>
        <v>1</v>
      </c>
      <c r="AR144">
        <f>TYPE(All_India_Index_Upto_April23__1[[#This Row],[Vegetables]])</f>
        <v>1</v>
      </c>
      <c r="AS144">
        <f>TYPE(All_India_Index_Upto_April23__1[[#This Row],[Pulses and products]])</f>
        <v>1</v>
      </c>
      <c r="AT144">
        <f>TYPE(All_India_Index_Upto_April23__1[[#This Row],[Sugar and Confectionery]])</f>
        <v>1</v>
      </c>
      <c r="AU144">
        <f>TYPE(All_India_Index_Upto_April23__1[[#This Row],[Spices]])</f>
        <v>1</v>
      </c>
      <c r="AV144">
        <f>TYPE(All_India_Index_Upto_April23__1[[#This Row],[Non-alcoholic beverages]])</f>
        <v>1</v>
      </c>
      <c r="AW144">
        <f>TYPE(All_India_Index_Upto_April23__1[[#This Row],[Prepared meals, snacks, sweets etc.]])</f>
        <v>1</v>
      </c>
      <c r="AX144">
        <f>TYPE(All_India_Index_Upto_April23__1[[#This Row],[Food and beverages]])</f>
        <v>1</v>
      </c>
      <c r="AY144">
        <f>TYPE(All_India_Index_Upto_April23__1[[#This Row],[Pan, tobacco and intoxicants]])</f>
        <v>1</v>
      </c>
      <c r="AZ144">
        <f>TYPE(All_India_Index_Upto_April23__1[[#This Row],[Clothing]])</f>
        <v>1</v>
      </c>
      <c r="BA144">
        <f>TYPE(All_India_Index_Upto_April23__1[[#This Row],[Footwear]])</f>
        <v>1</v>
      </c>
      <c r="BB144">
        <f>TYPE(All_India_Index_Upto_April23__1[[#This Row],[Clothing and footwear]])</f>
        <v>1</v>
      </c>
      <c r="BC144">
        <f>TYPE(All_India_Index_Upto_April23__1[[#This Row],[Housing]])</f>
        <v>2</v>
      </c>
      <c r="BD144">
        <f>TYPE(All_India_Index_Upto_April23__1[[#This Row],[Fuel and light]])</f>
        <v>1</v>
      </c>
      <c r="BE144">
        <f>TYPE(All_India_Index_Upto_April23__1[[#This Row],[Household goods and services]])</f>
        <v>1</v>
      </c>
      <c r="BF144">
        <f>TYPE(All_India_Index_Upto_April23__1[[#This Row],[Health]])</f>
        <v>1</v>
      </c>
      <c r="BG144">
        <f>TYPE(All_India_Index_Upto_April23__1[[#This Row],[Transport and communication]])</f>
        <v>1</v>
      </c>
      <c r="BH144">
        <f>TYPE(All_India_Index_Upto_April23__1[[#This Row],[Recreation and amusement]])</f>
        <v>1</v>
      </c>
      <c r="BI144">
        <f>TYPE(All_India_Index_Upto_April23__1[[#This Row],[Education]])</f>
        <v>1</v>
      </c>
      <c r="BJ144">
        <f>TYPE(All_India_Index_Upto_April23__1[[#This Row],[Personal care and effects]])</f>
        <v>1</v>
      </c>
      <c r="BK144">
        <f>TYPE(All_India_Index_Upto_April23__1[[#This Row],[Miscellaneous]])</f>
        <v>1</v>
      </c>
      <c r="BL144">
        <f>TYPE(All_India_Index_Upto_April23__1[[#This Row],[General index]])</f>
        <v>1</v>
      </c>
    </row>
    <row r="145" spans="1:64" hidden="1" x14ac:dyDescent="0.3">
      <c r="A145" s="25" t="s">
        <v>32</v>
      </c>
      <c r="B145">
        <v>2016</v>
      </c>
      <c r="C145" s="25" t="s">
        <v>44</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t="s">
        <v>135</v>
      </c>
      <c r="V145">
        <v>117.8</v>
      </c>
      <c r="W145">
        <v>125</v>
      </c>
      <c r="X145">
        <v>122.3</v>
      </c>
      <c r="Y145">
        <v>113.7</v>
      </c>
      <c r="Z145">
        <v>121.8</v>
      </c>
      <c r="AA145">
        <v>132.30000000000001</v>
      </c>
      <c r="AB145">
        <v>119.9</v>
      </c>
      <c r="AC145">
        <v>121.4</v>
      </c>
      <c r="AD145">
        <v>127.6</v>
      </c>
      <c r="AE145">
        <f>SUM(All_India_Index_Upto_April23__1[[#This Row],[Cereals and products]:[Food and beverages]])</f>
        <v>1729.8</v>
      </c>
      <c r="AF145">
        <f>SUM(All_India_Index_Upto_April23__1[[#This Row],[Clothing]:[Clothing and footwear]])</f>
        <v>381</v>
      </c>
      <c r="AG145">
        <f t="shared" si="2"/>
        <v>356.5</v>
      </c>
      <c r="AI145">
        <f>TYPE(All_India_Index_Upto_April23__1[[#This Row],[Sector]])</f>
        <v>2</v>
      </c>
      <c r="AJ145">
        <f>TYPE(All_India_Index_Upto_April23__1[[#This Row],[Year]])</f>
        <v>1</v>
      </c>
      <c r="AK145">
        <f>TYPE(All_India_Index_Upto_April23__1[[#This Row],[Month]])</f>
        <v>2</v>
      </c>
      <c r="AL145">
        <f>TYPE(All_India_Index_Upto_April23__1[[#This Row],[Cereals and products]])</f>
        <v>1</v>
      </c>
      <c r="AM145">
        <f>TYPE(All_India_Index_Upto_April23__1[[#This Row],[Meat and fish]])</f>
        <v>1</v>
      </c>
      <c r="AN145">
        <f>TYPE(All_India_Index_Upto_April23__1[[#This Row],[Egg]])</f>
        <v>1</v>
      </c>
      <c r="AO145">
        <f>TYPE(All_India_Index_Upto_April23__1[[#This Row],[Milk and products]])</f>
        <v>1</v>
      </c>
      <c r="AP145">
        <f>TYPE(All_India_Index_Upto_April23__1[[#This Row],[Oils and fats]])</f>
        <v>1</v>
      </c>
      <c r="AQ145">
        <f>TYPE(All_India_Index_Upto_April23__1[[#This Row],[Fruits]])</f>
        <v>1</v>
      </c>
      <c r="AR145">
        <f>TYPE(All_India_Index_Upto_April23__1[[#This Row],[Vegetables]])</f>
        <v>1</v>
      </c>
      <c r="AS145">
        <f>TYPE(All_India_Index_Upto_April23__1[[#This Row],[Pulses and products]])</f>
        <v>1</v>
      </c>
      <c r="AT145">
        <f>TYPE(All_India_Index_Upto_April23__1[[#This Row],[Sugar and Confectionery]])</f>
        <v>1</v>
      </c>
      <c r="AU145">
        <f>TYPE(All_India_Index_Upto_April23__1[[#This Row],[Spices]])</f>
        <v>1</v>
      </c>
      <c r="AV145">
        <f>TYPE(All_India_Index_Upto_April23__1[[#This Row],[Non-alcoholic beverages]])</f>
        <v>1</v>
      </c>
      <c r="AW145">
        <f>TYPE(All_India_Index_Upto_April23__1[[#This Row],[Prepared meals, snacks, sweets etc.]])</f>
        <v>1</v>
      </c>
      <c r="AX145">
        <f>TYPE(All_India_Index_Upto_April23__1[[#This Row],[Food and beverages]])</f>
        <v>1</v>
      </c>
      <c r="AY145">
        <f>TYPE(All_India_Index_Upto_April23__1[[#This Row],[Pan, tobacco and intoxicants]])</f>
        <v>1</v>
      </c>
      <c r="AZ145">
        <f>TYPE(All_India_Index_Upto_April23__1[[#This Row],[Clothing]])</f>
        <v>1</v>
      </c>
      <c r="BA145">
        <f>TYPE(All_India_Index_Upto_April23__1[[#This Row],[Footwear]])</f>
        <v>1</v>
      </c>
      <c r="BB145">
        <f>TYPE(All_India_Index_Upto_April23__1[[#This Row],[Clothing and footwear]])</f>
        <v>1</v>
      </c>
      <c r="BC145">
        <f>TYPE(All_India_Index_Upto_April23__1[[#This Row],[Housing]])</f>
        <v>2</v>
      </c>
      <c r="BD145">
        <f>TYPE(All_India_Index_Upto_April23__1[[#This Row],[Fuel and light]])</f>
        <v>1</v>
      </c>
      <c r="BE145">
        <f>TYPE(All_India_Index_Upto_April23__1[[#This Row],[Household goods and services]])</f>
        <v>1</v>
      </c>
      <c r="BF145">
        <f>TYPE(All_India_Index_Upto_April23__1[[#This Row],[Health]])</f>
        <v>1</v>
      </c>
      <c r="BG145">
        <f>TYPE(All_India_Index_Upto_April23__1[[#This Row],[Transport and communication]])</f>
        <v>1</v>
      </c>
      <c r="BH145">
        <f>TYPE(All_India_Index_Upto_April23__1[[#This Row],[Recreation and amusement]])</f>
        <v>1</v>
      </c>
      <c r="BI145">
        <f>TYPE(All_India_Index_Upto_April23__1[[#This Row],[Education]])</f>
        <v>1</v>
      </c>
      <c r="BJ145">
        <f>TYPE(All_India_Index_Upto_April23__1[[#This Row],[Personal care and effects]])</f>
        <v>1</v>
      </c>
      <c r="BK145">
        <f>TYPE(All_India_Index_Upto_April23__1[[#This Row],[Miscellaneous]])</f>
        <v>1</v>
      </c>
      <c r="BL145">
        <f>TYPE(All_India_Index_Upto_April23__1[[#This Row],[General index]])</f>
        <v>1</v>
      </c>
    </row>
    <row r="146" spans="1:64" hidden="1" x14ac:dyDescent="0.3">
      <c r="A146" t="s">
        <v>33</v>
      </c>
      <c r="B146">
        <v>2016</v>
      </c>
      <c r="C146" t="s">
        <v>44</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t="s">
        <v>135</v>
      </c>
      <c r="V146">
        <v>126.6</v>
      </c>
      <c r="W146">
        <v>129.19999999999999</v>
      </c>
      <c r="X146">
        <v>126.9</v>
      </c>
      <c r="Y146">
        <v>116</v>
      </c>
      <c r="Z146">
        <v>124.2</v>
      </c>
      <c r="AA146">
        <v>133.1</v>
      </c>
      <c r="AB146">
        <v>121.1</v>
      </c>
      <c r="AC146">
        <v>123.9</v>
      </c>
      <c r="AD146">
        <v>130.4</v>
      </c>
      <c r="AE146">
        <f>SUM(All_India_Index_Upto_April23__1[[#This Row],[Cereals and products]:[Food and beverages]])</f>
        <v>1740.7</v>
      </c>
      <c r="AF146">
        <f>SUM(All_India_Index_Upto_April23__1[[#This Row],[Clothing]:[Clothing and footwear]])</f>
        <v>401.5</v>
      </c>
      <c r="AG146">
        <f t="shared" si="2"/>
        <v>371.79999999999995</v>
      </c>
      <c r="AI146">
        <f>TYPE(All_India_Index_Upto_April23__1[[#This Row],[Sector]])</f>
        <v>2</v>
      </c>
      <c r="AJ146">
        <f>TYPE(All_India_Index_Upto_April23__1[[#This Row],[Year]])</f>
        <v>1</v>
      </c>
      <c r="AK146">
        <f>TYPE(All_India_Index_Upto_April23__1[[#This Row],[Month]])</f>
        <v>2</v>
      </c>
      <c r="AL146">
        <f>TYPE(All_India_Index_Upto_April23__1[[#This Row],[Cereals and products]])</f>
        <v>1</v>
      </c>
      <c r="AM146">
        <f>TYPE(All_India_Index_Upto_April23__1[[#This Row],[Meat and fish]])</f>
        <v>1</v>
      </c>
      <c r="AN146">
        <f>TYPE(All_India_Index_Upto_April23__1[[#This Row],[Egg]])</f>
        <v>1</v>
      </c>
      <c r="AO146">
        <f>TYPE(All_India_Index_Upto_April23__1[[#This Row],[Milk and products]])</f>
        <v>1</v>
      </c>
      <c r="AP146">
        <f>TYPE(All_India_Index_Upto_April23__1[[#This Row],[Oils and fats]])</f>
        <v>1</v>
      </c>
      <c r="AQ146">
        <f>TYPE(All_India_Index_Upto_April23__1[[#This Row],[Fruits]])</f>
        <v>1</v>
      </c>
      <c r="AR146">
        <f>TYPE(All_India_Index_Upto_April23__1[[#This Row],[Vegetables]])</f>
        <v>1</v>
      </c>
      <c r="AS146">
        <f>TYPE(All_India_Index_Upto_April23__1[[#This Row],[Pulses and products]])</f>
        <v>1</v>
      </c>
      <c r="AT146">
        <f>TYPE(All_India_Index_Upto_April23__1[[#This Row],[Sugar and Confectionery]])</f>
        <v>1</v>
      </c>
      <c r="AU146">
        <f>TYPE(All_India_Index_Upto_April23__1[[#This Row],[Spices]])</f>
        <v>1</v>
      </c>
      <c r="AV146">
        <f>TYPE(All_India_Index_Upto_April23__1[[#This Row],[Non-alcoholic beverages]])</f>
        <v>1</v>
      </c>
      <c r="AW146">
        <f>TYPE(All_India_Index_Upto_April23__1[[#This Row],[Prepared meals, snacks, sweets etc.]])</f>
        <v>1</v>
      </c>
      <c r="AX146">
        <f>TYPE(All_India_Index_Upto_April23__1[[#This Row],[Food and beverages]])</f>
        <v>1</v>
      </c>
      <c r="AY146">
        <f>TYPE(All_India_Index_Upto_April23__1[[#This Row],[Pan, tobacco and intoxicants]])</f>
        <v>1</v>
      </c>
      <c r="AZ146">
        <f>TYPE(All_India_Index_Upto_April23__1[[#This Row],[Clothing]])</f>
        <v>1</v>
      </c>
      <c r="BA146">
        <f>TYPE(All_India_Index_Upto_April23__1[[#This Row],[Footwear]])</f>
        <v>1</v>
      </c>
      <c r="BB146">
        <f>TYPE(All_India_Index_Upto_April23__1[[#This Row],[Clothing and footwear]])</f>
        <v>1</v>
      </c>
      <c r="BC146">
        <f>TYPE(All_India_Index_Upto_April23__1[[#This Row],[Housing]])</f>
        <v>2</v>
      </c>
      <c r="BD146">
        <f>TYPE(All_India_Index_Upto_April23__1[[#This Row],[Fuel and light]])</f>
        <v>1</v>
      </c>
      <c r="BE146">
        <f>TYPE(All_India_Index_Upto_April23__1[[#This Row],[Household goods and services]])</f>
        <v>1</v>
      </c>
      <c r="BF146">
        <f>TYPE(All_India_Index_Upto_April23__1[[#This Row],[Health]])</f>
        <v>1</v>
      </c>
      <c r="BG146">
        <f>TYPE(All_India_Index_Upto_April23__1[[#This Row],[Transport and communication]])</f>
        <v>1</v>
      </c>
      <c r="BH146">
        <f>TYPE(All_India_Index_Upto_April23__1[[#This Row],[Recreation and amusement]])</f>
        <v>1</v>
      </c>
      <c r="BI146">
        <f>TYPE(All_India_Index_Upto_April23__1[[#This Row],[Education]])</f>
        <v>1</v>
      </c>
      <c r="BJ146">
        <f>TYPE(All_India_Index_Upto_April23__1[[#This Row],[Personal care and effects]])</f>
        <v>1</v>
      </c>
      <c r="BK146">
        <f>TYPE(All_India_Index_Upto_April23__1[[#This Row],[Miscellaneous]])</f>
        <v>1</v>
      </c>
      <c r="BL146">
        <f>TYPE(All_India_Index_Upto_April23__1[[#This Row],[General index]])</f>
        <v>1</v>
      </c>
    </row>
    <row r="147" spans="1:64" hidden="1" x14ac:dyDescent="0.3">
      <c r="A147" t="s">
        <v>30</v>
      </c>
      <c r="B147">
        <v>2017</v>
      </c>
      <c r="C147" t="s">
        <v>31</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U147" t="s">
        <v>89</v>
      </c>
      <c r="V147">
        <v>132.1</v>
      </c>
      <c r="W147">
        <v>133.19999999999999</v>
      </c>
      <c r="X147">
        <v>129.9</v>
      </c>
      <c r="Y147">
        <v>119.1</v>
      </c>
      <c r="Z147">
        <v>127</v>
      </c>
      <c r="AA147">
        <v>134.6</v>
      </c>
      <c r="AB147">
        <v>122.3</v>
      </c>
      <c r="AC147">
        <v>126.6</v>
      </c>
      <c r="AD147">
        <v>132.4</v>
      </c>
      <c r="AE147">
        <f>SUM(All_India_Index_Upto_April23__1[[#This Row],[Cereals and products]:[Food and beverages]])</f>
        <v>1737.3000000000002</v>
      </c>
      <c r="AF147">
        <f>SUM(All_India_Index_Upto_April23__1[[#This Row],[Clothing]:[Clothing and footwear]])</f>
        <v>416.5</v>
      </c>
      <c r="AG147">
        <f t="shared" si="2"/>
        <v>384.4</v>
      </c>
      <c r="AI147">
        <f>TYPE(All_India_Index_Upto_April23__1[[#This Row],[Sector]])</f>
        <v>2</v>
      </c>
      <c r="AJ147">
        <f>TYPE(All_India_Index_Upto_April23__1[[#This Row],[Year]])</f>
        <v>1</v>
      </c>
      <c r="AK147">
        <f>TYPE(All_India_Index_Upto_April23__1[[#This Row],[Month]])</f>
        <v>2</v>
      </c>
      <c r="AL147">
        <f>TYPE(All_India_Index_Upto_April23__1[[#This Row],[Cereals and products]])</f>
        <v>1</v>
      </c>
      <c r="AM147">
        <f>TYPE(All_India_Index_Upto_April23__1[[#This Row],[Meat and fish]])</f>
        <v>1</v>
      </c>
      <c r="AN147">
        <f>TYPE(All_India_Index_Upto_April23__1[[#This Row],[Egg]])</f>
        <v>1</v>
      </c>
      <c r="AO147">
        <f>TYPE(All_India_Index_Upto_April23__1[[#This Row],[Milk and products]])</f>
        <v>1</v>
      </c>
      <c r="AP147">
        <f>TYPE(All_India_Index_Upto_April23__1[[#This Row],[Oils and fats]])</f>
        <v>1</v>
      </c>
      <c r="AQ147">
        <f>TYPE(All_India_Index_Upto_April23__1[[#This Row],[Fruits]])</f>
        <v>1</v>
      </c>
      <c r="AR147">
        <f>TYPE(All_India_Index_Upto_April23__1[[#This Row],[Vegetables]])</f>
        <v>1</v>
      </c>
      <c r="AS147">
        <f>TYPE(All_India_Index_Upto_April23__1[[#This Row],[Pulses and products]])</f>
        <v>1</v>
      </c>
      <c r="AT147">
        <f>TYPE(All_India_Index_Upto_April23__1[[#This Row],[Sugar and Confectionery]])</f>
        <v>1</v>
      </c>
      <c r="AU147">
        <f>TYPE(All_India_Index_Upto_April23__1[[#This Row],[Spices]])</f>
        <v>1</v>
      </c>
      <c r="AV147">
        <f>TYPE(All_India_Index_Upto_April23__1[[#This Row],[Non-alcoholic beverages]])</f>
        <v>1</v>
      </c>
      <c r="AW147">
        <f>TYPE(All_India_Index_Upto_April23__1[[#This Row],[Prepared meals, snacks, sweets etc.]])</f>
        <v>1</v>
      </c>
      <c r="AX147">
        <f>TYPE(All_India_Index_Upto_April23__1[[#This Row],[Food and beverages]])</f>
        <v>1</v>
      </c>
      <c r="AY147">
        <f>TYPE(All_India_Index_Upto_April23__1[[#This Row],[Pan, tobacco and intoxicants]])</f>
        <v>1</v>
      </c>
      <c r="AZ147">
        <f>TYPE(All_India_Index_Upto_April23__1[[#This Row],[Clothing]])</f>
        <v>1</v>
      </c>
      <c r="BA147">
        <f>TYPE(All_India_Index_Upto_April23__1[[#This Row],[Footwear]])</f>
        <v>1</v>
      </c>
      <c r="BB147">
        <f>TYPE(All_India_Index_Upto_April23__1[[#This Row],[Clothing and footwear]])</f>
        <v>1</v>
      </c>
      <c r="BC147">
        <f>TYPE(All_India_Index_Upto_April23__1[[#This Row],[Housing]])</f>
        <v>2</v>
      </c>
      <c r="BD147">
        <f>TYPE(All_India_Index_Upto_April23__1[[#This Row],[Fuel and light]])</f>
        <v>1</v>
      </c>
      <c r="BE147">
        <f>TYPE(All_India_Index_Upto_April23__1[[#This Row],[Household goods and services]])</f>
        <v>1</v>
      </c>
      <c r="BF147">
        <f>TYPE(All_India_Index_Upto_April23__1[[#This Row],[Health]])</f>
        <v>1</v>
      </c>
      <c r="BG147">
        <f>TYPE(All_India_Index_Upto_April23__1[[#This Row],[Transport and communication]])</f>
        <v>1</v>
      </c>
      <c r="BH147">
        <f>TYPE(All_India_Index_Upto_April23__1[[#This Row],[Recreation and amusement]])</f>
        <v>1</v>
      </c>
      <c r="BI147">
        <f>TYPE(All_India_Index_Upto_April23__1[[#This Row],[Education]])</f>
        <v>1</v>
      </c>
      <c r="BJ147">
        <f>TYPE(All_India_Index_Upto_April23__1[[#This Row],[Personal care and effects]])</f>
        <v>1</v>
      </c>
      <c r="BK147">
        <f>TYPE(All_India_Index_Upto_April23__1[[#This Row],[Miscellaneous]])</f>
        <v>1</v>
      </c>
      <c r="BL147">
        <f>TYPE(All_India_Index_Upto_April23__1[[#This Row],[General index]])</f>
        <v>1</v>
      </c>
    </row>
    <row r="148" spans="1:64" hidden="1" x14ac:dyDescent="0.3">
      <c r="A148" t="s">
        <v>32</v>
      </c>
      <c r="B148">
        <v>2017</v>
      </c>
      <c r="C148" t="s">
        <v>31</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t="s">
        <v>136</v>
      </c>
      <c r="V148">
        <v>118</v>
      </c>
      <c r="W148">
        <v>125.1</v>
      </c>
      <c r="X148">
        <v>122.6</v>
      </c>
      <c r="Y148">
        <v>115.2</v>
      </c>
      <c r="Z148">
        <v>122</v>
      </c>
      <c r="AA148">
        <v>132.4</v>
      </c>
      <c r="AB148">
        <v>120.9</v>
      </c>
      <c r="AC148">
        <v>122.1</v>
      </c>
      <c r="AD148">
        <v>127.8</v>
      </c>
      <c r="AE148">
        <f>SUM(All_India_Index_Upto_April23__1[[#This Row],[Cereals and products]:[Food and beverages]])</f>
        <v>1713.2</v>
      </c>
      <c r="AF148">
        <f>SUM(All_India_Index_Upto_April23__1[[#This Row],[Clothing]:[Clothing and footwear]])</f>
        <v>381.5</v>
      </c>
      <c r="AG148">
        <f t="shared" si="2"/>
        <v>358.3</v>
      </c>
      <c r="AI148">
        <f>TYPE(All_India_Index_Upto_April23__1[[#This Row],[Sector]])</f>
        <v>2</v>
      </c>
      <c r="AJ148">
        <f>TYPE(All_India_Index_Upto_April23__1[[#This Row],[Year]])</f>
        <v>1</v>
      </c>
      <c r="AK148">
        <f>TYPE(All_India_Index_Upto_April23__1[[#This Row],[Month]])</f>
        <v>2</v>
      </c>
      <c r="AL148">
        <f>TYPE(All_India_Index_Upto_April23__1[[#This Row],[Cereals and products]])</f>
        <v>1</v>
      </c>
      <c r="AM148">
        <f>TYPE(All_India_Index_Upto_April23__1[[#This Row],[Meat and fish]])</f>
        <v>1</v>
      </c>
      <c r="AN148">
        <f>TYPE(All_India_Index_Upto_April23__1[[#This Row],[Egg]])</f>
        <v>1</v>
      </c>
      <c r="AO148">
        <f>TYPE(All_India_Index_Upto_April23__1[[#This Row],[Milk and products]])</f>
        <v>1</v>
      </c>
      <c r="AP148">
        <f>TYPE(All_India_Index_Upto_April23__1[[#This Row],[Oils and fats]])</f>
        <v>1</v>
      </c>
      <c r="AQ148">
        <f>TYPE(All_India_Index_Upto_April23__1[[#This Row],[Fruits]])</f>
        <v>1</v>
      </c>
      <c r="AR148">
        <f>TYPE(All_India_Index_Upto_April23__1[[#This Row],[Vegetables]])</f>
        <v>1</v>
      </c>
      <c r="AS148">
        <f>TYPE(All_India_Index_Upto_April23__1[[#This Row],[Pulses and products]])</f>
        <v>1</v>
      </c>
      <c r="AT148">
        <f>TYPE(All_India_Index_Upto_April23__1[[#This Row],[Sugar and Confectionery]])</f>
        <v>1</v>
      </c>
      <c r="AU148">
        <f>TYPE(All_India_Index_Upto_April23__1[[#This Row],[Spices]])</f>
        <v>1</v>
      </c>
      <c r="AV148">
        <f>TYPE(All_India_Index_Upto_April23__1[[#This Row],[Non-alcoholic beverages]])</f>
        <v>1</v>
      </c>
      <c r="AW148">
        <f>TYPE(All_India_Index_Upto_April23__1[[#This Row],[Prepared meals, snacks, sweets etc.]])</f>
        <v>1</v>
      </c>
      <c r="AX148">
        <f>TYPE(All_India_Index_Upto_April23__1[[#This Row],[Food and beverages]])</f>
        <v>1</v>
      </c>
      <c r="AY148">
        <f>TYPE(All_India_Index_Upto_April23__1[[#This Row],[Pan, tobacco and intoxicants]])</f>
        <v>1</v>
      </c>
      <c r="AZ148">
        <f>TYPE(All_India_Index_Upto_April23__1[[#This Row],[Clothing]])</f>
        <v>1</v>
      </c>
      <c r="BA148">
        <f>TYPE(All_India_Index_Upto_April23__1[[#This Row],[Footwear]])</f>
        <v>1</v>
      </c>
      <c r="BB148">
        <f>TYPE(All_India_Index_Upto_April23__1[[#This Row],[Clothing and footwear]])</f>
        <v>1</v>
      </c>
      <c r="BC148">
        <f>TYPE(All_India_Index_Upto_April23__1[[#This Row],[Housing]])</f>
        <v>2</v>
      </c>
      <c r="BD148">
        <f>TYPE(All_India_Index_Upto_April23__1[[#This Row],[Fuel and light]])</f>
        <v>1</v>
      </c>
      <c r="BE148">
        <f>TYPE(All_India_Index_Upto_April23__1[[#This Row],[Household goods and services]])</f>
        <v>1</v>
      </c>
      <c r="BF148">
        <f>TYPE(All_India_Index_Upto_April23__1[[#This Row],[Health]])</f>
        <v>1</v>
      </c>
      <c r="BG148">
        <f>TYPE(All_India_Index_Upto_April23__1[[#This Row],[Transport and communication]])</f>
        <v>1</v>
      </c>
      <c r="BH148">
        <f>TYPE(All_India_Index_Upto_April23__1[[#This Row],[Recreation and amusement]])</f>
        <v>1</v>
      </c>
      <c r="BI148">
        <f>TYPE(All_India_Index_Upto_April23__1[[#This Row],[Education]])</f>
        <v>1</v>
      </c>
      <c r="BJ148">
        <f>TYPE(All_India_Index_Upto_April23__1[[#This Row],[Personal care and effects]])</f>
        <v>1</v>
      </c>
      <c r="BK148">
        <f>TYPE(All_India_Index_Upto_April23__1[[#This Row],[Miscellaneous]])</f>
        <v>1</v>
      </c>
      <c r="BL148">
        <f>TYPE(All_India_Index_Upto_April23__1[[#This Row],[General index]])</f>
        <v>1</v>
      </c>
    </row>
    <row r="149" spans="1:64" hidden="1" x14ac:dyDescent="0.3">
      <c r="A149" t="s">
        <v>33</v>
      </c>
      <c r="B149">
        <v>2017</v>
      </c>
      <c r="C149" t="s">
        <v>31</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t="s">
        <v>136</v>
      </c>
      <c r="V149">
        <v>126.8</v>
      </c>
      <c r="W149">
        <v>129.4</v>
      </c>
      <c r="X149">
        <v>127.1</v>
      </c>
      <c r="Y149">
        <v>117</v>
      </c>
      <c r="Z149">
        <v>124.2</v>
      </c>
      <c r="AA149">
        <v>133.30000000000001</v>
      </c>
      <c r="AB149">
        <v>121.7</v>
      </c>
      <c r="AC149">
        <v>124.4</v>
      </c>
      <c r="AD149">
        <v>130.30000000000001</v>
      </c>
      <c r="AE149">
        <f>SUM(All_India_Index_Upto_April23__1[[#This Row],[Cereals and products]:[Food and beverages]])</f>
        <v>1727.2999999999995</v>
      </c>
      <c r="AF149">
        <f>SUM(All_India_Index_Upto_April23__1[[#This Row],[Clothing]:[Clothing and footwear]])</f>
        <v>402.4</v>
      </c>
      <c r="AG149">
        <f t="shared" si="2"/>
        <v>373.2</v>
      </c>
      <c r="AI149">
        <f>TYPE(All_India_Index_Upto_April23__1[[#This Row],[Sector]])</f>
        <v>2</v>
      </c>
      <c r="AJ149">
        <f>TYPE(All_India_Index_Upto_April23__1[[#This Row],[Year]])</f>
        <v>1</v>
      </c>
      <c r="AK149">
        <f>TYPE(All_India_Index_Upto_April23__1[[#This Row],[Month]])</f>
        <v>2</v>
      </c>
      <c r="AL149">
        <f>TYPE(All_India_Index_Upto_April23__1[[#This Row],[Cereals and products]])</f>
        <v>1</v>
      </c>
      <c r="AM149">
        <f>TYPE(All_India_Index_Upto_April23__1[[#This Row],[Meat and fish]])</f>
        <v>1</v>
      </c>
      <c r="AN149">
        <f>TYPE(All_India_Index_Upto_April23__1[[#This Row],[Egg]])</f>
        <v>1</v>
      </c>
      <c r="AO149">
        <f>TYPE(All_India_Index_Upto_April23__1[[#This Row],[Milk and products]])</f>
        <v>1</v>
      </c>
      <c r="AP149">
        <f>TYPE(All_India_Index_Upto_April23__1[[#This Row],[Oils and fats]])</f>
        <v>1</v>
      </c>
      <c r="AQ149">
        <f>TYPE(All_India_Index_Upto_April23__1[[#This Row],[Fruits]])</f>
        <v>1</v>
      </c>
      <c r="AR149">
        <f>TYPE(All_India_Index_Upto_April23__1[[#This Row],[Vegetables]])</f>
        <v>1</v>
      </c>
      <c r="AS149">
        <f>TYPE(All_India_Index_Upto_April23__1[[#This Row],[Pulses and products]])</f>
        <v>1</v>
      </c>
      <c r="AT149">
        <f>TYPE(All_India_Index_Upto_April23__1[[#This Row],[Sugar and Confectionery]])</f>
        <v>1</v>
      </c>
      <c r="AU149">
        <f>TYPE(All_India_Index_Upto_April23__1[[#This Row],[Spices]])</f>
        <v>1</v>
      </c>
      <c r="AV149">
        <f>TYPE(All_India_Index_Upto_April23__1[[#This Row],[Non-alcoholic beverages]])</f>
        <v>1</v>
      </c>
      <c r="AW149">
        <f>TYPE(All_India_Index_Upto_April23__1[[#This Row],[Prepared meals, snacks, sweets etc.]])</f>
        <v>1</v>
      </c>
      <c r="AX149">
        <f>TYPE(All_India_Index_Upto_April23__1[[#This Row],[Food and beverages]])</f>
        <v>1</v>
      </c>
      <c r="AY149">
        <f>TYPE(All_India_Index_Upto_April23__1[[#This Row],[Pan, tobacco and intoxicants]])</f>
        <v>1</v>
      </c>
      <c r="AZ149">
        <f>TYPE(All_India_Index_Upto_April23__1[[#This Row],[Clothing]])</f>
        <v>1</v>
      </c>
      <c r="BA149">
        <f>TYPE(All_India_Index_Upto_April23__1[[#This Row],[Footwear]])</f>
        <v>1</v>
      </c>
      <c r="BB149">
        <f>TYPE(All_India_Index_Upto_April23__1[[#This Row],[Clothing and footwear]])</f>
        <v>1</v>
      </c>
      <c r="BC149">
        <f>TYPE(All_India_Index_Upto_April23__1[[#This Row],[Housing]])</f>
        <v>2</v>
      </c>
      <c r="BD149">
        <f>TYPE(All_India_Index_Upto_April23__1[[#This Row],[Fuel and light]])</f>
        <v>1</v>
      </c>
      <c r="BE149">
        <f>TYPE(All_India_Index_Upto_April23__1[[#This Row],[Household goods and services]])</f>
        <v>1</v>
      </c>
      <c r="BF149">
        <f>TYPE(All_India_Index_Upto_April23__1[[#This Row],[Health]])</f>
        <v>1</v>
      </c>
      <c r="BG149">
        <f>TYPE(All_India_Index_Upto_April23__1[[#This Row],[Transport and communication]])</f>
        <v>1</v>
      </c>
      <c r="BH149">
        <f>TYPE(All_India_Index_Upto_April23__1[[#This Row],[Recreation and amusement]])</f>
        <v>1</v>
      </c>
      <c r="BI149">
        <f>TYPE(All_India_Index_Upto_April23__1[[#This Row],[Education]])</f>
        <v>1</v>
      </c>
      <c r="BJ149">
        <f>TYPE(All_India_Index_Upto_April23__1[[#This Row],[Personal care and effects]])</f>
        <v>1</v>
      </c>
      <c r="BK149">
        <f>TYPE(All_India_Index_Upto_April23__1[[#This Row],[Miscellaneous]])</f>
        <v>1</v>
      </c>
      <c r="BL149">
        <f>TYPE(All_India_Index_Upto_April23__1[[#This Row],[General index]])</f>
        <v>1</v>
      </c>
    </row>
    <row r="150" spans="1:64" hidden="1" x14ac:dyDescent="0.3">
      <c r="A150" t="s">
        <v>30</v>
      </c>
      <c r="B150">
        <v>2017</v>
      </c>
      <c r="C150" t="s">
        <v>34</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U150" t="s">
        <v>89</v>
      </c>
      <c r="V150">
        <v>133.19999999999999</v>
      </c>
      <c r="W150">
        <v>133.6</v>
      </c>
      <c r="X150">
        <v>130.1</v>
      </c>
      <c r="Y150">
        <v>119.5</v>
      </c>
      <c r="Z150">
        <v>127.7</v>
      </c>
      <c r="AA150">
        <v>134.9</v>
      </c>
      <c r="AB150">
        <v>123.2</v>
      </c>
      <c r="AC150">
        <v>127</v>
      </c>
      <c r="AD150">
        <v>132.6</v>
      </c>
      <c r="AE150">
        <f>SUM(All_India_Index_Upto_April23__1[[#This Row],[Cereals and products]:[Food and beverages]])</f>
        <v>1734.5000000000002</v>
      </c>
      <c r="AF150">
        <f>SUM(All_India_Index_Upto_April23__1[[#This Row],[Clothing]:[Clothing and footwear]])</f>
        <v>416.90000000000003</v>
      </c>
      <c r="AG150">
        <f t="shared" si="2"/>
        <v>386.29999999999995</v>
      </c>
      <c r="AI150">
        <f>TYPE(All_India_Index_Upto_April23__1[[#This Row],[Sector]])</f>
        <v>2</v>
      </c>
      <c r="AJ150">
        <f>TYPE(All_India_Index_Upto_April23__1[[#This Row],[Year]])</f>
        <v>1</v>
      </c>
      <c r="AK150">
        <f>TYPE(All_India_Index_Upto_April23__1[[#This Row],[Month]])</f>
        <v>2</v>
      </c>
      <c r="AL150">
        <f>TYPE(All_India_Index_Upto_April23__1[[#This Row],[Cereals and products]])</f>
        <v>1</v>
      </c>
      <c r="AM150">
        <f>TYPE(All_India_Index_Upto_April23__1[[#This Row],[Meat and fish]])</f>
        <v>1</v>
      </c>
      <c r="AN150">
        <f>TYPE(All_India_Index_Upto_April23__1[[#This Row],[Egg]])</f>
        <v>1</v>
      </c>
      <c r="AO150">
        <f>TYPE(All_India_Index_Upto_April23__1[[#This Row],[Milk and products]])</f>
        <v>1</v>
      </c>
      <c r="AP150">
        <f>TYPE(All_India_Index_Upto_April23__1[[#This Row],[Oils and fats]])</f>
        <v>1</v>
      </c>
      <c r="AQ150">
        <f>TYPE(All_India_Index_Upto_April23__1[[#This Row],[Fruits]])</f>
        <v>1</v>
      </c>
      <c r="AR150">
        <f>TYPE(All_India_Index_Upto_April23__1[[#This Row],[Vegetables]])</f>
        <v>1</v>
      </c>
      <c r="AS150">
        <f>TYPE(All_India_Index_Upto_April23__1[[#This Row],[Pulses and products]])</f>
        <v>1</v>
      </c>
      <c r="AT150">
        <f>TYPE(All_India_Index_Upto_April23__1[[#This Row],[Sugar and Confectionery]])</f>
        <v>1</v>
      </c>
      <c r="AU150">
        <f>TYPE(All_India_Index_Upto_April23__1[[#This Row],[Spices]])</f>
        <v>1</v>
      </c>
      <c r="AV150">
        <f>TYPE(All_India_Index_Upto_April23__1[[#This Row],[Non-alcoholic beverages]])</f>
        <v>1</v>
      </c>
      <c r="AW150">
        <f>TYPE(All_India_Index_Upto_April23__1[[#This Row],[Prepared meals, snacks, sweets etc.]])</f>
        <v>1</v>
      </c>
      <c r="AX150">
        <f>TYPE(All_India_Index_Upto_April23__1[[#This Row],[Food and beverages]])</f>
        <v>1</v>
      </c>
      <c r="AY150">
        <f>TYPE(All_India_Index_Upto_April23__1[[#This Row],[Pan, tobacco and intoxicants]])</f>
        <v>1</v>
      </c>
      <c r="AZ150">
        <f>TYPE(All_India_Index_Upto_April23__1[[#This Row],[Clothing]])</f>
        <v>1</v>
      </c>
      <c r="BA150">
        <f>TYPE(All_India_Index_Upto_April23__1[[#This Row],[Footwear]])</f>
        <v>1</v>
      </c>
      <c r="BB150">
        <f>TYPE(All_India_Index_Upto_April23__1[[#This Row],[Clothing and footwear]])</f>
        <v>1</v>
      </c>
      <c r="BC150">
        <f>TYPE(All_India_Index_Upto_April23__1[[#This Row],[Housing]])</f>
        <v>2</v>
      </c>
      <c r="BD150">
        <f>TYPE(All_India_Index_Upto_April23__1[[#This Row],[Fuel and light]])</f>
        <v>1</v>
      </c>
      <c r="BE150">
        <f>TYPE(All_India_Index_Upto_April23__1[[#This Row],[Household goods and services]])</f>
        <v>1</v>
      </c>
      <c r="BF150">
        <f>TYPE(All_India_Index_Upto_April23__1[[#This Row],[Health]])</f>
        <v>1</v>
      </c>
      <c r="BG150">
        <f>TYPE(All_India_Index_Upto_April23__1[[#This Row],[Transport and communication]])</f>
        <v>1</v>
      </c>
      <c r="BH150">
        <f>TYPE(All_India_Index_Upto_April23__1[[#This Row],[Recreation and amusement]])</f>
        <v>1</v>
      </c>
      <c r="BI150">
        <f>TYPE(All_India_Index_Upto_April23__1[[#This Row],[Education]])</f>
        <v>1</v>
      </c>
      <c r="BJ150">
        <f>TYPE(All_India_Index_Upto_April23__1[[#This Row],[Personal care and effects]])</f>
        <v>1</v>
      </c>
      <c r="BK150">
        <f>TYPE(All_India_Index_Upto_April23__1[[#This Row],[Miscellaneous]])</f>
        <v>1</v>
      </c>
      <c r="BL150">
        <f>TYPE(All_India_Index_Upto_April23__1[[#This Row],[General index]])</f>
        <v>1</v>
      </c>
    </row>
    <row r="151" spans="1:64" hidden="1" x14ac:dyDescent="0.3">
      <c r="A151" t="s">
        <v>32</v>
      </c>
      <c r="B151">
        <v>2017</v>
      </c>
      <c r="C151" t="s">
        <v>34</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t="s">
        <v>137</v>
      </c>
      <c r="V151">
        <v>119.2</v>
      </c>
      <c r="W151">
        <v>125.3</v>
      </c>
      <c r="X151">
        <v>122.9</v>
      </c>
      <c r="Y151">
        <v>115.5</v>
      </c>
      <c r="Z151">
        <v>122.2</v>
      </c>
      <c r="AA151">
        <v>132.4</v>
      </c>
      <c r="AB151">
        <v>121.7</v>
      </c>
      <c r="AC151">
        <v>122.4</v>
      </c>
      <c r="AD151">
        <v>128.19999999999999</v>
      </c>
      <c r="AE151">
        <f>SUM(All_India_Index_Upto_April23__1[[#This Row],[Cereals and products]:[Food and beverages]])</f>
        <v>1705.3000000000002</v>
      </c>
      <c r="AF151">
        <f>SUM(All_India_Index_Upto_April23__1[[#This Row],[Clothing]:[Clothing and footwear]])</f>
        <v>382.3</v>
      </c>
      <c r="AG151">
        <f t="shared" si="2"/>
        <v>360</v>
      </c>
      <c r="AI151">
        <f>TYPE(All_India_Index_Upto_April23__1[[#This Row],[Sector]])</f>
        <v>2</v>
      </c>
      <c r="AJ151">
        <f>TYPE(All_India_Index_Upto_April23__1[[#This Row],[Year]])</f>
        <v>1</v>
      </c>
      <c r="AK151">
        <f>TYPE(All_India_Index_Upto_April23__1[[#This Row],[Month]])</f>
        <v>2</v>
      </c>
      <c r="AL151">
        <f>TYPE(All_India_Index_Upto_April23__1[[#This Row],[Cereals and products]])</f>
        <v>1</v>
      </c>
      <c r="AM151">
        <f>TYPE(All_India_Index_Upto_April23__1[[#This Row],[Meat and fish]])</f>
        <v>1</v>
      </c>
      <c r="AN151">
        <f>TYPE(All_India_Index_Upto_April23__1[[#This Row],[Egg]])</f>
        <v>1</v>
      </c>
      <c r="AO151">
        <f>TYPE(All_India_Index_Upto_April23__1[[#This Row],[Milk and products]])</f>
        <v>1</v>
      </c>
      <c r="AP151">
        <f>TYPE(All_India_Index_Upto_April23__1[[#This Row],[Oils and fats]])</f>
        <v>1</v>
      </c>
      <c r="AQ151">
        <f>TYPE(All_India_Index_Upto_April23__1[[#This Row],[Fruits]])</f>
        <v>1</v>
      </c>
      <c r="AR151">
        <f>TYPE(All_India_Index_Upto_April23__1[[#This Row],[Vegetables]])</f>
        <v>1</v>
      </c>
      <c r="AS151">
        <f>TYPE(All_India_Index_Upto_April23__1[[#This Row],[Pulses and products]])</f>
        <v>1</v>
      </c>
      <c r="AT151">
        <f>TYPE(All_India_Index_Upto_April23__1[[#This Row],[Sugar and Confectionery]])</f>
        <v>1</v>
      </c>
      <c r="AU151">
        <f>TYPE(All_India_Index_Upto_April23__1[[#This Row],[Spices]])</f>
        <v>1</v>
      </c>
      <c r="AV151">
        <f>TYPE(All_India_Index_Upto_April23__1[[#This Row],[Non-alcoholic beverages]])</f>
        <v>1</v>
      </c>
      <c r="AW151">
        <f>TYPE(All_India_Index_Upto_April23__1[[#This Row],[Prepared meals, snacks, sweets etc.]])</f>
        <v>1</v>
      </c>
      <c r="AX151">
        <f>TYPE(All_India_Index_Upto_April23__1[[#This Row],[Food and beverages]])</f>
        <v>1</v>
      </c>
      <c r="AY151">
        <f>TYPE(All_India_Index_Upto_April23__1[[#This Row],[Pan, tobacco and intoxicants]])</f>
        <v>1</v>
      </c>
      <c r="AZ151">
        <f>TYPE(All_India_Index_Upto_April23__1[[#This Row],[Clothing]])</f>
        <v>1</v>
      </c>
      <c r="BA151">
        <f>TYPE(All_India_Index_Upto_April23__1[[#This Row],[Footwear]])</f>
        <v>1</v>
      </c>
      <c r="BB151">
        <f>TYPE(All_India_Index_Upto_April23__1[[#This Row],[Clothing and footwear]])</f>
        <v>1</v>
      </c>
      <c r="BC151">
        <f>TYPE(All_India_Index_Upto_April23__1[[#This Row],[Housing]])</f>
        <v>2</v>
      </c>
      <c r="BD151">
        <f>TYPE(All_India_Index_Upto_April23__1[[#This Row],[Fuel and light]])</f>
        <v>1</v>
      </c>
      <c r="BE151">
        <f>TYPE(All_India_Index_Upto_April23__1[[#This Row],[Household goods and services]])</f>
        <v>1</v>
      </c>
      <c r="BF151">
        <f>TYPE(All_India_Index_Upto_April23__1[[#This Row],[Health]])</f>
        <v>1</v>
      </c>
      <c r="BG151">
        <f>TYPE(All_India_Index_Upto_April23__1[[#This Row],[Transport and communication]])</f>
        <v>1</v>
      </c>
      <c r="BH151">
        <f>TYPE(All_India_Index_Upto_April23__1[[#This Row],[Recreation and amusement]])</f>
        <v>1</v>
      </c>
      <c r="BI151">
        <f>TYPE(All_India_Index_Upto_April23__1[[#This Row],[Education]])</f>
        <v>1</v>
      </c>
      <c r="BJ151">
        <f>TYPE(All_India_Index_Upto_April23__1[[#This Row],[Personal care and effects]])</f>
        <v>1</v>
      </c>
      <c r="BK151">
        <f>TYPE(All_India_Index_Upto_April23__1[[#This Row],[Miscellaneous]])</f>
        <v>1</v>
      </c>
      <c r="BL151">
        <f>TYPE(All_India_Index_Upto_April23__1[[#This Row],[General index]])</f>
        <v>1</v>
      </c>
    </row>
    <row r="152" spans="1:64" hidden="1" x14ac:dyDescent="0.3">
      <c r="A152" t="s">
        <v>33</v>
      </c>
      <c r="B152">
        <v>2017</v>
      </c>
      <c r="C152" t="s">
        <v>34</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t="s">
        <v>137</v>
      </c>
      <c r="V152">
        <v>127.9</v>
      </c>
      <c r="W152">
        <v>129.69999999999999</v>
      </c>
      <c r="X152">
        <v>127.4</v>
      </c>
      <c r="Y152">
        <v>117.4</v>
      </c>
      <c r="Z152">
        <v>124.6</v>
      </c>
      <c r="AA152">
        <v>133.4</v>
      </c>
      <c r="AB152">
        <v>122.6</v>
      </c>
      <c r="AC152">
        <v>124.8</v>
      </c>
      <c r="AD152">
        <v>130.6</v>
      </c>
      <c r="AE152">
        <f>SUM(All_India_Index_Upto_April23__1[[#This Row],[Cereals and products]:[Food and beverages]])</f>
        <v>1722.3000000000002</v>
      </c>
      <c r="AF152">
        <f>SUM(All_India_Index_Upto_April23__1[[#This Row],[Clothing]:[Clothing and footwear]])</f>
        <v>403</v>
      </c>
      <c r="AG152">
        <f t="shared" si="2"/>
        <v>375</v>
      </c>
      <c r="AI152">
        <f>TYPE(All_India_Index_Upto_April23__1[[#This Row],[Sector]])</f>
        <v>2</v>
      </c>
      <c r="AJ152">
        <f>TYPE(All_India_Index_Upto_April23__1[[#This Row],[Year]])</f>
        <v>1</v>
      </c>
      <c r="AK152">
        <f>TYPE(All_India_Index_Upto_April23__1[[#This Row],[Month]])</f>
        <v>2</v>
      </c>
      <c r="AL152">
        <f>TYPE(All_India_Index_Upto_April23__1[[#This Row],[Cereals and products]])</f>
        <v>1</v>
      </c>
      <c r="AM152">
        <f>TYPE(All_India_Index_Upto_April23__1[[#This Row],[Meat and fish]])</f>
        <v>1</v>
      </c>
      <c r="AN152">
        <f>TYPE(All_India_Index_Upto_April23__1[[#This Row],[Egg]])</f>
        <v>1</v>
      </c>
      <c r="AO152">
        <f>TYPE(All_India_Index_Upto_April23__1[[#This Row],[Milk and products]])</f>
        <v>1</v>
      </c>
      <c r="AP152">
        <f>TYPE(All_India_Index_Upto_April23__1[[#This Row],[Oils and fats]])</f>
        <v>1</v>
      </c>
      <c r="AQ152">
        <f>TYPE(All_India_Index_Upto_April23__1[[#This Row],[Fruits]])</f>
        <v>1</v>
      </c>
      <c r="AR152">
        <f>TYPE(All_India_Index_Upto_April23__1[[#This Row],[Vegetables]])</f>
        <v>1</v>
      </c>
      <c r="AS152">
        <f>TYPE(All_India_Index_Upto_April23__1[[#This Row],[Pulses and products]])</f>
        <v>1</v>
      </c>
      <c r="AT152">
        <f>TYPE(All_India_Index_Upto_April23__1[[#This Row],[Sugar and Confectionery]])</f>
        <v>1</v>
      </c>
      <c r="AU152">
        <f>TYPE(All_India_Index_Upto_April23__1[[#This Row],[Spices]])</f>
        <v>1</v>
      </c>
      <c r="AV152">
        <f>TYPE(All_India_Index_Upto_April23__1[[#This Row],[Non-alcoholic beverages]])</f>
        <v>1</v>
      </c>
      <c r="AW152">
        <f>TYPE(All_India_Index_Upto_April23__1[[#This Row],[Prepared meals, snacks, sweets etc.]])</f>
        <v>1</v>
      </c>
      <c r="AX152">
        <f>TYPE(All_India_Index_Upto_April23__1[[#This Row],[Food and beverages]])</f>
        <v>1</v>
      </c>
      <c r="AY152">
        <f>TYPE(All_India_Index_Upto_April23__1[[#This Row],[Pan, tobacco and intoxicants]])</f>
        <v>1</v>
      </c>
      <c r="AZ152">
        <f>TYPE(All_India_Index_Upto_April23__1[[#This Row],[Clothing]])</f>
        <v>1</v>
      </c>
      <c r="BA152">
        <f>TYPE(All_India_Index_Upto_April23__1[[#This Row],[Footwear]])</f>
        <v>1</v>
      </c>
      <c r="BB152">
        <f>TYPE(All_India_Index_Upto_April23__1[[#This Row],[Clothing and footwear]])</f>
        <v>1</v>
      </c>
      <c r="BC152">
        <f>TYPE(All_India_Index_Upto_April23__1[[#This Row],[Housing]])</f>
        <v>2</v>
      </c>
      <c r="BD152">
        <f>TYPE(All_India_Index_Upto_April23__1[[#This Row],[Fuel and light]])</f>
        <v>1</v>
      </c>
      <c r="BE152">
        <f>TYPE(All_India_Index_Upto_April23__1[[#This Row],[Household goods and services]])</f>
        <v>1</v>
      </c>
      <c r="BF152">
        <f>TYPE(All_India_Index_Upto_April23__1[[#This Row],[Health]])</f>
        <v>1</v>
      </c>
      <c r="BG152">
        <f>TYPE(All_India_Index_Upto_April23__1[[#This Row],[Transport and communication]])</f>
        <v>1</v>
      </c>
      <c r="BH152">
        <f>TYPE(All_India_Index_Upto_April23__1[[#This Row],[Recreation and amusement]])</f>
        <v>1</v>
      </c>
      <c r="BI152">
        <f>TYPE(All_India_Index_Upto_April23__1[[#This Row],[Education]])</f>
        <v>1</v>
      </c>
      <c r="BJ152">
        <f>TYPE(All_India_Index_Upto_April23__1[[#This Row],[Personal care and effects]])</f>
        <v>1</v>
      </c>
      <c r="BK152">
        <f>TYPE(All_India_Index_Upto_April23__1[[#This Row],[Miscellaneous]])</f>
        <v>1</v>
      </c>
      <c r="BL152">
        <f>TYPE(All_India_Index_Upto_April23__1[[#This Row],[General index]])</f>
        <v>1</v>
      </c>
    </row>
    <row r="153" spans="1:64" hidden="1" x14ac:dyDescent="0.3">
      <c r="A153" t="s">
        <v>30</v>
      </c>
      <c r="B153">
        <v>2017</v>
      </c>
      <c r="C153" t="s">
        <v>35</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U153" t="s">
        <v>89</v>
      </c>
      <c r="V153">
        <v>134.19999999999999</v>
      </c>
      <c r="W153">
        <v>134.1</v>
      </c>
      <c r="X153">
        <v>130.6</v>
      </c>
      <c r="Y153">
        <v>119.8</v>
      </c>
      <c r="Z153">
        <v>128.30000000000001</v>
      </c>
      <c r="AA153">
        <v>135.19999999999999</v>
      </c>
      <c r="AB153">
        <v>123.3</v>
      </c>
      <c r="AC153">
        <v>127.4</v>
      </c>
      <c r="AD153">
        <v>132.80000000000001</v>
      </c>
      <c r="AE153">
        <f>SUM(All_India_Index_Upto_April23__1[[#This Row],[Cereals and products]:[Food and beverages]])</f>
        <v>1728.5000000000002</v>
      </c>
      <c r="AF153">
        <f>SUM(All_India_Index_Upto_April23__1[[#This Row],[Clothing]:[Clothing and footwear]])</f>
        <v>418.59999999999997</v>
      </c>
      <c r="AG153">
        <f t="shared" si="2"/>
        <v>388.09999999999997</v>
      </c>
      <c r="AI153">
        <f>TYPE(All_India_Index_Upto_April23__1[[#This Row],[Sector]])</f>
        <v>2</v>
      </c>
      <c r="AJ153">
        <f>TYPE(All_India_Index_Upto_April23__1[[#This Row],[Year]])</f>
        <v>1</v>
      </c>
      <c r="AK153">
        <f>TYPE(All_India_Index_Upto_April23__1[[#This Row],[Month]])</f>
        <v>2</v>
      </c>
      <c r="AL153">
        <f>TYPE(All_India_Index_Upto_April23__1[[#This Row],[Cereals and products]])</f>
        <v>1</v>
      </c>
      <c r="AM153">
        <f>TYPE(All_India_Index_Upto_April23__1[[#This Row],[Meat and fish]])</f>
        <v>1</v>
      </c>
      <c r="AN153">
        <f>TYPE(All_India_Index_Upto_April23__1[[#This Row],[Egg]])</f>
        <v>1</v>
      </c>
      <c r="AO153">
        <f>TYPE(All_India_Index_Upto_April23__1[[#This Row],[Milk and products]])</f>
        <v>1</v>
      </c>
      <c r="AP153">
        <f>TYPE(All_India_Index_Upto_April23__1[[#This Row],[Oils and fats]])</f>
        <v>1</v>
      </c>
      <c r="AQ153">
        <f>TYPE(All_India_Index_Upto_April23__1[[#This Row],[Fruits]])</f>
        <v>1</v>
      </c>
      <c r="AR153">
        <f>TYPE(All_India_Index_Upto_April23__1[[#This Row],[Vegetables]])</f>
        <v>1</v>
      </c>
      <c r="AS153">
        <f>TYPE(All_India_Index_Upto_April23__1[[#This Row],[Pulses and products]])</f>
        <v>1</v>
      </c>
      <c r="AT153">
        <f>TYPE(All_India_Index_Upto_April23__1[[#This Row],[Sugar and Confectionery]])</f>
        <v>1</v>
      </c>
      <c r="AU153">
        <f>TYPE(All_India_Index_Upto_April23__1[[#This Row],[Spices]])</f>
        <v>1</v>
      </c>
      <c r="AV153">
        <f>TYPE(All_India_Index_Upto_April23__1[[#This Row],[Non-alcoholic beverages]])</f>
        <v>1</v>
      </c>
      <c r="AW153">
        <f>TYPE(All_India_Index_Upto_April23__1[[#This Row],[Prepared meals, snacks, sweets etc.]])</f>
        <v>1</v>
      </c>
      <c r="AX153">
        <f>TYPE(All_India_Index_Upto_April23__1[[#This Row],[Food and beverages]])</f>
        <v>1</v>
      </c>
      <c r="AY153">
        <f>TYPE(All_India_Index_Upto_April23__1[[#This Row],[Pan, tobacco and intoxicants]])</f>
        <v>1</v>
      </c>
      <c r="AZ153">
        <f>TYPE(All_India_Index_Upto_April23__1[[#This Row],[Clothing]])</f>
        <v>1</v>
      </c>
      <c r="BA153">
        <f>TYPE(All_India_Index_Upto_April23__1[[#This Row],[Footwear]])</f>
        <v>1</v>
      </c>
      <c r="BB153">
        <f>TYPE(All_India_Index_Upto_April23__1[[#This Row],[Clothing and footwear]])</f>
        <v>1</v>
      </c>
      <c r="BC153">
        <f>TYPE(All_India_Index_Upto_April23__1[[#This Row],[Housing]])</f>
        <v>2</v>
      </c>
      <c r="BD153">
        <f>TYPE(All_India_Index_Upto_April23__1[[#This Row],[Fuel and light]])</f>
        <v>1</v>
      </c>
      <c r="BE153">
        <f>TYPE(All_India_Index_Upto_April23__1[[#This Row],[Household goods and services]])</f>
        <v>1</v>
      </c>
      <c r="BF153">
        <f>TYPE(All_India_Index_Upto_April23__1[[#This Row],[Health]])</f>
        <v>1</v>
      </c>
      <c r="BG153">
        <f>TYPE(All_India_Index_Upto_April23__1[[#This Row],[Transport and communication]])</f>
        <v>1</v>
      </c>
      <c r="BH153">
        <f>TYPE(All_India_Index_Upto_April23__1[[#This Row],[Recreation and amusement]])</f>
        <v>1</v>
      </c>
      <c r="BI153">
        <f>TYPE(All_India_Index_Upto_April23__1[[#This Row],[Education]])</f>
        <v>1</v>
      </c>
      <c r="BJ153">
        <f>TYPE(All_India_Index_Upto_April23__1[[#This Row],[Personal care and effects]])</f>
        <v>1</v>
      </c>
      <c r="BK153">
        <f>TYPE(All_India_Index_Upto_April23__1[[#This Row],[Miscellaneous]])</f>
        <v>1</v>
      </c>
      <c r="BL153">
        <f>TYPE(All_India_Index_Upto_April23__1[[#This Row],[General index]])</f>
        <v>1</v>
      </c>
    </row>
    <row r="154" spans="1:64" hidden="1" x14ac:dyDescent="0.3">
      <c r="A154" t="s">
        <v>32</v>
      </c>
      <c r="B154">
        <v>2017</v>
      </c>
      <c r="C154" t="s">
        <v>35</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t="s">
        <v>138</v>
      </c>
      <c r="V154">
        <v>120.8</v>
      </c>
      <c r="W154">
        <v>125.6</v>
      </c>
      <c r="X154">
        <v>123.1</v>
      </c>
      <c r="Y154">
        <v>115.6</v>
      </c>
      <c r="Z154">
        <v>122.4</v>
      </c>
      <c r="AA154">
        <v>132.80000000000001</v>
      </c>
      <c r="AB154">
        <v>121.7</v>
      </c>
      <c r="AC154">
        <v>122.6</v>
      </c>
      <c r="AD154">
        <v>128.69999999999999</v>
      </c>
      <c r="AE154">
        <f>SUM(All_India_Index_Upto_April23__1[[#This Row],[Cereals and products]:[Food and beverages]])</f>
        <v>1705.6999999999998</v>
      </c>
      <c r="AF154">
        <f>SUM(All_India_Index_Upto_April23__1[[#This Row],[Clothing]:[Clothing and footwear]])</f>
        <v>383.20000000000005</v>
      </c>
      <c r="AG154">
        <f t="shared" si="2"/>
        <v>362</v>
      </c>
      <c r="AI154">
        <f>TYPE(All_India_Index_Upto_April23__1[[#This Row],[Sector]])</f>
        <v>2</v>
      </c>
      <c r="AJ154">
        <f>TYPE(All_India_Index_Upto_April23__1[[#This Row],[Year]])</f>
        <v>1</v>
      </c>
      <c r="AK154">
        <f>TYPE(All_India_Index_Upto_April23__1[[#This Row],[Month]])</f>
        <v>2</v>
      </c>
      <c r="AL154">
        <f>TYPE(All_India_Index_Upto_April23__1[[#This Row],[Cereals and products]])</f>
        <v>1</v>
      </c>
      <c r="AM154">
        <f>TYPE(All_India_Index_Upto_April23__1[[#This Row],[Meat and fish]])</f>
        <v>1</v>
      </c>
      <c r="AN154">
        <f>TYPE(All_India_Index_Upto_April23__1[[#This Row],[Egg]])</f>
        <v>1</v>
      </c>
      <c r="AO154">
        <f>TYPE(All_India_Index_Upto_April23__1[[#This Row],[Milk and products]])</f>
        <v>1</v>
      </c>
      <c r="AP154">
        <f>TYPE(All_India_Index_Upto_April23__1[[#This Row],[Oils and fats]])</f>
        <v>1</v>
      </c>
      <c r="AQ154">
        <f>TYPE(All_India_Index_Upto_April23__1[[#This Row],[Fruits]])</f>
        <v>1</v>
      </c>
      <c r="AR154">
        <f>TYPE(All_India_Index_Upto_April23__1[[#This Row],[Vegetables]])</f>
        <v>1</v>
      </c>
      <c r="AS154">
        <f>TYPE(All_India_Index_Upto_April23__1[[#This Row],[Pulses and products]])</f>
        <v>1</v>
      </c>
      <c r="AT154">
        <f>TYPE(All_India_Index_Upto_April23__1[[#This Row],[Sugar and Confectionery]])</f>
        <v>1</v>
      </c>
      <c r="AU154">
        <f>TYPE(All_India_Index_Upto_April23__1[[#This Row],[Spices]])</f>
        <v>1</v>
      </c>
      <c r="AV154">
        <f>TYPE(All_India_Index_Upto_April23__1[[#This Row],[Non-alcoholic beverages]])</f>
        <v>1</v>
      </c>
      <c r="AW154">
        <f>TYPE(All_India_Index_Upto_April23__1[[#This Row],[Prepared meals, snacks, sweets etc.]])</f>
        <v>1</v>
      </c>
      <c r="AX154">
        <f>TYPE(All_India_Index_Upto_April23__1[[#This Row],[Food and beverages]])</f>
        <v>1</v>
      </c>
      <c r="AY154">
        <f>TYPE(All_India_Index_Upto_April23__1[[#This Row],[Pan, tobacco and intoxicants]])</f>
        <v>1</v>
      </c>
      <c r="AZ154">
        <f>TYPE(All_India_Index_Upto_April23__1[[#This Row],[Clothing]])</f>
        <v>1</v>
      </c>
      <c r="BA154">
        <f>TYPE(All_India_Index_Upto_April23__1[[#This Row],[Footwear]])</f>
        <v>1</v>
      </c>
      <c r="BB154">
        <f>TYPE(All_India_Index_Upto_April23__1[[#This Row],[Clothing and footwear]])</f>
        <v>1</v>
      </c>
      <c r="BC154">
        <f>TYPE(All_India_Index_Upto_April23__1[[#This Row],[Housing]])</f>
        <v>2</v>
      </c>
      <c r="BD154">
        <f>TYPE(All_India_Index_Upto_April23__1[[#This Row],[Fuel and light]])</f>
        <v>1</v>
      </c>
      <c r="BE154">
        <f>TYPE(All_India_Index_Upto_April23__1[[#This Row],[Household goods and services]])</f>
        <v>1</v>
      </c>
      <c r="BF154">
        <f>TYPE(All_India_Index_Upto_April23__1[[#This Row],[Health]])</f>
        <v>1</v>
      </c>
      <c r="BG154">
        <f>TYPE(All_India_Index_Upto_April23__1[[#This Row],[Transport and communication]])</f>
        <v>1</v>
      </c>
      <c r="BH154">
        <f>TYPE(All_India_Index_Upto_April23__1[[#This Row],[Recreation and amusement]])</f>
        <v>1</v>
      </c>
      <c r="BI154">
        <f>TYPE(All_India_Index_Upto_April23__1[[#This Row],[Education]])</f>
        <v>1</v>
      </c>
      <c r="BJ154">
        <f>TYPE(All_India_Index_Upto_April23__1[[#This Row],[Personal care and effects]])</f>
        <v>1</v>
      </c>
      <c r="BK154">
        <f>TYPE(All_India_Index_Upto_April23__1[[#This Row],[Miscellaneous]])</f>
        <v>1</v>
      </c>
      <c r="BL154">
        <f>TYPE(All_India_Index_Upto_April23__1[[#This Row],[General index]])</f>
        <v>1</v>
      </c>
    </row>
    <row r="155" spans="1:64" hidden="1" x14ac:dyDescent="0.3">
      <c r="A155" t="s">
        <v>33</v>
      </c>
      <c r="B155">
        <v>2017</v>
      </c>
      <c r="C155" t="s">
        <v>35</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t="s">
        <v>138</v>
      </c>
      <c r="V155">
        <v>129.1</v>
      </c>
      <c r="W155">
        <v>130.1</v>
      </c>
      <c r="X155">
        <v>127.8</v>
      </c>
      <c r="Y155">
        <v>117.6</v>
      </c>
      <c r="Z155">
        <v>125</v>
      </c>
      <c r="AA155">
        <v>133.80000000000001</v>
      </c>
      <c r="AB155">
        <v>122.6</v>
      </c>
      <c r="AC155">
        <v>125.1</v>
      </c>
      <c r="AD155">
        <v>130.9</v>
      </c>
      <c r="AE155">
        <f>SUM(All_India_Index_Upto_April23__1[[#This Row],[Cereals and products]:[Food and beverages]])</f>
        <v>1718.9</v>
      </c>
      <c r="AF155">
        <f>SUM(All_India_Index_Upto_April23__1[[#This Row],[Clothing]:[Clothing and footwear]])</f>
        <v>404.29999999999995</v>
      </c>
      <c r="AG155">
        <f t="shared" si="2"/>
        <v>376.79999999999995</v>
      </c>
      <c r="AI155">
        <f>TYPE(All_India_Index_Upto_April23__1[[#This Row],[Sector]])</f>
        <v>2</v>
      </c>
      <c r="AJ155">
        <f>TYPE(All_India_Index_Upto_April23__1[[#This Row],[Year]])</f>
        <v>1</v>
      </c>
      <c r="AK155">
        <f>TYPE(All_India_Index_Upto_April23__1[[#This Row],[Month]])</f>
        <v>2</v>
      </c>
      <c r="AL155">
        <f>TYPE(All_India_Index_Upto_April23__1[[#This Row],[Cereals and products]])</f>
        <v>1</v>
      </c>
      <c r="AM155">
        <f>TYPE(All_India_Index_Upto_April23__1[[#This Row],[Meat and fish]])</f>
        <v>1</v>
      </c>
      <c r="AN155">
        <f>TYPE(All_India_Index_Upto_April23__1[[#This Row],[Egg]])</f>
        <v>1</v>
      </c>
      <c r="AO155">
        <f>TYPE(All_India_Index_Upto_April23__1[[#This Row],[Milk and products]])</f>
        <v>1</v>
      </c>
      <c r="AP155">
        <f>TYPE(All_India_Index_Upto_April23__1[[#This Row],[Oils and fats]])</f>
        <v>1</v>
      </c>
      <c r="AQ155">
        <f>TYPE(All_India_Index_Upto_April23__1[[#This Row],[Fruits]])</f>
        <v>1</v>
      </c>
      <c r="AR155">
        <f>TYPE(All_India_Index_Upto_April23__1[[#This Row],[Vegetables]])</f>
        <v>1</v>
      </c>
      <c r="AS155">
        <f>TYPE(All_India_Index_Upto_April23__1[[#This Row],[Pulses and products]])</f>
        <v>1</v>
      </c>
      <c r="AT155">
        <f>TYPE(All_India_Index_Upto_April23__1[[#This Row],[Sugar and Confectionery]])</f>
        <v>1</v>
      </c>
      <c r="AU155">
        <f>TYPE(All_India_Index_Upto_April23__1[[#This Row],[Spices]])</f>
        <v>1</v>
      </c>
      <c r="AV155">
        <f>TYPE(All_India_Index_Upto_April23__1[[#This Row],[Non-alcoholic beverages]])</f>
        <v>1</v>
      </c>
      <c r="AW155">
        <f>TYPE(All_India_Index_Upto_April23__1[[#This Row],[Prepared meals, snacks, sweets etc.]])</f>
        <v>1</v>
      </c>
      <c r="AX155">
        <f>TYPE(All_India_Index_Upto_April23__1[[#This Row],[Food and beverages]])</f>
        <v>1</v>
      </c>
      <c r="AY155">
        <f>TYPE(All_India_Index_Upto_April23__1[[#This Row],[Pan, tobacco and intoxicants]])</f>
        <v>1</v>
      </c>
      <c r="AZ155">
        <f>TYPE(All_India_Index_Upto_April23__1[[#This Row],[Clothing]])</f>
        <v>1</v>
      </c>
      <c r="BA155">
        <f>TYPE(All_India_Index_Upto_April23__1[[#This Row],[Footwear]])</f>
        <v>1</v>
      </c>
      <c r="BB155">
        <f>TYPE(All_India_Index_Upto_April23__1[[#This Row],[Clothing and footwear]])</f>
        <v>1</v>
      </c>
      <c r="BC155">
        <f>TYPE(All_India_Index_Upto_April23__1[[#This Row],[Housing]])</f>
        <v>2</v>
      </c>
      <c r="BD155">
        <f>TYPE(All_India_Index_Upto_April23__1[[#This Row],[Fuel and light]])</f>
        <v>1</v>
      </c>
      <c r="BE155">
        <f>TYPE(All_India_Index_Upto_April23__1[[#This Row],[Household goods and services]])</f>
        <v>1</v>
      </c>
      <c r="BF155">
        <f>TYPE(All_India_Index_Upto_April23__1[[#This Row],[Health]])</f>
        <v>1</v>
      </c>
      <c r="BG155">
        <f>TYPE(All_India_Index_Upto_April23__1[[#This Row],[Transport and communication]])</f>
        <v>1</v>
      </c>
      <c r="BH155">
        <f>TYPE(All_India_Index_Upto_April23__1[[#This Row],[Recreation and amusement]])</f>
        <v>1</v>
      </c>
      <c r="BI155">
        <f>TYPE(All_India_Index_Upto_April23__1[[#This Row],[Education]])</f>
        <v>1</v>
      </c>
      <c r="BJ155">
        <f>TYPE(All_India_Index_Upto_April23__1[[#This Row],[Personal care and effects]])</f>
        <v>1</v>
      </c>
      <c r="BK155">
        <f>TYPE(All_India_Index_Upto_April23__1[[#This Row],[Miscellaneous]])</f>
        <v>1</v>
      </c>
      <c r="BL155">
        <f>TYPE(All_India_Index_Upto_April23__1[[#This Row],[General index]])</f>
        <v>1</v>
      </c>
    </row>
    <row r="156" spans="1:64" hidden="1" x14ac:dyDescent="0.3">
      <c r="A156" t="s">
        <v>30</v>
      </c>
      <c r="B156">
        <v>2017</v>
      </c>
      <c r="C156" t="s">
        <v>36</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U156" t="s">
        <v>89</v>
      </c>
      <c r="V156">
        <v>135</v>
      </c>
      <c r="W156">
        <v>134.30000000000001</v>
      </c>
      <c r="X156">
        <v>131</v>
      </c>
      <c r="Y156">
        <v>119.2</v>
      </c>
      <c r="Z156">
        <v>128.30000000000001</v>
      </c>
      <c r="AA156">
        <v>135.69999999999999</v>
      </c>
      <c r="AB156">
        <v>123.7</v>
      </c>
      <c r="AC156">
        <v>127.5</v>
      </c>
      <c r="AD156">
        <v>132.9</v>
      </c>
      <c r="AE156">
        <f>SUM(All_India_Index_Upto_April23__1[[#This Row],[Cereals and products]:[Food and beverages]])</f>
        <v>1726.3</v>
      </c>
      <c r="AF156">
        <f>SUM(All_India_Index_Upto_April23__1[[#This Row],[Clothing]:[Clothing and footwear]])</f>
        <v>420.80000000000007</v>
      </c>
      <c r="AG156">
        <f t="shared" si="2"/>
        <v>388.5</v>
      </c>
      <c r="AI156">
        <f>TYPE(All_India_Index_Upto_April23__1[[#This Row],[Sector]])</f>
        <v>2</v>
      </c>
      <c r="AJ156">
        <f>TYPE(All_India_Index_Upto_April23__1[[#This Row],[Year]])</f>
        <v>1</v>
      </c>
      <c r="AK156">
        <f>TYPE(All_India_Index_Upto_April23__1[[#This Row],[Month]])</f>
        <v>2</v>
      </c>
      <c r="AL156">
        <f>TYPE(All_India_Index_Upto_April23__1[[#This Row],[Cereals and products]])</f>
        <v>1</v>
      </c>
      <c r="AM156">
        <f>TYPE(All_India_Index_Upto_April23__1[[#This Row],[Meat and fish]])</f>
        <v>1</v>
      </c>
      <c r="AN156">
        <f>TYPE(All_India_Index_Upto_April23__1[[#This Row],[Egg]])</f>
        <v>1</v>
      </c>
      <c r="AO156">
        <f>TYPE(All_India_Index_Upto_April23__1[[#This Row],[Milk and products]])</f>
        <v>1</v>
      </c>
      <c r="AP156">
        <f>TYPE(All_India_Index_Upto_April23__1[[#This Row],[Oils and fats]])</f>
        <v>1</v>
      </c>
      <c r="AQ156">
        <f>TYPE(All_India_Index_Upto_April23__1[[#This Row],[Fruits]])</f>
        <v>1</v>
      </c>
      <c r="AR156">
        <f>TYPE(All_India_Index_Upto_April23__1[[#This Row],[Vegetables]])</f>
        <v>1</v>
      </c>
      <c r="AS156">
        <f>TYPE(All_India_Index_Upto_April23__1[[#This Row],[Pulses and products]])</f>
        <v>1</v>
      </c>
      <c r="AT156">
        <f>TYPE(All_India_Index_Upto_April23__1[[#This Row],[Sugar and Confectionery]])</f>
        <v>1</v>
      </c>
      <c r="AU156">
        <f>TYPE(All_India_Index_Upto_April23__1[[#This Row],[Spices]])</f>
        <v>1</v>
      </c>
      <c r="AV156">
        <f>TYPE(All_India_Index_Upto_April23__1[[#This Row],[Non-alcoholic beverages]])</f>
        <v>1</v>
      </c>
      <c r="AW156">
        <f>TYPE(All_India_Index_Upto_April23__1[[#This Row],[Prepared meals, snacks, sweets etc.]])</f>
        <v>1</v>
      </c>
      <c r="AX156">
        <f>TYPE(All_India_Index_Upto_April23__1[[#This Row],[Food and beverages]])</f>
        <v>1</v>
      </c>
      <c r="AY156">
        <f>TYPE(All_India_Index_Upto_April23__1[[#This Row],[Pan, tobacco and intoxicants]])</f>
        <v>1</v>
      </c>
      <c r="AZ156">
        <f>TYPE(All_India_Index_Upto_April23__1[[#This Row],[Clothing]])</f>
        <v>1</v>
      </c>
      <c r="BA156">
        <f>TYPE(All_India_Index_Upto_April23__1[[#This Row],[Footwear]])</f>
        <v>1</v>
      </c>
      <c r="BB156">
        <f>TYPE(All_India_Index_Upto_April23__1[[#This Row],[Clothing and footwear]])</f>
        <v>1</v>
      </c>
      <c r="BC156">
        <f>TYPE(All_India_Index_Upto_April23__1[[#This Row],[Housing]])</f>
        <v>2</v>
      </c>
      <c r="BD156">
        <f>TYPE(All_India_Index_Upto_April23__1[[#This Row],[Fuel and light]])</f>
        <v>1</v>
      </c>
      <c r="BE156">
        <f>TYPE(All_India_Index_Upto_April23__1[[#This Row],[Household goods and services]])</f>
        <v>1</v>
      </c>
      <c r="BF156">
        <f>TYPE(All_India_Index_Upto_April23__1[[#This Row],[Health]])</f>
        <v>1</v>
      </c>
      <c r="BG156">
        <f>TYPE(All_India_Index_Upto_April23__1[[#This Row],[Transport and communication]])</f>
        <v>1</v>
      </c>
      <c r="BH156">
        <f>TYPE(All_India_Index_Upto_April23__1[[#This Row],[Recreation and amusement]])</f>
        <v>1</v>
      </c>
      <c r="BI156">
        <f>TYPE(All_India_Index_Upto_April23__1[[#This Row],[Education]])</f>
        <v>1</v>
      </c>
      <c r="BJ156">
        <f>TYPE(All_India_Index_Upto_April23__1[[#This Row],[Personal care and effects]])</f>
        <v>1</v>
      </c>
      <c r="BK156">
        <f>TYPE(All_India_Index_Upto_April23__1[[#This Row],[Miscellaneous]])</f>
        <v>1</v>
      </c>
      <c r="BL156">
        <f>TYPE(All_India_Index_Upto_April23__1[[#This Row],[General index]])</f>
        <v>1</v>
      </c>
    </row>
    <row r="157" spans="1:64" hidden="1" x14ac:dyDescent="0.3">
      <c r="A157" t="s">
        <v>32</v>
      </c>
      <c r="B157">
        <v>2017</v>
      </c>
      <c r="C157" t="s">
        <v>36</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t="s">
        <v>139</v>
      </c>
      <c r="V157">
        <v>121.4</v>
      </c>
      <c r="W157">
        <v>126</v>
      </c>
      <c r="X157">
        <v>123.4</v>
      </c>
      <c r="Y157">
        <v>114.3</v>
      </c>
      <c r="Z157">
        <v>122.6</v>
      </c>
      <c r="AA157">
        <v>133.6</v>
      </c>
      <c r="AB157">
        <v>122.2</v>
      </c>
      <c r="AC157">
        <v>122.5</v>
      </c>
      <c r="AD157">
        <v>129.1</v>
      </c>
      <c r="AE157">
        <f>SUM(All_India_Index_Upto_April23__1[[#This Row],[Cereals and products]:[Food and beverages]])</f>
        <v>1708.1</v>
      </c>
      <c r="AF157">
        <f>SUM(All_India_Index_Upto_April23__1[[#This Row],[Clothing]:[Clothing and footwear]])</f>
        <v>384.2</v>
      </c>
      <c r="AG157">
        <f t="shared" si="2"/>
        <v>361.7</v>
      </c>
      <c r="AI157">
        <f>TYPE(All_India_Index_Upto_April23__1[[#This Row],[Sector]])</f>
        <v>2</v>
      </c>
      <c r="AJ157">
        <f>TYPE(All_India_Index_Upto_April23__1[[#This Row],[Year]])</f>
        <v>1</v>
      </c>
      <c r="AK157">
        <f>TYPE(All_India_Index_Upto_April23__1[[#This Row],[Month]])</f>
        <v>2</v>
      </c>
      <c r="AL157">
        <f>TYPE(All_India_Index_Upto_April23__1[[#This Row],[Cereals and products]])</f>
        <v>1</v>
      </c>
      <c r="AM157">
        <f>TYPE(All_India_Index_Upto_April23__1[[#This Row],[Meat and fish]])</f>
        <v>1</v>
      </c>
      <c r="AN157">
        <f>TYPE(All_India_Index_Upto_April23__1[[#This Row],[Egg]])</f>
        <v>1</v>
      </c>
      <c r="AO157">
        <f>TYPE(All_India_Index_Upto_April23__1[[#This Row],[Milk and products]])</f>
        <v>1</v>
      </c>
      <c r="AP157">
        <f>TYPE(All_India_Index_Upto_April23__1[[#This Row],[Oils and fats]])</f>
        <v>1</v>
      </c>
      <c r="AQ157">
        <f>TYPE(All_India_Index_Upto_April23__1[[#This Row],[Fruits]])</f>
        <v>1</v>
      </c>
      <c r="AR157">
        <f>TYPE(All_India_Index_Upto_April23__1[[#This Row],[Vegetables]])</f>
        <v>1</v>
      </c>
      <c r="AS157">
        <f>TYPE(All_India_Index_Upto_April23__1[[#This Row],[Pulses and products]])</f>
        <v>1</v>
      </c>
      <c r="AT157">
        <f>TYPE(All_India_Index_Upto_April23__1[[#This Row],[Sugar and Confectionery]])</f>
        <v>1</v>
      </c>
      <c r="AU157">
        <f>TYPE(All_India_Index_Upto_April23__1[[#This Row],[Spices]])</f>
        <v>1</v>
      </c>
      <c r="AV157">
        <f>TYPE(All_India_Index_Upto_April23__1[[#This Row],[Non-alcoholic beverages]])</f>
        <v>1</v>
      </c>
      <c r="AW157">
        <f>TYPE(All_India_Index_Upto_April23__1[[#This Row],[Prepared meals, snacks, sweets etc.]])</f>
        <v>1</v>
      </c>
      <c r="AX157">
        <f>TYPE(All_India_Index_Upto_April23__1[[#This Row],[Food and beverages]])</f>
        <v>1</v>
      </c>
      <c r="AY157">
        <f>TYPE(All_India_Index_Upto_April23__1[[#This Row],[Pan, tobacco and intoxicants]])</f>
        <v>1</v>
      </c>
      <c r="AZ157">
        <f>TYPE(All_India_Index_Upto_April23__1[[#This Row],[Clothing]])</f>
        <v>1</v>
      </c>
      <c r="BA157">
        <f>TYPE(All_India_Index_Upto_April23__1[[#This Row],[Footwear]])</f>
        <v>1</v>
      </c>
      <c r="BB157">
        <f>TYPE(All_India_Index_Upto_April23__1[[#This Row],[Clothing and footwear]])</f>
        <v>1</v>
      </c>
      <c r="BC157">
        <f>TYPE(All_India_Index_Upto_April23__1[[#This Row],[Housing]])</f>
        <v>2</v>
      </c>
      <c r="BD157">
        <f>TYPE(All_India_Index_Upto_April23__1[[#This Row],[Fuel and light]])</f>
        <v>1</v>
      </c>
      <c r="BE157">
        <f>TYPE(All_India_Index_Upto_April23__1[[#This Row],[Household goods and services]])</f>
        <v>1</v>
      </c>
      <c r="BF157">
        <f>TYPE(All_India_Index_Upto_April23__1[[#This Row],[Health]])</f>
        <v>1</v>
      </c>
      <c r="BG157">
        <f>TYPE(All_India_Index_Upto_April23__1[[#This Row],[Transport and communication]])</f>
        <v>1</v>
      </c>
      <c r="BH157">
        <f>TYPE(All_India_Index_Upto_April23__1[[#This Row],[Recreation and amusement]])</f>
        <v>1</v>
      </c>
      <c r="BI157">
        <f>TYPE(All_India_Index_Upto_April23__1[[#This Row],[Education]])</f>
        <v>1</v>
      </c>
      <c r="BJ157">
        <f>TYPE(All_India_Index_Upto_April23__1[[#This Row],[Personal care and effects]])</f>
        <v>1</v>
      </c>
      <c r="BK157">
        <f>TYPE(All_India_Index_Upto_April23__1[[#This Row],[Miscellaneous]])</f>
        <v>1</v>
      </c>
      <c r="BL157">
        <f>TYPE(All_India_Index_Upto_April23__1[[#This Row],[General index]])</f>
        <v>1</v>
      </c>
    </row>
    <row r="158" spans="1:64" hidden="1" x14ac:dyDescent="0.3">
      <c r="A158" t="s">
        <v>33</v>
      </c>
      <c r="B158">
        <v>2017</v>
      </c>
      <c r="C158" t="s">
        <v>36</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t="s">
        <v>139</v>
      </c>
      <c r="V158">
        <v>129.80000000000001</v>
      </c>
      <c r="W158">
        <v>130.4</v>
      </c>
      <c r="X158">
        <v>128.1</v>
      </c>
      <c r="Y158">
        <v>116.6</v>
      </c>
      <c r="Z158">
        <v>125.1</v>
      </c>
      <c r="AA158">
        <v>134.5</v>
      </c>
      <c r="AB158">
        <v>123.1</v>
      </c>
      <c r="AC158">
        <v>125.1</v>
      </c>
      <c r="AD158">
        <v>131.1</v>
      </c>
      <c r="AE158">
        <f>SUM(All_India_Index_Upto_April23__1[[#This Row],[Cereals and products]:[Food and beverages]])</f>
        <v>1718.4</v>
      </c>
      <c r="AF158">
        <f>SUM(All_India_Index_Upto_April23__1[[#This Row],[Clothing]:[Clothing and footwear]])</f>
        <v>406.1</v>
      </c>
      <c r="AG158">
        <f t="shared" si="2"/>
        <v>376.80000000000007</v>
      </c>
      <c r="AI158">
        <f>TYPE(All_India_Index_Upto_April23__1[[#This Row],[Sector]])</f>
        <v>2</v>
      </c>
      <c r="AJ158">
        <f>TYPE(All_India_Index_Upto_April23__1[[#This Row],[Year]])</f>
        <v>1</v>
      </c>
      <c r="AK158">
        <f>TYPE(All_India_Index_Upto_April23__1[[#This Row],[Month]])</f>
        <v>2</v>
      </c>
      <c r="AL158">
        <f>TYPE(All_India_Index_Upto_April23__1[[#This Row],[Cereals and products]])</f>
        <v>1</v>
      </c>
      <c r="AM158">
        <f>TYPE(All_India_Index_Upto_April23__1[[#This Row],[Meat and fish]])</f>
        <v>1</v>
      </c>
      <c r="AN158">
        <f>TYPE(All_India_Index_Upto_April23__1[[#This Row],[Egg]])</f>
        <v>1</v>
      </c>
      <c r="AO158">
        <f>TYPE(All_India_Index_Upto_April23__1[[#This Row],[Milk and products]])</f>
        <v>1</v>
      </c>
      <c r="AP158">
        <f>TYPE(All_India_Index_Upto_April23__1[[#This Row],[Oils and fats]])</f>
        <v>1</v>
      </c>
      <c r="AQ158">
        <f>TYPE(All_India_Index_Upto_April23__1[[#This Row],[Fruits]])</f>
        <v>1</v>
      </c>
      <c r="AR158">
        <f>TYPE(All_India_Index_Upto_April23__1[[#This Row],[Vegetables]])</f>
        <v>1</v>
      </c>
      <c r="AS158">
        <f>TYPE(All_India_Index_Upto_April23__1[[#This Row],[Pulses and products]])</f>
        <v>1</v>
      </c>
      <c r="AT158">
        <f>TYPE(All_India_Index_Upto_April23__1[[#This Row],[Sugar and Confectionery]])</f>
        <v>1</v>
      </c>
      <c r="AU158">
        <f>TYPE(All_India_Index_Upto_April23__1[[#This Row],[Spices]])</f>
        <v>1</v>
      </c>
      <c r="AV158">
        <f>TYPE(All_India_Index_Upto_April23__1[[#This Row],[Non-alcoholic beverages]])</f>
        <v>1</v>
      </c>
      <c r="AW158">
        <f>TYPE(All_India_Index_Upto_April23__1[[#This Row],[Prepared meals, snacks, sweets etc.]])</f>
        <v>1</v>
      </c>
      <c r="AX158">
        <f>TYPE(All_India_Index_Upto_April23__1[[#This Row],[Food and beverages]])</f>
        <v>1</v>
      </c>
      <c r="AY158">
        <f>TYPE(All_India_Index_Upto_April23__1[[#This Row],[Pan, tobacco and intoxicants]])</f>
        <v>1</v>
      </c>
      <c r="AZ158">
        <f>TYPE(All_India_Index_Upto_April23__1[[#This Row],[Clothing]])</f>
        <v>1</v>
      </c>
      <c r="BA158">
        <f>TYPE(All_India_Index_Upto_April23__1[[#This Row],[Footwear]])</f>
        <v>1</v>
      </c>
      <c r="BB158">
        <f>TYPE(All_India_Index_Upto_April23__1[[#This Row],[Clothing and footwear]])</f>
        <v>1</v>
      </c>
      <c r="BC158">
        <f>TYPE(All_India_Index_Upto_April23__1[[#This Row],[Housing]])</f>
        <v>2</v>
      </c>
      <c r="BD158">
        <f>TYPE(All_India_Index_Upto_April23__1[[#This Row],[Fuel and light]])</f>
        <v>1</v>
      </c>
      <c r="BE158">
        <f>TYPE(All_India_Index_Upto_April23__1[[#This Row],[Household goods and services]])</f>
        <v>1</v>
      </c>
      <c r="BF158">
        <f>TYPE(All_India_Index_Upto_April23__1[[#This Row],[Health]])</f>
        <v>1</v>
      </c>
      <c r="BG158">
        <f>TYPE(All_India_Index_Upto_April23__1[[#This Row],[Transport and communication]])</f>
        <v>1</v>
      </c>
      <c r="BH158">
        <f>TYPE(All_India_Index_Upto_April23__1[[#This Row],[Recreation and amusement]])</f>
        <v>1</v>
      </c>
      <c r="BI158">
        <f>TYPE(All_India_Index_Upto_April23__1[[#This Row],[Education]])</f>
        <v>1</v>
      </c>
      <c r="BJ158">
        <f>TYPE(All_India_Index_Upto_April23__1[[#This Row],[Personal care and effects]])</f>
        <v>1</v>
      </c>
      <c r="BK158">
        <f>TYPE(All_India_Index_Upto_April23__1[[#This Row],[Miscellaneous]])</f>
        <v>1</v>
      </c>
      <c r="BL158">
        <f>TYPE(All_India_Index_Upto_April23__1[[#This Row],[General index]])</f>
        <v>1</v>
      </c>
    </row>
    <row r="159" spans="1:64" hidden="1" x14ac:dyDescent="0.3">
      <c r="A159" t="s">
        <v>30</v>
      </c>
      <c r="B159">
        <v>2017</v>
      </c>
      <c r="C159" t="s">
        <v>37</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U159" t="s">
        <v>89</v>
      </c>
      <c r="V159">
        <v>135</v>
      </c>
      <c r="W159">
        <v>134.9</v>
      </c>
      <c r="X159">
        <v>131.4</v>
      </c>
      <c r="Y159">
        <v>119.4</v>
      </c>
      <c r="Z159">
        <v>129.4</v>
      </c>
      <c r="AA159">
        <v>136.30000000000001</v>
      </c>
      <c r="AB159">
        <v>123.7</v>
      </c>
      <c r="AC159">
        <v>127.9</v>
      </c>
      <c r="AD159">
        <v>133.30000000000001</v>
      </c>
      <c r="AE159">
        <f>SUM(All_India_Index_Upto_April23__1[[#This Row],[Cereals and products]:[Food and beverages]])</f>
        <v>1727.4999999999995</v>
      </c>
      <c r="AF159">
        <f>SUM(All_India_Index_Upto_April23__1[[#This Row],[Clothing]:[Clothing and footwear]])</f>
        <v>421.6</v>
      </c>
      <c r="AG159">
        <f t="shared" si="2"/>
        <v>389.29999999999995</v>
      </c>
      <c r="AI159">
        <f>TYPE(All_India_Index_Upto_April23__1[[#This Row],[Sector]])</f>
        <v>2</v>
      </c>
      <c r="AJ159">
        <f>TYPE(All_India_Index_Upto_April23__1[[#This Row],[Year]])</f>
        <v>1</v>
      </c>
      <c r="AK159">
        <f>TYPE(All_India_Index_Upto_April23__1[[#This Row],[Month]])</f>
        <v>2</v>
      </c>
      <c r="AL159">
        <f>TYPE(All_India_Index_Upto_April23__1[[#This Row],[Cereals and products]])</f>
        <v>1</v>
      </c>
      <c r="AM159">
        <f>TYPE(All_India_Index_Upto_April23__1[[#This Row],[Meat and fish]])</f>
        <v>1</v>
      </c>
      <c r="AN159">
        <f>TYPE(All_India_Index_Upto_April23__1[[#This Row],[Egg]])</f>
        <v>1</v>
      </c>
      <c r="AO159">
        <f>TYPE(All_India_Index_Upto_April23__1[[#This Row],[Milk and products]])</f>
        <v>1</v>
      </c>
      <c r="AP159">
        <f>TYPE(All_India_Index_Upto_April23__1[[#This Row],[Oils and fats]])</f>
        <v>1</v>
      </c>
      <c r="AQ159">
        <f>TYPE(All_India_Index_Upto_April23__1[[#This Row],[Fruits]])</f>
        <v>1</v>
      </c>
      <c r="AR159">
        <f>TYPE(All_India_Index_Upto_April23__1[[#This Row],[Vegetables]])</f>
        <v>1</v>
      </c>
      <c r="AS159">
        <f>TYPE(All_India_Index_Upto_April23__1[[#This Row],[Pulses and products]])</f>
        <v>1</v>
      </c>
      <c r="AT159">
        <f>TYPE(All_India_Index_Upto_April23__1[[#This Row],[Sugar and Confectionery]])</f>
        <v>1</v>
      </c>
      <c r="AU159">
        <f>TYPE(All_India_Index_Upto_April23__1[[#This Row],[Spices]])</f>
        <v>1</v>
      </c>
      <c r="AV159">
        <f>TYPE(All_India_Index_Upto_April23__1[[#This Row],[Non-alcoholic beverages]])</f>
        <v>1</v>
      </c>
      <c r="AW159">
        <f>TYPE(All_India_Index_Upto_April23__1[[#This Row],[Prepared meals, snacks, sweets etc.]])</f>
        <v>1</v>
      </c>
      <c r="AX159">
        <f>TYPE(All_India_Index_Upto_April23__1[[#This Row],[Food and beverages]])</f>
        <v>1</v>
      </c>
      <c r="AY159">
        <f>TYPE(All_India_Index_Upto_April23__1[[#This Row],[Pan, tobacco and intoxicants]])</f>
        <v>1</v>
      </c>
      <c r="AZ159">
        <f>TYPE(All_India_Index_Upto_April23__1[[#This Row],[Clothing]])</f>
        <v>1</v>
      </c>
      <c r="BA159">
        <f>TYPE(All_India_Index_Upto_April23__1[[#This Row],[Footwear]])</f>
        <v>1</v>
      </c>
      <c r="BB159">
        <f>TYPE(All_India_Index_Upto_April23__1[[#This Row],[Clothing and footwear]])</f>
        <v>1</v>
      </c>
      <c r="BC159">
        <f>TYPE(All_India_Index_Upto_April23__1[[#This Row],[Housing]])</f>
        <v>2</v>
      </c>
      <c r="BD159">
        <f>TYPE(All_India_Index_Upto_April23__1[[#This Row],[Fuel and light]])</f>
        <v>1</v>
      </c>
      <c r="BE159">
        <f>TYPE(All_India_Index_Upto_April23__1[[#This Row],[Household goods and services]])</f>
        <v>1</v>
      </c>
      <c r="BF159">
        <f>TYPE(All_India_Index_Upto_April23__1[[#This Row],[Health]])</f>
        <v>1</v>
      </c>
      <c r="BG159">
        <f>TYPE(All_India_Index_Upto_April23__1[[#This Row],[Transport and communication]])</f>
        <v>1</v>
      </c>
      <c r="BH159">
        <f>TYPE(All_India_Index_Upto_April23__1[[#This Row],[Recreation and amusement]])</f>
        <v>1</v>
      </c>
      <c r="BI159">
        <f>TYPE(All_India_Index_Upto_April23__1[[#This Row],[Education]])</f>
        <v>1</v>
      </c>
      <c r="BJ159">
        <f>TYPE(All_India_Index_Upto_April23__1[[#This Row],[Personal care and effects]])</f>
        <v>1</v>
      </c>
      <c r="BK159">
        <f>TYPE(All_India_Index_Upto_April23__1[[#This Row],[Miscellaneous]])</f>
        <v>1</v>
      </c>
      <c r="BL159">
        <f>TYPE(All_India_Index_Upto_April23__1[[#This Row],[General index]])</f>
        <v>1</v>
      </c>
    </row>
    <row r="160" spans="1:64" hidden="1" x14ac:dyDescent="0.3">
      <c r="A160" t="s">
        <v>32</v>
      </c>
      <c r="B160">
        <v>2017</v>
      </c>
      <c r="C160" t="s">
        <v>37</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t="s">
        <v>140</v>
      </c>
      <c r="V160">
        <v>120.1</v>
      </c>
      <c r="W160">
        <v>126.5</v>
      </c>
      <c r="X160">
        <v>123.6</v>
      </c>
      <c r="Y160">
        <v>114.3</v>
      </c>
      <c r="Z160">
        <v>122.8</v>
      </c>
      <c r="AA160">
        <v>133.80000000000001</v>
      </c>
      <c r="AB160">
        <v>122</v>
      </c>
      <c r="AC160">
        <v>122.6</v>
      </c>
      <c r="AD160">
        <v>129.30000000000001</v>
      </c>
      <c r="AE160">
        <f>SUM(All_India_Index_Upto_April23__1[[#This Row],[Cereals and products]:[Food and beverages]])</f>
        <v>1709.6</v>
      </c>
      <c r="AF160">
        <f>SUM(All_India_Index_Upto_April23__1[[#This Row],[Clothing]:[Clothing and footwear]])</f>
        <v>384.9</v>
      </c>
      <c r="AG160">
        <f t="shared" si="2"/>
        <v>360.9</v>
      </c>
      <c r="AI160">
        <f>TYPE(All_India_Index_Upto_April23__1[[#This Row],[Sector]])</f>
        <v>2</v>
      </c>
      <c r="AJ160">
        <f>TYPE(All_India_Index_Upto_April23__1[[#This Row],[Year]])</f>
        <v>1</v>
      </c>
      <c r="AK160">
        <f>TYPE(All_India_Index_Upto_April23__1[[#This Row],[Month]])</f>
        <v>2</v>
      </c>
      <c r="AL160">
        <f>TYPE(All_India_Index_Upto_April23__1[[#This Row],[Cereals and products]])</f>
        <v>1</v>
      </c>
      <c r="AM160">
        <f>TYPE(All_India_Index_Upto_April23__1[[#This Row],[Meat and fish]])</f>
        <v>1</v>
      </c>
      <c r="AN160">
        <f>TYPE(All_India_Index_Upto_April23__1[[#This Row],[Egg]])</f>
        <v>1</v>
      </c>
      <c r="AO160">
        <f>TYPE(All_India_Index_Upto_April23__1[[#This Row],[Milk and products]])</f>
        <v>1</v>
      </c>
      <c r="AP160">
        <f>TYPE(All_India_Index_Upto_April23__1[[#This Row],[Oils and fats]])</f>
        <v>1</v>
      </c>
      <c r="AQ160">
        <f>TYPE(All_India_Index_Upto_April23__1[[#This Row],[Fruits]])</f>
        <v>1</v>
      </c>
      <c r="AR160">
        <f>TYPE(All_India_Index_Upto_April23__1[[#This Row],[Vegetables]])</f>
        <v>1</v>
      </c>
      <c r="AS160">
        <f>TYPE(All_India_Index_Upto_April23__1[[#This Row],[Pulses and products]])</f>
        <v>1</v>
      </c>
      <c r="AT160">
        <f>TYPE(All_India_Index_Upto_April23__1[[#This Row],[Sugar and Confectionery]])</f>
        <v>1</v>
      </c>
      <c r="AU160">
        <f>TYPE(All_India_Index_Upto_April23__1[[#This Row],[Spices]])</f>
        <v>1</v>
      </c>
      <c r="AV160">
        <f>TYPE(All_India_Index_Upto_April23__1[[#This Row],[Non-alcoholic beverages]])</f>
        <v>1</v>
      </c>
      <c r="AW160">
        <f>TYPE(All_India_Index_Upto_April23__1[[#This Row],[Prepared meals, snacks, sweets etc.]])</f>
        <v>1</v>
      </c>
      <c r="AX160">
        <f>TYPE(All_India_Index_Upto_April23__1[[#This Row],[Food and beverages]])</f>
        <v>1</v>
      </c>
      <c r="AY160">
        <f>TYPE(All_India_Index_Upto_April23__1[[#This Row],[Pan, tobacco and intoxicants]])</f>
        <v>1</v>
      </c>
      <c r="AZ160">
        <f>TYPE(All_India_Index_Upto_April23__1[[#This Row],[Clothing]])</f>
        <v>1</v>
      </c>
      <c r="BA160">
        <f>TYPE(All_India_Index_Upto_April23__1[[#This Row],[Footwear]])</f>
        <v>1</v>
      </c>
      <c r="BB160">
        <f>TYPE(All_India_Index_Upto_April23__1[[#This Row],[Clothing and footwear]])</f>
        <v>1</v>
      </c>
      <c r="BC160">
        <f>TYPE(All_India_Index_Upto_April23__1[[#This Row],[Housing]])</f>
        <v>2</v>
      </c>
      <c r="BD160">
        <f>TYPE(All_India_Index_Upto_April23__1[[#This Row],[Fuel and light]])</f>
        <v>1</v>
      </c>
      <c r="BE160">
        <f>TYPE(All_India_Index_Upto_April23__1[[#This Row],[Household goods and services]])</f>
        <v>1</v>
      </c>
      <c r="BF160">
        <f>TYPE(All_India_Index_Upto_April23__1[[#This Row],[Health]])</f>
        <v>1</v>
      </c>
      <c r="BG160">
        <f>TYPE(All_India_Index_Upto_April23__1[[#This Row],[Transport and communication]])</f>
        <v>1</v>
      </c>
      <c r="BH160">
        <f>TYPE(All_India_Index_Upto_April23__1[[#This Row],[Recreation and amusement]])</f>
        <v>1</v>
      </c>
      <c r="BI160">
        <f>TYPE(All_India_Index_Upto_April23__1[[#This Row],[Education]])</f>
        <v>1</v>
      </c>
      <c r="BJ160">
        <f>TYPE(All_India_Index_Upto_April23__1[[#This Row],[Personal care and effects]])</f>
        <v>1</v>
      </c>
      <c r="BK160">
        <f>TYPE(All_India_Index_Upto_April23__1[[#This Row],[Miscellaneous]])</f>
        <v>1</v>
      </c>
      <c r="BL160">
        <f>TYPE(All_India_Index_Upto_April23__1[[#This Row],[General index]])</f>
        <v>1</v>
      </c>
    </row>
    <row r="161" spans="1:64" hidden="1" x14ac:dyDescent="0.3">
      <c r="A161" t="s">
        <v>33</v>
      </c>
      <c r="B161">
        <v>2017</v>
      </c>
      <c r="C161" t="s">
        <v>37</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t="s">
        <v>140</v>
      </c>
      <c r="V161">
        <v>129.4</v>
      </c>
      <c r="W161">
        <v>130.9</v>
      </c>
      <c r="X161">
        <v>128.4</v>
      </c>
      <c r="Y161">
        <v>116.7</v>
      </c>
      <c r="Z161">
        <v>125.7</v>
      </c>
      <c r="AA161">
        <v>134.80000000000001</v>
      </c>
      <c r="AB161">
        <v>123</v>
      </c>
      <c r="AC161">
        <v>125.3</v>
      </c>
      <c r="AD161">
        <v>131.4</v>
      </c>
      <c r="AE161">
        <f>SUM(All_India_Index_Upto_April23__1[[#This Row],[Cereals and products]:[Food and beverages]])</f>
        <v>1719.6000000000001</v>
      </c>
      <c r="AF161">
        <f>SUM(All_India_Index_Upto_April23__1[[#This Row],[Clothing]:[Clothing and footwear]])</f>
        <v>406.8</v>
      </c>
      <c r="AG161">
        <f t="shared" si="2"/>
        <v>377</v>
      </c>
      <c r="AI161">
        <f>TYPE(All_India_Index_Upto_April23__1[[#This Row],[Sector]])</f>
        <v>2</v>
      </c>
      <c r="AJ161">
        <f>TYPE(All_India_Index_Upto_April23__1[[#This Row],[Year]])</f>
        <v>1</v>
      </c>
      <c r="AK161">
        <f>TYPE(All_India_Index_Upto_April23__1[[#This Row],[Month]])</f>
        <v>2</v>
      </c>
      <c r="AL161">
        <f>TYPE(All_India_Index_Upto_April23__1[[#This Row],[Cereals and products]])</f>
        <v>1</v>
      </c>
      <c r="AM161">
        <f>TYPE(All_India_Index_Upto_April23__1[[#This Row],[Meat and fish]])</f>
        <v>1</v>
      </c>
      <c r="AN161">
        <f>TYPE(All_India_Index_Upto_April23__1[[#This Row],[Egg]])</f>
        <v>1</v>
      </c>
      <c r="AO161">
        <f>TYPE(All_India_Index_Upto_April23__1[[#This Row],[Milk and products]])</f>
        <v>1</v>
      </c>
      <c r="AP161">
        <f>TYPE(All_India_Index_Upto_April23__1[[#This Row],[Oils and fats]])</f>
        <v>1</v>
      </c>
      <c r="AQ161">
        <f>TYPE(All_India_Index_Upto_April23__1[[#This Row],[Fruits]])</f>
        <v>1</v>
      </c>
      <c r="AR161">
        <f>TYPE(All_India_Index_Upto_April23__1[[#This Row],[Vegetables]])</f>
        <v>1</v>
      </c>
      <c r="AS161">
        <f>TYPE(All_India_Index_Upto_April23__1[[#This Row],[Pulses and products]])</f>
        <v>1</v>
      </c>
      <c r="AT161">
        <f>TYPE(All_India_Index_Upto_April23__1[[#This Row],[Sugar and Confectionery]])</f>
        <v>1</v>
      </c>
      <c r="AU161">
        <f>TYPE(All_India_Index_Upto_April23__1[[#This Row],[Spices]])</f>
        <v>1</v>
      </c>
      <c r="AV161">
        <f>TYPE(All_India_Index_Upto_April23__1[[#This Row],[Non-alcoholic beverages]])</f>
        <v>1</v>
      </c>
      <c r="AW161">
        <f>TYPE(All_India_Index_Upto_April23__1[[#This Row],[Prepared meals, snacks, sweets etc.]])</f>
        <v>1</v>
      </c>
      <c r="AX161">
        <f>TYPE(All_India_Index_Upto_April23__1[[#This Row],[Food and beverages]])</f>
        <v>1</v>
      </c>
      <c r="AY161">
        <f>TYPE(All_India_Index_Upto_April23__1[[#This Row],[Pan, tobacco and intoxicants]])</f>
        <v>1</v>
      </c>
      <c r="AZ161">
        <f>TYPE(All_India_Index_Upto_April23__1[[#This Row],[Clothing]])</f>
        <v>1</v>
      </c>
      <c r="BA161">
        <f>TYPE(All_India_Index_Upto_April23__1[[#This Row],[Footwear]])</f>
        <v>1</v>
      </c>
      <c r="BB161">
        <f>TYPE(All_India_Index_Upto_April23__1[[#This Row],[Clothing and footwear]])</f>
        <v>1</v>
      </c>
      <c r="BC161">
        <f>TYPE(All_India_Index_Upto_April23__1[[#This Row],[Housing]])</f>
        <v>2</v>
      </c>
      <c r="BD161">
        <f>TYPE(All_India_Index_Upto_April23__1[[#This Row],[Fuel and light]])</f>
        <v>1</v>
      </c>
      <c r="BE161">
        <f>TYPE(All_India_Index_Upto_April23__1[[#This Row],[Household goods and services]])</f>
        <v>1</v>
      </c>
      <c r="BF161">
        <f>TYPE(All_India_Index_Upto_April23__1[[#This Row],[Health]])</f>
        <v>1</v>
      </c>
      <c r="BG161">
        <f>TYPE(All_India_Index_Upto_April23__1[[#This Row],[Transport and communication]])</f>
        <v>1</v>
      </c>
      <c r="BH161">
        <f>TYPE(All_India_Index_Upto_April23__1[[#This Row],[Recreation and amusement]])</f>
        <v>1</v>
      </c>
      <c r="BI161">
        <f>TYPE(All_India_Index_Upto_April23__1[[#This Row],[Education]])</f>
        <v>1</v>
      </c>
      <c r="BJ161">
        <f>TYPE(All_India_Index_Upto_April23__1[[#This Row],[Personal care and effects]])</f>
        <v>1</v>
      </c>
      <c r="BK161">
        <f>TYPE(All_India_Index_Upto_April23__1[[#This Row],[Miscellaneous]])</f>
        <v>1</v>
      </c>
      <c r="BL161">
        <f>TYPE(All_India_Index_Upto_April23__1[[#This Row],[General index]])</f>
        <v>1</v>
      </c>
    </row>
    <row r="162" spans="1:64" hidden="1" x14ac:dyDescent="0.3">
      <c r="A162" t="s">
        <v>30</v>
      </c>
      <c r="B162">
        <v>2017</v>
      </c>
      <c r="C162" t="s">
        <v>38</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U162" t="s">
        <v>89</v>
      </c>
      <c r="V162">
        <v>134.80000000000001</v>
      </c>
      <c r="W162">
        <v>135.19999999999999</v>
      </c>
      <c r="X162">
        <v>131.30000000000001</v>
      </c>
      <c r="Y162">
        <v>119.4</v>
      </c>
      <c r="Z162">
        <v>129.80000000000001</v>
      </c>
      <c r="AA162">
        <v>136.9</v>
      </c>
      <c r="AB162">
        <v>124.1</v>
      </c>
      <c r="AC162">
        <v>128.1</v>
      </c>
      <c r="AD162">
        <v>133.9</v>
      </c>
      <c r="AE162">
        <f>SUM(All_India_Index_Upto_April23__1[[#This Row],[Cereals and products]:[Food and beverages]])</f>
        <v>1738.8000000000002</v>
      </c>
      <c r="AF162">
        <f>SUM(All_India_Index_Upto_April23__1[[#This Row],[Clothing]:[Clothing and footwear]])</f>
        <v>423.09999999999997</v>
      </c>
      <c r="AG162">
        <f t="shared" si="2"/>
        <v>389.4</v>
      </c>
      <c r="AI162">
        <f>TYPE(All_India_Index_Upto_April23__1[[#This Row],[Sector]])</f>
        <v>2</v>
      </c>
      <c r="AJ162">
        <f>TYPE(All_India_Index_Upto_April23__1[[#This Row],[Year]])</f>
        <v>1</v>
      </c>
      <c r="AK162">
        <f>TYPE(All_India_Index_Upto_April23__1[[#This Row],[Month]])</f>
        <v>2</v>
      </c>
      <c r="AL162">
        <f>TYPE(All_India_Index_Upto_April23__1[[#This Row],[Cereals and products]])</f>
        <v>1</v>
      </c>
      <c r="AM162">
        <f>TYPE(All_India_Index_Upto_April23__1[[#This Row],[Meat and fish]])</f>
        <v>1</v>
      </c>
      <c r="AN162">
        <f>TYPE(All_India_Index_Upto_April23__1[[#This Row],[Egg]])</f>
        <v>1</v>
      </c>
      <c r="AO162">
        <f>TYPE(All_India_Index_Upto_April23__1[[#This Row],[Milk and products]])</f>
        <v>1</v>
      </c>
      <c r="AP162">
        <f>TYPE(All_India_Index_Upto_April23__1[[#This Row],[Oils and fats]])</f>
        <v>1</v>
      </c>
      <c r="AQ162">
        <f>TYPE(All_India_Index_Upto_April23__1[[#This Row],[Fruits]])</f>
        <v>1</v>
      </c>
      <c r="AR162">
        <f>TYPE(All_India_Index_Upto_April23__1[[#This Row],[Vegetables]])</f>
        <v>1</v>
      </c>
      <c r="AS162">
        <f>TYPE(All_India_Index_Upto_April23__1[[#This Row],[Pulses and products]])</f>
        <v>1</v>
      </c>
      <c r="AT162">
        <f>TYPE(All_India_Index_Upto_April23__1[[#This Row],[Sugar and Confectionery]])</f>
        <v>1</v>
      </c>
      <c r="AU162">
        <f>TYPE(All_India_Index_Upto_April23__1[[#This Row],[Spices]])</f>
        <v>1</v>
      </c>
      <c r="AV162">
        <f>TYPE(All_India_Index_Upto_April23__1[[#This Row],[Non-alcoholic beverages]])</f>
        <v>1</v>
      </c>
      <c r="AW162">
        <f>TYPE(All_India_Index_Upto_April23__1[[#This Row],[Prepared meals, snacks, sweets etc.]])</f>
        <v>1</v>
      </c>
      <c r="AX162">
        <f>TYPE(All_India_Index_Upto_April23__1[[#This Row],[Food and beverages]])</f>
        <v>1</v>
      </c>
      <c r="AY162">
        <f>TYPE(All_India_Index_Upto_April23__1[[#This Row],[Pan, tobacco and intoxicants]])</f>
        <v>1</v>
      </c>
      <c r="AZ162">
        <f>TYPE(All_India_Index_Upto_April23__1[[#This Row],[Clothing]])</f>
        <v>1</v>
      </c>
      <c r="BA162">
        <f>TYPE(All_India_Index_Upto_April23__1[[#This Row],[Footwear]])</f>
        <v>1</v>
      </c>
      <c r="BB162">
        <f>TYPE(All_India_Index_Upto_April23__1[[#This Row],[Clothing and footwear]])</f>
        <v>1</v>
      </c>
      <c r="BC162">
        <f>TYPE(All_India_Index_Upto_April23__1[[#This Row],[Housing]])</f>
        <v>2</v>
      </c>
      <c r="BD162">
        <f>TYPE(All_India_Index_Upto_April23__1[[#This Row],[Fuel and light]])</f>
        <v>1</v>
      </c>
      <c r="BE162">
        <f>TYPE(All_India_Index_Upto_April23__1[[#This Row],[Household goods and services]])</f>
        <v>1</v>
      </c>
      <c r="BF162">
        <f>TYPE(All_India_Index_Upto_April23__1[[#This Row],[Health]])</f>
        <v>1</v>
      </c>
      <c r="BG162">
        <f>TYPE(All_India_Index_Upto_April23__1[[#This Row],[Transport and communication]])</f>
        <v>1</v>
      </c>
      <c r="BH162">
        <f>TYPE(All_India_Index_Upto_April23__1[[#This Row],[Recreation and amusement]])</f>
        <v>1</v>
      </c>
      <c r="BI162">
        <f>TYPE(All_India_Index_Upto_April23__1[[#This Row],[Education]])</f>
        <v>1</v>
      </c>
      <c r="BJ162">
        <f>TYPE(All_India_Index_Upto_April23__1[[#This Row],[Personal care and effects]])</f>
        <v>1</v>
      </c>
      <c r="BK162">
        <f>TYPE(All_India_Index_Upto_April23__1[[#This Row],[Miscellaneous]])</f>
        <v>1</v>
      </c>
      <c r="BL162">
        <f>TYPE(All_India_Index_Upto_April23__1[[#This Row],[General index]])</f>
        <v>1</v>
      </c>
    </row>
    <row r="163" spans="1:64" hidden="1" x14ac:dyDescent="0.3">
      <c r="A163" t="s">
        <v>32</v>
      </c>
      <c r="B163">
        <v>2017</v>
      </c>
      <c r="C163" t="s">
        <v>38</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t="s">
        <v>141</v>
      </c>
      <c r="V163">
        <v>119</v>
      </c>
      <c r="W163">
        <v>126.8</v>
      </c>
      <c r="X163">
        <v>123.8</v>
      </c>
      <c r="Y163">
        <v>113.9</v>
      </c>
      <c r="Z163">
        <v>122.9</v>
      </c>
      <c r="AA163">
        <v>134.30000000000001</v>
      </c>
      <c r="AB163">
        <v>122.5</v>
      </c>
      <c r="AC163">
        <v>122.7</v>
      </c>
      <c r="AD163">
        <v>129.9</v>
      </c>
      <c r="AE163">
        <f>SUM(All_India_Index_Upto_April23__1[[#This Row],[Cereals and products]:[Food and beverages]])</f>
        <v>1731.0000000000002</v>
      </c>
      <c r="AF163">
        <f>SUM(All_India_Index_Upto_April23__1[[#This Row],[Clothing]:[Clothing and footwear]])</f>
        <v>384.9</v>
      </c>
      <c r="AG163">
        <f t="shared" si="2"/>
        <v>359.70000000000005</v>
      </c>
      <c r="AI163">
        <f>TYPE(All_India_Index_Upto_April23__1[[#This Row],[Sector]])</f>
        <v>2</v>
      </c>
      <c r="AJ163">
        <f>TYPE(All_India_Index_Upto_April23__1[[#This Row],[Year]])</f>
        <v>1</v>
      </c>
      <c r="AK163">
        <f>TYPE(All_India_Index_Upto_April23__1[[#This Row],[Month]])</f>
        <v>2</v>
      </c>
      <c r="AL163">
        <f>TYPE(All_India_Index_Upto_April23__1[[#This Row],[Cereals and products]])</f>
        <v>1</v>
      </c>
      <c r="AM163">
        <f>TYPE(All_India_Index_Upto_April23__1[[#This Row],[Meat and fish]])</f>
        <v>1</v>
      </c>
      <c r="AN163">
        <f>TYPE(All_India_Index_Upto_April23__1[[#This Row],[Egg]])</f>
        <v>1</v>
      </c>
      <c r="AO163">
        <f>TYPE(All_India_Index_Upto_April23__1[[#This Row],[Milk and products]])</f>
        <v>1</v>
      </c>
      <c r="AP163">
        <f>TYPE(All_India_Index_Upto_April23__1[[#This Row],[Oils and fats]])</f>
        <v>1</v>
      </c>
      <c r="AQ163">
        <f>TYPE(All_India_Index_Upto_April23__1[[#This Row],[Fruits]])</f>
        <v>1</v>
      </c>
      <c r="AR163">
        <f>TYPE(All_India_Index_Upto_April23__1[[#This Row],[Vegetables]])</f>
        <v>1</v>
      </c>
      <c r="AS163">
        <f>TYPE(All_India_Index_Upto_April23__1[[#This Row],[Pulses and products]])</f>
        <v>1</v>
      </c>
      <c r="AT163">
        <f>TYPE(All_India_Index_Upto_April23__1[[#This Row],[Sugar and Confectionery]])</f>
        <v>1</v>
      </c>
      <c r="AU163">
        <f>TYPE(All_India_Index_Upto_April23__1[[#This Row],[Spices]])</f>
        <v>1</v>
      </c>
      <c r="AV163">
        <f>TYPE(All_India_Index_Upto_April23__1[[#This Row],[Non-alcoholic beverages]])</f>
        <v>1</v>
      </c>
      <c r="AW163">
        <f>TYPE(All_India_Index_Upto_April23__1[[#This Row],[Prepared meals, snacks, sweets etc.]])</f>
        <v>1</v>
      </c>
      <c r="AX163">
        <f>TYPE(All_India_Index_Upto_April23__1[[#This Row],[Food and beverages]])</f>
        <v>1</v>
      </c>
      <c r="AY163">
        <f>TYPE(All_India_Index_Upto_April23__1[[#This Row],[Pan, tobacco and intoxicants]])</f>
        <v>1</v>
      </c>
      <c r="AZ163">
        <f>TYPE(All_India_Index_Upto_April23__1[[#This Row],[Clothing]])</f>
        <v>1</v>
      </c>
      <c r="BA163">
        <f>TYPE(All_India_Index_Upto_April23__1[[#This Row],[Footwear]])</f>
        <v>1</v>
      </c>
      <c r="BB163">
        <f>TYPE(All_India_Index_Upto_April23__1[[#This Row],[Clothing and footwear]])</f>
        <v>1</v>
      </c>
      <c r="BC163">
        <f>TYPE(All_India_Index_Upto_April23__1[[#This Row],[Housing]])</f>
        <v>2</v>
      </c>
      <c r="BD163">
        <f>TYPE(All_India_Index_Upto_April23__1[[#This Row],[Fuel and light]])</f>
        <v>1</v>
      </c>
      <c r="BE163">
        <f>TYPE(All_India_Index_Upto_April23__1[[#This Row],[Household goods and services]])</f>
        <v>1</v>
      </c>
      <c r="BF163">
        <f>TYPE(All_India_Index_Upto_April23__1[[#This Row],[Health]])</f>
        <v>1</v>
      </c>
      <c r="BG163">
        <f>TYPE(All_India_Index_Upto_April23__1[[#This Row],[Transport and communication]])</f>
        <v>1</v>
      </c>
      <c r="BH163">
        <f>TYPE(All_India_Index_Upto_April23__1[[#This Row],[Recreation and amusement]])</f>
        <v>1</v>
      </c>
      <c r="BI163">
        <f>TYPE(All_India_Index_Upto_April23__1[[#This Row],[Education]])</f>
        <v>1</v>
      </c>
      <c r="BJ163">
        <f>TYPE(All_India_Index_Upto_April23__1[[#This Row],[Personal care and effects]])</f>
        <v>1</v>
      </c>
      <c r="BK163">
        <f>TYPE(All_India_Index_Upto_April23__1[[#This Row],[Miscellaneous]])</f>
        <v>1</v>
      </c>
      <c r="BL163">
        <f>TYPE(All_India_Index_Upto_April23__1[[#This Row],[General index]])</f>
        <v>1</v>
      </c>
    </row>
    <row r="164" spans="1:64" hidden="1" x14ac:dyDescent="0.3">
      <c r="A164" t="s">
        <v>33</v>
      </c>
      <c r="B164">
        <v>2017</v>
      </c>
      <c r="C164" t="s">
        <v>38</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t="s">
        <v>141</v>
      </c>
      <c r="V164">
        <v>128.80000000000001</v>
      </c>
      <c r="W164">
        <v>131.19999999999999</v>
      </c>
      <c r="X164">
        <v>128.5</v>
      </c>
      <c r="Y164">
        <v>116.5</v>
      </c>
      <c r="Z164">
        <v>125.9</v>
      </c>
      <c r="AA164">
        <v>135.4</v>
      </c>
      <c r="AB164">
        <v>123.4</v>
      </c>
      <c r="AC164">
        <v>125.5</v>
      </c>
      <c r="AD164">
        <v>132</v>
      </c>
      <c r="AE164">
        <f>SUM(All_India_Index_Upto_April23__1[[#This Row],[Cereals and products]:[Food and beverages]])</f>
        <v>1734.7</v>
      </c>
      <c r="AF164">
        <f>SUM(All_India_Index_Upto_April23__1[[#This Row],[Clothing]:[Clothing and footwear]])</f>
        <v>407.7</v>
      </c>
      <c r="AG164">
        <f t="shared" si="2"/>
        <v>376.5</v>
      </c>
      <c r="AI164">
        <f>TYPE(All_India_Index_Upto_April23__1[[#This Row],[Sector]])</f>
        <v>2</v>
      </c>
      <c r="AJ164">
        <f>TYPE(All_India_Index_Upto_April23__1[[#This Row],[Year]])</f>
        <v>1</v>
      </c>
      <c r="AK164">
        <f>TYPE(All_India_Index_Upto_April23__1[[#This Row],[Month]])</f>
        <v>2</v>
      </c>
      <c r="AL164">
        <f>TYPE(All_India_Index_Upto_April23__1[[#This Row],[Cereals and products]])</f>
        <v>1</v>
      </c>
      <c r="AM164">
        <f>TYPE(All_India_Index_Upto_April23__1[[#This Row],[Meat and fish]])</f>
        <v>1</v>
      </c>
      <c r="AN164">
        <f>TYPE(All_India_Index_Upto_April23__1[[#This Row],[Egg]])</f>
        <v>1</v>
      </c>
      <c r="AO164">
        <f>TYPE(All_India_Index_Upto_April23__1[[#This Row],[Milk and products]])</f>
        <v>1</v>
      </c>
      <c r="AP164">
        <f>TYPE(All_India_Index_Upto_April23__1[[#This Row],[Oils and fats]])</f>
        <v>1</v>
      </c>
      <c r="AQ164">
        <f>TYPE(All_India_Index_Upto_April23__1[[#This Row],[Fruits]])</f>
        <v>1</v>
      </c>
      <c r="AR164">
        <f>TYPE(All_India_Index_Upto_April23__1[[#This Row],[Vegetables]])</f>
        <v>1</v>
      </c>
      <c r="AS164">
        <f>TYPE(All_India_Index_Upto_April23__1[[#This Row],[Pulses and products]])</f>
        <v>1</v>
      </c>
      <c r="AT164">
        <f>TYPE(All_India_Index_Upto_April23__1[[#This Row],[Sugar and Confectionery]])</f>
        <v>1</v>
      </c>
      <c r="AU164">
        <f>TYPE(All_India_Index_Upto_April23__1[[#This Row],[Spices]])</f>
        <v>1</v>
      </c>
      <c r="AV164">
        <f>TYPE(All_India_Index_Upto_April23__1[[#This Row],[Non-alcoholic beverages]])</f>
        <v>1</v>
      </c>
      <c r="AW164">
        <f>TYPE(All_India_Index_Upto_April23__1[[#This Row],[Prepared meals, snacks, sweets etc.]])</f>
        <v>1</v>
      </c>
      <c r="AX164">
        <f>TYPE(All_India_Index_Upto_April23__1[[#This Row],[Food and beverages]])</f>
        <v>1</v>
      </c>
      <c r="AY164">
        <f>TYPE(All_India_Index_Upto_April23__1[[#This Row],[Pan, tobacco and intoxicants]])</f>
        <v>1</v>
      </c>
      <c r="AZ164">
        <f>TYPE(All_India_Index_Upto_April23__1[[#This Row],[Clothing]])</f>
        <v>1</v>
      </c>
      <c r="BA164">
        <f>TYPE(All_India_Index_Upto_April23__1[[#This Row],[Footwear]])</f>
        <v>1</v>
      </c>
      <c r="BB164">
        <f>TYPE(All_India_Index_Upto_April23__1[[#This Row],[Clothing and footwear]])</f>
        <v>1</v>
      </c>
      <c r="BC164">
        <f>TYPE(All_India_Index_Upto_April23__1[[#This Row],[Housing]])</f>
        <v>2</v>
      </c>
      <c r="BD164">
        <f>TYPE(All_India_Index_Upto_April23__1[[#This Row],[Fuel and light]])</f>
        <v>1</v>
      </c>
      <c r="BE164">
        <f>TYPE(All_India_Index_Upto_April23__1[[#This Row],[Household goods and services]])</f>
        <v>1</v>
      </c>
      <c r="BF164">
        <f>TYPE(All_India_Index_Upto_April23__1[[#This Row],[Health]])</f>
        <v>1</v>
      </c>
      <c r="BG164">
        <f>TYPE(All_India_Index_Upto_April23__1[[#This Row],[Transport and communication]])</f>
        <v>1</v>
      </c>
      <c r="BH164">
        <f>TYPE(All_India_Index_Upto_April23__1[[#This Row],[Recreation and amusement]])</f>
        <v>1</v>
      </c>
      <c r="BI164">
        <f>TYPE(All_India_Index_Upto_April23__1[[#This Row],[Education]])</f>
        <v>1</v>
      </c>
      <c r="BJ164">
        <f>TYPE(All_India_Index_Upto_April23__1[[#This Row],[Personal care and effects]])</f>
        <v>1</v>
      </c>
      <c r="BK164">
        <f>TYPE(All_India_Index_Upto_April23__1[[#This Row],[Miscellaneous]])</f>
        <v>1</v>
      </c>
      <c r="BL164">
        <f>TYPE(All_India_Index_Upto_April23__1[[#This Row],[General index]])</f>
        <v>1</v>
      </c>
    </row>
    <row r="165" spans="1:64" hidden="1" x14ac:dyDescent="0.3">
      <c r="A165" t="s">
        <v>30</v>
      </c>
      <c r="B165">
        <v>2017</v>
      </c>
      <c r="C165" t="s">
        <v>39</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U165" t="s">
        <v>89</v>
      </c>
      <c r="V165">
        <v>135.30000000000001</v>
      </c>
      <c r="W165">
        <v>136.1</v>
      </c>
      <c r="X165">
        <v>132.1</v>
      </c>
      <c r="Y165">
        <v>119.1</v>
      </c>
      <c r="Z165">
        <v>130.6</v>
      </c>
      <c r="AA165">
        <v>138.6</v>
      </c>
      <c r="AB165">
        <v>124.4</v>
      </c>
      <c r="AC165">
        <v>128.6</v>
      </c>
      <c r="AD165">
        <v>136.19999999999999</v>
      </c>
      <c r="AE165">
        <f>SUM(All_India_Index_Upto_April23__1[[#This Row],[Cereals and products]:[Food and beverages]])</f>
        <v>1772.9</v>
      </c>
      <c r="AF165">
        <f>SUM(All_India_Index_Upto_April23__1[[#This Row],[Clothing]:[Clothing and footwear]])</f>
        <v>425.9</v>
      </c>
      <c r="AG165">
        <f t="shared" si="2"/>
        <v>390.5</v>
      </c>
      <c r="AI165">
        <f>TYPE(All_India_Index_Upto_April23__1[[#This Row],[Sector]])</f>
        <v>2</v>
      </c>
      <c r="AJ165">
        <f>TYPE(All_India_Index_Upto_April23__1[[#This Row],[Year]])</f>
        <v>1</v>
      </c>
      <c r="AK165">
        <f>TYPE(All_India_Index_Upto_April23__1[[#This Row],[Month]])</f>
        <v>2</v>
      </c>
      <c r="AL165">
        <f>TYPE(All_India_Index_Upto_April23__1[[#This Row],[Cereals and products]])</f>
        <v>1</v>
      </c>
      <c r="AM165">
        <f>TYPE(All_India_Index_Upto_April23__1[[#This Row],[Meat and fish]])</f>
        <v>1</v>
      </c>
      <c r="AN165">
        <f>TYPE(All_India_Index_Upto_April23__1[[#This Row],[Egg]])</f>
        <v>1</v>
      </c>
      <c r="AO165">
        <f>TYPE(All_India_Index_Upto_April23__1[[#This Row],[Milk and products]])</f>
        <v>1</v>
      </c>
      <c r="AP165">
        <f>TYPE(All_India_Index_Upto_April23__1[[#This Row],[Oils and fats]])</f>
        <v>1</v>
      </c>
      <c r="AQ165">
        <f>TYPE(All_India_Index_Upto_April23__1[[#This Row],[Fruits]])</f>
        <v>1</v>
      </c>
      <c r="AR165">
        <f>TYPE(All_India_Index_Upto_April23__1[[#This Row],[Vegetables]])</f>
        <v>1</v>
      </c>
      <c r="AS165">
        <f>TYPE(All_India_Index_Upto_April23__1[[#This Row],[Pulses and products]])</f>
        <v>1</v>
      </c>
      <c r="AT165">
        <f>TYPE(All_India_Index_Upto_April23__1[[#This Row],[Sugar and Confectionery]])</f>
        <v>1</v>
      </c>
      <c r="AU165">
        <f>TYPE(All_India_Index_Upto_April23__1[[#This Row],[Spices]])</f>
        <v>1</v>
      </c>
      <c r="AV165">
        <f>TYPE(All_India_Index_Upto_April23__1[[#This Row],[Non-alcoholic beverages]])</f>
        <v>1</v>
      </c>
      <c r="AW165">
        <f>TYPE(All_India_Index_Upto_April23__1[[#This Row],[Prepared meals, snacks, sweets etc.]])</f>
        <v>1</v>
      </c>
      <c r="AX165">
        <f>TYPE(All_India_Index_Upto_April23__1[[#This Row],[Food and beverages]])</f>
        <v>1</v>
      </c>
      <c r="AY165">
        <f>TYPE(All_India_Index_Upto_April23__1[[#This Row],[Pan, tobacco and intoxicants]])</f>
        <v>1</v>
      </c>
      <c r="AZ165">
        <f>TYPE(All_India_Index_Upto_April23__1[[#This Row],[Clothing]])</f>
        <v>1</v>
      </c>
      <c r="BA165">
        <f>TYPE(All_India_Index_Upto_April23__1[[#This Row],[Footwear]])</f>
        <v>1</v>
      </c>
      <c r="BB165">
        <f>TYPE(All_India_Index_Upto_April23__1[[#This Row],[Clothing and footwear]])</f>
        <v>1</v>
      </c>
      <c r="BC165">
        <f>TYPE(All_India_Index_Upto_April23__1[[#This Row],[Housing]])</f>
        <v>2</v>
      </c>
      <c r="BD165">
        <f>TYPE(All_India_Index_Upto_April23__1[[#This Row],[Fuel and light]])</f>
        <v>1</v>
      </c>
      <c r="BE165">
        <f>TYPE(All_India_Index_Upto_April23__1[[#This Row],[Household goods and services]])</f>
        <v>1</v>
      </c>
      <c r="BF165">
        <f>TYPE(All_India_Index_Upto_April23__1[[#This Row],[Health]])</f>
        <v>1</v>
      </c>
      <c r="BG165">
        <f>TYPE(All_India_Index_Upto_April23__1[[#This Row],[Transport and communication]])</f>
        <v>1</v>
      </c>
      <c r="BH165">
        <f>TYPE(All_India_Index_Upto_April23__1[[#This Row],[Recreation and amusement]])</f>
        <v>1</v>
      </c>
      <c r="BI165">
        <f>TYPE(All_India_Index_Upto_April23__1[[#This Row],[Education]])</f>
        <v>1</v>
      </c>
      <c r="BJ165">
        <f>TYPE(All_India_Index_Upto_April23__1[[#This Row],[Personal care and effects]])</f>
        <v>1</v>
      </c>
      <c r="BK165">
        <f>TYPE(All_India_Index_Upto_April23__1[[#This Row],[Miscellaneous]])</f>
        <v>1</v>
      </c>
      <c r="BL165">
        <f>TYPE(All_India_Index_Upto_April23__1[[#This Row],[General index]])</f>
        <v>1</v>
      </c>
    </row>
    <row r="166" spans="1:64" hidden="1" x14ac:dyDescent="0.3">
      <c r="A166" t="s">
        <v>32</v>
      </c>
      <c r="B166">
        <v>2017</v>
      </c>
      <c r="C166" t="s">
        <v>39</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t="s">
        <v>142</v>
      </c>
      <c r="V166">
        <v>119.7</v>
      </c>
      <c r="W166">
        <v>127.2</v>
      </c>
      <c r="X166">
        <v>125</v>
      </c>
      <c r="Y166">
        <v>113.2</v>
      </c>
      <c r="Z166">
        <v>123.5</v>
      </c>
      <c r="AA166">
        <v>135.5</v>
      </c>
      <c r="AB166">
        <v>122.4</v>
      </c>
      <c r="AC166">
        <v>123</v>
      </c>
      <c r="AD166">
        <v>131.80000000000001</v>
      </c>
      <c r="AE166">
        <f>SUM(All_India_Index_Upto_April23__1[[#This Row],[Cereals and products]:[Food and beverages]])</f>
        <v>1768.1</v>
      </c>
      <c r="AF166">
        <f>SUM(All_India_Index_Upto_April23__1[[#This Row],[Clothing]:[Clothing and footwear]])</f>
        <v>385.70000000000005</v>
      </c>
      <c r="AG166">
        <f t="shared" si="2"/>
        <v>360.1</v>
      </c>
      <c r="AI166">
        <f>TYPE(All_India_Index_Upto_April23__1[[#This Row],[Sector]])</f>
        <v>2</v>
      </c>
      <c r="AJ166">
        <f>TYPE(All_India_Index_Upto_April23__1[[#This Row],[Year]])</f>
        <v>1</v>
      </c>
      <c r="AK166">
        <f>TYPE(All_India_Index_Upto_April23__1[[#This Row],[Month]])</f>
        <v>2</v>
      </c>
      <c r="AL166">
        <f>TYPE(All_India_Index_Upto_April23__1[[#This Row],[Cereals and products]])</f>
        <v>1</v>
      </c>
      <c r="AM166">
        <f>TYPE(All_India_Index_Upto_April23__1[[#This Row],[Meat and fish]])</f>
        <v>1</v>
      </c>
      <c r="AN166">
        <f>TYPE(All_India_Index_Upto_April23__1[[#This Row],[Egg]])</f>
        <v>1</v>
      </c>
      <c r="AO166">
        <f>TYPE(All_India_Index_Upto_April23__1[[#This Row],[Milk and products]])</f>
        <v>1</v>
      </c>
      <c r="AP166">
        <f>TYPE(All_India_Index_Upto_April23__1[[#This Row],[Oils and fats]])</f>
        <v>1</v>
      </c>
      <c r="AQ166">
        <f>TYPE(All_India_Index_Upto_April23__1[[#This Row],[Fruits]])</f>
        <v>1</v>
      </c>
      <c r="AR166">
        <f>TYPE(All_India_Index_Upto_April23__1[[#This Row],[Vegetables]])</f>
        <v>1</v>
      </c>
      <c r="AS166">
        <f>TYPE(All_India_Index_Upto_April23__1[[#This Row],[Pulses and products]])</f>
        <v>1</v>
      </c>
      <c r="AT166">
        <f>TYPE(All_India_Index_Upto_April23__1[[#This Row],[Sugar and Confectionery]])</f>
        <v>1</v>
      </c>
      <c r="AU166">
        <f>TYPE(All_India_Index_Upto_April23__1[[#This Row],[Spices]])</f>
        <v>1</v>
      </c>
      <c r="AV166">
        <f>TYPE(All_India_Index_Upto_April23__1[[#This Row],[Non-alcoholic beverages]])</f>
        <v>1</v>
      </c>
      <c r="AW166">
        <f>TYPE(All_India_Index_Upto_April23__1[[#This Row],[Prepared meals, snacks, sweets etc.]])</f>
        <v>1</v>
      </c>
      <c r="AX166">
        <f>TYPE(All_India_Index_Upto_April23__1[[#This Row],[Food and beverages]])</f>
        <v>1</v>
      </c>
      <c r="AY166">
        <f>TYPE(All_India_Index_Upto_April23__1[[#This Row],[Pan, tobacco and intoxicants]])</f>
        <v>1</v>
      </c>
      <c r="AZ166">
        <f>TYPE(All_India_Index_Upto_April23__1[[#This Row],[Clothing]])</f>
        <v>1</v>
      </c>
      <c r="BA166">
        <f>TYPE(All_India_Index_Upto_April23__1[[#This Row],[Footwear]])</f>
        <v>1</v>
      </c>
      <c r="BB166">
        <f>TYPE(All_India_Index_Upto_April23__1[[#This Row],[Clothing and footwear]])</f>
        <v>1</v>
      </c>
      <c r="BC166">
        <f>TYPE(All_India_Index_Upto_April23__1[[#This Row],[Housing]])</f>
        <v>2</v>
      </c>
      <c r="BD166">
        <f>TYPE(All_India_Index_Upto_April23__1[[#This Row],[Fuel and light]])</f>
        <v>1</v>
      </c>
      <c r="BE166">
        <f>TYPE(All_India_Index_Upto_April23__1[[#This Row],[Household goods and services]])</f>
        <v>1</v>
      </c>
      <c r="BF166">
        <f>TYPE(All_India_Index_Upto_April23__1[[#This Row],[Health]])</f>
        <v>1</v>
      </c>
      <c r="BG166">
        <f>TYPE(All_India_Index_Upto_April23__1[[#This Row],[Transport and communication]])</f>
        <v>1</v>
      </c>
      <c r="BH166">
        <f>TYPE(All_India_Index_Upto_April23__1[[#This Row],[Recreation and amusement]])</f>
        <v>1</v>
      </c>
      <c r="BI166">
        <f>TYPE(All_India_Index_Upto_April23__1[[#This Row],[Education]])</f>
        <v>1</v>
      </c>
      <c r="BJ166">
        <f>TYPE(All_India_Index_Upto_April23__1[[#This Row],[Personal care and effects]])</f>
        <v>1</v>
      </c>
      <c r="BK166">
        <f>TYPE(All_India_Index_Upto_April23__1[[#This Row],[Miscellaneous]])</f>
        <v>1</v>
      </c>
      <c r="BL166">
        <f>TYPE(All_India_Index_Upto_April23__1[[#This Row],[General index]])</f>
        <v>1</v>
      </c>
    </row>
    <row r="167" spans="1:64" hidden="1" x14ac:dyDescent="0.3">
      <c r="A167" t="s">
        <v>33</v>
      </c>
      <c r="B167">
        <v>2017</v>
      </c>
      <c r="C167" t="s">
        <v>39</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t="s">
        <v>142</v>
      </c>
      <c r="V167">
        <v>129.4</v>
      </c>
      <c r="W167">
        <v>131.9</v>
      </c>
      <c r="X167">
        <v>129.4</v>
      </c>
      <c r="Y167">
        <v>116</v>
      </c>
      <c r="Z167">
        <v>126.6</v>
      </c>
      <c r="AA167">
        <v>136.80000000000001</v>
      </c>
      <c r="AB167">
        <v>123.6</v>
      </c>
      <c r="AC167">
        <v>125.9</v>
      </c>
      <c r="AD167">
        <v>134.19999999999999</v>
      </c>
      <c r="AE167">
        <f>SUM(All_India_Index_Upto_April23__1[[#This Row],[Cereals and products]:[Food and beverages]])</f>
        <v>1769.3999999999999</v>
      </c>
      <c r="AF167">
        <f>SUM(All_India_Index_Upto_April23__1[[#This Row],[Clothing]:[Clothing and footwear]])</f>
        <v>409.7</v>
      </c>
      <c r="AG167">
        <f t="shared" si="2"/>
        <v>377.3</v>
      </c>
      <c r="AI167">
        <f>TYPE(All_India_Index_Upto_April23__1[[#This Row],[Sector]])</f>
        <v>2</v>
      </c>
      <c r="AJ167">
        <f>TYPE(All_India_Index_Upto_April23__1[[#This Row],[Year]])</f>
        <v>1</v>
      </c>
      <c r="AK167">
        <f>TYPE(All_India_Index_Upto_April23__1[[#This Row],[Month]])</f>
        <v>2</v>
      </c>
      <c r="AL167">
        <f>TYPE(All_India_Index_Upto_April23__1[[#This Row],[Cereals and products]])</f>
        <v>1</v>
      </c>
      <c r="AM167">
        <f>TYPE(All_India_Index_Upto_April23__1[[#This Row],[Meat and fish]])</f>
        <v>1</v>
      </c>
      <c r="AN167">
        <f>TYPE(All_India_Index_Upto_April23__1[[#This Row],[Egg]])</f>
        <v>1</v>
      </c>
      <c r="AO167">
        <f>TYPE(All_India_Index_Upto_April23__1[[#This Row],[Milk and products]])</f>
        <v>1</v>
      </c>
      <c r="AP167">
        <f>TYPE(All_India_Index_Upto_April23__1[[#This Row],[Oils and fats]])</f>
        <v>1</v>
      </c>
      <c r="AQ167">
        <f>TYPE(All_India_Index_Upto_April23__1[[#This Row],[Fruits]])</f>
        <v>1</v>
      </c>
      <c r="AR167">
        <f>TYPE(All_India_Index_Upto_April23__1[[#This Row],[Vegetables]])</f>
        <v>1</v>
      </c>
      <c r="AS167">
        <f>TYPE(All_India_Index_Upto_April23__1[[#This Row],[Pulses and products]])</f>
        <v>1</v>
      </c>
      <c r="AT167">
        <f>TYPE(All_India_Index_Upto_April23__1[[#This Row],[Sugar and Confectionery]])</f>
        <v>1</v>
      </c>
      <c r="AU167">
        <f>TYPE(All_India_Index_Upto_April23__1[[#This Row],[Spices]])</f>
        <v>1</v>
      </c>
      <c r="AV167">
        <f>TYPE(All_India_Index_Upto_April23__1[[#This Row],[Non-alcoholic beverages]])</f>
        <v>1</v>
      </c>
      <c r="AW167">
        <f>TYPE(All_India_Index_Upto_April23__1[[#This Row],[Prepared meals, snacks, sweets etc.]])</f>
        <v>1</v>
      </c>
      <c r="AX167">
        <f>TYPE(All_India_Index_Upto_April23__1[[#This Row],[Food and beverages]])</f>
        <v>1</v>
      </c>
      <c r="AY167">
        <f>TYPE(All_India_Index_Upto_April23__1[[#This Row],[Pan, tobacco and intoxicants]])</f>
        <v>1</v>
      </c>
      <c r="AZ167">
        <f>TYPE(All_India_Index_Upto_April23__1[[#This Row],[Clothing]])</f>
        <v>1</v>
      </c>
      <c r="BA167">
        <f>TYPE(All_India_Index_Upto_April23__1[[#This Row],[Footwear]])</f>
        <v>1</v>
      </c>
      <c r="BB167">
        <f>TYPE(All_India_Index_Upto_April23__1[[#This Row],[Clothing and footwear]])</f>
        <v>1</v>
      </c>
      <c r="BC167">
        <f>TYPE(All_India_Index_Upto_April23__1[[#This Row],[Housing]])</f>
        <v>2</v>
      </c>
      <c r="BD167">
        <f>TYPE(All_India_Index_Upto_April23__1[[#This Row],[Fuel and light]])</f>
        <v>1</v>
      </c>
      <c r="BE167">
        <f>TYPE(All_India_Index_Upto_April23__1[[#This Row],[Household goods and services]])</f>
        <v>1</v>
      </c>
      <c r="BF167">
        <f>TYPE(All_India_Index_Upto_April23__1[[#This Row],[Health]])</f>
        <v>1</v>
      </c>
      <c r="BG167">
        <f>TYPE(All_India_Index_Upto_April23__1[[#This Row],[Transport and communication]])</f>
        <v>1</v>
      </c>
      <c r="BH167">
        <f>TYPE(All_India_Index_Upto_April23__1[[#This Row],[Recreation and amusement]])</f>
        <v>1</v>
      </c>
      <c r="BI167">
        <f>TYPE(All_India_Index_Upto_April23__1[[#This Row],[Education]])</f>
        <v>1</v>
      </c>
      <c r="BJ167">
        <f>TYPE(All_India_Index_Upto_April23__1[[#This Row],[Personal care and effects]])</f>
        <v>1</v>
      </c>
      <c r="BK167">
        <f>TYPE(All_India_Index_Upto_April23__1[[#This Row],[Miscellaneous]])</f>
        <v>1</v>
      </c>
      <c r="BL167">
        <f>TYPE(All_India_Index_Upto_April23__1[[#This Row],[General index]])</f>
        <v>1</v>
      </c>
    </row>
    <row r="168" spans="1:64" hidden="1" x14ac:dyDescent="0.3">
      <c r="A168" t="s">
        <v>30</v>
      </c>
      <c r="B168">
        <v>2017</v>
      </c>
      <c r="C168" t="s">
        <v>40</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U168" t="s">
        <v>89</v>
      </c>
      <c r="V168">
        <v>136.4</v>
      </c>
      <c r="W168">
        <v>137.30000000000001</v>
      </c>
      <c r="X168">
        <v>133</v>
      </c>
      <c r="Y168">
        <v>120.3</v>
      </c>
      <c r="Z168">
        <v>131.5</v>
      </c>
      <c r="AA168">
        <v>140.19999999999999</v>
      </c>
      <c r="AB168">
        <v>125.4</v>
      </c>
      <c r="AC168">
        <v>129.69999999999999</v>
      </c>
      <c r="AD168">
        <v>137.80000000000001</v>
      </c>
      <c r="AE168">
        <f>SUM(All_India_Index_Upto_April23__1[[#This Row],[Cereals and products]:[Food and beverages]])</f>
        <v>1792.4999999999998</v>
      </c>
      <c r="AF168">
        <f>SUM(All_India_Index_Upto_April23__1[[#This Row],[Clothing]:[Clothing and footwear]])</f>
        <v>429</v>
      </c>
      <c r="AG168">
        <f t="shared" si="2"/>
        <v>394.00000000000006</v>
      </c>
      <c r="AI168">
        <f>TYPE(All_India_Index_Upto_April23__1[[#This Row],[Sector]])</f>
        <v>2</v>
      </c>
      <c r="AJ168">
        <f>TYPE(All_India_Index_Upto_April23__1[[#This Row],[Year]])</f>
        <v>1</v>
      </c>
      <c r="AK168">
        <f>TYPE(All_India_Index_Upto_April23__1[[#This Row],[Month]])</f>
        <v>2</v>
      </c>
      <c r="AL168">
        <f>TYPE(All_India_Index_Upto_April23__1[[#This Row],[Cereals and products]])</f>
        <v>1</v>
      </c>
      <c r="AM168">
        <f>TYPE(All_India_Index_Upto_April23__1[[#This Row],[Meat and fish]])</f>
        <v>1</v>
      </c>
      <c r="AN168">
        <f>TYPE(All_India_Index_Upto_April23__1[[#This Row],[Egg]])</f>
        <v>1</v>
      </c>
      <c r="AO168">
        <f>TYPE(All_India_Index_Upto_April23__1[[#This Row],[Milk and products]])</f>
        <v>1</v>
      </c>
      <c r="AP168">
        <f>TYPE(All_India_Index_Upto_April23__1[[#This Row],[Oils and fats]])</f>
        <v>1</v>
      </c>
      <c r="AQ168">
        <f>TYPE(All_India_Index_Upto_April23__1[[#This Row],[Fruits]])</f>
        <v>1</v>
      </c>
      <c r="AR168">
        <f>TYPE(All_India_Index_Upto_April23__1[[#This Row],[Vegetables]])</f>
        <v>1</v>
      </c>
      <c r="AS168">
        <f>TYPE(All_India_Index_Upto_April23__1[[#This Row],[Pulses and products]])</f>
        <v>1</v>
      </c>
      <c r="AT168">
        <f>TYPE(All_India_Index_Upto_April23__1[[#This Row],[Sugar and Confectionery]])</f>
        <v>1</v>
      </c>
      <c r="AU168">
        <f>TYPE(All_India_Index_Upto_April23__1[[#This Row],[Spices]])</f>
        <v>1</v>
      </c>
      <c r="AV168">
        <f>TYPE(All_India_Index_Upto_April23__1[[#This Row],[Non-alcoholic beverages]])</f>
        <v>1</v>
      </c>
      <c r="AW168">
        <f>TYPE(All_India_Index_Upto_April23__1[[#This Row],[Prepared meals, snacks, sweets etc.]])</f>
        <v>1</v>
      </c>
      <c r="AX168">
        <f>TYPE(All_India_Index_Upto_April23__1[[#This Row],[Food and beverages]])</f>
        <v>1</v>
      </c>
      <c r="AY168">
        <f>TYPE(All_India_Index_Upto_April23__1[[#This Row],[Pan, tobacco and intoxicants]])</f>
        <v>1</v>
      </c>
      <c r="AZ168">
        <f>TYPE(All_India_Index_Upto_April23__1[[#This Row],[Clothing]])</f>
        <v>1</v>
      </c>
      <c r="BA168">
        <f>TYPE(All_India_Index_Upto_April23__1[[#This Row],[Footwear]])</f>
        <v>1</v>
      </c>
      <c r="BB168">
        <f>TYPE(All_India_Index_Upto_April23__1[[#This Row],[Clothing and footwear]])</f>
        <v>1</v>
      </c>
      <c r="BC168">
        <f>TYPE(All_India_Index_Upto_April23__1[[#This Row],[Housing]])</f>
        <v>2</v>
      </c>
      <c r="BD168">
        <f>TYPE(All_India_Index_Upto_April23__1[[#This Row],[Fuel and light]])</f>
        <v>1</v>
      </c>
      <c r="BE168">
        <f>TYPE(All_India_Index_Upto_April23__1[[#This Row],[Household goods and services]])</f>
        <v>1</v>
      </c>
      <c r="BF168">
        <f>TYPE(All_India_Index_Upto_April23__1[[#This Row],[Health]])</f>
        <v>1</v>
      </c>
      <c r="BG168">
        <f>TYPE(All_India_Index_Upto_April23__1[[#This Row],[Transport and communication]])</f>
        <v>1</v>
      </c>
      <c r="BH168">
        <f>TYPE(All_India_Index_Upto_April23__1[[#This Row],[Recreation and amusement]])</f>
        <v>1</v>
      </c>
      <c r="BI168">
        <f>TYPE(All_India_Index_Upto_April23__1[[#This Row],[Education]])</f>
        <v>1</v>
      </c>
      <c r="BJ168">
        <f>TYPE(All_India_Index_Upto_April23__1[[#This Row],[Personal care and effects]])</f>
        <v>1</v>
      </c>
      <c r="BK168">
        <f>TYPE(All_India_Index_Upto_April23__1[[#This Row],[Miscellaneous]])</f>
        <v>1</v>
      </c>
      <c r="BL168">
        <f>TYPE(All_India_Index_Upto_April23__1[[#This Row],[General index]])</f>
        <v>1</v>
      </c>
    </row>
    <row r="169" spans="1:64" hidden="1" x14ac:dyDescent="0.3">
      <c r="A169" t="s">
        <v>32</v>
      </c>
      <c r="B169">
        <v>2017</v>
      </c>
      <c r="C169" t="s">
        <v>40</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t="s">
        <v>143</v>
      </c>
      <c r="V169">
        <v>118.9</v>
      </c>
      <c r="W169">
        <v>127.7</v>
      </c>
      <c r="X169">
        <v>125.7</v>
      </c>
      <c r="Y169">
        <v>114.6</v>
      </c>
      <c r="Z169">
        <v>124.1</v>
      </c>
      <c r="AA169">
        <v>135.69999999999999</v>
      </c>
      <c r="AB169">
        <v>123.3</v>
      </c>
      <c r="AC169">
        <v>123.8</v>
      </c>
      <c r="AD169">
        <v>132.69999999999999</v>
      </c>
      <c r="AE169">
        <f>SUM(All_India_Index_Upto_April23__1[[#This Row],[Cereals and products]:[Food and beverages]])</f>
        <v>1772.9999999999998</v>
      </c>
      <c r="AF169">
        <f>SUM(All_India_Index_Upto_April23__1[[#This Row],[Clothing]:[Clothing and footwear]])</f>
        <v>388.4</v>
      </c>
      <c r="AG169">
        <f t="shared" si="2"/>
        <v>361.20000000000005</v>
      </c>
      <c r="AI169">
        <f>TYPE(All_India_Index_Upto_April23__1[[#This Row],[Sector]])</f>
        <v>2</v>
      </c>
      <c r="AJ169">
        <f>TYPE(All_India_Index_Upto_April23__1[[#This Row],[Year]])</f>
        <v>1</v>
      </c>
      <c r="AK169">
        <f>TYPE(All_India_Index_Upto_April23__1[[#This Row],[Month]])</f>
        <v>2</v>
      </c>
      <c r="AL169">
        <f>TYPE(All_India_Index_Upto_April23__1[[#This Row],[Cereals and products]])</f>
        <v>1</v>
      </c>
      <c r="AM169">
        <f>TYPE(All_India_Index_Upto_April23__1[[#This Row],[Meat and fish]])</f>
        <v>1</v>
      </c>
      <c r="AN169">
        <f>TYPE(All_India_Index_Upto_April23__1[[#This Row],[Egg]])</f>
        <v>1</v>
      </c>
      <c r="AO169">
        <f>TYPE(All_India_Index_Upto_April23__1[[#This Row],[Milk and products]])</f>
        <v>1</v>
      </c>
      <c r="AP169">
        <f>TYPE(All_India_Index_Upto_April23__1[[#This Row],[Oils and fats]])</f>
        <v>1</v>
      </c>
      <c r="AQ169">
        <f>TYPE(All_India_Index_Upto_April23__1[[#This Row],[Fruits]])</f>
        <v>1</v>
      </c>
      <c r="AR169">
        <f>TYPE(All_India_Index_Upto_April23__1[[#This Row],[Vegetables]])</f>
        <v>1</v>
      </c>
      <c r="AS169">
        <f>TYPE(All_India_Index_Upto_April23__1[[#This Row],[Pulses and products]])</f>
        <v>1</v>
      </c>
      <c r="AT169">
        <f>TYPE(All_India_Index_Upto_April23__1[[#This Row],[Sugar and Confectionery]])</f>
        <v>1</v>
      </c>
      <c r="AU169">
        <f>TYPE(All_India_Index_Upto_April23__1[[#This Row],[Spices]])</f>
        <v>1</v>
      </c>
      <c r="AV169">
        <f>TYPE(All_India_Index_Upto_April23__1[[#This Row],[Non-alcoholic beverages]])</f>
        <v>1</v>
      </c>
      <c r="AW169">
        <f>TYPE(All_India_Index_Upto_April23__1[[#This Row],[Prepared meals, snacks, sweets etc.]])</f>
        <v>1</v>
      </c>
      <c r="AX169">
        <f>TYPE(All_India_Index_Upto_April23__1[[#This Row],[Food and beverages]])</f>
        <v>1</v>
      </c>
      <c r="AY169">
        <f>TYPE(All_India_Index_Upto_April23__1[[#This Row],[Pan, tobacco and intoxicants]])</f>
        <v>1</v>
      </c>
      <c r="AZ169">
        <f>TYPE(All_India_Index_Upto_April23__1[[#This Row],[Clothing]])</f>
        <v>1</v>
      </c>
      <c r="BA169">
        <f>TYPE(All_India_Index_Upto_April23__1[[#This Row],[Footwear]])</f>
        <v>1</v>
      </c>
      <c r="BB169">
        <f>TYPE(All_India_Index_Upto_April23__1[[#This Row],[Clothing and footwear]])</f>
        <v>1</v>
      </c>
      <c r="BC169">
        <f>TYPE(All_India_Index_Upto_April23__1[[#This Row],[Housing]])</f>
        <v>2</v>
      </c>
      <c r="BD169">
        <f>TYPE(All_India_Index_Upto_April23__1[[#This Row],[Fuel and light]])</f>
        <v>1</v>
      </c>
      <c r="BE169">
        <f>TYPE(All_India_Index_Upto_April23__1[[#This Row],[Household goods and services]])</f>
        <v>1</v>
      </c>
      <c r="BF169">
        <f>TYPE(All_India_Index_Upto_April23__1[[#This Row],[Health]])</f>
        <v>1</v>
      </c>
      <c r="BG169">
        <f>TYPE(All_India_Index_Upto_April23__1[[#This Row],[Transport and communication]])</f>
        <v>1</v>
      </c>
      <c r="BH169">
        <f>TYPE(All_India_Index_Upto_April23__1[[#This Row],[Recreation and amusement]])</f>
        <v>1</v>
      </c>
      <c r="BI169">
        <f>TYPE(All_India_Index_Upto_April23__1[[#This Row],[Education]])</f>
        <v>1</v>
      </c>
      <c r="BJ169">
        <f>TYPE(All_India_Index_Upto_April23__1[[#This Row],[Personal care and effects]])</f>
        <v>1</v>
      </c>
      <c r="BK169">
        <f>TYPE(All_India_Index_Upto_April23__1[[#This Row],[Miscellaneous]])</f>
        <v>1</v>
      </c>
      <c r="BL169">
        <f>TYPE(All_India_Index_Upto_April23__1[[#This Row],[General index]])</f>
        <v>1</v>
      </c>
    </row>
    <row r="170" spans="1:64" hidden="1" x14ac:dyDescent="0.3">
      <c r="A170" t="s">
        <v>33</v>
      </c>
      <c r="B170">
        <v>2017</v>
      </c>
      <c r="C170" t="s">
        <v>40</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t="s">
        <v>143</v>
      </c>
      <c r="V170">
        <v>129.80000000000001</v>
      </c>
      <c r="W170">
        <v>132.80000000000001</v>
      </c>
      <c r="X170">
        <v>130.19999999999999</v>
      </c>
      <c r="Y170">
        <v>117.3</v>
      </c>
      <c r="Z170">
        <v>127.3</v>
      </c>
      <c r="AA170">
        <v>137.6</v>
      </c>
      <c r="AB170">
        <v>124.5</v>
      </c>
      <c r="AC170">
        <v>126.8</v>
      </c>
      <c r="AD170">
        <v>135.4</v>
      </c>
      <c r="AE170">
        <f>SUM(All_India_Index_Upto_April23__1[[#This Row],[Cereals and products]:[Food and beverages]])</f>
        <v>1783.8</v>
      </c>
      <c r="AF170">
        <f>SUM(All_India_Index_Upto_April23__1[[#This Row],[Clothing]:[Clothing and footwear]])</f>
        <v>412.6</v>
      </c>
      <c r="AG170">
        <f t="shared" si="2"/>
        <v>379.90000000000003</v>
      </c>
      <c r="AI170">
        <f>TYPE(All_India_Index_Upto_April23__1[[#This Row],[Sector]])</f>
        <v>2</v>
      </c>
      <c r="AJ170">
        <f>TYPE(All_India_Index_Upto_April23__1[[#This Row],[Year]])</f>
        <v>1</v>
      </c>
      <c r="AK170">
        <f>TYPE(All_India_Index_Upto_April23__1[[#This Row],[Month]])</f>
        <v>2</v>
      </c>
      <c r="AL170">
        <f>TYPE(All_India_Index_Upto_April23__1[[#This Row],[Cereals and products]])</f>
        <v>1</v>
      </c>
      <c r="AM170">
        <f>TYPE(All_India_Index_Upto_April23__1[[#This Row],[Meat and fish]])</f>
        <v>1</v>
      </c>
      <c r="AN170">
        <f>TYPE(All_India_Index_Upto_April23__1[[#This Row],[Egg]])</f>
        <v>1</v>
      </c>
      <c r="AO170">
        <f>TYPE(All_India_Index_Upto_April23__1[[#This Row],[Milk and products]])</f>
        <v>1</v>
      </c>
      <c r="AP170">
        <f>TYPE(All_India_Index_Upto_April23__1[[#This Row],[Oils and fats]])</f>
        <v>1</v>
      </c>
      <c r="AQ170">
        <f>TYPE(All_India_Index_Upto_April23__1[[#This Row],[Fruits]])</f>
        <v>1</v>
      </c>
      <c r="AR170">
        <f>TYPE(All_India_Index_Upto_April23__1[[#This Row],[Vegetables]])</f>
        <v>1</v>
      </c>
      <c r="AS170">
        <f>TYPE(All_India_Index_Upto_April23__1[[#This Row],[Pulses and products]])</f>
        <v>1</v>
      </c>
      <c r="AT170">
        <f>TYPE(All_India_Index_Upto_April23__1[[#This Row],[Sugar and Confectionery]])</f>
        <v>1</v>
      </c>
      <c r="AU170">
        <f>TYPE(All_India_Index_Upto_April23__1[[#This Row],[Spices]])</f>
        <v>1</v>
      </c>
      <c r="AV170">
        <f>TYPE(All_India_Index_Upto_April23__1[[#This Row],[Non-alcoholic beverages]])</f>
        <v>1</v>
      </c>
      <c r="AW170">
        <f>TYPE(All_India_Index_Upto_April23__1[[#This Row],[Prepared meals, snacks, sweets etc.]])</f>
        <v>1</v>
      </c>
      <c r="AX170">
        <f>TYPE(All_India_Index_Upto_April23__1[[#This Row],[Food and beverages]])</f>
        <v>1</v>
      </c>
      <c r="AY170">
        <f>TYPE(All_India_Index_Upto_April23__1[[#This Row],[Pan, tobacco and intoxicants]])</f>
        <v>1</v>
      </c>
      <c r="AZ170">
        <f>TYPE(All_India_Index_Upto_April23__1[[#This Row],[Clothing]])</f>
        <v>1</v>
      </c>
      <c r="BA170">
        <f>TYPE(All_India_Index_Upto_April23__1[[#This Row],[Footwear]])</f>
        <v>1</v>
      </c>
      <c r="BB170">
        <f>TYPE(All_India_Index_Upto_April23__1[[#This Row],[Clothing and footwear]])</f>
        <v>1</v>
      </c>
      <c r="BC170">
        <f>TYPE(All_India_Index_Upto_April23__1[[#This Row],[Housing]])</f>
        <v>2</v>
      </c>
      <c r="BD170">
        <f>TYPE(All_India_Index_Upto_April23__1[[#This Row],[Fuel and light]])</f>
        <v>1</v>
      </c>
      <c r="BE170">
        <f>TYPE(All_India_Index_Upto_April23__1[[#This Row],[Household goods and services]])</f>
        <v>1</v>
      </c>
      <c r="BF170">
        <f>TYPE(All_India_Index_Upto_April23__1[[#This Row],[Health]])</f>
        <v>1</v>
      </c>
      <c r="BG170">
        <f>TYPE(All_India_Index_Upto_April23__1[[#This Row],[Transport and communication]])</f>
        <v>1</v>
      </c>
      <c r="BH170">
        <f>TYPE(All_India_Index_Upto_April23__1[[#This Row],[Recreation and amusement]])</f>
        <v>1</v>
      </c>
      <c r="BI170">
        <f>TYPE(All_India_Index_Upto_April23__1[[#This Row],[Education]])</f>
        <v>1</v>
      </c>
      <c r="BJ170">
        <f>TYPE(All_India_Index_Upto_April23__1[[#This Row],[Personal care and effects]])</f>
        <v>1</v>
      </c>
      <c r="BK170">
        <f>TYPE(All_India_Index_Upto_April23__1[[#This Row],[Miscellaneous]])</f>
        <v>1</v>
      </c>
      <c r="BL170">
        <f>TYPE(All_India_Index_Upto_April23__1[[#This Row],[General index]])</f>
        <v>1</v>
      </c>
    </row>
    <row r="171" spans="1:64" hidden="1" x14ac:dyDescent="0.3">
      <c r="A171" t="s">
        <v>30</v>
      </c>
      <c r="B171">
        <v>2017</v>
      </c>
      <c r="C171" t="s">
        <v>41</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U171" t="s">
        <v>89</v>
      </c>
      <c r="V171">
        <v>137.4</v>
      </c>
      <c r="W171">
        <v>137.9</v>
      </c>
      <c r="X171">
        <v>133.4</v>
      </c>
      <c r="Y171">
        <v>121.2</v>
      </c>
      <c r="Z171">
        <v>132.30000000000001</v>
      </c>
      <c r="AA171">
        <v>139.6</v>
      </c>
      <c r="AB171">
        <v>126.7</v>
      </c>
      <c r="AC171">
        <v>130.30000000000001</v>
      </c>
      <c r="AD171">
        <v>137.6</v>
      </c>
      <c r="AE171">
        <f>SUM(All_India_Index_Upto_April23__1[[#This Row],[Cereals and products]:[Food and beverages]])</f>
        <v>1784.3</v>
      </c>
      <c r="AF171">
        <f>SUM(All_India_Index_Upto_April23__1[[#This Row],[Clothing]:[Clothing and footwear]])</f>
        <v>430.99999999999994</v>
      </c>
      <c r="AG171">
        <f t="shared" si="2"/>
        <v>396.5</v>
      </c>
      <c r="AI171">
        <f>TYPE(All_India_Index_Upto_April23__1[[#This Row],[Sector]])</f>
        <v>2</v>
      </c>
      <c r="AJ171">
        <f>TYPE(All_India_Index_Upto_April23__1[[#This Row],[Year]])</f>
        <v>1</v>
      </c>
      <c r="AK171">
        <f>TYPE(All_India_Index_Upto_April23__1[[#This Row],[Month]])</f>
        <v>2</v>
      </c>
      <c r="AL171">
        <f>TYPE(All_India_Index_Upto_April23__1[[#This Row],[Cereals and products]])</f>
        <v>1</v>
      </c>
      <c r="AM171">
        <f>TYPE(All_India_Index_Upto_April23__1[[#This Row],[Meat and fish]])</f>
        <v>1</v>
      </c>
      <c r="AN171">
        <f>TYPE(All_India_Index_Upto_April23__1[[#This Row],[Egg]])</f>
        <v>1</v>
      </c>
      <c r="AO171">
        <f>TYPE(All_India_Index_Upto_April23__1[[#This Row],[Milk and products]])</f>
        <v>1</v>
      </c>
      <c r="AP171">
        <f>TYPE(All_India_Index_Upto_April23__1[[#This Row],[Oils and fats]])</f>
        <v>1</v>
      </c>
      <c r="AQ171">
        <f>TYPE(All_India_Index_Upto_April23__1[[#This Row],[Fruits]])</f>
        <v>1</v>
      </c>
      <c r="AR171">
        <f>TYPE(All_India_Index_Upto_April23__1[[#This Row],[Vegetables]])</f>
        <v>1</v>
      </c>
      <c r="AS171">
        <f>TYPE(All_India_Index_Upto_April23__1[[#This Row],[Pulses and products]])</f>
        <v>1</v>
      </c>
      <c r="AT171">
        <f>TYPE(All_India_Index_Upto_April23__1[[#This Row],[Sugar and Confectionery]])</f>
        <v>1</v>
      </c>
      <c r="AU171">
        <f>TYPE(All_India_Index_Upto_April23__1[[#This Row],[Spices]])</f>
        <v>1</v>
      </c>
      <c r="AV171">
        <f>TYPE(All_India_Index_Upto_April23__1[[#This Row],[Non-alcoholic beverages]])</f>
        <v>1</v>
      </c>
      <c r="AW171">
        <f>TYPE(All_India_Index_Upto_April23__1[[#This Row],[Prepared meals, snacks, sweets etc.]])</f>
        <v>1</v>
      </c>
      <c r="AX171">
        <f>TYPE(All_India_Index_Upto_April23__1[[#This Row],[Food and beverages]])</f>
        <v>1</v>
      </c>
      <c r="AY171">
        <f>TYPE(All_India_Index_Upto_April23__1[[#This Row],[Pan, tobacco and intoxicants]])</f>
        <v>1</v>
      </c>
      <c r="AZ171">
        <f>TYPE(All_India_Index_Upto_April23__1[[#This Row],[Clothing]])</f>
        <v>1</v>
      </c>
      <c r="BA171">
        <f>TYPE(All_India_Index_Upto_April23__1[[#This Row],[Footwear]])</f>
        <v>1</v>
      </c>
      <c r="BB171">
        <f>TYPE(All_India_Index_Upto_April23__1[[#This Row],[Clothing and footwear]])</f>
        <v>1</v>
      </c>
      <c r="BC171">
        <f>TYPE(All_India_Index_Upto_April23__1[[#This Row],[Housing]])</f>
        <v>2</v>
      </c>
      <c r="BD171">
        <f>TYPE(All_India_Index_Upto_April23__1[[#This Row],[Fuel and light]])</f>
        <v>1</v>
      </c>
      <c r="BE171">
        <f>TYPE(All_India_Index_Upto_April23__1[[#This Row],[Household goods and services]])</f>
        <v>1</v>
      </c>
      <c r="BF171">
        <f>TYPE(All_India_Index_Upto_April23__1[[#This Row],[Health]])</f>
        <v>1</v>
      </c>
      <c r="BG171">
        <f>TYPE(All_India_Index_Upto_April23__1[[#This Row],[Transport and communication]])</f>
        <v>1</v>
      </c>
      <c r="BH171">
        <f>TYPE(All_India_Index_Upto_April23__1[[#This Row],[Recreation and amusement]])</f>
        <v>1</v>
      </c>
      <c r="BI171">
        <f>TYPE(All_India_Index_Upto_April23__1[[#This Row],[Education]])</f>
        <v>1</v>
      </c>
      <c r="BJ171">
        <f>TYPE(All_India_Index_Upto_April23__1[[#This Row],[Personal care and effects]])</f>
        <v>1</v>
      </c>
      <c r="BK171">
        <f>TYPE(All_India_Index_Upto_April23__1[[#This Row],[Miscellaneous]])</f>
        <v>1</v>
      </c>
      <c r="BL171">
        <f>TYPE(All_India_Index_Upto_April23__1[[#This Row],[General index]])</f>
        <v>1</v>
      </c>
    </row>
    <row r="172" spans="1:64" hidden="1" x14ac:dyDescent="0.3">
      <c r="A172" t="s">
        <v>32</v>
      </c>
      <c r="B172">
        <v>2017</v>
      </c>
      <c r="C172" t="s">
        <v>41</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t="s">
        <v>144</v>
      </c>
      <c r="V172">
        <v>120.6</v>
      </c>
      <c r="W172">
        <v>128.1</v>
      </c>
      <c r="X172">
        <v>126.1</v>
      </c>
      <c r="Y172">
        <v>115.7</v>
      </c>
      <c r="Z172">
        <v>124.5</v>
      </c>
      <c r="AA172">
        <v>135.9</v>
      </c>
      <c r="AB172">
        <v>124.4</v>
      </c>
      <c r="AC172">
        <v>124.5</v>
      </c>
      <c r="AD172">
        <v>132.4</v>
      </c>
      <c r="AE172">
        <f>SUM(All_India_Index_Upto_April23__1[[#This Row],[Cereals and products]:[Food and beverages]])</f>
        <v>1749.7</v>
      </c>
      <c r="AF172">
        <f>SUM(All_India_Index_Upto_April23__1[[#This Row],[Clothing]:[Clothing and footwear]])</f>
        <v>389.9</v>
      </c>
      <c r="AG172">
        <f t="shared" si="2"/>
        <v>364.4</v>
      </c>
      <c r="AI172">
        <f>TYPE(All_India_Index_Upto_April23__1[[#This Row],[Sector]])</f>
        <v>2</v>
      </c>
      <c r="AJ172">
        <f>TYPE(All_India_Index_Upto_April23__1[[#This Row],[Year]])</f>
        <v>1</v>
      </c>
      <c r="AK172">
        <f>TYPE(All_India_Index_Upto_April23__1[[#This Row],[Month]])</f>
        <v>2</v>
      </c>
      <c r="AL172">
        <f>TYPE(All_India_Index_Upto_April23__1[[#This Row],[Cereals and products]])</f>
        <v>1</v>
      </c>
      <c r="AM172">
        <f>TYPE(All_India_Index_Upto_April23__1[[#This Row],[Meat and fish]])</f>
        <v>1</v>
      </c>
      <c r="AN172">
        <f>TYPE(All_India_Index_Upto_April23__1[[#This Row],[Egg]])</f>
        <v>1</v>
      </c>
      <c r="AO172">
        <f>TYPE(All_India_Index_Upto_April23__1[[#This Row],[Milk and products]])</f>
        <v>1</v>
      </c>
      <c r="AP172">
        <f>TYPE(All_India_Index_Upto_April23__1[[#This Row],[Oils and fats]])</f>
        <v>1</v>
      </c>
      <c r="AQ172">
        <f>TYPE(All_India_Index_Upto_April23__1[[#This Row],[Fruits]])</f>
        <v>1</v>
      </c>
      <c r="AR172">
        <f>TYPE(All_India_Index_Upto_April23__1[[#This Row],[Vegetables]])</f>
        <v>1</v>
      </c>
      <c r="AS172">
        <f>TYPE(All_India_Index_Upto_April23__1[[#This Row],[Pulses and products]])</f>
        <v>1</v>
      </c>
      <c r="AT172">
        <f>TYPE(All_India_Index_Upto_April23__1[[#This Row],[Sugar and Confectionery]])</f>
        <v>1</v>
      </c>
      <c r="AU172">
        <f>TYPE(All_India_Index_Upto_April23__1[[#This Row],[Spices]])</f>
        <v>1</v>
      </c>
      <c r="AV172">
        <f>TYPE(All_India_Index_Upto_April23__1[[#This Row],[Non-alcoholic beverages]])</f>
        <v>1</v>
      </c>
      <c r="AW172">
        <f>TYPE(All_India_Index_Upto_April23__1[[#This Row],[Prepared meals, snacks, sweets etc.]])</f>
        <v>1</v>
      </c>
      <c r="AX172">
        <f>TYPE(All_India_Index_Upto_April23__1[[#This Row],[Food and beverages]])</f>
        <v>1</v>
      </c>
      <c r="AY172">
        <f>TYPE(All_India_Index_Upto_April23__1[[#This Row],[Pan, tobacco and intoxicants]])</f>
        <v>1</v>
      </c>
      <c r="AZ172">
        <f>TYPE(All_India_Index_Upto_April23__1[[#This Row],[Clothing]])</f>
        <v>1</v>
      </c>
      <c r="BA172">
        <f>TYPE(All_India_Index_Upto_April23__1[[#This Row],[Footwear]])</f>
        <v>1</v>
      </c>
      <c r="BB172">
        <f>TYPE(All_India_Index_Upto_April23__1[[#This Row],[Clothing and footwear]])</f>
        <v>1</v>
      </c>
      <c r="BC172">
        <f>TYPE(All_India_Index_Upto_April23__1[[#This Row],[Housing]])</f>
        <v>2</v>
      </c>
      <c r="BD172">
        <f>TYPE(All_India_Index_Upto_April23__1[[#This Row],[Fuel and light]])</f>
        <v>1</v>
      </c>
      <c r="BE172">
        <f>TYPE(All_India_Index_Upto_April23__1[[#This Row],[Household goods and services]])</f>
        <v>1</v>
      </c>
      <c r="BF172">
        <f>TYPE(All_India_Index_Upto_April23__1[[#This Row],[Health]])</f>
        <v>1</v>
      </c>
      <c r="BG172">
        <f>TYPE(All_India_Index_Upto_April23__1[[#This Row],[Transport and communication]])</f>
        <v>1</v>
      </c>
      <c r="BH172">
        <f>TYPE(All_India_Index_Upto_April23__1[[#This Row],[Recreation and amusement]])</f>
        <v>1</v>
      </c>
      <c r="BI172">
        <f>TYPE(All_India_Index_Upto_April23__1[[#This Row],[Education]])</f>
        <v>1</v>
      </c>
      <c r="BJ172">
        <f>TYPE(All_India_Index_Upto_April23__1[[#This Row],[Personal care and effects]])</f>
        <v>1</v>
      </c>
      <c r="BK172">
        <f>TYPE(All_India_Index_Upto_April23__1[[#This Row],[Miscellaneous]])</f>
        <v>1</v>
      </c>
      <c r="BL172">
        <f>TYPE(All_India_Index_Upto_April23__1[[#This Row],[General index]])</f>
        <v>1</v>
      </c>
    </row>
    <row r="173" spans="1:64" hidden="1" x14ac:dyDescent="0.3">
      <c r="A173" t="s">
        <v>33</v>
      </c>
      <c r="B173">
        <v>2017</v>
      </c>
      <c r="C173" t="s">
        <v>41</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t="s">
        <v>144</v>
      </c>
      <c r="V173">
        <v>131</v>
      </c>
      <c r="W173">
        <v>133.30000000000001</v>
      </c>
      <c r="X173">
        <v>130.6</v>
      </c>
      <c r="Y173">
        <v>118.3</v>
      </c>
      <c r="Z173">
        <v>127.9</v>
      </c>
      <c r="AA173">
        <v>137.4</v>
      </c>
      <c r="AB173">
        <v>125.7</v>
      </c>
      <c r="AC173">
        <v>127.5</v>
      </c>
      <c r="AD173">
        <v>135.19999999999999</v>
      </c>
      <c r="AE173">
        <f>SUM(All_India_Index_Upto_April23__1[[#This Row],[Cereals and products]:[Food and beverages]])</f>
        <v>1769.9999999999998</v>
      </c>
      <c r="AF173">
        <f>SUM(All_India_Index_Upto_April23__1[[#This Row],[Clothing]:[Clothing and footwear]])</f>
        <v>414.5</v>
      </c>
      <c r="AG173">
        <f t="shared" si="2"/>
        <v>382.6</v>
      </c>
      <c r="AI173">
        <f>TYPE(All_India_Index_Upto_April23__1[[#This Row],[Sector]])</f>
        <v>2</v>
      </c>
      <c r="AJ173">
        <f>TYPE(All_India_Index_Upto_April23__1[[#This Row],[Year]])</f>
        <v>1</v>
      </c>
      <c r="AK173">
        <f>TYPE(All_India_Index_Upto_April23__1[[#This Row],[Month]])</f>
        <v>2</v>
      </c>
      <c r="AL173">
        <f>TYPE(All_India_Index_Upto_April23__1[[#This Row],[Cereals and products]])</f>
        <v>1</v>
      </c>
      <c r="AM173">
        <f>TYPE(All_India_Index_Upto_April23__1[[#This Row],[Meat and fish]])</f>
        <v>1</v>
      </c>
      <c r="AN173">
        <f>TYPE(All_India_Index_Upto_April23__1[[#This Row],[Egg]])</f>
        <v>1</v>
      </c>
      <c r="AO173">
        <f>TYPE(All_India_Index_Upto_April23__1[[#This Row],[Milk and products]])</f>
        <v>1</v>
      </c>
      <c r="AP173">
        <f>TYPE(All_India_Index_Upto_April23__1[[#This Row],[Oils and fats]])</f>
        <v>1</v>
      </c>
      <c r="AQ173">
        <f>TYPE(All_India_Index_Upto_April23__1[[#This Row],[Fruits]])</f>
        <v>1</v>
      </c>
      <c r="AR173">
        <f>TYPE(All_India_Index_Upto_April23__1[[#This Row],[Vegetables]])</f>
        <v>1</v>
      </c>
      <c r="AS173">
        <f>TYPE(All_India_Index_Upto_April23__1[[#This Row],[Pulses and products]])</f>
        <v>1</v>
      </c>
      <c r="AT173">
        <f>TYPE(All_India_Index_Upto_April23__1[[#This Row],[Sugar and Confectionery]])</f>
        <v>1</v>
      </c>
      <c r="AU173">
        <f>TYPE(All_India_Index_Upto_April23__1[[#This Row],[Spices]])</f>
        <v>1</v>
      </c>
      <c r="AV173">
        <f>TYPE(All_India_Index_Upto_April23__1[[#This Row],[Non-alcoholic beverages]])</f>
        <v>1</v>
      </c>
      <c r="AW173">
        <f>TYPE(All_India_Index_Upto_April23__1[[#This Row],[Prepared meals, snacks, sweets etc.]])</f>
        <v>1</v>
      </c>
      <c r="AX173">
        <f>TYPE(All_India_Index_Upto_April23__1[[#This Row],[Food and beverages]])</f>
        <v>1</v>
      </c>
      <c r="AY173">
        <f>TYPE(All_India_Index_Upto_April23__1[[#This Row],[Pan, tobacco and intoxicants]])</f>
        <v>1</v>
      </c>
      <c r="AZ173">
        <f>TYPE(All_India_Index_Upto_April23__1[[#This Row],[Clothing]])</f>
        <v>1</v>
      </c>
      <c r="BA173">
        <f>TYPE(All_India_Index_Upto_April23__1[[#This Row],[Footwear]])</f>
        <v>1</v>
      </c>
      <c r="BB173">
        <f>TYPE(All_India_Index_Upto_April23__1[[#This Row],[Clothing and footwear]])</f>
        <v>1</v>
      </c>
      <c r="BC173">
        <f>TYPE(All_India_Index_Upto_April23__1[[#This Row],[Housing]])</f>
        <v>2</v>
      </c>
      <c r="BD173">
        <f>TYPE(All_India_Index_Upto_April23__1[[#This Row],[Fuel and light]])</f>
        <v>1</v>
      </c>
      <c r="BE173">
        <f>TYPE(All_India_Index_Upto_April23__1[[#This Row],[Household goods and services]])</f>
        <v>1</v>
      </c>
      <c r="BF173">
        <f>TYPE(All_India_Index_Upto_April23__1[[#This Row],[Health]])</f>
        <v>1</v>
      </c>
      <c r="BG173">
        <f>TYPE(All_India_Index_Upto_April23__1[[#This Row],[Transport and communication]])</f>
        <v>1</v>
      </c>
      <c r="BH173">
        <f>TYPE(All_India_Index_Upto_April23__1[[#This Row],[Recreation and amusement]])</f>
        <v>1</v>
      </c>
      <c r="BI173">
        <f>TYPE(All_India_Index_Upto_April23__1[[#This Row],[Education]])</f>
        <v>1</v>
      </c>
      <c r="BJ173">
        <f>TYPE(All_India_Index_Upto_April23__1[[#This Row],[Personal care and effects]])</f>
        <v>1</v>
      </c>
      <c r="BK173">
        <f>TYPE(All_India_Index_Upto_April23__1[[#This Row],[Miscellaneous]])</f>
        <v>1</v>
      </c>
      <c r="BL173">
        <f>TYPE(All_India_Index_Upto_April23__1[[#This Row],[General index]])</f>
        <v>1</v>
      </c>
    </row>
    <row r="174" spans="1:64" hidden="1" x14ac:dyDescent="0.3">
      <c r="A174" t="s">
        <v>30</v>
      </c>
      <c r="B174">
        <v>2017</v>
      </c>
      <c r="C174" t="s">
        <v>42</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U174" t="s">
        <v>89</v>
      </c>
      <c r="V174">
        <v>138.1</v>
      </c>
      <c r="W174">
        <v>138.4</v>
      </c>
      <c r="X174">
        <v>134.19999999999999</v>
      </c>
      <c r="Y174">
        <v>121</v>
      </c>
      <c r="Z174">
        <v>133</v>
      </c>
      <c r="AA174">
        <v>140.1</v>
      </c>
      <c r="AB174">
        <v>127.4</v>
      </c>
      <c r="AC174">
        <v>130.69999999999999</v>
      </c>
      <c r="AD174">
        <v>138.30000000000001</v>
      </c>
      <c r="AE174">
        <f>SUM(All_India_Index_Upto_April23__1[[#This Row],[Cereals and products]:[Food and beverages]])</f>
        <v>1790.8999999999999</v>
      </c>
      <c r="AF174">
        <f>SUM(All_India_Index_Upto_April23__1[[#This Row],[Clothing]:[Clothing and footwear]])</f>
        <v>433.99999999999994</v>
      </c>
      <c r="AG174">
        <f t="shared" si="2"/>
        <v>397.5</v>
      </c>
      <c r="AI174">
        <f>TYPE(All_India_Index_Upto_April23__1[[#This Row],[Sector]])</f>
        <v>2</v>
      </c>
      <c r="AJ174">
        <f>TYPE(All_India_Index_Upto_April23__1[[#This Row],[Year]])</f>
        <v>1</v>
      </c>
      <c r="AK174">
        <f>TYPE(All_India_Index_Upto_April23__1[[#This Row],[Month]])</f>
        <v>2</v>
      </c>
      <c r="AL174">
        <f>TYPE(All_India_Index_Upto_April23__1[[#This Row],[Cereals and products]])</f>
        <v>1</v>
      </c>
      <c r="AM174">
        <f>TYPE(All_India_Index_Upto_April23__1[[#This Row],[Meat and fish]])</f>
        <v>1</v>
      </c>
      <c r="AN174">
        <f>TYPE(All_India_Index_Upto_April23__1[[#This Row],[Egg]])</f>
        <v>1</v>
      </c>
      <c r="AO174">
        <f>TYPE(All_India_Index_Upto_April23__1[[#This Row],[Milk and products]])</f>
        <v>1</v>
      </c>
      <c r="AP174">
        <f>TYPE(All_India_Index_Upto_April23__1[[#This Row],[Oils and fats]])</f>
        <v>1</v>
      </c>
      <c r="AQ174">
        <f>TYPE(All_India_Index_Upto_April23__1[[#This Row],[Fruits]])</f>
        <v>1</v>
      </c>
      <c r="AR174">
        <f>TYPE(All_India_Index_Upto_April23__1[[#This Row],[Vegetables]])</f>
        <v>1</v>
      </c>
      <c r="AS174">
        <f>TYPE(All_India_Index_Upto_April23__1[[#This Row],[Pulses and products]])</f>
        <v>1</v>
      </c>
      <c r="AT174">
        <f>TYPE(All_India_Index_Upto_April23__1[[#This Row],[Sugar and Confectionery]])</f>
        <v>1</v>
      </c>
      <c r="AU174">
        <f>TYPE(All_India_Index_Upto_April23__1[[#This Row],[Spices]])</f>
        <v>1</v>
      </c>
      <c r="AV174">
        <f>TYPE(All_India_Index_Upto_April23__1[[#This Row],[Non-alcoholic beverages]])</f>
        <v>1</v>
      </c>
      <c r="AW174">
        <f>TYPE(All_India_Index_Upto_April23__1[[#This Row],[Prepared meals, snacks, sweets etc.]])</f>
        <v>1</v>
      </c>
      <c r="AX174">
        <f>TYPE(All_India_Index_Upto_April23__1[[#This Row],[Food and beverages]])</f>
        <v>1</v>
      </c>
      <c r="AY174">
        <f>TYPE(All_India_Index_Upto_April23__1[[#This Row],[Pan, tobacco and intoxicants]])</f>
        <v>1</v>
      </c>
      <c r="AZ174">
        <f>TYPE(All_India_Index_Upto_April23__1[[#This Row],[Clothing]])</f>
        <v>1</v>
      </c>
      <c r="BA174">
        <f>TYPE(All_India_Index_Upto_April23__1[[#This Row],[Footwear]])</f>
        <v>1</v>
      </c>
      <c r="BB174">
        <f>TYPE(All_India_Index_Upto_April23__1[[#This Row],[Clothing and footwear]])</f>
        <v>1</v>
      </c>
      <c r="BC174">
        <f>TYPE(All_India_Index_Upto_April23__1[[#This Row],[Housing]])</f>
        <v>2</v>
      </c>
      <c r="BD174">
        <f>TYPE(All_India_Index_Upto_April23__1[[#This Row],[Fuel and light]])</f>
        <v>1</v>
      </c>
      <c r="BE174">
        <f>TYPE(All_India_Index_Upto_April23__1[[#This Row],[Household goods and services]])</f>
        <v>1</v>
      </c>
      <c r="BF174">
        <f>TYPE(All_India_Index_Upto_April23__1[[#This Row],[Health]])</f>
        <v>1</v>
      </c>
      <c r="BG174">
        <f>TYPE(All_India_Index_Upto_April23__1[[#This Row],[Transport and communication]])</f>
        <v>1</v>
      </c>
      <c r="BH174">
        <f>TYPE(All_India_Index_Upto_April23__1[[#This Row],[Recreation and amusement]])</f>
        <v>1</v>
      </c>
      <c r="BI174">
        <f>TYPE(All_India_Index_Upto_April23__1[[#This Row],[Education]])</f>
        <v>1</v>
      </c>
      <c r="BJ174">
        <f>TYPE(All_India_Index_Upto_April23__1[[#This Row],[Personal care and effects]])</f>
        <v>1</v>
      </c>
      <c r="BK174">
        <f>TYPE(All_India_Index_Upto_April23__1[[#This Row],[Miscellaneous]])</f>
        <v>1</v>
      </c>
      <c r="BL174">
        <f>TYPE(All_India_Index_Upto_April23__1[[#This Row],[General index]])</f>
        <v>1</v>
      </c>
    </row>
    <row r="175" spans="1:64" hidden="1" x14ac:dyDescent="0.3">
      <c r="A175" t="s">
        <v>32</v>
      </c>
      <c r="B175">
        <v>2017</v>
      </c>
      <c r="C175" t="s">
        <v>42</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t="s">
        <v>145</v>
      </c>
      <c r="V175">
        <v>122.6</v>
      </c>
      <c r="W175">
        <v>128.30000000000001</v>
      </c>
      <c r="X175">
        <v>126.6</v>
      </c>
      <c r="Y175">
        <v>115</v>
      </c>
      <c r="Z175">
        <v>124.8</v>
      </c>
      <c r="AA175">
        <v>136.30000000000001</v>
      </c>
      <c r="AB175">
        <v>124.6</v>
      </c>
      <c r="AC175">
        <v>124.5</v>
      </c>
      <c r="AD175">
        <v>133.5</v>
      </c>
      <c r="AE175">
        <f>SUM(All_India_Index_Upto_April23__1[[#This Row],[Cereals and products]:[Food and beverages]])</f>
        <v>1765.6999999999998</v>
      </c>
      <c r="AF175">
        <f>SUM(All_India_Index_Upto_April23__1[[#This Row],[Clothing]:[Clothing and footwear]])</f>
        <v>391.5</v>
      </c>
      <c r="AG175">
        <f t="shared" si="2"/>
        <v>365.9</v>
      </c>
      <c r="AI175">
        <f>TYPE(All_India_Index_Upto_April23__1[[#This Row],[Sector]])</f>
        <v>2</v>
      </c>
      <c r="AJ175">
        <f>TYPE(All_India_Index_Upto_April23__1[[#This Row],[Year]])</f>
        <v>1</v>
      </c>
      <c r="AK175">
        <f>TYPE(All_India_Index_Upto_April23__1[[#This Row],[Month]])</f>
        <v>2</v>
      </c>
      <c r="AL175">
        <f>TYPE(All_India_Index_Upto_April23__1[[#This Row],[Cereals and products]])</f>
        <v>1</v>
      </c>
      <c r="AM175">
        <f>TYPE(All_India_Index_Upto_April23__1[[#This Row],[Meat and fish]])</f>
        <v>1</v>
      </c>
      <c r="AN175">
        <f>TYPE(All_India_Index_Upto_April23__1[[#This Row],[Egg]])</f>
        <v>1</v>
      </c>
      <c r="AO175">
        <f>TYPE(All_India_Index_Upto_April23__1[[#This Row],[Milk and products]])</f>
        <v>1</v>
      </c>
      <c r="AP175">
        <f>TYPE(All_India_Index_Upto_April23__1[[#This Row],[Oils and fats]])</f>
        <v>1</v>
      </c>
      <c r="AQ175">
        <f>TYPE(All_India_Index_Upto_April23__1[[#This Row],[Fruits]])</f>
        <v>1</v>
      </c>
      <c r="AR175">
        <f>TYPE(All_India_Index_Upto_April23__1[[#This Row],[Vegetables]])</f>
        <v>1</v>
      </c>
      <c r="AS175">
        <f>TYPE(All_India_Index_Upto_April23__1[[#This Row],[Pulses and products]])</f>
        <v>1</v>
      </c>
      <c r="AT175">
        <f>TYPE(All_India_Index_Upto_April23__1[[#This Row],[Sugar and Confectionery]])</f>
        <v>1</v>
      </c>
      <c r="AU175">
        <f>TYPE(All_India_Index_Upto_April23__1[[#This Row],[Spices]])</f>
        <v>1</v>
      </c>
      <c r="AV175">
        <f>TYPE(All_India_Index_Upto_April23__1[[#This Row],[Non-alcoholic beverages]])</f>
        <v>1</v>
      </c>
      <c r="AW175">
        <f>TYPE(All_India_Index_Upto_April23__1[[#This Row],[Prepared meals, snacks, sweets etc.]])</f>
        <v>1</v>
      </c>
      <c r="AX175">
        <f>TYPE(All_India_Index_Upto_April23__1[[#This Row],[Food and beverages]])</f>
        <v>1</v>
      </c>
      <c r="AY175">
        <f>TYPE(All_India_Index_Upto_April23__1[[#This Row],[Pan, tobacco and intoxicants]])</f>
        <v>1</v>
      </c>
      <c r="AZ175">
        <f>TYPE(All_India_Index_Upto_April23__1[[#This Row],[Clothing]])</f>
        <v>1</v>
      </c>
      <c r="BA175">
        <f>TYPE(All_India_Index_Upto_April23__1[[#This Row],[Footwear]])</f>
        <v>1</v>
      </c>
      <c r="BB175">
        <f>TYPE(All_India_Index_Upto_April23__1[[#This Row],[Clothing and footwear]])</f>
        <v>1</v>
      </c>
      <c r="BC175">
        <f>TYPE(All_India_Index_Upto_April23__1[[#This Row],[Housing]])</f>
        <v>2</v>
      </c>
      <c r="BD175">
        <f>TYPE(All_India_Index_Upto_April23__1[[#This Row],[Fuel and light]])</f>
        <v>1</v>
      </c>
      <c r="BE175">
        <f>TYPE(All_India_Index_Upto_April23__1[[#This Row],[Household goods and services]])</f>
        <v>1</v>
      </c>
      <c r="BF175">
        <f>TYPE(All_India_Index_Upto_April23__1[[#This Row],[Health]])</f>
        <v>1</v>
      </c>
      <c r="BG175">
        <f>TYPE(All_India_Index_Upto_April23__1[[#This Row],[Transport and communication]])</f>
        <v>1</v>
      </c>
      <c r="BH175">
        <f>TYPE(All_India_Index_Upto_April23__1[[#This Row],[Recreation and amusement]])</f>
        <v>1</v>
      </c>
      <c r="BI175">
        <f>TYPE(All_India_Index_Upto_April23__1[[#This Row],[Education]])</f>
        <v>1</v>
      </c>
      <c r="BJ175">
        <f>TYPE(All_India_Index_Upto_April23__1[[#This Row],[Personal care and effects]])</f>
        <v>1</v>
      </c>
      <c r="BK175">
        <f>TYPE(All_India_Index_Upto_April23__1[[#This Row],[Miscellaneous]])</f>
        <v>1</v>
      </c>
      <c r="BL175">
        <f>TYPE(All_India_Index_Upto_April23__1[[#This Row],[General index]])</f>
        <v>1</v>
      </c>
    </row>
    <row r="176" spans="1:64" hidden="1" x14ac:dyDescent="0.3">
      <c r="A176" t="s">
        <v>33</v>
      </c>
      <c r="B176">
        <v>2017</v>
      </c>
      <c r="C176" t="s">
        <v>42</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t="s">
        <v>145</v>
      </c>
      <c r="V176">
        <v>132.19999999999999</v>
      </c>
      <c r="W176">
        <v>133.6</v>
      </c>
      <c r="X176">
        <v>131.30000000000001</v>
      </c>
      <c r="Y176">
        <v>117.8</v>
      </c>
      <c r="Z176">
        <v>128.4</v>
      </c>
      <c r="AA176">
        <v>137.9</v>
      </c>
      <c r="AB176">
        <v>126.2</v>
      </c>
      <c r="AC176">
        <v>127.7</v>
      </c>
      <c r="AD176">
        <v>136.1</v>
      </c>
      <c r="AE176">
        <f>SUM(All_India_Index_Upto_April23__1[[#This Row],[Cereals and products]:[Food and beverages]])</f>
        <v>1779.6999999999998</v>
      </c>
      <c r="AF176">
        <f>SUM(All_India_Index_Upto_April23__1[[#This Row],[Clothing]:[Clothing and footwear]])</f>
        <v>416.90000000000003</v>
      </c>
      <c r="AG176">
        <f t="shared" si="2"/>
        <v>383.59999999999997</v>
      </c>
      <c r="AI176">
        <f>TYPE(All_India_Index_Upto_April23__1[[#This Row],[Sector]])</f>
        <v>2</v>
      </c>
      <c r="AJ176">
        <f>TYPE(All_India_Index_Upto_April23__1[[#This Row],[Year]])</f>
        <v>1</v>
      </c>
      <c r="AK176">
        <f>TYPE(All_India_Index_Upto_April23__1[[#This Row],[Month]])</f>
        <v>2</v>
      </c>
      <c r="AL176">
        <f>TYPE(All_India_Index_Upto_April23__1[[#This Row],[Cereals and products]])</f>
        <v>1</v>
      </c>
      <c r="AM176">
        <f>TYPE(All_India_Index_Upto_April23__1[[#This Row],[Meat and fish]])</f>
        <v>1</v>
      </c>
      <c r="AN176">
        <f>TYPE(All_India_Index_Upto_April23__1[[#This Row],[Egg]])</f>
        <v>1</v>
      </c>
      <c r="AO176">
        <f>TYPE(All_India_Index_Upto_April23__1[[#This Row],[Milk and products]])</f>
        <v>1</v>
      </c>
      <c r="AP176">
        <f>TYPE(All_India_Index_Upto_April23__1[[#This Row],[Oils and fats]])</f>
        <v>1</v>
      </c>
      <c r="AQ176">
        <f>TYPE(All_India_Index_Upto_April23__1[[#This Row],[Fruits]])</f>
        <v>1</v>
      </c>
      <c r="AR176">
        <f>TYPE(All_India_Index_Upto_April23__1[[#This Row],[Vegetables]])</f>
        <v>1</v>
      </c>
      <c r="AS176">
        <f>TYPE(All_India_Index_Upto_April23__1[[#This Row],[Pulses and products]])</f>
        <v>1</v>
      </c>
      <c r="AT176">
        <f>TYPE(All_India_Index_Upto_April23__1[[#This Row],[Sugar and Confectionery]])</f>
        <v>1</v>
      </c>
      <c r="AU176">
        <f>TYPE(All_India_Index_Upto_April23__1[[#This Row],[Spices]])</f>
        <v>1</v>
      </c>
      <c r="AV176">
        <f>TYPE(All_India_Index_Upto_April23__1[[#This Row],[Non-alcoholic beverages]])</f>
        <v>1</v>
      </c>
      <c r="AW176">
        <f>TYPE(All_India_Index_Upto_April23__1[[#This Row],[Prepared meals, snacks, sweets etc.]])</f>
        <v>1</v>
      </c>
      <c r="AX176">
        <f>TYPE(All_India_Index_Upto_April23__1[[#This Row],[Food and beverages]])</f>
        <v>1</v>
      </c>
      <c r="AY176">
        <f>TYPE(All_India_Index_Upto_April23__1[[#This Row],[Pan, tobacco and intoxicants]])</f>
        <v>1</v>
      </c>
      <c r="AZ176">
        <f>TYPE(All_India_Index_Upto_April23__1[[#This Row],[Clothing]])</f>
        <v>1</v>
      </c>
      <c r="BA176">
        <f>TYPE(All_India_Index_Upto_April23__1[[#This Row],[Footwear]])</f>
        <v>1</v>
      </c>
      <c r="BB176">
        <f>TYPE(All_India_Index_Upto_April23__1[[#This Row],[Clothing and footwear]])</f>
        <v>1</v>
      </c>
      <c r="BC176">
        <f>TYPE(All_India_Index_Upto_April23__1[[#This Row],[Housing]])</f>
        <v>2</v>
      </c>
      <c r="BD176">
        <f>TYPE(All_India_Index_Upto_April23__1[[#This Row],[Fuel and light]])</f>
        <v>1</v>
      </c>
      <c r="BE176">
        <f>TYPE(All_India_Index_Upto_April23__1[[#This Row],[Household goods and services]])</f>
        <v>1</v>
      </c>
      <c r="BF176">
        <f>TYPE(All_India_Index_Upto_April23__1[[#This Row],[Health]])</f>
        <v>1</v>
      </c>
      <c r="BG176">
        <f>TYPE(All_India_Index_Upto_April23__1[[#This Row],[Transport and communication]])</f>
        <v>1</v>
      </c>
      <c r="BH176">
        <f>TYPE(All_India_Index_Upto_April23__1[[#This Row],[Recreation and amusement]])</f>
        <v>1</v>
      </c>
      <c r="BI176">
        <f>TYPE(All_India_Index_Upto_April23__1[[#This Row],[Education]])</f>
        <v>1</v>
      </c>
      <c r="BJ176">
        <f>TYPE(All_India_Index_Upto_April23__1[[#This Row],[Personal care and effects]])</f>
        <v>1</v>
      </c>
      <c r="BK176">
        <f>TYPE(All_India_Index_Upto_April23__1[[#This Row],[Miscellaneous]])</f>
        <v>1</v>
      </c>
      <c r="BL176">
        <f>TYPE(All_India_Index_Upto_April23__1[[#This Row],[General index]])</f>
        <v>1</v>
      </c>
    </row>
    <row r="177" spans="1:64" hidden="1" x14ac:dyDescent="0.3">
      <c r="A177" t="s">
        <v>30</v>
      </c>
      <c r="B177">
        <v>2017</v>
      </c>
      <c r="C177" t="s">
        <v>43</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U177" t="s">
        <v>89</v>
      </c>
      <c r="V177">
        <v>141.1</v>
      </c>
      <c r="W177">
        <v>139.4</v>
      </c>
      <c r="X177">
        <v>135.80000000000001</v>
      </c>
      <c r="Y177">
        <v>121.6</v>
      </c>
      <c r="Z177">
        <v>133.69999999999999</v>
      </c>
      <c r="AA177">
        <v>141.5</v>
      </c>
      <c r="AB177">
        <v>128.1</v>
      </c>
      <c r="AC177">
        <v>131.69999999999999</v>
      </c>
      <c r="AD177">
        <v>140</v>
      </c>
      <c r="AE177">
        <f>SUM(All_India_Index_Upto_April23__1[[#This Row],[Cereals and products]:[Food and beverages]])</f>
        <v>1817.7000000000003</v>
      </c>
      <c r="AF177">
        <f>SUM(All_India_Index_Upto_April23__1[[#This Row],[Clothing]:[Clothing and footwear]])</f>
        <v>437</v>
      </c>
      <c r="AG177">
        <f t="shared" si="2"/>
        <v>402.1</v>
      </c>
      <c r="AI177">
        <f>TYPE(All_India_Index_Upto_April23__1[[#This Row],[Sector]])</f>
        <v>2</v>
      </c>
      <c r="AJ177">
        <f>TYPE(All_India_Index_Upto_April23__1[[#This Row],[Year]])</f>
        <v>1</v>
      </c>
      <c r="AK177">
        <f>TYPE(All_India_Index_Upto_April23__1[[#This Row],[Month]])</f>
        <v>2</v>
      </c>
      <c r="AL177">
        <f>TYPE(All_India_Index_Upto_April23__1[[#This Row],[Cereals and products]])</f>
        <v>1</v>
      </c>
      <c r="AM177">
        <f>TYPE(All_India_Index_Upto_April23__1[[#This Row],[Meat and fish]])</f>
        <v>1</v>
      </c>
      <c r="AN177">
        <f>TYPE(All_India_Index_Upto_April23__1[[#This Row],[Egg]])</f>
        <v>1</v>
      </c>
      <c r="AO177">
        <f>TYPE(All_India_Index_Upto_April23__1[[#This Row],[Milk and products]])</f>
        <v>1</v>
      </c>
      <c r="AP177">
        <f>TYPE(All_India_Index_Upto_April23__1[[#This Row],[Oils and fats]])</f>
        <v>1</v>
      </c>
      <c r="AQ177">
        <f>TYPE(All_India_Index_Upto_April23__1[[#This Row],[Fruits]])</f>
        <v>1</v>
      </c>
      <c r="AR177">
        <f>TYPE(All_India_Index_Upto_April23__1[[#This Row],[Vegetables]])</f>
        <v>1</v>
      </c>
      <c r="AS177">
        <f>TYPE(All_India_Index_Upto_April23__1[[#This Row],[Pulses and products]])</f>
        <v>1</v>
      </c>
      <c r="AT177">
        <f>TYPE(All_India_Index_Upto_April23__1[[#This Row],[Sugar and Confectionery]])</f>
        <v>1</v>
      </c>
      <c r="AU177">
        <f>TYPE(All_India_Index_Upto_April23__1[[#This Row],[Spices]])</f>
        <v>1</v>
      </c>
      <c r="AV177">
        <f>TYPE(All_India_Index_Upto_April23__1[[#This Row],[Non-alcoholic beverages]])</f>
        <v>1</v>
      </c>
      <c r="AW177">
        <f>TYPE(All_India_Index_Upto_April23__1[[#This Row],[Prepared meals, snacks, sweets etc.]])</f>
        <v>1</v>
      </c>
      <c r="AX177">
        <f>TYPE(All_India_Index_Upto_April23__1[[#This Row],[Food and beverages]])</f>
        <v>1</v>
      </c>
      <c r="AY177">
        <f>TYPE(All_India_Index_Upto_April23__1[[#This Row],[Pan, tobacco and intoxicants]])</f>
        <v>1</v>
      </c>
      <c r="AZ177">
        <f>TYPE(All_India_Index_Upto_April23__1[[#This Row],[Clothing]])</f>
        <v>1</v>
      </c>
      <c r="BA177">
        <f>TYPE(All_India_Index_Upto_April23__1[[#This Row],[Footwear]])</f>
        <v>1</v>
      </c>
      <c r="BB177">
        <f>TYPE(All_India_Index_Upto_April23__1[[#This Row],[Clothing and footwear]])</f>
        <v>1</v>
      </c>
      <c r="BC177">
        <f>TYPE(All_India_Index_Upto_April23__1[[#This Row],[Housing]])</f>
        <v>2</v>
      </c>
      <c r="BD177">
        <f>TYPE(All_India_Index_Upto_April23__1[[#This Row],[Fuel and light]])</f>
        <v>1</v>
      </c>
      <c r="BE177">
        <f>TYPE(All_India_Index_Upto_April23__1[[#This Row],[Household goods and services]])</f>
        <v>1</v>
      </c>
      <c r="BF177">
        <f>TYPE(All_India_Index_Upto_April23__1[[#This Row],[Health]])</f>
        <v>1</v>
      </c>
      <c r="BG177">
        <f>TYPE(All_India_Index_Upto_April23__1[[#This Row],[Transport and communication]])</f>
        <v>1</v>
      </c>
      <c r="BH177">
        <f>TYPE(All_India_Index_Upto_April23__1[[#This Row],[Recreation and amusement]])</f>
        <v>1</v>
      </c>
      <c r="BI177">
        <f>TYPE(All_India_Index_Upto_April23__1[[#This Row],[Education]])</f>
        <v>1</v>
      </c>
      <c r="BJ177">
        <f>TYPE(All_India_Index_Upto_April23__1[[#This Row],[Personal care and effects]])</f>
        <v>1</v>
      </c>
      <c r="BK177">
        <f>TYPE(All_India_Index_Upto_April23__1[[#This Row],[Miscellaneous]])</f>
        <v>1</v>
      </c>
      <c r="BL177">
        <f>TYPE(All_India_Index_Upto_April23__1[[#This Row],[General index]])</f>
        <v>1</v>
      </c>
    </row>
    <row r="178" spans="1:64" hidden="1" x14ac:dyDescent="0.3">
      <c r="A178" t="s">
        <v>32</v>
      </c>
      <c r="B178">
        <v>2017</v>
      </c>
      <c r="C178" t="s">
        <v>43</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t="s">
        <v>146</v>
      </c>
      <c r="V178">
        <v>125.7</v>
      </c>
      <c r="W178">
        <v>128.80000000000001</v>
      </c>
      <c r="X178">
        <v>127.4</v>
      </c>
      <c r="Y178">
        <v>115.3</v>
      </c>
      <c r="Z178">
        <v>125.1</v>
      </c>
      <c r="AA178">
        <v>136.6</v>
      </c>
      <c r="AB178">
        <v>124.9</v>
      </c>
      <c r="AC178">
        <v>124.9</v>
      </c>
      <c r="AD178">
        <v>134.80000000000001</v>
      </c>
      <c r="AE178">
        <f>SUM(All_India_Index_Upto_April23__1[[#This Row],[Cereals and products]:[Food and beverages]])</f>
        <v>1796.7</v>
      </c>
      <c r="AF178">
        <f>SUM(All_India_Index_Upto_April23__1[[#This Row],[Clothing]:[Clothing and footwear]])</f>
        <v>393.9</v>
      </c>
      <c r="AG178">
        <f t="shared" si="2"/>
        <v>369.8</v>
      </c>
      <c r="AI178">
        <f>TYPE(All_India_Index_Upto_April23__1[[#This Row],[Sector]])</f>
        <v>2</v>
      </c>
      <c r="AJ178">
        <f>TYPE(All_India_Index_Upto_April23__1[[#This Row],[Year]])</f>
        <v>1</v>
      </c>
      <c r="AK178">
        <f>TYPE(All_India_Index_Upto_April23__1[[#This Row],[Month]])</f>
        <v>2</v>
      </c>
      <c r="AL178">
        <f>TYPE(All_India_Index_Upto_April23__1[[#This Row],[Cereals and products]])</f>
        <v>1</v>
      </c>
      <c r="AM178">
        <f>TYPE(All_India_Index_Upto_April23__1[[#This Row],[Meat and fish]])</f>
        <v>1</v>
      </c>
      <c r="AN178">
        <f>TYPE(All_India_Index_Upto_April23__1[[#This Row],[Egg]])</f>
        <v>1</v>
      </c>
      <c r="AO178">
        <f>TYPE(All_India_Index_Upto_April23__1[[#This Row],[Milk and products]])</f>
        <v>1</v>
      </c>
      <c r="AP178">
        <f>TYPE(All_India_Index_Upto_April23__1[[#This Row],[Oils and fats]])</f>
        <v>1</v>
      </c>
      <c r="AQ178">
        <f>TYPE(All_India_Index_Upto_April23__1[[#This Row],[Fruits]])</f>
        <v>1</v>
      </c>
      <c r="AR178">
        <f>TYPE(All_India_Index_Upto_April23__1[[#This Row],[Vegetables]])</f>
        <v>1</v>
      </c>
      <c r="AS178">
        <f>TYPE(All_India_Index_Upto_April23__1[[#This Row],[Pulses and products]])</f>
        <v>1</v>
      </c>
      <c r="AT178">
        <f>TYPE(All_India_Index_Upto_April23__1[[#This Row],[Sugar and Confectionery]])</f>
        <v>1</v>
      </c>
      <c r="AU178">
        <f>TYPE(All_India_Index_Upto_April23__1[[#This Row],[Spices]])</f>
        <v>1</v>
      </c>
      <c r="AV178">
        <f>TYPE(All_India_Index_Upto_April23__1[[#This Row],[Non-alcoholic beverages]])</f>
        <v>1</v>
      </c>
      <c r="AW178">
        <f>TYPE(All_India_Index_Upto_April23__1[[#This Row],[Prepared meals, snacks, sweets etc.]])</f>
        <v>1</v>
      </c>
      <c r="AX178">
        <f>TYPE(All_India_Index_Upto_April23__1[[#This Row],[Food and beverages]])</f>
        <v>1</v>
      </c>
      <c r="AY178">
        <f>TYPE(All_India_Index_Upto_April23__1[[#This Row],[Pan, tobacco and intoxicants]])</f>
        <v>1</v>
      </c>
      <c r="AZ178">
        <f>TYPE(All_India_Index_Upto_April23__1[[#This Row],[Clothing]])</f>
        <v>1</v>
      </c>
      <c r="BA178">
        <f>TYPE(All_India_Index_Upto_April23__1[[#This Row],[Footwear]])</f>
        <v>1</v>
      </c>
      <c r="BB178">
        <f>TYPE(All_India_Index_Upto_April23__1[[#This Row],[Clothing and footwear]])</f>
        <v>1</v>
      </c>
      <c r="BC178">
        <f>TYPE(All_India_Index_Upto_April23__1[[#This Row],[Housing]])</f>
        <v>2</v>
      </c>
      <c r="BD178">
        <f>TYPE(All_India_Index_Upto_April23__1[[#This Row],[Fuel and light]])</f>
        <v>1</v>
      </c>
      <c r="BE178">
        <f>TYPE(All_India_Index_Upto_April23__1[[#This Row],[Household goods and services]])</f>
        <v>1</v>
      </c>
      <c r="BF178">
        <f>TYPE(All_India_Index_Upto_April23__1[[#This Row],[Health]])</f>
        <v>1</v>
      </c>
      <c r="BG178">
        <f>TYPE(All_India_Index_Upto_April23__1[[#This Row],[Transport and communication]])</f>
        <v>1</v>
      </c>
      <c r="BH178">
        <f>TYPE(All_India_Index_Upto_April23__1[[#This Row],[Recreation and amusement]])</f>
        <v>1</v>
      </c>
      <c r="BI178">
        <f>TYPE(All_India_Index_Upto_April23__1[[#This Row],[Education]])</f>
        <v>1</v>
      </c>
      <c r="BJ178">
        <f>TYPE(All_India_Index_Upto_April23__1[[#This Row],[Personal care and effects]])</f>
        <v>1</v>
      </c>
      <c r="BK178">
        <f>TYPE(All_India_Index_Upto_April23__1[[#This Row],[Miscellaneous]])</f>
        <v>1</v>
      </c>
      <c r="BL178">
        <f>TYPE(All_India_Index_Upto_April23__1[[#This Row],[General index]])</f>
        <v>1</v>
      </c>
    </row>
    <row r="179" spans="1:64" hidden="1" x14ac:dyDescent="0.3">
      <c r="A179" t="s">
        <v>33</v>
      </c>
      <c r="B179">
        <v>2017</v>
      </c>
      <c r="C179" t="s">
        <v>43</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t="s">
        <v>146</v>
      </c>
      <c r="V179">
        <v>135.30000000000001</v>
      </c>
      <c r="W179">
        <v>134.4</v>
      </c>
      <c r="X179">
        <v>132.6</v>
      </c>
      <c r="Y179">
        <v>118.3</v>
      </c>
      <c r="Z179">
        <v>128.9</v>
      </c>
      <c r="AA179">
        <v>138.6</v>
      </c>
      <c r="AB179">
        <v>126.8</v>
      </c>
      <c r="AC179">
        <v>128.4</v>
      </c>
      <c r="AD179">
        <v>137.6</v>
      </c>
      <c r="AE179">
        <f>SUM(All_India_Index_Upto_April23__1[[#This Row],[Cereals and products]:[Food and beverages]])</f>
        <v>1808.2</v>
      </c>
      <c r="AF179">
        <f>SUM(All_India_Index_Upto_April23__1[[#This Row],[Clothing]:[Clothing and footwear]])</f>
        <v>419.6</v>
      </c>
      <c r="AG179">
        <f t="shared" si="2"/>
        <v>388.00000000000006</v>
      </c>
      <c r="AI179">
        <f>TYPE(All_India_Index_Upto_April23__1[[#This Row],[Sector]])</f>
        <v>2</v>
      </c>
      <c r="AJ179">
        <f>TYPE(All_India_Index_Upto_April23__1[[#This Row],[Year]])</f>
        <v>1</v>
      </c>
      <c r="AK179">
        <f>TYPE(All_India_Index_Upto_April23__1[[#This Row],[Month]])</f>
        <v>2</v>
      </c>
      <c r="AL179">
        <f>TYPE(All_India_Index_Upto_April23__1[[#This Row],[Cereals and products]])</f>
        <v>1</v>
      </c>
      <c r="AM179">
        <f>TYPE(All_India_Index_Upto_April23__1[[#This Row],[Meat and fish]])</f>
        <v>1</v>
      </c>
      <c r="AN179">
        <f>TYPE(All_India_Index_Upto_April23__1[[#This Row],[Egg]])</f>
        <v>1</v>
      </c>
      <c r="AO179">
        <f>TYPE(All_India_Index_Upto_April23__1[[#This Row],[Milk and products]])</f>
        <v>1</v>
      </c>
      <c r="AP179">
        <f>TYPE(All_India_Index_Upto_April23__1[[#This Row],[Oils and fats]])</f>
        <v>1</v>
      </c>
      <c r="AQ179">
        <f>TYPE(All_India_Index_Upto_April23__1[[#This Row],[Fruits]])</f>
        <v>1</v>
      </c>
      <c r="AR179">
        <f>TYPE(All_India_Index_Upto_April23__1[[#This Row],[Vegetables]])</f>
        <v>1</v>
      </c>
      <c r="AS179">
        <f>TYPE(All_India_Index_Upto_April23__1[[#This Row],[Pulses and products]])</f>
        <v>1</v>
      </c>
      <c r="AT179">
        <f>TYPE(All_India_Index_Upto_April23__1[[#This Row],[Sugar and Confectionery]])</f>
        <v>1</v>
      </c>
      <c r="AU179">
        <f>TYPE(All_India_Index_Upto_April23__1[[#This Row],[Spices]])</f>
        <v>1</v>
      </c>
      <c r="AV179">
        <f>TYPE(All_India_Index_Upto_April23__1[[#This Row],[Non-alcoholic beverages]])</f>
        <v>1</v>
      </c>
      <c r="AW179">
        <f>TYPE(All_India_Index_Upto_April23__1[[#This Row],[Prepared meals, snacks, sweets etc.]])</f>
        <v>1</v>
      </c>
      <c r="AX179">
        <f>TYPE(All_India_Index_Upto_April23__1[[#This Row],[Food and beverages]])</f>
        <v>1</v>
      </c>
      <c r="AY179">
        <f>TYPE(All_India_Index_Upto_April23__1[[#This Row],[Pan, tobacco and intoxicants]])</f>
        <v>1</v>
      </c>
      <c r="AZ179">
        <f>TYPE(All_India_Index_Upto_April23__1[[#This Row],[Clothing]])</f>
        <v>1</v>
      </c>
      <c r="BA179">
        <f>TYPE(All_India_Index_Upto_April23__1[[#This Row],[Footwear]])</f>
        <v>1</v>
      </c>
      <c r="BB179">
        <f>TYPE(All_India_Index_Upto_April23__1[[#This Row],[Clothing and footwear]])</f>
        <v>1</v>
      </c>
      <c r="BC179">
        <f>TYPE(All_India_Index_Upto_April23__1[[#This Row],[Housing]])</f>
        <v>2</v>
      </c>
      <c r="BD179">
        <f>TYPE(All_India_Index_Upto_April23__1[[#This Row],[Fuel and light]])</f>
        <v>1</v>
      </c>
      <c r="BE179">
        <f>TYPE(All_India_Index_Upto_April23__1[[#This Row],[Household goods and services]])</f>
        <v>1</v>
      </c>
      <c r="BF179">
        <f>TYPE(All_India_Index_Upto_April23__1[[#This Row],[Health]])</f>
        <v>1</v>
      </c>
      <c r="BG179">
        <f>TYPE(All_India_Index_Upto_April23__1[[#This Row],[Transport and communication]])</f>
        <v>1</v>
      </c>
      <c r="BH179">
        <f>TYPE(All_India_Index_Upto_April23__1[[#This Row],[Recreation and amusement]])</f>
        <v>1</v>
      </c>
      <c r="BI179">
        <f>TYPE(All_India_Index_Upto_April23__1[[#This Row],[Education]])</f>
        <v>1</v>
      </c>
      <c r="BJ179">
        <f>TYPE(All_India_Index_Upto_April23__1[[#This Row],[Personal care and effects]])</f>
        <v>1</v>
      </c>
      <c r="BK179">
        <f>TYPE(All_India_Index_Upto_April23__1[[#This Row],[Miscellaneous]])</f>
        <v>1</v>
      </c>
      <c r="BL179">
        <f>TYPE(All_India_Index_Upto_April23__1[[#This Row],[General index]])</f>
        <v>1</v>
      </c>
    </row>
    <row r="180" spans="1:64" hidden="1" x14ac:dyDescent="0.3">
      <c r="A180" t="s">
        <v>30</v>
      </c>
      <c r="B180">
        <v>2017</v>
      </c>
      <c r="C180" t="s">
        <v>44</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U180" t="s">
        <v>89</v>
      </c>
      <c r="V180">
        <v>142.6</v>
      </c>
      <c r="W180">
        <v>139.5</v>
      </c>
      <c r="X180">
        <v>136.1</v>
      </c>
      <c r="Y180">
        <v>122</v>
      </c>
      <c r="Z180">
        <v>133.4</v>
      </c>
      <c r="AA180">
        <v>141.1</v>
      </c>
      <c r="AB180">
        <v>127.8</v>
      </c>
      <c r="AC180">
        <v>131.9</v>
      </c>
      <c r="AD180">
        <v>139.80000000000001</v>
      </c>
      <c r="AE180">
        <f>SUM(All_India_Index_Upto_April23__1[[#This Row],[Cereals and products]:[Food and beverages]])</f>
        <v>1813.6000000000001</v>
      </c>
      <c r="AF180">
        <f>SUM(All_India_Index_Upto_April23__1[[#This Row],[Clothing]:[Clothing and footwear]])</f>
        <v>437.09999999999997</v>
      </c>
      <c r="AG180">
        <f t="shared" si="2"/>
        <v>404.1</v>
      </c>
      <c r="AI180">
        <f>TYPE(All_India_Index_Upto_April23__1[[#This Row],[Sector]])</f>
        <v>2</v>
      </c>
      <c r="AJ180">
        <f>TYPE(All_India_Index_Upto_April23__1[[#This Row],[Year]])</f>
        <v>1</v>
      </c>
      <c r="AK180">
        <f>TYPE(All_India_Index_Upto_April23__1[[#This Row],[Month]])</f>
        <v>2</v>
      </c>
      <c r="AL180">
        <f>TYPE(All_India_Index_Upto_April23__1[[#This Row],[Cereals and products]])</f>
        <v>1</v>
      </c>
      <c r="AM180">
        <f>TYPE(All_India_Index_Upto_April23__1[[#This Row],[Meat and fish]])</f>
        <v>1</v>
      </c>
      <c r="AN180">
        <f>TYPE(All_India_Index_Upto_April23__1[[#This Row],[Egg]])</f>
        <v>1</v>
      </c>
      <c r="AO180">
        <f>TYPE(All_India_Index_Upto_April23__1[[#This Row],[Milk and products]])</f>
        <v>1</v>
      </c>
      <c r="AP180">
        <f>TYPE(All_India_Index_Upto_April23__1[[#This Row],[Oils and fats]])</f>
        <v>1</v>
      </c>
      <c r="AQ180">
        <f>TYPE(All_India_Index_Upto_April23__1[[#This Row],[Fruits]])</f>
        <v>1</v>
      </c>
      <c r="AR180">
        <f>TYPE(All_India_Index_Upto_April23__1[[#This Row],[Vegetables]])</f>
        <v>1</v>
      </c>
      <c r="AS180">
        <f>TYPE(All_India_Index_Upto_April23__1[[#This Row],[Pulses and products]])</f>
        <v>1</v>
      </c>
      <c r="AT180">
        <f>TYPE(All_India_Index_Upto_April23__1[[#This Row],[Sugar and Confectionery]])</f>
        <v>1</v>
      </c>
      <c r="AU180">
        <f>TYPE(All_India_Index_Upto_April23__1[[#This Row],[Spices]])</f>
        <v>1</v>
      </c>
      <c r="AV180">
        <f>TYPE(All_India_Index_Upto_April23__1[[#This Row],[Non-alcoholic beverages]])</f>
        <v>1</v>
      </c>
      <c r="AW180">
        <f>TYPE(All_India_Index_Upto_April23__1[[#This Row],[Prepared meals, snacks, sweets etc.]])</f>
        <v>1</v>
      </c>
      <c r="AX180">
        <f>TYPE(All_India_Index_Upto_April23__1[[#This Row],[Food and beverages]])</f>
        <v>1</v>
      </c>
      <c r="AY180">
        <f>TYPE(All_India_Index_Upto_April23__1[[#This Row],[Pan, tobacco and intoxicants]])</f>
        <v>1</v>
      </c>
      <c r="AZ180">
        <f>TYPE(All_India_Index_Upto_April23__1[[#This Row],[Clothing]])</f>
        <v>1</v>
      </c>
      <c r="BA180">
        <f>TYPE(All_India_Index_Upto_April23__1[[#This Row],[Footwear]])</f>
        <v>1</v>
      </c>
      <c r="BB180">
        <f>TYPE(All_India_Index_Upto_April23__1[[#This Row],[Clothing and footwear]])</f>
        <v>1</v>
      </c>
      <c r="BC180">
        <f>TYPE(All_India_Index_Upto_April23__1[[#This Row],[Housing]])</f>
        <v>2</v>
      </c>
      <c r="BD180">
        <f>TYPE(All_India_Index_Upto_April23__1[[#This Row],[Fuel and light]])</f>
        <v>1</v>
      </c>
      <c r="BE180">
        <f>TYPE(All_India_Index_Upto_April23__1[[#This Row],[Household goods and services]])</f>
        <v>1</v>
      </c>
      <c r="BF180">
        <f>TYPE(All_India_Index_Upto_April23__1[[#This Row],[Health]])</f>
        <v>1</v>
      </c>
      <c r="BG180">
        <f>TYPE(All_India_Index_Upto_April23__1[[#This Row],[Transport and communication]])</f>
        <v>1</v>
      </c>
      <c r="BH180">
        <f>TYPE(All_India_Index_Upto_April23__1[[#This Row],[Recreation and amusement]])</f>
        <v>1</v>
      </c>
      <c r="BI180">
        <f>TYPE(All_India_Index_Upto_April23__1[[#This Row],[Education]])</f>
        <v>1</v>
      </c>
      <c r="BJ180">
        <f>TYPE(All_India_Index_Upto_April23__1[[#This Row],[Personal care and effects]])</f>
        <v>1</v>
      </c>
      <c r="BK180">
        <f>TYPE(All_India_Index_Upto_April23__1[[#This Row],[Miscellaneous]])</f>
        <v>1</v>
      </c>
      <c r="BL180">
        <f>TYPE(All_India_Index_Upto_April23__1[[#This Row],[General index]])</f>
        <v>1</v>
      </c>
    </row>
    <row r="181" spans="1:64" hidden="1" x14ac:dyDescent="0.3">
      <c r="A181" t="s">
        <v>32</v>
      </c>
      <c r="B181">
        <v>2017</v>
      </c>
      <c r="C181" t="s">
        <v>44</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t="s">
        <v>147</v>
      </c>
      <c r="V181">
        <v>126.8</v>
      </c>
      <c r="W181">
        <v>129.30000000000001</v>
      </c>
      <c r="X181">
        <v>128.19999999999999</v>
      </c>
      <c r="Y181">
        <v>115.3</v>
      </c>
      <c r="Z181">
        <v>125.6</v>
      </c>
      <c r="AA181">
        <v>136.69999999999999</v>
      </c>
      <c r="AB181">
        <v>124.6</v>
      </c>
      <c r="AC181">
        <v>125.1</v>
      </c>
      <c r="AD181">
        <v>134.1</v>
      </c>
      <c r="AE181">
        <f>SUM(All_India_Index_Upto_April23__1[[#This Row],[Cereals and products]:[Food and beverages]])</f>
        <v>1767.5</v>
      </c>
      <c r="AF181">
        <f>SUM(All_India_Index_Upto_April23__1[[#This Row],[Clothing]:[Clothing and footwear]])</f>
        <v>395.2</v>
      </c>
      <c r="AG181">
        <f t="shared" si="2"/>
        <v>371.40000000000003</v>
      </c>
      <c r="AI181">
        <f>TYPE(All_India_Index_Upto_April23__1[[#This Row],[Sector]])</f>
        <v>2</v>
      </c>
      <c r="AJ181">
        <f>TYPE(All_India_Index_Upto_April23__1[[#This Row],[Year]])</f>
        <v>1</v>
      </c>
      <c r="AK181">
        <f>TYPE(All_India_Index_Upto_April23__1[[#This Row],[Month]])</f>
        <v>2</v>
      </c>
      <c r="AL181">
        <f>TYPE(All_India_Index_Upto_April23__1[[#This Row],[Cereals and products]])</f>
        <v>1</v>
      </c>
      <c r="AM181">
        <f>TYPE(All_India_Index_Upto_April23__1[[#This Row],[Meat and fish]])</f>
        <v>1</v>
      </c>
      <c r="AN181">
        <f>TYPE(All_India_Index_Upto_April23__1[[#This Row],[Egg]])</f>
        <v>1</v>
      </c>
      <c r="AO181">
        <f>TYPE(All_India_Index_Upto_April23__1[[#This Row],[Milk and products]])</f>
        <v>1</v>
      </c>
      <c r="AP181">
        <f>TYPE(All_India_Index_Upto_April23__1[[#This Row],[Oils and fats]])</f>
        <v>1</v>
      </c>
      <c r="AQ181">
        <f>TYPE(All_India_Index_Upto_April23__1[[#This Row],[Fruits]])</f>
        <v>1</v>
      </c>
      <c r="AR181">
        <f>TYPE(All_India_Index_Upto_April23__1[[#This Row],[Vegetables]])</f>
        <v>1</v>
      </c>
      <c r="AS181">
        <f>TYPE(All_India_Index_Upto_April23__1[[#This Row],[Pulses and products]])</f>
        <v>1</v>
      </c>
      <c r="AT181">
        <f>TYPE(All_India_Index_Upto_April23__1[[#This Row],[Sugar and Confectionery]])</f>
        <v>1</v>
      </c>
      <c r="AU181">
        <f>TYPE(All_India_Index_Upto_April23__1[[#This Row],[Spices]])</f>
        <v>1</v>
      </c>
      <c r="AV181">
        <f>TYPE(All_India_Index_Upto_April23__1[[#This Row],[Non-alcoholic beverages]])</f>
        <v>1</v>
      </c>
      <c r="AW181">
        <f>TYPE(All_India_Index_Upto_April23__1[[#This Row],[Prepared meals, snacks, sweets etc.]])</f>
        <v>1</v>
      </c>
      <c r="AX181">
        <f>TYPE(All_India_Index_Upto_April23__1[[#This Row],[Food and beverages]])</f>
        <v>1</v>
      </c>
      <c r="AY181">
        <f>TYPE(All_India_Index_Upto_April23__1[[#This Row],[Pan, tobacco and intoxicants]])</f>
        <v>1</v>
      </c>
      <c r="AZ181">
        <f>TYPE(All_India_Index_Upto_April23__1[[#This Row],[Clothing]])</f>
        <v>1</v>
      </c>
      <c r="BA181">
        <f>TYPE(All_India_Index_Upto_April23__1[[#This Row],[Footwear]])</f>
        <v>1</v>
      </c>
      <c r="BB181">
        <f>TYPE(All_India_Index_Upto_April23__1[[#This Row],[Clothing and footwear]])</f>
        <v>1</v>
      </c>
      <c r="BC181">
        <f>TYPE(All_India_Index_Upto_April23__1[[#This Row],[Housing]])</f>
        <v>2</v>
      </c>
      <c r="BD181">
        <f>TYPE(All_India_Index_Upto_April23__1[[#This Row],[Fuel and light]])</f>
        <v>1</v>
      </c>
      <c r="BE181">
        <f>TYPE(All_India_Index_Upto_April23__1[[#This Row],[Household goods and services]])</f>
        <v>1</v>
      </c>
      <c r="BF181">
        <f>TYPE(All_India_Index_Upto_April23__1[[#This Row],[Health]])</f>
        <v>1</v>
      </c>
      <c r="BG181">
        <f>TYPE(All_India_Index_Upto_April23__1[[#This Row],[Transport and communication]])</f>
        <v>1</v>
      </c>
      <c r="BH181">
        <f>TYPE(All_India_Index_Upto_April23__1[[#This Row],[Recreation and amusement]])</f>
        <v>1</v>
      </c>
      <c r="BI181">
        <f>TYPE(All_India_Index_Upto_April23__1[[#This Row],[Education]])</f>
        <v>1</v>
      </c>
      <c r="BJ181">
        <f>TYPE(All_India_Index_Upto_April23__1[[#This Row],[Personal care and effects]])</f>
        <v>1</v>
      </c>
      <c r="BK181">
        <f>TYPE(All_India_Index_Upto_April23__1[[#This Row],[Miscellaneous]])</f>
        <v>1</v>
      </c>
      <c r="BL181">
        <f>TYPE(All_India_Index_Upto_April23__1[[#This Row],[General index]])</f>
        <v>1</v>
      </c>
    </row>
    <row r="182" spans="1:64" hidden="1" x14ac:dyDescent="0.3">
      <c r="A182" t="s">
        <v>33</v>
      </c>
      <c r="B182">
        <v>2017</v>
      </c>
      <c r="C182" t="s">
        <v>44</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t="s">
        <v>147</v>
      </c>
      <c r="V182">
        <v>136.6</v>
      </c>
      <c r="W182">
        <v>134.69999999999999</v>
      </c>
      <c r="X182">
        <v>133.1</v>
      </c>
      <c r="Y182">
        <v>118.5</v>
      </c>
      <c r="Z182">
        <v>129</v>
      </c>
      <c r="AA182">
        <v>138.5</v>
      </c>
      <c r="AB182">
        <v>126.5</v>
      </c>
      <c r="AC182">
        <v>128.6</v>
      </c>
      <c r="AD182">
        <v>137.19999999999999</v>
      </c>
      <c r="AE182">
        <f>SUM(All_India_Index_Upto_April23__1[[#This Row],[Cereals and products]:[Food and beverages]])</f>
        <v>1794.9999999999998</v>
      </c>
      <c r="AF182">
        <f>SUM(All_India_Index_Upto_April23__1[[#This Row],[Clothing]:[Clothing and footwear]])</f>
        <v>420.2</v>
      </c>
      <c r="AG182">
        <f t="shared" si="2"/>
        <v>389.79999999999995</v>
      </c>
      <c r="AI182">
        <f>TYPE(All_India_Index_Upto_April23__1[[#This Row],[Sector]])</f>
        <v>2</v>
      </c>
      <c r="AJ182">
        <f>TYPE(All_India_Index_Upto_April23__1[[#This Row],[Year]])</f>
        <v>1</v>
      </c>
      <c r="AK182">
        <f>TYPE(All_India_Index_Upto_April23__1[[#This Row],[Month]])</f>
        <v>2</v>
      </c>
      <c r="AL182">
        <f>TYPE(All_India_Index_Upto_April23__1[[#This Row],[Cereals and products]])</f>
        <v>1</v>
      </c>
      <c r="AM182">
        <f>TYPE(All_India_Index_Upto_April23__1[[#This Row],[Meat and fish]])</f>
        <v>1</v>
      </c>
      <c r="AN182">
        <f>TYPE(All_India_Index_Upto_April23__1[[#This Row],[Egg]])</f>
        <v>1</v>
      </c>
      <c r="AO182">
        <f>TYPE(All_India_Index_Upto_April23__1[[#This Row],[Milk and products]])</f>
        <v>1</v>
      </c>
      <c r="AP182">
        <f>TYPE(All_India_Index_Upto_April23__1[[#This Row],[Oils and fats]])</f>
        <v>1</v>
      </c>
      <c r="AQ182">
        <f>TYPE(All_India_Index_Upto_April23__1[[#This Row],[Fruits]])</f>
        <v>1</v>
      </c>
      <c r="AR182">
        <f>TYPE(All_India_Index_Upto_April23__1[[#This Row],[Vegetables]])</f>
        <v>1</v>
      </c>
      <c r="AS182">
        <f>TYPE(All_India_Index_Upto_April23__1[[#This Row],[Pulses and products]])</f>
        <v>1</v>
      </c>
      <c r="AT182">
        <f>TYPE(All_India_Index_Upto_April23__1[[#This Row],[Sugar and Confectionery]])</f>
        <v>1</v>
      </c>
      <c r="AU182">
        <f>TYPE(All_India_Index_Upto_April23__1[[#This Row],[Spices]])</f>
        <v>1</v>
      </c>
      <c r="AV182">
        <f>TYPE(All_India_Index_Upto_April23__1[[#This Row],[Non-alcoholic beverages]])</f>
        <v>1</v>
      </c>
      <c r="AW182">
        <f>TYPE(All_India_Index_Upto_April23__1[[#This Row],[Prepared meals, snacks, sweets etc.]])</f>
        <v>1</v>
      </c>
      <c r="AX182">
        <f>TYPE(All_India_Index_Upto_April23__1[[#This Row],[Food and beverages]])</f>
        <v>1</v>
      </c>
      <c r="AY182">
        <f>TYPE(All_India_Index_Upto_April23__1[[#This Row],[Pan, tobacco and intoxicants]])</f>
        <v>1</v>
      </c>
      <c r="AZ182">
        <f>TYPE(All_India_Index_Upto_April23__1[[#This Row],[Clothing]])</f>
        <v>1</v>
      </c>
      <c r="BA182">
        <f>TYPE(All_India_Index_Upto_April23__1[[#This Row],[Footwear]])</f>
        <v>1</v>
      </c>
      <c r="BB182">
        <f>TYPE(All_India_Index_Upto_April23__1[[#This Row],[Clothing and footwear]])</f>
        <v>1</v>
      </c>
      <c r="BC182">
        <f>TYPE(All_India_Index_Upto_April23__1[[#This Row],[Housing]])</f>
        <v>2</v>
      </c>
      <c r="BD182">
        <f>TYPE(All_India_Index_Upto_April23__1[[#This Row],[Fuel and light]])</f>
        <v>1</v>
      </c>
      <c r="BE182">
        <f>TYPE(All_India_Index_Upto_April23__1[[#This Row],[Household goods and services]])</f>
        <v>1</v>
      </c>
      <c r="BF182">
        <f>TYPE(All_India_Index_Upto_April23__1[[#This Row],[Health]])</f>
        <v>1</v>
      </c>
      <c r="BG182">
        <f>TYPE(All_India_Index_Upto_April23__1[[#This Row],[Transport and communication]])</f>
        <v>1</v>
      </c>
      <c r="BH182">
        <f>TYPE(All_India_Index_Upto_April23__1[[#This Row],[Recreation and amusement]])</f>
        <v>1</v>
      </c>
      <c r="BI182">
        <f>TYPE(All_India_Index_Upto_April23__1[[#This Row],[Education]])</f>
        <v>1</v>
      </c>
      <c r="BJ182">
        <f>TYPE(All_India_Index_Upto_April23__1[[#This Row],[Personal care and effects]])</f>
        <v>1</v>
      </c>
      <c r="BK182">
        <f>TYPE(All_India_Index_Upto_April23__1[[#This Row],[Miscellaneous]])</f>
        <v>1</v>
      </c>
      <c r="BL182">
        <f>TYPE(All_India_Index_Upto_April23__1[[#This Row],[General index]])</f>
        <v>1</v>
      </c>
    </row>
    <row r="183" spans="1:64" hidden="1" x14ac:dyDescent="0.3">
      <c r="A183" t="s">
        <v>30</v>
      </c>
      <c r="B183">
        <v>2018</v>
      </c>
      <c r="C183" t="s">
        <v>31</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U183" t="s">
        <v>89</v>
      </c>
      <c r="V183">
        <v>142.30000000000001</v>
      </c>
      <c r="W183">
        <v>139.80000000000001</v>
      </c>
      <c r="X183">
        <v>136</v>
      </c>
      <c r="Y183">
        <v>122.7</v>
      </c>
      <c r="Z183">
        <v>134.30000000000001</v>
      </c>
      <c r="AA183">
        <v>141.6</v>
      </c>
      <c r="AB183">
        <v>128.6</v>
      </c>
      <c r="AC183">
        <v>132.30000000000001</v>
      </c>
      <c r="AD183">
        <v>139.30000000000001</v>
      </c>
      <c r="AE183">
        <f>SUM(All_India_Index_Upto_April23__1[[#This Row],[Cereals and products]:[Food and beverages]])</f>
        <v>1800.7</v>
      </c>
      <c r="AF183">
        <f>SUM(All_India_Index_Upto_April23__1[[#This Row],[Clothing]:[Clothing and footwear]])</f>
        <v>438.1</v>
      </c>
      <c r="AG183">
        <f t="shared" si="2"/>
        <v>404.8</v>
      </c>
      <c r="AI183">
        <f>TYPE(All_India_Index_Upto_April23__1[[#This Row],[Sector]])</f>
        <v>2</v>
      </c>
      <c r="AJ183">
        <f>TYPE(All_India_Index_Upto_April23__1[[#This Row],[Year]])</f>
        <v>1</v>
      </c>
      <c r="AK183">
        <f>TYPE(All_India_Index_Upto_April23__1[[#This Row],[Month]])</f>
        <v>2</v>
      </c>
      <c r="AL183">
        <f>TYPE(All_India_Index_Upto_April23__1[[#This Row],[Cereals and products]])</f>
        <v>1</v>
      </c>
      <c r="AM183">
        <f>TYPE(All_India_Index_Upto_April23__1[[#This Row],[Meat and fish]])</f>
        <v>1</v>
      </c>
      <c r="AN183">
        <f>TYPE(All_India_Index_Upto_April23__1[[#This Row],[Egg]])</f>
        <v>1</v>
      </c>
      <c r="AO183">
        <f>TYPE(All_India_Index_Upto_April23__1[[#This Row],[Milk and products]])</f>
        <v>1</v>
      </c>
      <c r="AP183">
        <f>TYPE(All_India_Index_Upto_April23__1[[#This Row],[Oils and fats]])</f>
        <v>1</v>
      </c>
      <c r="AQ183">
        <f>TYPE(All_India_Index_Upto_April23__1[[#This Row],[Fruits]])</f>
        <v>1</v>
      </c>
      <c r="AR183">
        <f>TYPE(All_India_Index_Upto_April23__1[[#This Row],[Vegetables]])</f>
        <v>1</v>
      </c>
      <c r="AS183">
        <f>TYPE(All_India_Index_Upto_April23__1[[#This Row],[Pulses and products]])</f>
        <v>1</v>
      </c>
      <c r="AT183">
        <f>TYPE(All_India_Index_Upto_April23__1[[#This Row],[Sugar and Confectionery]])</f>
        <v>1</v>
      </c>
      <c r="AU183">
        <f>TYPE(All_India_Index_Upto_April23__1[[#This Row],[Spices]])</f>
        <v>1</v>
      </c>
      <c r="AV183">
        <f>TYPE(All_India_Index_Upto_April23__1[[#This Row],[Non-alcoholic beverages]])</f>
        <v>1</v>
      </c>
      <c r="AW183">
        <f>TYPE(All_India_Index_Upto_April23__1[[#This Row],[Prepared meals, snacks, sweets etc.]])</f>
        <v>1</v>
      </c>
      <c r="AX183">
        <f>TYPE(All_India_Index_Upto_April23__1[[#This Row],[Food and beverages]])</f>
        <v>1</v>
      </c>
      <c r="AY183">
        <f>TYPE(All_India_Index_Upto_April23__1[[#This Row],[Pan, tobacco and intoxicants]])</f>
        <v>1</v>
      </c>
      <c r="AZ183">
        <f>TYPE(All_India_Index_Upto_April23__1[[#This Row],[Clothing]])</f>
        <v>1</v>
      </c>
      <c r="BA183">
        <f>TYPE(All_India_Index_Upto_April23__1[[#This Row],[Footwear]])</f>
        <v>1</v>
      </c>
      <c r="BB183">
        <f>TYPE(All_India_Index_Upto_April23__1[[#This Row],[Clothing and footwear]])</f>
        <v>1</v>
      </c>
      <c r="BC183">
        <f>TYPE(All_India_Index_Upto_April23__1[[#This Row],[Housing]])</f>
        <v>2</v>
      </c>
      <c r="BD183">
        <f>TYPE(All_India_Index_Upto_April23__1[[#This Row],[Fuel and light]])</f>
        <v>1</v>
      </c>
      <c r="BE183">
        <f>TYPE(All_India_Index_Upto_April23__1[[#This Row],[Household goods and services]])</f>
        <v>1</v>
      </c>
      <c r="BF183">
        <f>TYPE(All_India_Index_Upto_April23__1[[#This Row],[Health]])</f>
        <v>1</v>
      </c>
      <c r="BG183">
        <f>TYPE(All_India_Index_Upto_April23__1[[#This Row],[Transport and communication]])</f>
        <v>1</v>
      </c>
      <c r="BH183">
        <f>TYPE(All_India_Index_Upto_April23__1[[#This Row],[Recreation and amusement]])</f>
        <v>1</v>
      </c>
      <c r="BI183">
        <f>TYPE(All_India_Index_Upto_April23__1[[#This Row],[Education]])</f>
        <v>1</v>
      </c>
      <c r="BJ183">
        <f>TYPE(All_India_Index_Upto_April23__1[[#This Row],[Personal care and effects]])</f>
        <v>1</v>
      </c>
      <c r="BK183">
        <f>TYPE(All_India_Index_Upto_April23__1[[#This Row],[Miscellaneous]])</f>
        <v>1</v>
      </c>
      <c r="BL183">
        <f>TYPE(All_India_Index_Upto_April23__1[[#This Row],[General index]])</f>
        <v>1</v>
      </c>
    </row>
    <row r="184" spans="1:64" hidden="1" x14ac:dyDescent="0.3">
      <c r="A184" t="s">
        <v>32</v>
      </c>
      <c r="B184">
        <v>2018</v>
      </c>
      <c r="C184" t="s">
        <v>31</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t="s">
        <v>148</v>
      </c>
      <c r="V184">
        <v>127.3</v>
      </c>
      <c r="W184">
        <v>129.5</v>
      </c>
      <c r="X184">
        <v>129</v>
      </c>
      <c r="Y184">
        <v>116.3</v>
      </c>
      <c r="Z184">
        <v>126.2</v>
      </c>
      <c r="AA184">
        <v>137.1</v>
      </c>
      <c r="AB184">
        <v>125.5</v>
      </c>
      <c r="AC184">
        <v>125.8</v>
      </c>
      <c r="AD184">
        <v>134.1</v>
      </c>
      <c r="AE184">
        <f>SUM(All_India_Index_Upto_April23__1[[#This Row],[Cereals and products]:[Food and beverages]])</f>
        <v>1748.3000000000002</v>
      </c>
      <c r="AF184">
        <f>SUM(All_India_Index_Upto_April23__1[[#This Row],[Clothing]:[Clothing and footwear]])</f>
        <v>396.29999999999995</v>
      </c>
      <c r="AG184">
        <f t="shared" si="2"/>
        <v>373.1</v>
      </c>
      <c r="AI184">
        <f>TYPE(All_India_Index_Upto_April23__1[[#This Row],[Sector]])</f>
        <v>2</v>
      </c>
      <c r="AJ184">
        <f>TYPE(All_India_Index_Upto_April23__1[[#This Row],[Year]])</f>
        <v>1</v>
      </c>
      <c r="AK184">
        <f>TYPE(All_India_Index_Upto_April23__1[[#This Row],[Month]])</f>
        <v>2</v>
      </c>
      <c r="AL184">
        <f>TYPE(All_India_Index_Upto_April23__1[[#This Row],[Cereals and products]])</f>
        <v>1</v>
      </c>
      <c r="AM184">
        <f>TYPE(All_India_Index_Upto_April23__1[[#This Row],[Meat and fish]])</f>
        <v>1</v>
      </c>
      <c r="AN184">
        <f>TYPE(All_India_Index_Upto_April23__1[[#This Row],[Egg]])</f>
        <v>1</v>
      </c>
      <c r="AO184">
        <f>TYPE(All_India_Index_Upto_April23__1[[#This Row],[Milk and products]])</f>
        <v>1</v>
      </c>
      <c r="AP184">
        <f>TYPE(All_India_Index_Upto_April23__1[[#This Row],[Oils and fats]])</f>
        <v>1</v>
      </c>
      <c r="AQ184">
        <f>TYPE(All_India_Index_Upto_April23__1[[#This Row],[Fruits]])</f>
        <v>1</v>
      </c>
      <c r="AR184">
        <f>TYPE(All_India_Index_Upto_April23__1[[#This Row],[Vegetables]])</f>
        <v>1</v>
      </c>
      <c r="AS184">
        <f>TYPE(All_India_Index_Upto_April23__1[[#This Row],[Pulses and products]])</f>
        <v>1</v>
      </c>
      <c r="AT184">
        <f>TYPE(All_India_Index_Upto_April23__1[[#This Row],[Sugar and Confectionery]])</f>
        <v>1</v>
      </c>
      <c r="AU184">
        <f>TYPE(All_India_Index_Upto_April23__1[[#This Row],[Spices]])</f>
        <v>1</v>
      </c>
      <c r="AV184">
        <f>TYPE(All_India_Index_Upto_April23__1[[#This Row],[Non-alcoholic beverages]])</f>
        <v>1</v>
      </c>
      <c r="AW184">
        <f>TYPE(All_India_Index_Upto_April23__1[[#This Row],[Prepared meals, snacks, sweets etc.]])</f>
        <v>1</v>
      </c>
      <c r="AX184">
        <f>TYPE(All_India_Index_Upto_April23__1[[#This Row],[Food and beverages]])</f>
        <v>1</v>
      </c>
      <c r="AY184">
        <f>TYPE(All_India_Index_Upto_April23__1[[#This Row],[Pan, tobacco and intoxicants]])</f>
        <v>1</v>
      </c>
      <c r="AZ184">
        <f>TYPE(All_India_Index_Upto_April23__1[[#This Row],[Clothing]])</f>
        <v>1</v>
      </c>
      <c r="BA184">
        <f>TYPE(All_India_Index_Upto_April23__1[[#This Row],[Footwear]])</f>
        <v>1</v>
      </c>
      <c r="BB184">
        <f>TYPE(All_India_Index_Upto_April23__1[[#This Row],[Clothing and footwear]])</f>
        <v>1</v>
      </c>
      <c r="BC184">
        <f>TYPE(All_India_Index_Upto_April23__1[[#This Row],[Housing]])</f>
        <v>2</v>
      </c>
      <c r="BD184">
        <f>TYPE(All_India_Index_Upto_April23__1[[#This Row],[Fuel and light]])</f>
        <v>1</v>
      </c>
      <c r="BE184">
        <f>TYPE(All_India_Index_Upto_April23__1[[#This Row],[Household goods and services]])</f>
        <v>1</v>
      </c>
      <c r="BF184">
        <f>TYPE(All_India_Index_Upto_April23__1[[#This Row],[Health]])</f>
        <v>1</v>
      </c>
      <c r="BG184">
        <f>TYPE(All_India_Index_Upto_April23__1[[#This Row],[Transport and communication]])</f>
        <v>1</v>
      </c>
      <c r="BH184">
        <f>TYPE(All_India_Index_Upto_April23__1[[#This Row],[Recreation and amusement]])</f>
        <v>1</v>
      </c>
      <c r="BI184">
        <f>TYPE(All_India_Index_Upto_April23__1[[#This Row],[Education]])</f>
        <v>1</v>
      </c>
      <c r="BJ184">
        <f>TYPE(All_India_Index_Upto_April23__1[[#This Row],[Personal care and effects]])</f>
        <v>1</v>
      </c>
      <c r="BK184">
        <f>TYPE(All_India_Index_Upto_April23__1[[#This Row],[Miscellaneous]])</f>
        <v>1</v>
      </c>
      <c r="BL184">
        <f>TYPE(All_India_Index_Upto_April23__1[[#This Row],[General index]])</f>
        <v>1</v>
      </c>
    </row>
    <row r="185" spans="1:64" x14ac:dyDescent="0.3">
      <c r="A185" t="s">
        <v>33</v>
      </c>
      <c r="B185">
        <v>2018</v>
      </c>
      <c r="C185" t="s">
        <v>31</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t="s">
        <v>148</v>
      </c>
      <c r="V185">
        <v>136.6</v>
      </c>
      <c r="W185">
        <v>134.9</v>
      </c>
      <c r="X185">
        <v>133.30000000000001</v>
      </c>
      <c r="Y185">
        <v>119.3</v>
      </c>
      <c r="Z185">
        <v>129.69999999999999</v>
      </c>
      <c r="AA185">
        <v>139</v>
      </c>
      <c r="AB185">
        <v>127.3</v>
      </c>
      <c r="AC185">
        <v>129.1</v>
      </c>
      <c r="AD185">
        <v>136.9</v>
      </c>
      <c r="AE185">
        <f>SUM(All_India_Index_Upto_April23__1[[#This Row],[Cereals and products]:[Food and beverages]])</f>
        <v>1779.9</v>
      </c>
      <c r="AF185">
        <f>SUM(All_India_Index_Upto_April23__1[[#This Row],[Clothing]:[Clothing and footwear]])</f>
        <v>421.3</v>
      </c>
      <c r="AG185">
        <f t="shared" si="2"/>
        <v>390.8</v>
      </c>
      <c r="AI185">
        <f>TYPE(All_India_Index_Upto_April23__1[[#This Row],[Sector]])</f>
        <v>2</v>
      </c>
      <c r="AJ185">
        <f>TYPE(All_India_Index_Upto_April23__1[[#This Row],[Year]])</f>
        <v>1</v>
      </c>
      <c r="AK185">
        <f>TYPE(All_India_Index_Upto_April23__1[[#This Row],[Month]])</f>
        <v>2</v>
      </c>
      <c r="AL185">
        <f>TYPE(All_India_Index_Upto_April23__1[[#This Row],[Cereals and products]])</f>
        <v>1</v>
      </c>
      <c r="AM185">
        <f>TYPE(All_India_Index_Upto_April23__1[[#This Row],[Meat and fish]])</f>
        <v>1</v>
      </c>
      <c r="AN185">
        <f>TYPE(All_India_Index_Upto_April23__1[[#This Row],[Egg]])</f>
        <v>1</v>
      </c>
      <c r="AO185">
        <f>TYPE(All_India_Index_Upto_April23__1[[#This Row],[Milk and products]])</f>
        <v>1</v>
      </c>
      <c r="AP185">
        <f>TYPE(All_India_Index_Upto_April23__1[[#This Row],[Oils and fats]])</f>
        <v>1</v>
      </c>
      <c r="AQ185">
        <f>TYPE(All_India_Index_Upto_April23__1[[#This Row],[Fruits]])</f>
        <v>1</v>
      </c>
      <c r="AR185">
        <f>TYPE(All_India_Index_Upto_April23__1[[#This Row],[Vegetables]])</f>
        <v>1</v>
      </c>
      <c r="AS185">
        <f>TYPE(All_India_Index_Upto_April23__1[[#This Row],[Pulses and products]])</f>
        <v>1</v>
      </c>
      <c r="AT185">
        <f>TYPE(All_India_Index_Upto_April23__1[[#This Row],[Sugar and Confectionery]])</f>
        <v>1</v>
      </c>
      <c r="AU185">
        <f>TYPE(All_India_Index_Upto_April23__1[[#This Row],[Spices]])</f>
        <v>1</v>
      </c>
      <c r="AV185">
        <f>TYPE(All_India_Index_Upto_April23__1[[#This Row],[Non-alcoholic beverages]])</f>
        <v>1</v>
      </c>
      <c r="AW185">
        <f>TYPE(All_India_Index_Upto_April23__1[[#This Row],[Prepared meals, snacks, sweets etc.]])</f>
        <v>1</v>
      </c>
      <c r="AX185">
        <f>TYPE(All_India_Index_Upto_April23__1[[#This Row],[Food and beverages]])</f>
        <v>1</v>
      </c>
      <c r="AY185">
        <f>TYPE(All_India_Index_Upto_April23__1[[#This Row],[Pan, tobacco and intoxicants]])</f>
        <v>1</v>
      </c>
      <c r="AZ185">
        <f>TYPE(All_India_Index_Upto_April23__1[[#This Row],[Clothing]])</f>
        <v>1</v>
      </c>
      <c r="BA185">
        <f>TYPE(All_India_Index_Upto_April23__1[[#This Row],[Footwear]])</f>
        <v>1</v>
      </c>
      <c r="BB185">
        <f>TYPE(All_India_Index_Upto_April23__1[[#This Row],[Clothing and footwear]])</f>
        <v>1</v>
      </c>
      <c r="BC185">
        <f>TYPE(All_India_Index_Upto_April23__1[[#This Row],[Housing]])</f>
        <v>2</v>
      </c>
      <c r="BD185">
        <f>TYPE(All_India_Index_Upto_April23__1[[#This Row],[Fuel and light]])</f>
        <v>1</v>
      </c>
      <c r="BE185">
        <f>TYPE(All_India_Index_Upto_April23__1[[#This Row],[Household goods and services]])</f>
        <v>1</v>
      </c>
      <c r="BF185">
        <f>TYPE(All_India_Index_Upto_April23__1[[#This Row],[Health]])</f>
        <v>1</v>
      </c>
      <c r="BG185">
        <f>TYPE(All_India_Index_Upto_April23__1[[#This Row],[Transport and communication]])</f>
        <v>1</v>
      </c>
      <c r="BH185">
        <f>TYPE(All_India_Index_Upto_April23__1[[#This Row],[Recreation and amusement]])</f>
        <v>1</v>
      </c>
      <c r="BI185">
        <f>TYPE(All_India_Index_Upto_April23__1[[#This Row],[Education]])</f>
        <v>1</v>
      </c>
      <c r="BJ185">
        <f>TYPE(All_India_Index_Upto_April23__1[[#This Row],[Personal care and effects]])</f>
        <v>1</v>
      </c>
      <c r="BK185">
        <f>TYPE(All_India_Index_Upto_April23__1[[#This Row],[Miscellaneous]])</f>
        <v>1</v>
      </c>
      <c r="BL185">
        <f>TYPE(All_India_Index_Upto_April23__1[[#This Row],[General index]])</f>
        <v>1</v>
      </c>
    </row>
    <row r="186" spans="1:64" hidden="1" x14ac:dyDescent="0.3">
      <c r="A186" t="s">
        <v>30</v>
      </c>
      <c r="B186">
        <v>2018</v>
      </c>
      <c r="C186" t="s">
        <v>34</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U186" t="s">
        <v>89</v>
      </c>
      <c r="V186">
        <v>142.4</v>
      </c>
      <c r="W186">
        <v>139.9</v>
      </c>
      <c r="X186">
        <v>136.19999999999999</v>
      </c>
      <c r="Y186">
        <v>123.3</v>
      </c>
      <c r="Z186">
        <v>134.30000000000001</v>
      </c>
      <c r="AA186">
        <v>141.5</v>
      </c>
      <c r="AB186">
        <v>128.80000000000001</v>
      </c>
      <c r="AC186">
        <v>132.5</v>
      </c>
      <c r="AD186">
        <v>138.5</v>
      </c>
      <c r="AE186">
        <f>SUM(All_India_Index_Upto_April23__1[[#This Row],[Cereals and products]:[Food and beverages]])</f>
        <v>1781.5</v>
      </c>
      <c r="AF186">
        <f>SUM(All_India_Index_Upto_April23__1[[#This Row],[Clothing]:[Clothing and footwear]])</f>
        <v>438.90000000000003</v>
      </c>
      <c r="AG186">
        <f t="shared" si="2"/>
        <v>405.6</v>
      </c>
      <c r="AI186">
        <f>TYPE(All_India_Index_Upto_April23__1[[#This Row],[Sector]])</f>
        <v>2</v>
      </c>
      <c r="AJ186">
        <f>TYPE(All_India_Index_Upto_April23__1[[#This Row],[Year]])</f>
        <v>1</v>
      </c>
      <c r="AK186">
        <f>TYPE(All_India_Index_Upto_April23__1[[#This Row],[Month]])</f>
        <v>2</v>
      </c>
      <c r="AL186">
        <f>TYPE(All_India_Index_Upto_April23__1[[#This Row],[Cereals and products]])</f>
        <v>1</v>
      </c>
      <c r="AM186">
        <f>TYPE(All_India_Index_Upto_April23__1[[#This Row],[Meat and fish]])</f>
        <v>1</v>
      </c>
      <c r="AN186">
        <f>TYPE(All_India_Index_Upto_April23__1[[#This Row],[Egg]])</f>
        <v>1</v>
      </c>
      <c r="AO186">
        <f>TYPE(All_India_Index_Upto_April23__1[[#This Row],[Milk and products]])</f>
        <v>1</v>
      </c>
      <c r="AP186">
        <f>TYPE(All_India_Index_Upto_April23__1[[#This Row],[Oils and fats]])</f>
        <v>1</v>
      </c>
      <c r="AQ186">
        <f>TYPE(All_India_Index_Upto_April23__1[[#This Row],[Fruits]])</f>
        <v>1</v>
      </c>
      <c r="AR186">
        <f>TYPE(All_India_Index_Upto_April23__1[[#This Row],[Vegetables]])</f>
        <v>1</v>
      </c>
      <c r="AS186">
        <f>TYPE(All_India_Index_Upto_April23__1[[#This Row],[Pulses and products]])</f>
        <v>1</v>
      </c>
      <c r="AT186">
        <f>TYPE(All_India_Index_Upto_April23__1[[#This Row],[Sugar and Confectionery]])</f>
        <v>1</v>
      </c>
      <c r="AU186">
        <f>TYPE(All_India_Index_Upto_April23__1[[#This Row],[Spices]])</f>
        <v>1</v>
      </c>
      <c r="AV186">
        <f>TYPE(All_India_Index_Upto_April23__1[[#This Row],[Non-alcoholic beverages]])</f>
        <v>1</v>
      </c>
      <c r="AW186">
        <f>TYPE(All_India_Index_Upto_April23__1[[#This Row],[Prepared meals, snacks, sweets etc.]])</f>
        <v>1</v>
      </c>
      <c r="AX186">
        <f>TYPE(All_India_Index_Upto_April23__1[[#This Row],[Food and beverages]])</f>
        <v>1</v>
      </c>
      <c r="AY186">
        <f>TYPE(All_India_Index_Upto_April23__1[[#This Row],[Pan, tobacco and intoxicants]])</f>
        <v>1</v>
      </c>
      <c r="AZ186">
        <f>TYPE(All_India_Index_Upto_April23__1[[#This Row],[Clothing]])</f>
        <v>1</v>
      </c>
      <c r="BA186">
        <f>TYPE(All_India_Index_Upto_April23__1[[#This Row],[Footwear]])</f>
        <v>1</v>
      </c>
      <c r="BB186">
        <f>TYPE(All_India_Index_Upto_April23__1[[#This Row],[Clothing and footwear]])</f>
        <v>1</v>
      </c>
      <c r="BC186">
        <f>TYPE(All_India_Index_Upto_April23__1[[#This Row],[Housing]])</f>
        <v>2</v>
      </c>
      <c r="BD186">
        <f>TYPE(All_India_Index_Upto_April23__1[[#This Row],[Fuel and light]])</f>
        <v>1</v>
      </c>
      <c r="BE186">
        <f>TYPE(All_India_Index_Upto_April23__1[[#This Row],[Household goods and services]])</f>
        <v>1</v>
      </c>
      <c r="BF186">
        <f>TYPE(All_India_Index_Upto_April23__1[[#This Row],[Health]])</f>
        <v>1</v>
      </c>
      <c r="BG186">
        <f>TYPE(All_India_Index_Upto_April23__1[[#This Row],[Transport and communication]])</f>
        <v>1</v>
      </c>
      <c r="BH186">
        <f>TYPE(All_India_Index_Upto_April23__1[[#This Row],[Recreation and amusement]])</f>
        <v>1</v>
      </c>
      <c r="BI186">
        <f>TYPE(All_India_Index_Upto_April23__1[[#This Row],[Education]])</f>
        <v>1</v>
      </c>
      <c r="BJ186">
        <f>TYPE(All_India_Index_Upto_April23__1[[#This Row],[Personal care and effects]])</f>
        <v>1</v>
      </c>
      <c r="BK186">
        <f>TYPE(All_India_Index_Upto_April23__1[[#This Row],[Miscellaneous]])</f>
        <v>1</v>
      </c>
      <c r="BL186">
        <f>TYPE(All_India_Index_Upto_April23__1[[#This Row],[General index]])</f>
        <v>1</v>
      </c>
    </row>
    <row r="187" spans="1:64" hidden="1" x14ac:dyDescent="0.3">
      <c r="A187" t="s">
        <v>32</v>
      </c>
      <c r="B187">
        <v>2018</v>
      </c>
      <c r="C187" t="s">
        <v>34</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t="s">
        <v>149</v>
      </c>
      <c r="V187">
        <v>127.3</v>
      </c>
      <c r="W187">
        <v>129.9</v>
      </c>
      <c r="X187">
        <v>129.80000000000001</v>
      </c>
      <c r="Y187">
        <v>117.4</v>
      </c>
      <c r="Z187">
        <v>126.5</v>
      </c>
      <c r="AA187">
        <v>137.19999999999999</v>
      </c>
      <c r="AB187">
        <v>126.2</v>
      </c>
      <c r="AC187">
        <v>126.5</v>
      </c>
      <c r="AD187">
        <v>134</v>
      </c>
      <c r="AE187">
        <f>SUM(All_India_Index_Upto_April23__1[[#This Row],[Cereals and products]:[Food and beverages]])</f>
        <v>1727.9</v>
      </c>
      <c r="AF187">
        <f>SUM(All_India_Index_Upto_April23__1[[#This Row],[Clothing]:[Clothing and footwear]])</f>
        <v>397.09999999999997</v>
      </c>
      <c r="AG187">
        <f t="shared" si="2"/>
        <v>374.6</v>
      </c>
      <c r="AI187">
        <f>TYPE(All_India_Index_Upto_April23__1[[#This Row],[Sector]])</f>
        <v>2</v>
      </c>
      <c r="AJ187">
        <f>TYPE(All_India_Index_Upto_April23__1[[#This Row],[Year]])</f>
        <v>1</v>
      </c>
      <c r="AK187">
        <f>TYPE(All_India_Index_Upto_April23__1[[#This Row],[Month]])</f>
        <v>2</v>
      </c>
      <c r="AL187">
        <f>TYPE(All_India_Index_Upto_April23__1[[#This Row],[Cereals and products]])</f>
        <v>1</v>
      </c>
      <c r="AM187">
        <f>TYPE(All_India_Index_Upto_April23__1[[#This Row],[Meat and fish]])</f>
        <v>1</v>
      </c>
      <c r="AN187">
        <f>TYPE(All_India_Index_Upto_April23__1[[#This Row],[Egg]])</f>
        <v>1</v>
      </c>
      <c r="AO187">
        <f>TYPE(All_India_Index_Upto_April23__1[[#This Row],[Milk and products]])</f>
        <v>1</v>
      </c>
      <c r="AP187">
        <f>TYPE(All_India_Index_Upto_April23__1[[#This Row],[Oils and fats]])</f>
        <v>1</v>
      </c>
      <c r="AQ187">
        <f>TYPE(All_India_Index_Upto_April23__1[[#This Row],[Fruits]])</f>
        <v>1</v>
      </c>
      <c r="AR187">
        <f>TYPE(All_India_Index_Upto_April23__1[[#This Row],[Vegetables]])</f>
        <v>1</v>
      </c>
      <c r="AS187">
        <f>TYPE(All_India_Index_Upto_April23__1[[#This Row],[Pulses and products]])</f>
        <v>1</v>
      </c>
      <c r="AT187">
        <f>TYPE(All_India_Index_Upto_April23__1[[#This Row],[Sugar and Confectionery]])</f>
        <v>1</v>
      </c>
      <c r="AU187">
        <f>TYPE(All_India_Index_Upto_April23__1[[#This Row],[Spices]])</f>
        <v>1</v>
      </c>
      <c r="AV187">
        <f>TYPE(All_India_Index_Upto_April23__1[[#This Row],[Non-alcoholic beverages]])</f>
        <v>1</v>
      </c>
      <c r="AW187">
        <f>TYPE(All_India_Index_Upto_April23__1[[#This Row],[Prepared meals, snacks, sweets etc.]])</f>
        <v>1</v>
      </c>
      <c r="AX187">
        <f>TYPE(All_India_Index_Upto_April23__1[[#This Row],[Food and beverages]])</f>
        <v>1</v>
      </c>
      <c r="AY187">
        <f>TYPE(All_India_Index_Upto_April23__1[[#This Row],[Pan, tobacco and intoxicants]])</f>
        <v>1</v>
      </c>
      <c r="AZ187">
        <f>TYPE(All_India_Index_Upto_April23__1[[#This Row],[Clothing]])</f>
        <v>1</v>
      </c>
      <c r="BA187">
        <f>TYPE(All_India_Index_Upto_April23__1[[#This Row],[Footwear]])</f>
        <v>1</v>
      </c>
      <c r="BB187">
        <f>TYPE(All_India_Index_Upto_April23__1[[#This Row],[Clothing and footwear]])</f>
        <v>1</v>
      </c>
      <c r="BC187">
        <f>TYPE(All_India_Index_Upto_April23__1[[#This Row],[Housing]])</f>
        <v>2</v>
      </c>
      <c r="BD187">
        <f>TYPE(All_India_Index_Upto_April23__1[[#This Row],[Fuel and light]])</f>
        <v>1</v>
      </c>
      <c r="BE187">
        <f>TYPE(All_India_Index_Upto_April23__1[[#This Row],[Household goods and services]])</f>
        <v>1</v>
      </c>
      <c r="BF187">
        <f>TYPE(All_India_Index_Upto_April23__1[[#This Row],[Health]])</f>
        <v>1</v>
      </c>
      <c r="BG187">
        <f>TYPE(All_India_Index_Upto_April23__1[[#This Row],[Transport and communication]])</f>
        <v>1</v>
      </c>
      <c r="BH187">
        <f>TYPE(All_India_Index_Upto_April23__1[[#This Row],[Recreation and amusement]])</f>
        <v>1</v>
      </c>
      <c r="BI187">
        <f>TYPE(All_India_Index_Upto_April23__1[[#This Row],[Education]])</f>
        <v>1</v>
      </c>
      <c r="BJ187">
        <f>TYPE(All_India_Index_Upto_April23__1[[#This Row],[Personal care and effects]])</f>
        <v>1</v>
      </c>
      <c r="BK187">
        <f>TYPE(All_India_Index_Upto_April23__1[[#This Row],[Miscellaneous]])</f>
        <v>1</v>
      </c>
      <c r="BL187">
        <f>TYPE(All_India_Index_Upto_April23__1[[#This Row],[General index]])</f>
        <v>1</v>
      </c>
    </row>
    <row r="188" spans="1:64" x14ac:dyDescent="0.3">
      <c r="A188" t="s">
        <v>33</v>
      </c>
      <c r="B188">
        <v>2018</v>
      </c>
      <c r="C188" t="s">
        <v>34</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t="s">
        <v>149</v>
      </c>
      <c r="V188">
        <v>136.69999999999999</v>
      </c>
      <c r="W188">
        <v>135.19999999999999</v>
      </c>
      <c r="X188">
        <v>133.80000000000001</v>
      </c>
      <c r="Y188">
        <v>120.2</v>
      </c>
      <c r="Z188">
        <v>129.9</v>
      </c>
      <c r="AA188">
        <v>139</v>
      </c>
      <c r="AB188">
        <v>127.7</v>
      </c>
      <c r="AC188">
        <v>129.6</v>
      </c>
      <c r="AD188">
        <v>136.4</v>
      </c>
      <c r="AE188">
        <f>SUM(All_India_Index_Upto_April23__1[[#This Row],[Cereals and products]:[Food and beverages]])</f>
        <v>1760.3999999999996</v>
      </c>
      <c r="AF188">
        <f>SUM(All_India_Index_Upto_April23__1[[#This Row],[Clothing]:[Clothing and footwear]])</f>
        <v>422</v>
      </c>
      <c r="AG188">
        <f t="shared" si="2"/>
        <v>392.09999999999997</v>
      </c>
      <c r="AI188">
        <f>TYPE(All_India_Index_Upto_April23__1[[#This Row],[Sector]])</f>
        <v>2</v>
      </c>
      <c r="AJ188">
        <f>TYPE(All_India_Index_Upto_April23__1[[#This Row],[Year]])</f>
        <v>1</v>
      </c>
      <c r="AK188">
        <f>TYPE(All_India_Index_Upto_April23__1[[#This Row],[Month]])</f>
        <v>2</v>
      </c>
      <c r="AL188">
        <f>TYPE(All_India_Index_Upto_April23__1[[#This Row],[Cereals and products]])</f>
        <v>1</v>
      </c>
      <c r="AM188">
        <f>TYPE(All_India_Index_Upto_April23__1[[#This Row],[Meat and fish]])</f>
        <v>1</v>
      </c>
      <c r="AN188">
        <f>TYPE(All_India_Index_Upto_April23__1[[#This Row],[Egg]])</f>
        <v>1</v>
      </c>
      <c r="AO188">
        <f>TYPE(All_India_Index_Upto_April23__1[[#This Row],[Milk and products]])</f>
        <v>1</v>
      </c>
      <c r="AP188">
        <f>TYPE(All_India_Index_Upto_April23__1[[#This Row],[Oils and fats]])</f>
        <v>1</v>
      </c>
      <c r="AQ188">
        <f>TYPE(All_India_Index_Upto_April23__1[[#This Row],[Fruits]])</f>
        <v>1</v>
      </c>
      <c r="AR188">
        <f>TYPE(All_India_Index_Upto_April23__1[[#This Row],[Vegetables]])</f>
        <v>1</v>
      </c>
      <c r="AS188">
        <f>TYPE(All_India_Index_Upto_April23__1[[#This Row],[Pulses and products]])</f>
        <v>1</v>
      </c>
      <c r="AT188">
        <f>TYPE(All_India_Index_Upto_April23__1[[#This Row],[Sugar and Confectionery]])</f>
        <v>1</v>
      </c>
      <c r="AU188">
        <f>TYPE(All_India_Index_Upto_April23__1[[#This Row],[Spices]])</f>
        <v>1</v>
      </c>
      <c r="AV188">
        <f>TYPE(All_India_Index_Upto_April23__1[[#This Row],[Non-alcoholic beverages]])</f>
        <v>1</v>
      </c>
      <c r="AW188">
        <f>TYPE(All_India_Index_Upto_April23__1[[#This Row],[Prepared meals, snacks, sweets etc.]])</f>
        <v>1</v>
      </c>
      <c r="AX188">
        <f>TYPE(All_India_Index_Upto_April23__1[[#This Row],[Food and beverages]])</f>
        <v>1</v>
      </c>
      <c r="AY188">
        <f>TYPE(All_India_Index_Upto_April23__1[[#This Row],[Pan, tobacco and intoxicants]])</f>
        <v>1</v>
      </c>
      <c r="AZ188">
        <f>TYPE(All_India_Index_Upto_April23__1[[#This Row],[Clothing]])</f>
        <v>1</v>
      </c>
      <c r="BA188">
        <f>TYPE(All_India_Index_Upto_April23__1[[#This Row],[Footwear]])</f>
        <v>1</v>
      </c>
      <c r="BB188">
        <f>TYPE(All_India_Index_Upto_April23__1[[#This Row],[Clothing and footwear]])</f>
        <v>1</v>
      </c>
      <c r="BC188">
        <f>TYPE(All_India_Index_Upto_April23__1[[#This Row],[Housing]])</f>
        <v>2</v>
      </c>
      <c r="BD188">
        <f>TYPE(All_India_Index_Upto_April23__1[[#This Row],[Fuel and light]])</f>
        <v>1</v>
      </c>
      <c r="BE188">
        <f>TYPE(All_India_Index_Upto_April23__1[[#This Row],[Household goods and services]])</f>
        <v>1</v>
      </c>
      <c r="BF188">
        <f>TYPE(All_India_Index_Upto_April23__1[[#This Row],[Health]])</f>
        <v>1</v>
      </c>
      <c r="BG188">
        <f>TYPE(All_India_Index_Upto_April23__1[[#This Row],[Transport and communication]])</f>
        <v>1</v>
      </c>
      <c r="BH188">
        <f>TYPE(All_India_Index_Upto_April23__1[[#This Row],[Recreation and amusement]])</f>
        <v>1</v>
      </c>
      <c r="BI188">
        <f>TYPE(All_India_Index_Upto_April23__1[[#This Row],[Education]])</f>
        <v>1</v>
      </c>
      <c r="BJ188">
        <f>TYPE(All_India_Index_Upto_April23__1[[#This Row],[Personal care and effects]])</f>
        <v>1</v>
      </c>
      <c r="BK188">
        <f>TYPE(All_India_Index_Upto_April23__1[[#This Row],[Miscellaneous]])</f>
        <v>1</v>
      </c>
      <c r="BL188">
        <f>TYPE(All_India_Index_Upto_April23__1[[#This Row],[General index]])</f>
        <v>1</v>
      </c>
    </row>
    <row r="189" spans="1:64" hidden="1" x14ac:dyDescent="0.3">
      <c r="A189" t="s">
        <v>30</v>
      </c>
      <c r="B189">
        <v>2018</v>
      </c>
      <c r="C189" t="s">
        <v>35</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U189" t="s">
        <v>89</v>
      </c>
      <c r="V189">
        <v>142.6</v>
      </c>
      <c r="W189">
        <v>139.9</v>
      </c>
      <c r="X189">
        <v>136.69999999999999</v>
      </c>
      <c r="Y189">
        <v>124.6</v>
      </c>
      <c r="Z189">
        <v>135.1</v>
      </c>
      <c r="AA189">
        <v>142.69999999999999</v>
      </c>
      <c r="AB189">
        <v>129.30000000000001</v>
      </c>
      <c r="AC189">
        <v>133.30000000000001</v>
      </c>
      <c r="AD189">
        <v>138.69999999999999</v>
      </c>
      <c r="AE189">
        <f>SUM(All_India_Index_Upto_April23__1[[#This Row],[Cereals and products]:[Food and beverages]])</f>
        <v>1781.9999999999998</v>
      </c>
      <c r="AF189">
        <f>SUM(All_India_Index_Upto_April23__1[[#This Row],[Clothing]:[Clothing and footwear]])</f>
        <v>440.5</v>
      </c>
      <c r="AG189">
        <f t="shared" si="2"/>
        <v>407.1</v>
      </c>
      <c r="AI189">
        <f>TYPE(All_India_Index_Upto_April23__1[[#This Row],[Sector]])</f>
        <v>2</v>
      </c>
      <c r="AJ189">
        <f>TYPE(All_India_Index_Upto_April23__1[[#This Row],[Year]])</f>
        <v>1</v>
      </c>
      <c r="AK189">
        <f>TYPE(All_India_Index_Upto_April23__1[[#This Row],[Month]])</f>
        <v>2</v>
      </c>
      <c r="AL189">
        <f>TYPE(All_India_Index_Upto_April23__1[[#This Row],[Cereals and products]])</f>
        <v>1</v>
      </c>
      <c r="AM189">
        <f>TYPE(All_India_Index_Upto_April23__1[[#This Row],[Meat and fish]])</f>
        <v>1</v>
      </c>
      <c r="AN189">
        <f>TYPE(All_India_Index_Upto_April23__1[[#This Row],[Egg]])</f>
        <v>1</v>
      </c>
      <c r="AO189">
        <f>TYPE(All_India_Index_Upto_April23__1[[#This Row],[Milk and products]])</f>
        <v>1</v>
      </c>
      <c r="AP189">
        <f>TYPE(All_India_Index_Upto_April23__1[[#This Row],[Oils and fats]])</f>
        <v>1</v>
      </c>
      <c r="AQ189">
        <f>TYPE(All_India_Index_Upto_April23__1[[#This Row],[Fruits]])</f>
        <v>1</v>
      </c>
      <c r="AR189">
        <f>TYPE(All_India_Index_Upto_April23__1[[#This Row],[Vegetables]])</f>
        <v>1</v>
      </c>
      <c r="AS189">
        <f>TYPE(All_India_Index_Upto_April23__1[[#This Row],[Pulses and products]])</f>
        <v>1</v>
      </c>
      <c r="AT189">
        <f>TYPE(All_India_Index_Upto_April23__1[[#This Row],[Sugar and Confectionery]])</f>
        <v>1</v>
      </c>
      <c r="AU189">
        <f>TYPE(All_India_Index_Upto_April23__1[[#This Row],[Spices]])</f>
        <v>1</v>
      </c>
      <c r="AV189">
        <f>TYPE(All_India_Index_Upto_April23__1[[#This Row],[Non-alcoholic beverages]])</f>
        <v>1</v>
      </c>
      <c r="AW189">
        <f>TYPE(All_India_Index_Upto_April23__1[[#This Row],[Prepared meals, snacks, sweets etc.]])</f>
        <v>1</v>
      </c>
      <c r="AX189">
        <f>TYPE(All_India_Index_Upto_April23__1[[#This Row],[Food and beverages]])</f>
        <v>1</v>
      </c>
      <c r="AY189">
        <f>TYPE(All_India_Index_Upto_April23__1[[#This Row],[Pan, tobacco and intoxicants]])</f>
        <v>1</v>
      </c>
      <c r="AZ189">
        <f>TYPE(All_India_Index_Upto_April23__1[[#This Row],[Clothing]])</f>
        <v>1</v>
      </c>
      <c r="BA189">
        <f>TYPE(All_India_Index_Upto_April23__1[[#This Row],[Footwear]])</f>
        <v>1</v>
      </c>
      <c r="BB189">
        <f>TYPE(All_India_Index_Upto_April23__1[[#This Row],[Clothing and footwear]])</f>
        <v>1</v>
      </c>
      <c r="BC189">
        <f>TYPE(All_India_Index_Upto_April23__1[[#This Row],[Housing]])</f>
        <v>2</v>
      </c>
      <c r="BD189">
        <f>TYPE(All_India_Index_Upto_April23__1[[#This Row],[Fuel and light]])</f>
        <v>1</v>
      </c>
      <c r="BE189">
        <f>TYPE(All_India_Index_Upto_April23__1[[#This Row],[Household goods and services]])</f>
        <v>1</v>
      </c>
      <c r="BF189">
        <f>TYPE(All_India_Index_Upto_April23__1[[#This Row],[Health]])</f>
        <v>1</v>
      </c>
      <c r="BG189">
        <f>TYPE(All_India_Index_Upto_April23__1[[#This Row],[Transport and communication]])</f>
        <v>1</v>
      </c>
      <c r="BH189">
        <f>TYPE(All_India_Index_Upto_April23__1[[#This Row],[Recreation and amusement]])</f>
        <v>1</v>
      </c>
      <c r="BI189">
        <f>TYPE(All_India_Index_Upto_April23__1[[#This Row],[Education]])</f>
        <v>1</v>
      </c>
      <c r="BJ189">
        <f>TYPE(All_India_Index_Upto_April23__1[[#This Row],[Personal care and effects]])</f>
        <v>1</v>
      </c>
      <c r="BK189">
        <f>TYPE(All_India_Index_Upto_April23__1[[#This Row],[Miscellaneous]])</f>
        <v>1</v>
      </c>
      <c r="BL189">
        <f>TYPE(All_India_Index_Upto_April23__1[[#This Row],[General index]])</f>
        <v>1</v>
      </c>
    </row>
    <row r="190" spans="1:64" hidden="1" x14ac:dyDescent="0.3">
      <c r="A190" t="s">
        <v>32</v>
      </c>
      <c r="B190">
        <v>2018</v>
      </c>
      <c r="C190" t="s">
        <v>35</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t="s">
        <v>150</v>
      </c>
      <c r="V190">
        <v>126.4</v>
      </c>
      <c r="W190">
        <v>130.80000000000001</v>
      </c>
      <c r="X190">
        <v>130.5</v>
      </c>
      <c r="Y190">
        <v>117.8</v>
      </c>
      <c r="Z190">
        <v>126.8</v>
      </c>
      <c r="AA190">
        <v>137.80000000000001</v>
      </c>
      <c r="AB190">
        <v>126.7</v>
      </c>
      <c r="AC190">
        <v>127.1</v>
      </c>
      <c r="AD190">
        <v>134</v>
      </c>
      <c r="AE190">
        <f>SUM(All_India_Index_Upto_April23__1[[#This Row],[Cereals and products]:[Food and beverages]])</f>
        <v>1715.5</v>
      </c>
      <c r="AF190">
        <f>SUM(All_India_Index_Upto_April23__1[[#This Row],[Clothing]:[Clothing and footwear]])</f>
        <v>398.59999999999997</v>
      </c>
      <c r="AG190">
        <f t="shared" si="2"/>
        <v>375.00000000000006</v>
      </c>
      <c r="AI190">
        <f>TYPE(All_India_Index_Upto_April23__1[[#This Row],[Sector]])</f>
        <v>2</v>
      </c>
      <c r="AJ190">
        <f>TYPE(All_India_Index_Upto_April23__1[[#This Row],[Year]])</f>
        <v>1</v>
      </c>
      <c r="AK190">
        <f>TYPE(All_India_Index_Upto_April23__1[[#This Row],[Month]])</f>
        <v>2</v>
      </c>
      <c r="AL190">
        <f>TYPE(All_India_Index_Upto_April23__1[[#This Row],[Cereals and products]])</f>
        <v>1</v>
      </c>
      <c r="AM190">
        <f>TYPE(All_India_Index_Upto_April23__1[[#This Row],[Meat and fish]])</f>
        <v>1</v>
      </c>
      <c r="AN190">
        <f>TYPE(All_India_Index_Upto_April23__1[[#This Row],[Egg]])</f>
        <v>1</v>
      </c>
      <c r="AO190">
        <f>TYPE(All_India_Index_Upto_April23__1[[#This Row],[Milk and products]])</f>
        <v>1</v>
      </c>
      <c r="AP190">
        <f>TYPE(All_India_Index_Upto_April23__1[[#This Row],[Oils and fats]])</f>
        <v>1</v>
      </c>
      <c r="AQ190">
        <f>TYPE(All_India_Index_Upto_April23__1[[#This Row],[Fruits]])</f>
        <v>1</v>
      </c>
      <c r="AR190">
        <f>TYPE(All_India_Index_Upto_April23__1[[#This Row],[Vegetables]])</f>
        <v>1</v>
      </c>
      <c r="AS190">
        <f>TYPE(All_India_Index_Upto_April23__1[[#This Row],[Pulses and products]])</f>
        <v>1</v>
      </c>
      <c r="AT190">
        <f>TYPE(All_India_Index_Upto_April23__1[[#This Row],[Sugar and Confectionery]])</f>
        <v>1</v>
      </c>
      <c r="AU190">
        <f>TYPE(All_India_Index_Upto_April23__1[[#This Row],[Spices]])</f>
        <v>1</v>
      </c>
      <c r="AV190">
        <f>TYPE(All_India_Index_Upto_April23__1[[#This Row],[Non-alcoholic beverages]])</f>
        <v>1</v>
      </c>
      <c r="AW190">
        <f>TYPE(All_India_Index_Upto_April23__1[[#This Row],[Prepared meals, snacks, sweets etc.]])</f>
        <v>1</v>
      </c>
      <c r="AX190">
        <f>TYPE(All_India_Index_Upto_April23__1[[#This Row],[Food and beverages]])</f>
        <v>1</v>
      </c>
      <c r="AY190">
        <f>TYPE(All_India_Index_Upto_April23__1[[#This Row],[Pan, tobacco and intoxicants]])</f>
        <v>1</v>
      </c>
      <c r="AZ190">
        <f>TYPE(All_India_Index_Upto_April23__1[[#This Row],[Clothing]])</f>
        <v>1</v>
      </c>
      <c r="BA190">
        <f>TYPE(All_India_Index_Upto_April23__1[[#This Row],[Footwear]])</f>
        <v>1</v>
      </c>
      <c r="BB190">
        <f>TYPE(All_India_Index_Upto_April23__1[[#This Row],[Clothing and footwear]])</f>
        <v>1</v>
      </c>
      <c r="BC190">
        <f>TYPE(All_India_Index_Upto_April23__1[[#This Row],[Housing]])</f>
        <v>2</v>
      </c>
      <c r="BD190">
        <f>TYPE(All_India_Index_Upto_April23__1[[#This Row],[Fuel and light]])</f>
        <v>1</v>
      </c>
      <c r="BE190">
        <f>TYPE(All_India_Index_Upto_April23__1[[#This Row],[Household goods and services]])</f>
        <v>1</v>
      </c>
      <c r="BF190">
        <f>TYPE(All_India_Index_Upto_April23__1[[#This Row],[Health]])</f>
        <v>1</v>
      </c>
      <c r="BG190">
        <f>TYPE(All_India_Index_Upto_April23__1[[#This Row],[Transport and communication]])</f>
        <v>1</v>
      </c>
      <c r="BH190">
        <f>TYPE(All_India_Index_Upto_April23__1[[#This Row],[Recreation and amusement]])</f>
        <v>1</v>
      </c>
      <c r="BI190">
        <f>TYPE(All_India_Index_Upto_April23__1[[#This Row],[Education]])</f>
        <v>1</v>
      </c>
      <c r="BJ190">
        <f>TYPE(All_India_Index_Upto_April23__1[[#This Row],[Personal care and effects]])</f>
        <v>1</v>
      </c>
      <c r="BK190">
        <f>TYPE(All_India_Index_Upto_April23__1[[#This Row],[Miscellaneous]])</f>
        <v>1</v>
      </c>
      <c r="BL190">
        <f>TYPE(All_India_Index_Upto_April23__1[[#This Row],[General index]])</f>
        <v>1</v>
      </c>
    </row>
    <row r="191" spans="1:64" x14ac:dyDescent="0.3">
      <c r="A191" t="s">
        <v>33</v>
      </c>
      <c r="B191">
        <v>2018</v>
      </c>
      <c r="C191" t="s">
        <v>35</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t="s">
        <v>150</v>
      </c>
      <c r="V191">
        <v>136.5</v>
      </c>
      <c r="W191">
        <v>135.6</v>
      </c>
      <c r="X191">
        <v>134.30000000000001</v>
      </c>
      <c r="Y191">
        <v>121</v>
      </c>
      <c r="Z191">
        <v>130.4</v>
      </c>
      <c r="AA191">
        <v>139.80000000000001</v>
      </c>
      <c r="AB191">
        <v>128.19999999999999</v>
      </c>
      <c r="AC191">
        <v>130.30000000000001</v>
      </c>
      <c r="AD191">
        <v>136.5</v>
      </c>
      <c r="AE191">
        <f>SUM(All_India_Index_Upto_April23__1[[#This Row],[Cereals and products]:[Food and beverages]])</f>
        <v>1756</v>
      </c>
      <c r="AF191">
        <f>SUM(All_India_Index_Upto_April23__1[[#This Row],[Clothing]:[Clothing and footwear]])</f>
        <v>423.6</v>
      </c>
      <c r="AG191">
        <f t="shared" si="2"/>
        <v>393.1</v>
      </c>
      <c r="AI191">
        <f>TYPE(All_India_Index_Upto_April23__1[[#This Row],[Sector]])</f>
        <v>2</v>
      </c>
      <c r="AJ191">
        <f>TYPE(All_India_Index_Upto_April23__1[[#This Row],[Year]])</f>
        <v>1</v>
      </c>
      <c r="AK191">
        <f>TYPE(All_India_Index_Upto_April23__1[[#This Row],[Month]])</f>
        <v>2</v>
      </c>
      <c r="AL191">
        <f>TYPE(All_India_Index_Upto_April23__1[[#This Row],[Cereals and products]])</f>
        <v>1</v>
      </c>
      <c r="AM191">
        <f>TYPE(All_India_Index_Upto_April23__1[[#This Row],[Meat and fish]])</f>
        <v>1</v>
      </c>
      <c r="AN191">
        <f>TYPE(All_India_Index_Upto_April23__1[[#This Row],[Egg]])</f>
        <v>1</v>
      </c>
      <c r="AO191">
        <f>TYPE(All_India_Index_Upto_April23__1[[#This Row],[Milk and products]])</f>
        <v>1</v>
      </c>
      <c r="AP191">
        <f>TYPE(All_India_Index_Upto_April23__1[[#This Row],[Oils and fats]])</f>
        <v>1</v>
      </c>
      <c r="AQ191">
        <f>TYPE(All_India_Index_Upto_April23__1[[#This Row],[Fruits]])</f>
        <v>1</v>
      </c>
      <c r="AR191">
        <f>TYPE(All_India_Index_Upto_April23__1[[#This Row],[Vegetables]])</f>
        <v>1</v>
      </c>
      <c r="AS191">
        <f>TYPE(All_India_Index_Upto_April23__1[[#This Row],[Pulses and products]])</f>
        <v>1</v>
      </c>
      <c r="AT191">
        <f>TYPE(All_India_Index_Upto_April23__1[[#This Row],[Sugar and Confectionery]])</f>
        <v>1</v>
      </c>
      <c r="AU191">
        <f>TYPE(All_India_Index_Upto_April23__1[[#This Row],[Spices]])</f>
        <v>1</v>
      </c>
      <c r="AV191">
        <f>TYPE(All_India_Index_Upto_April23__1[[#This Row],[Non-alcoholic beverages]])</f>
        <v>1</v>
      </c>
      <c r="AW191">
        <f>TYPE(All_India_Index_Upto_April23__1[[#This Row],[Prepared meals, snacks, sweets etc.]])</f>
        <v>1</v>
      </c>
      <c r="AX191">
        <f>TYPE(All_India_Index_Upto_April23__1[[#This Row],[Food and beverages]])</f>
        <v>1</v>
      </c>
      <c r="AY191">
        <f>TYPE(All_India_Index_Upto_April23__1[[#This Row],[Pan, tobacco and intoxicants]])</f>
        <v>1</v>
      </c>
      <c r="AZ191">
        <f>TYPE(All_India_Index_Upto_April23__1[[#This Row],[Clothing]])</f>
        <v>1</v>
      </c>
      <c r="BA191">
        <f>TYPE(All_India_Index_Upto_April23__1[[#This Row],[Footwear]])</f>
        <v>1</v>
      </c>
      <c r="BB191">
        <f>TYPE(All_India_Index_Upto_April23__1[[#This Row],[Clothing and footwear]])</f>
        <v>1</v>
      </c>
      <c r="BC191">
        <f>TYPE(All_India_Index_Upto_April23__1[[#This Row],[Housing]])</f>
        <v>2</v>
      </c>
      <c r="BD191">
        <f>TYPE(All_India_Index_Upto_April23__1[[#This Row],[Fuel and light]])</f>
        <v>1</v>
      </c>
      <c r="BE191">
        <f>TYPE(All_India_Index_Upto_April23__1[[#This Row],[Household goods and services]])</f>
        <v>1</v>
      </c>
      <c r="BF191">
        <f>TYPE(All_India_Index_Upto_April23__1[[#This Row],[Health]])</f>
        <v>1</v>
      </c>
      <c r="BG191">
        <f>TYPE(All_India_Index_Upto_April23__1[[#This Row],[Transport and communication]])</f>
        <v>1</v>
      </c>
      <c r="BH191">
        <f>TYPE(All_India_Index_Upto_April23__1[[#This Row],[Recreation and amusement]])</f>
        <v>1</v>
      </c>
      <c r="BI191">
        <f>TYPE(All_India_Index_Upto_April23__1[[#This Row],[Education]])</f>
        <v>1</v>
      </c>
      <c r="BJ191">
        <f>TYPE(All_India_Index_Upto_April23__1[[#This Row],[Personal care and effects]])</f>
        <v>1</v>
      </c>
      <c r="BK191">
        <f>TYPE(All_India_Index_Upto_April23__1[[#This Row],[Miscellaneous]])</f>
        <v>1</v>
      </c>
      <c r="BL191">
        <f>TYPE(All_India_Index_Upto_April23__1[[#This Row],[General index]])</f>
        <v>1</v>
      </c>
    </row>
    <row r="192" spans="1:64" hidden="1" x14ac:dyDescent="0.3">
      <c r="A192" t="s">
        <v>30</v>
      </c>
      <c r="B192">
        <v>2018</v>
      </c>
      <c r="C192" t="s">
        <v>36</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U192" t="s">
        <v>89</v>
      </c>
      <c r="V192">
        <v>143.80000000000001</v>
      </c>
      <c r="W192">
        <v>140.9</v>
      </c>
      <c r="X192">
        <v>137.6</v>
      </c>
      <c r="Y192">
        <v>125.3</v>
      </c>
      <c r="Z192">
        <v>136</v>
      </c>
      <c r="AA192">
        <v>143.69999999999999</v>
      </c>
      <c r="AB192">
        <v>130.4</v>
      </c>
      <c r="AC192">
        <v>134.19999999999999</v>
      </c>
      <c r="AD192">
        <v>139.1</v>
      </c>
      <c r="AE192">
        <f>SUM(All_India_Index_Upto_April23__1[[#This Row],[Cereals and products]:[Food and beverages]])</f>
        <v>1780</v>
      </c>
      <c r="AF192">
        <f>SUM(All_India_Index_Upto_April23__1[[#This Row],[Clothing]:[Clothing and footwear]])</f>
        <v>442.5</v>
      </c>
      <c r="AG192">
        <f t="shared" si="2"/>
        <v>410.00000000000006</v>
      </c>
      <c r="AI192">
        <f>TYPE(All_India_Index_Upto_April23__1[[#This Row],[Sector]])</f>
        <v>2</v>
      </c>
      <c r="AJ192">
        <f>TYPE(All_India_Index_Upto_April23__1[[#This Row],[Year]])</f>
        <v>1</v>
      </c>
      <c r="AK192">
        <f>TYPE(All_India_Index_Upto_April23__1[[#This Row],[Month]])</f>
        <v>2</v>
      </c>
      <c r="AL192">
        <f>TYPE(All_India_Index_Upto_April23__1[[#This Row],[Cereals and products]])</f>
        <v>1</v>
      </c>
      <c r="AM192">
        <f>TYPE(All_India_Index_Upto_April23__1[[#This Row],[Meat and fish]])</f>
        <v>1</v>
      </c>
      <c r="AN192">
        <f>TYPE(All_India_Index_Upto_April23__1[[#This Row],[Egg]])</f>
        <v>1</v>
      </c>
      <c r="AO192">
        <f>TYPE(All_India_Index_Upto_April23__1[[#This Row],[Milk and products]])</f>
        <v>1</v>
      </c>
      <c r="AP192">
        <f>TYPE(All_India_Index_Upto_April23__1[[#This Row],[Oils and fats]])</f>
        <v>1</v>
      </c>
      <c r="AQ192">
        <f>TYPE(All_India_Index_Upto_April23__1[[#This Row],[Fruits]])</f>
        <v>1</v>
      </c>
      <c r="AR192">
        <f>TYPE(All_India_Index_Upto_April23__1[[#This Row],[Vegetables]])</f>
        <v>1</v>
      </c>
      <c r="AS192">
        <f>TYPE(All_India_Index_Upto_April23__1[[#This Row],[Pulses and products]])</f>
        <v>1</v>
      </c>
      <c r="AT192">
        <f>TYPE(All_India_Index_Upto_April23__1[[#This Row],[Sugar and Confectionery]])</f>
        <v>1</v>
      </c>
      <c r="AU192">
        <f>TYPE(All_India_Index_Upto_April23__1[[#This Row],[Spices]])</f>
        <v>1</v>
      </c>
      <c r="AV192">
        <f>TYPE(All_India_Index_Upto_April23__1[[#This Row],[Non-alcoholic beverages]])</f>
        <v>1</v>
      </c>
      <c r="AW192">
        <f>TYPE(All_India_Index_Upto_April23__1[[#This Row],[Prepared meals, snacks, sweets etc.]])</f>
        <v>1</v>
      </c>
      <c r="AX192">
        <f>TYPE(All_India_Index_Upto_April23__1[[#This Row],[Food and beverages]])</f>
        <v>1</v>
      </c>
      <c r="AY192">
        <f>TYPE(All_India_Index_Upto_April23__1[[#This Row],[Pan, tobacco and intoxicants]])</f>
        <v>1</v>
      </c>
      <c r="AZ192">
        <f>TYPE(All_India_Index_Upto_April23__1[[#This Row],[Clothing]])</f>
        <v>1</v>
      </c>
      <c r="BA192">
        <f>TYPE(All_India_Index_Upto_April23__1[[#This Row],[Footwear]])</f>
        <v>1</v>
      </c>
      <c r="BB192">
        <f>TYPE(All_India_Index_Upto_April23__1[[#This Row],[Clothing and footwear]])</f>
        <v>1</v>
      </c>
      <c r="BC192">
        <f>TYPE(All_India_Index_Upto_April23__1[[#This Row],[Housing]])</f>
        <v>2</v>
      </c>
      <c r="BD192">
        <f>TYPE(All_India_Index_Upto_April23__1[[#This Row],[Fuel and light]])</f>
        <v>1</v>
      </c>
      <c r="BE192">
        <f>TYPE(All_India_Index_Upto_April23__1[[#This Row],[Household goods and services]])</f>
        <v>1</v>
      </c>
      <c r="BF192">
        <f>TYPE(All_India_Index_Upto_April23__1[[#This Row],[Health]])</f>
        <v>1</v>
      </c>
      <c r="BG192">
        <f>TYPE(All_India_Index_Upto_April23__1[[#This Row],[Transport and communication]])</f>
        <v>1</v>
      </c>
      <c r="BH192">
        <f>TYPE(All_India_Index_Upto_April23__1[[#This Row],[Recreation and amusement]])</f>
        <v>1</v>
      </c>
      <c r="BI192">
        <f>TYPE(All_India_Index_Upto_April23__1[[#This Row],[Education]])</f>
        <v>1</v>
      </c>
      <c r="BJ192">
        <f>TYPE(All_India_Index_Upto_April23__1[[#This Row],[Personal care and effects]])</f>
        <v>1</v>
      </c>
      <c r="BK192">
        <f>TYPE(All_India_Index_Upto_April23__1[[#This Row],[Miscellaneous]])</f>
        <v>1</v>
      </c>
      <c r="BL192">
        <f>TYPE(All_India_Index_Upto_April23__1[[#This Row],[General index]])</f>
        <v>1</v>
      </c>
    </row>
    <row r="193" spans="1:64" hidden="1" x14ac:dyDescent="0.3">
      <c r="A193" t="s">
        <v>32</v>
      </c>
      <c r="B193">
        <v>2018</v>
      </c>
      <c r="C193" t="s">
        <v>36</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t="s">
        <v>151</v>
      </c>
      <c r="V193">
        <v>124.6</v>
      </c>
      <c r="W193">
        <v>131.80000000000001</v>
      </c>
      <c r="X193">
        <v>131.30000000000001</v>
      </c>
      <c r="Y193">
        <v>118.9</v>
      </c>
      <c r="Z193">
        <v>127.6</v>
      </c>
      <c r="AA193">
        <v>139.69999999999999</v>
      </c>
      <c r="AB193">
        <v>127.6</v>
      </c>
      <c r="AC193">
        <v>128.19999999999999</v>
      </c>
      <c r="AD193">
        <v>134.80000000000001</v>
      </c>
      <c r="AE193">
        <f>SUM(All_India_Index_Upto_April23__1[[#This Row],[Cereals and products]:[Food and beverages]])</f>
        <v>1720.0000000000002</v>
      </c>
      <c r="AF193">
        <f>SUM(All_India_Index_Upto_April23__1[[#This Row],[Clothing]:[Clothing and footwear]])</f>
        <v>401.40000000000003</v>
      </c>
      <c r="AG193">
        <f t="shared" si="2"/>
        <v>375.29999999999995</v>
      </c>
      <c r="AI193">
        <f>TYPE(All_India_Index_Upto_April23__1[[#This Row],[Sector]])</f>
        <v>2</v>
      </c>
      <c r="AJ193">
        <f>TYPE(All_India_Index_Upto_April23__1[[#This Row],[Year]])</f>
        <v>1</v>
      </c>
      <c r="AK193">
        <f>TYPE(All_India_Index_Upto_April23__1[[#This Row],[Month]])</f>
        <v>2</v>
      </c>
      <c r="AL193">
        <f>TYPE(All_India_Index_Upto_April23__1[[#This Row],[Cereals and products]])</f>
        <v>1</v>
      </c>
      <c r="AM193">
        <f>TYPE(All_India_Index_Upto_April23__1[[#This Row],[Meat and fish]])</f>
        <v>1</v>
      </c>
      <c r="AN193">
        <f>TYPE(All_India_Index_Upto_April23__1[[#This Row],[Egg]])</f>
        <v>1</v>
      </c>
      <c r="AO193">
        <f>TYPE(All_India_Index_Upto_April23__1[[#This Row],[Milk and products]])</f>
        <v>1</v>
      </c>
      <c r="AP193">
        <f>TYPE(All_India_Index_Upto_April23__1[[#This Row],[Oils and fats]])</f>
        <v>1</v>
      </c>
      <c r="AQ193">
        <f>TYPE(All_India_Index_Upto_April23__1[[#This Row],[Fruits]])</f>
        <v>1</v>
      </c>
      <c r="AR193">
        <f>TYPE(All_India_Index_Upto_April23__1[[#This Row],[Vegetables]])</f>
        <v>1</v>
      </c>
      <c r="AS193">
        <f>TYPE(All_India_Index_Upto_April23__1[[#This Row],[Pulses and products]])</f>
        <v>1</v>
      </c>
      <c r="AT193">
        <f>TYPE(All_India_Index_Upto_April23__1[[#This Row],[Sugar and Confectionery]])</f>
        <v>1</v>
      </c>
      <c r="AU193">
        <f>TYPE(All_India_Index_Upto_April23__1[[#This Row],[Spices]])</f>
        <v>1</v>
      </c>
      <c r="AV193">
        <f>TYPE(All_India_Index_Upto_April23__1[[#This Row],[Non-alcoholic beverages]])</f>
        <v>1</v>
      </c>
      <c r="AW193">
        <f>TYPE(All_India_Index_Upto_April23__1[[#This Row],[Prepared meals, snacks, sweets etc.]])</f>
        <v>1</v>
      </c>
      <c r="AX193">
        <f>TYPE(All_India_Index_Upto_April23__1[[#This Row],[Food and beverages]])</f>
        <v>1</v>
      </c>
      <c r="AY193">
        <f>TYPE(All_India_Index_Upto_April23__1[[#This Row],[Pan, tobacco and intoxicants]])</f>
        <v>1</v>
      </c>
      <c r="AZ193">
        <f>TYPE(All_India_Index_Upto_April23__1[[#This Row],[Clothing]])</f>
        <v>1</v>
      </c>
      <c r="BA193">
        <f>TYPE(All_India_Index_Upto_April23__1[[#This Row],[Footwear]])</f>
        <v>1</v>
      </c>
      <c r="BB193">
        <f>TYPE(All_India_Index_Upto_April23__1[[#This Row],[Clothing and footwear]])</f>
        <v>1</v>
      </c>
      <c r="BC193">
        <f>TYPE(All_India_Index_Upto_April23__1[[#This Row],[Housing]])</f>
        <v>2</v>
      </c>
      <c r="BD193">
        <f>TYPE(All_India_Index_Upto_April23__1[[#This Row],[Fuel and light]])</f>
        <v>1</v>
      </c>
      <c r="BE193">
        <f>TYPE(All_India_Index_Upto_April23__1[[#This Row],[Household goods and services]])</f>
        <v>1</v>
      </c>
      <c r="BF193">
        <f>TYPE(All_India_Index_Upto_April23__1[[#This Row],[Health]])</f>
        <v>1</v>
      </c>
      <c r="BG193">
        <f>TYPE(All_India_Index_Upto_April23__1[[#This Row],[Transport and communication]])</f>
        <v>1</v>
      </c>
      <c r="BH193">
        <f>TYPE(All_India_Index_Upto_April23__1[[#This Row],[Recreation and amusement]])</f>
        <v>1</v>
      </c>
      <c r="BI193">
        <f>TYPE(All_India_Index_Upto_April23__1[[#This Row],[Education]])</f>
        <v>1</v>
      </c>
      <c r="BJ193">
        <f>TYPE(All_India_Index_Upto_April23__1[[#This Row],[Personal care and effects]])</f>
        <v>1</v>
      </c>
      <c r="BK193">
        <f>TYPE(All_India_Index_Upto_April23__1[[#This Row],[Miscellaneous]])</f>
        <v>1</v>
      </c>
      <c r="BL193">
        <f>TYPE(All_India_Index_Upto_April23__1[[#This Row],[General index]])</f>
        <v>1</v>
      </c>
    </row>
    <row r="194" spans="1:64" x14ac:dyDescent="0.3">
      <c r="A194" t="s">
        <v>33</v>
      </c>
      <c r="B194">
        <v>2018</v>
      </c>
      <c r="C194" t="s">
        <v>36</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t="s">
        <v>151</v>
      </c>
      <c r="V194">
        <v>136.5</v>
      </c>
      <c r="W194">
        <v>136.6</v>
      </c>
      <c r="X194">
        <v>135.19999999999999</v>
      </c>
      <c r="Y194">
        <v>121.9</v>
      </c>
      <c r="Z194">
        <v>131.30000000000001</v>
      </c>
      <c r="AA194">
        <v>141.4</v>
      </c>
      <c r="AB194">
        <v>129.19999999999999</v>
      </c>
      <c r="AC194">
        <v>131.30000000000001</v>
      </c>
      <c r="AD194">
        <v>137.1</v>
      </c>
      <c r="AE194">
        <f>SUM(All_India_Index_Upto_April23__1[[#This Row],[Cereals and products]:[Food and beverages]])</f>
        <v>1757.1000000000001</v>
      </c>
      <c r="AF194">
        <f>SUM(All_India_Index_Upto_April23__1[[#This Row],[Clothing]:[Clothing and footwear]])</f>
        <v>426</v>
      </c>
      <c r="AG194">
        <f t="shared" si="2"/>
        <v>395</v>
      </c>
      <c r="AI194">
        <f>TYPE(All_India_Index_Upto_April23__1[[#This Row],[Sector]])</f>
        <v>2</v>
      </c>
      <c r="AJ194">
        <f>TYPE(All_India_Index_Upto_April23__1[[#This Row],[Year]])</f>
        <v>1</v>
      </c>
      <c r="AK194">
        <f>TYPE(All_India_Index_Upto_April23__1[[#This Row],[Month]])</f>
        <v>2</v>
      </c>
      <c r="AL194">
        <f>TYPE(All_India_Index_Upto_April23__1[[#This Row],[Cereals and products]])</f>
        <v>1</v>
      </c>
      <c r="AM194">
        <f>TYPE(All_India_Index_Upto_April23__1[[#This Row],[Meat and fish]])</f>
        <v>1</v>
      </c>
      <c r="AN194">
        <f>TYPE(All_India_Index_Upto_April23__1[[#This Row],[Egg]])</f>
        <v>1</v>
      </c>
      <c r="AO194">
        <f>TYPE(All_India_Index_Upto_April23__1[[#This Row],[Milk and products]])</f>
        <v>1</v>
      </c>
      <c r="AP194">
        <f>TYPE(All_India_Index_Upto_April23__1[[#This Row],[Oils and fats]])</f>
        <v>1</v>
      </c>
      <c r="AQ194">
        <f>TYPE(All_India_Index_Upto_April23__1[[#This Row],[Fruits]])</f>
        <v>1</v>
      </c>
      <c r="AR194">
        <f>TYPE(All_India_Index_Upto_April23__1[[#This Row],[Vegetables]])</f>
        <v>1</v>
      </c>
      <c r="AS194">
        <f>TYPE(All_India_Index_Upto_April23__1[[#This Row],[Pulses and products]])</f>
        <v>1</v>
      </c>
      <c r="AT194">
        <f>TYPE(All_India_Index_Upto_April23__1[[#This Row],[Sugar and Confectionery]])</f>
        <v>1</v>
      </c>
      <c r="AU194">
        <f>TYPE(All_India_Index_Upto_April23__1[[#This Row],[Spices]])</f>
        <v>1</v>
      </c>
      <c r="AV194">
        <f>TYPE(All_India_Index_Upto_April23__1[[#This Row],[Non-alcoholic beverages]])</f>
        <v>1</v>
      </c>
      <c r="AW194">
        <f>TYPE(All_India_Index_Upto_April23__1[[#This Row],[Prepared meals, snacks, sweets etc.]])</f>
        <v>1</v>
      </c>
      <c r="AX194">
        <f>TYPE(All_India_Index_Upto_April23__1[[#This Row],[Food and beverages]])</f>
        <v>1</v>
      </c>
      <c r="AY194">
        <f>TYPE(All_India_Index_Upto_April23__1[[#This Row],[Pan, tobacco and intoxicants]])</f>
        <v>1</v>
      </c>
      <c r="AZ194">
        <f>TYPE(All_India_Index_Upto_April23__1[[#This Row],[Clothing]])</f>
        <v>1</v>
      </c>
      <c r="BA194">
        <f>TYPE(All_India_Index_Upto_April23__1[[#This Row],[Footwear]])</f>
        <v>1</v>
      </c>
      <c r="BB194">
        <f>TYPE(All_India_Index_Upto_April23__1[[#This Row],[Clothing and footwear]])</f>
        <v>1</v>
      </c>
      <c r="BC194">
        <f>TYPE(All_India_Index_Upto_April23__1[[#This Row],[Housing]])</f>
        <v>2</v>
      </c>
      <c r="BD194">
        <f>TYPE(All_India_Index_Upto_April23__1[[#This Row],[Fuel and light]])</f>
        <v>1</v>
      </c>
      <c r="BE194">
        <f>TYPE(All_India_Index_Upto_April23__1[[#This Row],[Household goods and services]])</f>
        <v>1</v>
      </c>
      <c r="BF194">
        <f>TYPE(All_India_Index_Upto_April23__1[[#This Row],[Health]])</f>
        <v>1</v>
      </c>
      <c r="BG194">
        <f>TYPE(All_India_Index_Upto_April23__1[[#This Row],[Transport and communication]])</f>
        <v>1</v>
      </c>
      <c r="BH194">
        <f>TYPE(All_India_Index_Upto_April23__1[[#This Row],[Recreation and amusement]])</f>
        <v>1</v>
      </c>
      <c r="BI194">
        <f>TYPE(All_India_Index_Upto_April23__1[[#This Row],[Education]])</f>
        <v>1</v>
      </c>
      <c r="BJ194">
        <f>TYPE(All_India_Index_Upto_April23__1[[#This Row],[Personal care and effects]])</f>
        <v>1</v>
      </c>
      <c r="BK194">
        <f>TYPE(All_India_Index_Upto_April23__1[[#This Row],[Miscellaneous]])</f>
        <v>1</v>
      </c>
      <c r="BL194">
        <f>TYPE(All_India_Index_Upto_April23__1[[#This Row],[General index]])</f>
        <v>1</v>
      </c>
    </row>
    <row r="195" spans="1:64" hidden="1" x14ac:dyDescent="0.3">
      <c r="A195" t="s">
        <v>30</v>
      </c>
      <c r="B195">
        <v>2018</v>
      </c>
      <c r="C195" t="s">
        <v>37</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U195" t="s">
        <v>89</v>
      </c>
      <c r="V195">
        <v>144.30000000000001</v>
      </c>
      <c r="W195">
        <v>141.80000000000001</v>
      </c>
      <c r="X195">
        <v>138.4</v>
      </c>
      <c r="Y195">
        <v>126.4</v>
      </c>
      <c r="Z195">
        <v>136.80000000000001</v>
      </c>
      <c r="AA195">
        <v>144.4</v>
      </c>
      <c r="AB195">
        <v>131.19999999999999</v>
      </c>
      <c r="AC195">
        <v>135.1</v>
      </c>
      <c r="AD195">
        <v>139.80000000000001</v>
      </c>
      <c r="AE195">
        <f>SUM(All_India_Index_Upto_April23__1[[#This Row],[Cereals and products]:[Food and beverages]])</f>
        <v>1782.4</v>
      </c>
      <c r="AF195">
        <f>SUM(All_India_Index_Upto_April23__1[[#This Row],[Clothing]:[Clothing and footwear]])</f>
        <v>444.7</v>
      </c>
      <c r="AG195">
        <f t="shared" ref="AG195:AG258" si="3">SUM(U195:W195,Y195)</f>
        <v>412.5</v>
      </c>
      <c r="AI195">
        <f>TYPE(All_India_Index_Upto_April23__1[[#This Row],[Sector]])</f>
        <v>2</v>
      </c>
      <c r="AJ195">
        <f>TYPE(All_India_Index_Upto_April23__1[[#This Row],[Year]])</f>
        <v>1</v>
      </c>
      <c r="AK195">
        <f>TYPE(All_India_Index_Upto_April23__1[[#This Row],[Month]])</f>
        <v>2</v>
      </c>
      <c r="AL195">
        <f>TYPE(All_India_Index_Upto_April23__1[[#This Row],[Cereals and products]])</f>
        <v>1</v>
      </c>
      <c r="AM195">
        <f>TYPE(All_India_Index_Upto_April23__1[[#This Row],[Meat and fish]])</f>
        <v>1</v>
      </c>
      <c r="AN195">
        <f>TYPE(All_India_Index_Upto_April23__1[[#This Row],[Egg]])</f>
        <v>1</v>
      </c>
      <c r="AO195">
        <f>TYPE(All_India_Index_Upto_April23__1[[#This Row],[Milk and products]])</f>
        <v>1</v>
      </c>
      <c r="AP195">
        <f>TYPE(All_India_Index_Upto_April23__1[[#This Row],[Oils and fats]])</f>
        <v>1</v>
      </c>
      <c r="AQ195">
        <f>TYPE(All_India_Index_Upto_April23__1[[#This Row],[Fruits]])</f>
        <v>1</v>
      </c>
      <c r="AR195">
        <f>TYPE(All_India_Index_Upto_April23__1[[#This Row],[Vegetables]])</f>
        <v>1</v>
      </c>
      <c r="AS195">
        <f>TYPE(All_India_Index_Upto_April23__1[[#This Row],[Pulses and products]])</f>
        <v>1</v>
      </c>
      <c r="AT195">
        <f>TYPE(All_India_Index_Upto_April23__1[[#This Row],[Sugar and Confectionery]])</f>
        <v>1</v>
      </c>
      <c r="AU195">
        <f>TYPE(All_India_Index_Upto_April23__1[[#This Row],[Spices]])</f>
        <v>1</v>
      </c>
      <c r="AV195">
        <f>TYPE(All_India_Index_Upto_April23__1[[#This Row],[Non-alcoholic beverages]])</f>
        <v>1</v>
      </c>
      <c r="AW195">
        <f>TYPE(All_India_Index_Upto_April23__1[[#This Row],[Prepared meals, snacks, sweets etc.]])</f>
        <v>1</v>
      </c>
      <c r="AX195">
        <f>TYPE(All_India_Index_Upto_April23__1[[#This Row],[Food and beverages]])</f>
        <v>1</v>
      </c>
      <c r="AY195">
        <f>TYPE(All_India_Index_Upto_April23__1[[#This Row],[Pan, tobacco and intoxicants]])</f>
        <v>1</v>
      </c>
      <c r="AZ195">
        <f>TYPE(All_India_Index_Upto_April23__1[[#This Row],[Clothing]])</f>
        <v>1</v>
      </c>
      <c r="BA195">
        <f>TYPE(All_India_Index_Upto_April23__1[[#This Row],[Footwear]])</f>
        <v>1</v>
      </c>
      <c r="BB195">
        <f>TYPE(All_India_Index_Upto_April23__1[[#This Row],[Clothing and footwear]])</f>
        <v>1</v>
      </c>
      <c r="BC195">
        <f>TYPE(All_India_Index_Upto_April23__1[[#This Row],[Housing]])</f>
        <v>2</v>
      </c>
      <c r="BD195">
        <f>TYPE(All_India_Index_Upto_April23__1[[#This Row],[Fuel and light]])</f>
        <v>1</v>
      </c>
      <c r="BE195">
        <f>TYPE(All_India_Index_Upto_April23__1[[#This Row],[Household goods and services]])</f>
        <v>1</v>
      </c>
      <c r="BF195">
        <f>TYPE(All_India_Index_Upto_April23__1[[#This Row],[Health]])</f>
        <v>1</v>
      </c>
      <c r="BG195">
        <f>TYPE(All_India_Index_Upto_April23__1[[#This Row],[Transport and communication]])</f>
        <v>1</v>
      </c>
      <c r="BH195">
        <f>TYPE(All_India_Index_Upto_April23__1[[#This Row],[Recreation and amusement]])</f>
        <v>1</v>
      </c>
      <c r="BI195">
        <f>TYPE(All_India_Index_Upto_April23__1[[#This Row],[Education]])</f>
        <v>1</v>
      </c>
      <c r="BJ195">
        <f>TYPE(All_India_Index_Upto_April23__1[[#This Row],[Personal care and effects]])</f>
        <v>1</v>
      </c>
      <c r="BK195">
        <f>TYPE(All_India_Index_Upto_April23__1[[#This Row],[Miscellaneous]])</f>
        <v>1</v>
      </c>
      <c r="BL195">
        <f>TYPE(All_India_Index_Upto_April23__1[[#This Row],[General index]])</f>
        <v>1</v>
      </c>
    </row>
    <row r="196" spans="1:64" hidden="1" x14ac:dyDescent="0.3">
      <c r="A196" t="s">
        <v>32</v>
      </c>
      <c r="B196">
        <v>2018</v>
      </c>
      <c r="C196" t="s">
        <v>37</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t="s">
        <v>152</v>
      </c>
      <c r="V196">
        <v>124.7</v>
      </c>
      <c r="W196">
        <v>132.5</v>
      </c>
      <c r="X196">
        <v>132</v>
      </c>
      <c r="Y196">
        <v>119.8</v>
      </c>
      <c r="Z196">
        <v>128</v>
      </c>
      <c r="AA196">
        <v>140.4</v>
      </c>
      <c r="AB196">
        <v>128.1</v>
      </c>
      <c r="AC196">
        <v>128.9</v>
      </c>
      <c r="AD196">
        <v>135.4</v>
      </c>
      <c r="AE196">
        <f>SUM(All_India_Index_Upto_April23__1[[#This Row],[Cereals and products]:[Food and beverages]])</f>
        <v>1722.8999999999999</v>
      </c>
      <c r="AF196">
        <f>SUM(All_India_Index_Upto_April23__1[[#This Row],[Clothing]:[Clothing and footwear]])</f>
        <v>403.5</v>
      </c>
      <c r="AG196">
        <f t="shared" si="3"/>
        <v>377</v>
      </c>
      <c r="AI196">
        <f>TYPE(All_India_Index_Upto_April23__1[[#This Row],[Sector]])</f>
        <v>2</v>
      </c>
      <c r="AJ196">
        <f>TYPE(All_India_Index_Upto_April23__1[[#This Row],[Year]])</f>
        <v>1</v>
      </c>
      <c r="AK196">
        <f>TYPE(All_India_Index_Upto_April23__1[[#This Row],[Month]])</f>
        <v>2</v>
      </c>
      <c r="AL196">
        <f>TYPE(All_India_Index_Upto_April23__1[[#This Row],[Cereals and products]])</f>
        <v>1</v>
      </c>
      <c r="AM196">
        <f>TYPE(All_India_Index_Upto_April23__1[[#This Row],[Meat and fish]])</f>
        <v>1</v>
      </c>
      <c r="AN196">
        <f>TYPE(All_India_Index_Upto_April23__1[[#This Row],[Egg]])</f>
        <v>1</v>
      </c>
      <c r="AO196">
        <f>TYPE(All_India_Index_Upto_April23__1[[#This Row],[Milk and products]])</f>
        <v>1</v>
      </c>
      <c r="AP196">
        <f>TYPE(All_India_Index_Upto_April23__1[[#This Row],[Oils and fats]])</f>
        <v>1</v>
      </c>
      <c r="AQ196">
        <f>TYPE(All_India_Index_Upto_April23__1[[#This Row],[Fruits]])</f>
        <v>1</v>
      </c>
      <c r="AR196">
        <f>TYPE(All_India_Index_Upto_April23__1[[#This Row],[Vegetables]])</f>
        <v>1</v>
      </c>
      <c r="AS196">
        <f>TYPE(All_India_Index_Upto_April23__1[[#This Row],[Pulses and products]])</f>
        <v>1</v>
      </c>
      <c r="AT196">
        <f>TYPE(All_India_Index_Upto_April23__1[[#This Row],[Sugar and Confectionery]])</f>
        <v>1</v>
      </c>
      <c r="AU196">
        <f>TYPE(All_India_Index_Upto_April23__1[[#This Row],[Spices]])</f>
        <v>1</v>
      </c>
      <c r="AV196">
        <f>TYPE(All_India_Index_Upto_April23__1[[#This Row],[Non-alcoholic beverages]])</f>
        <v>1</v>
      </c>
      <c r="AW196">
        <f>TYPE(All_India_Index_Upto_April23__1[[#This Row],[Prepared meals, snacks, sweets etc.]])</f>
        <v>1</v>
      </c>
      <c r="AX196">
        <f>TYPE(All_India_Index_Upto_April23__1[[#This Row],[Food and beverages]])</f>
        <v>1</v>
      </c>
      <c r="AY196">
        <f>TYPE(All_India_Index_Upto_April23__1[[#This Row],[Pan, tobacco and intoxicants]])</f>
        <v>1</v>
      </c>
      <c r="AZ196">
        <f>TYPE(All_India_Index_Upto_April23__1[[#This Row],[Clothing]])</f>
        <v>1</v>
      </c>
      <c r="BA196">
        <f>TYPE(All_India_Index_Upto_April23__1[[#This Row],[Footwear]])</f>
        <v>1</v>
      </c>
      <c r="BB196">
        <f>TYPE(All_India_Index_Upto_April23__1[[#This Row],[Clothing and footwear]])</f>
        <v>1</v>
      </c>
      <c r="BC196">
        <f>TYPE(All_India_Index_Upto_April23__1[[#This Row],[Housing]])</f>
        <v>2</v>
      </c>
      <c r="BD196">
        <f>TYPE(All_India_Index_Upto_April23__1[[#This Row],[Fuel and light]])</f>
        <v>1</v>
      </c>
      <c r="BE196">
        <f>TYPE(All_India_Index_Upto_April23__1[[#This Row],[Household goods and services]])</f>
        <v>1</v>
      </c>
      <c r="BF196">
        <f>TYPE(All_India_Index_Upto_April23__1[[#This Row],[Health]])</f>
        <v>1</v>
      </c>
      <c r="BG196">
        <f>TYPE(All_India_Index_Upto_April23__1[[#This Row],[Transport and communication]])</f>
        <v>1</v>
      </c>
      <c r="BH196">
        <f>TYPE(All_India_Index_Upto_April23__1[[#This Row],[Recreation and amusement]])</f>
        <v>1</v>
      </c>
      <c r="BI196">
        <f>TYPE(All_India_Index_Upto_April23__1[[#This Row],[Education]])</f>
        <v>1</v>
      </c>
      <c r="BJ196">
        <f>TYPE(All_India_Index_Upto_April23__1[[#This Row],[Personal care and effects]])</f>
        <v>1</v>
      </c>
      <c r="BK196">
        <f>TYPE(All_India_Index_Upto_April23__1[[#This Row],[Miscellaneous]])</f>
        <v>1</v>
      </c>
      <c r="BL196">
        <f>TYPE(All_India_Index_Upto_April23__1[[#This Row],[General index]])</f>
        <v>1</v>
      </c>
    </row>
    <row r="197" spans="1:64" x14ac:dyDescent="0.3">
      <c r="A197" t="s">
        <v>33</v>
      </c>
      <c r="B197">
        <v>2018</v>
      </c>
      <c r="C197" t="s">
        <v>37</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t="s">
        <v>152</v>
      </c>
      <c r="V197">
        <v>136.9</v>
      </c>
      <c r="W197">
        <v>137.4</v>
      </c>
      <c r="X197">
        <v>136</v>
      </c>
      <c r="Y197">
        <v>122.9</v>
      </c>
      <c r="Z197">
        <v>131.80000000000001</v>
      </c>
      <c r="AA197">
        <v>142.1</v>
      </c>
      <c r="AB197">
        <v>129.9</v>
      </c>
      <c r="AC197">
        <v>132.1</v>
      </c>
      <c r="AD197">
        <v>137.80000000000001</v>
      </c>
      <c r="AE197">
        <f>SUM(All_India_Index_Upto_April23__1[[#This Row],[Cereals and products]:[Food and beverages]])</f>
        <v>1759.8</v>
      </c>
      <c r="AF197">
        <f>SUM(All_India_Index_Upto_April23__1[[#This Row],[Clothing]:[Clothing and footwear]])</f>
        <v>428.09999999999997</v>
      </c>
      <c r="AG197">
        <f t="shared" si="3"/>
        <v>397.20000000000005</v>
      </c>
      <c r="AI197">
        <f>TYPE(All_India_Index_Upto_April23__1[[#This Row],[Sector]])</f>
        <v>2</v>
      </c>
      <c r="AJ197">
        <f>TYPE(All_India_Index_Upto_April23__1[[#This Row],[Year]])</f>
        <v>1</v>
      </c>
      <c r="AK197">
        <f>TYPE(All_India_Index_Upto_April23__1[[#This Row],[Month]])</f>
        <v>2</v>
      </c>
      <c r="AL197">
        <f>TYPE(All_India_Index_Upto_April23__1[[#This Row],[Cereals and products]])</f>
        <v>1</v>
      </c>
      <c r="AM197">
        <f>TYPE(All_India_Index_Upto_April23__1[[#This Row],[Meat and fish]])</f>
        <v>1</v>
      </c>
      <c r="AN197">
        <f>TYPE(All_India_Index_Upto_April23__1[[#This Row],[Egg]])</f>
        <v>1</v>
      </c>
      <c r="AO197">
        <f>TYPE(All_India_Index_Upto_April23__1[[#This Row],[Milk and products]])</f>
        <v>1</v>
      </c>
      <c r="AP197">
        <f>TYPE(All_India_Index_Upto_April23__1[[#This Row],[Oils and fats]])</f>
        <v>1</v>
      </c>
      <c r="AQ197">
        <f>TYPE(All_India_Index_Upto_April23__1[[#This Row],[Fruits]])</f>
        <v>1</v>
      </c>
      <c r="AR197">
        <f>TYPE(All_India_Index_Upto_April23__1[[#This Row],[Vegetables]])</f>
        <v>1</v>
      </c>
      <c r="AS197">
        <f>TYPE(All_India_Index_Upto_April23__1[[#This Row],[Pulses and products]])</f>
        <v>1</v>
      </c>
      <c r="AT197">
        <f>TYPE(All_India_Index_Upto_April23__1[[#This Row],[Sugar and Confectionery]])</f>
        <v>1</v>
      </c>
      <c r="AU197">
        <f>TYPE(All_India_Index_Upto_April23__1[[#This Row],[Spices]])</f>
        <v>1</v>
      </c>
      <c r="AV197">
        <f>TYPE(All_India_Index_Upto_April23__1[[#This Row],[Non-alcoholic beverages]])</f>
        <v>1</v>
      </c>
      <c r="AW197">
        <f>TYPE(All_India_Index_Upto_April23__1[[#This Row],[Prepared meals, snacks, sweets etc.]])</f>
        <v>1</v>
      </c>
      <c r="AX197">
        <f>TYPE(All_India_Index_Upto_April23__1[[#This Row],[Food and beverages]])</f>
        <v>1</v>
      </c>
      <c r="AY197">
        <f>TYPE(All_India_Index_Upto_April23__1[[#This Row],[Pan, tobacco and intoxicants]])</f>
        <v>1</v>
      </c>
      <c r="AZ197">
        <f>TYPE(All_India_Index_Upto_April23__1[[#This Row],[Clothing]])</f>
        <v>1</v>
      </c>
      <c r="BA197">
        <f>TYPE(All_India_Index_Upto_April23__1[[#This Row],[Footwear]])</f>
        <v>1</v>
      </c>
      <c r="BB197">
        <f>TYPE(All_India_Index_Upto_April23__1[[#This Row],[Clothing and footwear]])</f>
        <v>1</v>
      </c>
      <c r="BC197">
        <f>TYPE(All_India_Index_Upto_April23__1[[#This Row],[Housing]])</f>
        <v>2</v>
      </c>
      <c r="BD197">
        <f>TYPE(All_India_Index_Upto_April23__1[[#This Row],[Fuel and light]])</f>
        <v>1</v>
      </c>
      <c r="BE197">
        <f>TYPE(All_India_Index_Upto_April23__1[[#This Row],[Household goods and services]])</f>
        <v>1</v>
      </c>
      <c r="BF197">
        <f>TYPE(All_India_Index_Upto_April23__1[[#This Row],[Health]])</f>
        <v>1</v>
      </c>
      <c r="BG197">
        <f>TYPE(All_India_Index_Upto_April23__1[[#This Row],[Transport and communication]])</f>
        <v>1</v>
      </c>
      <c r="BH197">
        <f>TYPE(All_India_Index_Upto_April23__1[[#This Row],[Recreation and amusement]])</f>
        <v>1</v>
      </c>
      <c r="BI197">
        <f>TYPE(All_India_Index_Upto_April23__1[[#This Row],[Education]])</f>
        <v>1</v>
      </c>
      <c r="BJ197">
        <f>TYPE(All_India_Index_Upto_April23__1[[#This Row],[Personal care and effects]])</f>
        <v>1</v>
      </c>
      <c r="BK197">
        <f>TYPE(All_India_Index_Upto_April23__1[[#This Row],[Miscellaneous]])</f>
        <v>1</v>
      </c>
      <c r="BL197">
        <f>TYPE(All_India_Index_Upto_April23__1[[#This Row],[General index]])</f>
        <v>1</v>
      </c>
    </row>
    <row r="198" spans="1:64" hidden="1" x14ac:dyDescent="0.3">
      <c r="A198" t="s">
        <v>30</v>
      </c>
      <c r="B198">
        <v>2018</v>
      </c>
      <c r="C198" t="s">
        <v>38</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U198" t="s">
        <v>89</v>
      </c>
      <c r="V198">
        <v>145.1</v>
      </c>
      <c r="W198">
        <v>142.19999999999999</v>
      </c>
      <c r="X198">
        <v>138.4</v>
      </c>
      <c r="Y198">
        <v>127.4</v>
      </c>
      <c r="Z198">
        <v>137.80000000000001</v>
      </c>
      <c r="AA198">
        <v>145.1</v>
      </c>
      <c r="AB198">
        <v>131.4</v>
      </c>
      <c r="AC198">
        <v>135.6</v>
      </c>
      <c r="AD198">
        <v>140.5</v>
      </c>
      <c r="AE198">
        <f>SUM(All_India_Index_Upto_April23__1[[#This Row],[Cereals and products]:[Food and beverages]])</f>
        <v>1790.2999999999997</v>
      </c>
      <c r="AF198">
        <f>SUM(All_India_Index_Upto_April23__1[[#This Row],[Clothing]:[Clothing and footwear]])</f>
        <v>446.3</v>
      </c>
      <c r="AG198">
        <f t="shared" si="3"/>
        <v>414.69999999999993</v>
      </c>
      <c r="AI198">
        <f>TYPE(All_India_Index_Upto_April23__1[[#This Row],[Sector]])</f>
        <v>2</v>
      </c>
      <c r="AJ198">
        <f>TYPE(All_India_Index_Upto_April23__1[[#This Row],[Year]])</f>
        <v>1</v>
      </c>
      <c r="AK198">
        <f>TYPE(All_India_Index_Upto_April23__1[[#This Row],[Month]])</f>
        <v>2</v>
      </c>
      <c r="AL198">
        <f>TYPE(All_India_Index_Upto_April23__1[[#This Row],[Cereals and products]])</f>
        <v>1</v>
      </c>
      <c r="AM198">
        <f>TYPE(All_India_Index_Upto_April23__1[[#This Row],[Meat and fish]])</f>
        <v>1</v>
      </c>
      <c r="AN198">
        <f>TYPE(All_India_Index_Upto_April23__1[[#This Row],[Egg]])</f>
        <v>1</v>
      </c>
      <c r="AO198">
        <f>TYPE(All_India_Index_Upto_April23__1[[#This Row],[Milk and products]])</f>
        <v>1</v>
      </c>
      <c r="AP198">
        <f>TYPE(All_India_Index_Upto_April23__1[[#This Row],[Oils and fats]])</f>
        <v>1</v>
      </c>
      <c r="AQ198">
        <f>TYPE(All_India_Index_Upto_April23__1[[#This Row],[Fruits]])</f>
        <v>1</v>
      </c>
      <c r="AR198">
        <f>TYPE(All_India_Index_Upto_April23__1[[#This Row],[Vegetables]])</f>
        <v>1</v>
      </c>
      <c r="AS198">
        <f>TYPE(All_India_Index_Upto_April23__1[[#This Row],[Pulses and products]])</f>
        <v>1</v>
      </c>
      <c r="AT198">
        <f>TYPE(All_India_Index_Upto_April23__1[[#This Row],[Sugar and Confectionery]])</f>
        <v>1</v>
      </c>
      <c r="AU198">
        <f>TYPE(All_India_Index_Upto_April23__1[[#This Row],[Spices]])</f>
        <v>1</v>
      </c>
      <c r="AV198">
        <f>TYPE(All_India_Index_Upto_April23__1[[#This Row],[Non-alcoholic beverages]])</f>
        <v>1</v>
      </c>
      <c r="AW198">
        <f>TYPE(All_India_Index_Upto_April23__1[[#This Row],[Prepared meals, snacks, sweets etc.]])</f>
        <v>1</v>
      </c>
      <c r="AX198">
        <f>TYPE(All_India_Index_Upto_April23__1[[#This Row],[Food and beverages]])</f>
        <v>1</v>
      </c>
      <c r="AY198">
        <f>TYPE(All_India_Index_Upto_April23__1[[#This Row],[Pan, tobacco and intoxicants]])</f>
        <v>1</v>
      </c>
      <c r="AZ198">
        <f>TYPE(All_India_Index_Upto_April23__1[[#This Row],[Clothing]])</f>
        <v>1</v>
      </c>
      <c r="BA198">
        <f>TYPE(All_India_Index_Upto_April23__1[[#This Row],[Footwear]])</f>
        <v>1</v>
      </c>
      <c r="BB198">
        <f>TYPE(All_India_Index_Upto_April23__1[[#This Row],[Clothing and footwear]])</f>
        <v>1</v>
      </c>
      <c r="BC198">
        <f>TYPE(All_India_Index_Upto_April23__1[[#This Row],[Housing]])</f>
        <v>2</v>
      </c>
      <c r="BD198">
        <f>TYPE(All_India_Index_Upto_April23__1[[#This Row],[Fuel and light]])</f>
        <v>1</v>
      </c>
      <c r="BE198">
        <f>TYPE(All_India_Index_Upto_April23__1[[#This Row],[Household goods and services]])</f>
        <v>1</v>
      </c>
      <c r="BF198">
        <f>TYPE(All_India_Index_Upto_April23__1[[#This Row],[Health]])</f>
        <v>1</v>
      </c>
      <c r="BG198">
        <f>TYPE(All_India_Index_Upto_April23__1[[#This Row],[Transport and communication]])</f>
        <v>1</v>
      </c>
      <c r="BH198">
        <f>TYPE(All_India_Index_Upto_April23__1[[#This Row],[Recreation and amusement]])</f>
        <v>1</v>
      </c>
      <c r="BI198">
        <f>TYPE(All_India_Index_Upto_April23__1[[#This Row],[Education]])</f>
        <v>1</v>
      </c>
      <c r="BJ198">
        <f>TYPE(All_India_Index_Upto_April23__1[[#This Row],[Personal care and effects]])</f>
        <v>1</v>
      </c>
      <c r="BK198">
        <f>TYPE(All_India_Index_Upto_April23__1[[#This Row],[Miscellaneous]])</f>
        <v>1</v>
      </c>
      <c r="BL198">
        <f>TYPE(All_India_Index_Upto_April23__1[[#This Row],[General index]])</f>
        <v>1</v>
      </c>
    </row>
    <row r="199" spans="1:64" hidden="1" x14ac:dyDescent="0.3">
      <c r="A199" t="s">
        <v>32</v>
      </c>
      <c r="B199">
        <v>2018</v>
      </c>
      <c r="C199" t="s">
        <v>38</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t="s">
        <v>153</v>
      </c>
      <c r="V199">
        <v>126.5</v>
      </c>
      <c r="W199">
        <v>133.1</v>
      </c>
      <c r="X199">
        <v>132.6</v>
      </c>
      <c r="Y199">
        <v>120.4</v>
      </c>
      <c r="Z199">
        <v>128.5</v>
      </c>
      <c r="AA199">
        <v>141.19999999999999</v>
      </c>
      <c r="AB199">
        <v>128.19999999999999</v>
      </c>
      <c r="AC199">
        <v>129.5</v>
      </c>
      <c r="AD199">
        <v>136.19999999999999</v>
      </c>
      <c r="AE199">
        <f>SUM(All_India_Index_Upto_April23__1[[#This Row],[Cereals and products]:[Food and beverages]])</f>
        <v>1747.3000000000002</v>
      </c>
      <c r="AF199">
        <f>SUM(All_India_Index_Upto_April23__1[[#This Row],[Clothing]:[Clothing and footwear]])</f>
        <v>405</v>
      </c>
      <c r="AG199">
        <f t="shared" si="3"/>
        <v>380</v>
      </c>
      <c r="AI199">
        <f>TYPE(All_India_Index_Upto_April23__1[[#This Row],[Sector]])</f>
        <v>2</v>
      </c>
      <c r="AJ199">
        <f>TYPE(All_India_Index_Upto_April23__1[[#This Row],[Year]])</f>
        <v>1</v>
      </c>
      <c r="AK199">
        <f>TYPE(All_India_Index_Upto_April23__1[[#This Row],[Month]])</f>
        <v>2</v>
      </c>
      <c r="AL199">
        <f>TYPE(All_India_Index_Upto_April23__1[[#This Row],[Cereals and products]])</f>
        <v>1</v>
      </c>
      <c r="AM199">
        <f>TYPE(All_India_Index_Upto_April23__1[[#This Row],[Meat and fish]])</f>
        <v>1</v>
      </c>
      <c r="AN199">
        <f>TYPE(All_India_Index_Upto_April23__1[[#This Row],[Egg]])</f>
        <v>1</v>
      </c>
      <c r="AO199">
        <f>TYPE(All_India_Index_Upto_April23__1[[#This Row],[Milk and products]])</f>
        <v>1</v>
      </c>
      <c r="AP199">
        <f>TYPE(All_India_Index_Upto_April23__1[[#This Row],[Oils and fats]])</f>
        <v>1</v>
      </c>
      <c r="AQ199">
        <f>TYPE(All_India_Index_Upto_April23__1[[#This Row],[Fruits]])</f>
        <v>1</v>
      </c>
      <c r="AR199">
        <f>TYPE(All_India_Index_Upto_April23__1[[#This Row],[Vegetables]])</f>
        <v>1</v>
      </c>
      <c r="AS199">
        <f>TYPE(All_India_Index_Upto_April23__1[[#This Row],[Pulses and products]])</f>
        <v>1</v>
      </c>
      <c r="AT199">
        <f>TYPE(All_India_Index_Upto_April23__1[[#This Row],[Sugar and Confectionery]])</f>
        <v>1</v>
      </c>
      <c r="AU199">
        <f>TYPE(All_India_Index_Upto_April23__1[[#This Row],[Spices]])</f>
        <v>1</v>
      </c>
      <c r="AV199">
        <f>TYPE(All_India_Index_Upto_April23__1[[#This Row],[Non-alcoholic beverages]])</f>
        <v>1</v>
      </c>
      <c r="AW199">
        <f>TYPE(All_India_Index_Upto_April23__1[[#This Row],[Prepared meals, snacks, sweets etc.]])</f>
        <v>1</v>
      </c>
      <c r="AX199">
        <f>TYPE(All_India_Index_Upto_April23__1[[#This Row],[Food and beverages]])</f>
        <v>1</v>
      </c>
      <c r="AY199">
        <f>TYPE(All_India_Index_Upto_April23__1[[#This Row],[Pan, tobacco and intoxicants]])</f>
        <v>1</v>
      </c>
      <c r="AZ199">
        <f>TYPE(All_India_Index_Upto_April23__1[[#This Row],[Clothing]])</f>
        <v>1</v>
      </c>
      <c r="BA199">
        <f>TYPE(All_India_Index_Upto_April23__1[[#This Row],[Footwear]])</f>
        <v>1</v>
      </c>
      <c r="BB199">
        <f>TYPE(All_India_Index_Upto_April23__1[[#This Row],[Clothing and footwear]])</f>
        <v>1</v>
      </c>
      <c r="BC199">
        <f>TYPE(All_India_Index_Upto_April23__1[[#This Row],[Housing]])</f>
        <v>2</v>
      </c>
      <c r="BD199">
        <f>TYPE(All_India_Index_Upto_April23__1[[#This Row],[Fuel and light]])</f>
        <v>1</v>
      </c>
      <c r="BE199">
        <f>TYPE(All_India_Index_Upto_April23__1[[#This Row],[Household goods and services]])</f>
        <v>1</v>
      </c>
      <c r="BF199">
        <f>TYPE(All_India_Index_Upto_April23__1[[#This Row],[Health]])</f>
        <v>1</v>
      </c>
      <c r="BG199">
        <f>TYPE(All_India_Index_Upto_April23__1[[#This Row],[Transport and communication]])</f>
        <v>1</v>
      </c>
      <c r="BH199">
        <f>TYPE(All_India_Index_Upto_April23__1[[#This Row],[Recreation and amusement]])</f>
        <v>1</v>
      </c>
      <c r="BI199">
        <f>TYPE(All_India_Index_Upto_April23__1[[#This Row],[Education]])</f>
        <v>1</v>
      </c>
      <c r="BJ199">
        <f>TYPE(All_India_Index_Upto_April23__1[[#This Row],[Personal care and effects]])</f>
        <v>1</v>
      </c>
      <c r="BK199">
        <f>TYPE(All_India_Index_Upto_April23__1[[#This Row],[Miscellaneous]])</f>
        <v>1</v>
      </c>
      <c r="BL199">
        <f>TYPE(All_India_Index_Upto_April23__1[[#This Row],[General index]])</f>
        <v>1</v>
      </c>
    </row>
    <row r="200" spans="1:64" x14ac:dyDescent="0.3">
      <c r="A200" t="s">
        <v>33</v>
      </c>
      <c r="B200">
        <v>2018</v>
      </c>
      <c r="C200" t="s">
        <v>38</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t="s">
        <v>153</v>
      </c>
      <c r="V200">
        <v>138.1</v>
      </c>
      <c r="W200">
        <v>137.9</v>
      </c>
      <c r="X200">
        <v>136.19999999999999</v>
      </c>
      <c r="Y200">
        <v>123.7</v>
      </c>
      <c r="Z200">
        <v>132.6</v>
      </c>
      <c r="AA200">
        <v>142.80000000000001</v>
      </c>
      <c r="AB200">
        <v>130.1</v>
      </c>
      <c r="AC200">
        <v>132.6</v>
      </c>
      <c r="AD200">
        <v>138.5</v>
      </c>
      <c r="AE200">
        <f>SUM(All_India_Index_Upto_April23__1[[#This Row],[Cereals and products]:[Food and beverages]])</f>
        <v>1774.1000000000001</v>
      </c>
      <c r="AF200">
        <f>SUM(All_India_Index_Upto_April23__1[[#This Row],[Clothing]:[Clothing and footwear]])</f>
        <v>429.7</v>
      </c>
      <c r="AG200">
        <f t="shared" si="3"/>
        <v>399.7</v>
      </c>
      <c r="AI200">
        <f>TYPE(All_India_Index_Upto_April23__1[[#This Row],[Sector]])</f>
        <v>2</v>
      </c>
      <c r="AJ200">
        <f>TYPE(All_India_Index_Upto_April23__1[[#This Row],[Year]])</f>
        <v>1</v>
      </c>
      <c r="AK200">
        <f>TYPE(All_India_Index_Upto_April23__1[[#This Row],[Month]])</f>
        <v>2</v>
      </c>
      <c r="AL200">
        <f>TYPE(All_India_Index_Upto_April23__1[[#This Row],[Cereals and products]])</f>
        <v>1</v>
      </c>
      <c r="AM200">
        <f>TYPE(All_India_Index_Upto_April23__1[[#This Row],[Meat and fish]])</f>
        <v>1</v>
      </c>
      <c r="AN200">
        <f>TYPE(All_India_Index_Upto_April23__1[[#This Row],[Egg]])</f>
        <v>1</v>
      </c>
      <c r="AO200">
        <f>TYPE(All_India_Index_Upto_April23__1[[#This Row],[Milk and products]])</f>
        <v>1</v>
      </c>
      <c r="AP200">
        <f>TYPE(All_India_Index_Upto_April23__1[[#This Row],[Oils and fats]])</f>
        <v>1</v>
      </c>
      <c r="AQ200">
        <f>TYPE(All_India_Index_Upto_April23__1[[#This Row],[Fruits]])</f>
        <v>1</v>
      </c>
      <c r="AR200">
        <f>TYPE(All_India_Index_Upto_April23__1[[#This Row],[Vegetables]])</f>
        <v>1</v>
      </c>
      <c r="AS200">
        <f>TYPE(All_India_Index_Upto_April23__1[[#This Row],[Pulses and products]])</f>
        <v>1</v>
      </c>
      <c r="AT200">
        <f>TYPE(All_India_Index_Upto_April23__1[[#This Row],[Sugar and Confectionery]])</f>
        <v>1</v>
      </c>
      <c r="AU200">
        <f>TYPE(All_India_Index_Upto_April23__1[[#This Row],[Spices]])</f>
        <v>1</v>
      </c>
      <c r="AV200">
        <f>TYPE(All_India_Index_Upto_April23__1[[#This Row],[Non-alcoholic beverages]])</f>
        <v>1</v>
      </c>
      <c r="AW200">
        <f>TYPE(All_India_Index_Upto_April23__1[[#This Row],[Prepared meals, snacks, sweets etc.]])</f>
        <v>1</v>
      </c>
      <c r="AX200">
        <f>TYPE(All_India_Index_Upto_April23__1[[#This Row],[Food and beverages]])</f>
        <v>1</v>
      </c>
      <c r="AY200">
        <f>TYPE(All_India_Index_Upto_April23__1[[#This Row],[Pan, tobacco and intoxicants]])</f>
        <v>1</v>
      </c>
      <c r="AZ200">
        <f>TYPE(All_India_Index_Upto_April23__1[[#This Row],[Clothing]])</f>
        <v>1</v>
      </c>
      <c r="BA200">
        <f>TYPE(All_India_Index_Upto_April23__1[[#This Row],[Footwear]])</f>
        <v>1</v>
      </c>
      <c r="BB200">
        <f>TYPE(All_India_Index_Upto_April23__1[[#This Row],[Clothing and footwear]])</f>
        <v>1</v>
      </c>
      <c r="BC200">
        <f>TYPE(All_India_Index_Upto_April23__1[[#This Row],[Housing]])</f>
        <v>2</v>
      </c>
      <c r="BD200">
        <f>TYPE(All_India_Index_Upto_April23__1[[#This Row],[Fuel and light]])</f>
        <v>1</v>
      </c>
      <c r="BE200">
        <f>TYPE(All_India_Index_Upto_April23__1[[#This Row],[Household goods and services]])</f>
        <v>1</v>
      </c>
      <c r="BF200">
        <f>TYPE(All_India_Index_Upto_April23__1[[#This Row],[Health]])</f>
        <v>1</v>
      </c>
      <c r="BG200">
        <f>TYPE(All_India_Index_Upto_April23__1[[#This Row],[Transport and communication]])</f>
        <v>1</v>
      </c>
      <c r="BH200">
        <f>TYPE(All_India_Index_Upto_April23__1[[#This Row],[Recreation and amusement]])</f>
        <v>1</v>
      </c>
      <c r="BI200">
        <f>TYPE(All_India_Index_Upto_April23__1[[#This Row],[Education]])</f>
        <v>1</v>
      </c>
      <c r="BJ200">
        <f>TYPE(All_India_Index_Upto_April23__1[[#This Row],[Personal care and effects]])</f>
        <v>1</v>
      </c>
      <c r="BK200">
        <f>TYPE(All_India_Index_Upto_April23__1[[#This Row],[Miscellaneous]])</f>
        <v>1</v>
      </c>
      <c r="BL200">
        <f>TYPE(All_India_Index_Upto_April23__1[[#This Row],[General index]])</f>
        <v>1</v>
      </c>
    </row>
    <row r="201" spans="1:64" hidden="1" x14ac:dyDescent="0.3">
      <c r="A201" t="s">
        <v>30</v>
      </c>
      <c r="B201">
        <v>2018</v>
      </c>
      <c r="C201" t="s">
        <v>39</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U201" t="s">
        <v>89</v>
      </c>
      <c r="V201">
        <v>146.80000000000001</v>
      </c>
      <c r="W201">
        <v>143.1</v>
      </c>
      <c r="X201">
        <v>139</v>
      </c>
      <c r="Y201">
        <v>127.5</v>
      </c>
      <c r="Z201">
        <v>138.4</v>
      </c>
      <c r="AA201">
        <v>145.80000000000001</v>
      </c>
      <c r="AB201">
        <v>131.4</v>
      </c>
      <c r="AC201">
        <v>136</v>
      </c>
      <c r="AD201">
        <v>141.80000000000001</v>
      </c>
      <c r="AE201">
        <f>SUM(All_India_Index_Upto_April23__1[[#This Row],[Cereals and products]:[Food and beverages]])</f>
        <v>1810.5000000000002</v>
      </c>
      <c r="AF201">
        <f>SUM(All_India_Index_Upto_April23__1[[#This Row],[Clothing]:[Clothing and footwear]])</f>
        <v>447.20000000000005</v>
      </c>
      <c r="AG201">
        <f t="shared" si="3"/>
        <v>417.4</v>
      </c>
      <c r="AI201">
        <f>TYPE(All_India_Index_Upto_April23__1[[#This Row],[Sector]])</f>
        <v>2</v>
      </c>
      <c r="AJ201">
        <f>TYPE(All_India_Index_Upto_April23__1[[#This Row],[Year]])</f>
        <v>1</v>
      </c>
      <c r="AK201">
        <f>TYPE(All_India_Index_Upto_April23__1[[#This Row],[Month]])</f>
        <v>2</v>
      </c>
      <c r="AL201">
        <f>TYPE(All_India_Index_Upto_April23__1[[#This Row],[Cereals and products]])</f>
        <v>1</v>
      </c>
      <c r="AM201">
        <f>TYPE(All_India_Index_Upto_April23__1[[#This Row],[Meat and fish]])</f>
        <v>1</v>
      </c>
      <c r="AN201">
        <f>TYPE(All_India_Index_Upto_April23__1[[#This Row],[Egg]])</f>
        <v>1</v>
      </c>
      <c r="AO201">
        <f>TYPE(All_India_Index_Upto_April23__1[[#This Row],[Milk and products]])</f>
        <v>1</v>
      </c>
      <c r="AP201">
        <f>TYPE(All_India_Index_Upto_April23__1[[#This Row],[Oils and fats]])</f>
        <v>1</v>
      </c>
      <c r="AQ201">
        <f>TYPE(All_India_Index_Upto_April23__1[[#This Row],[Fruits]])</f>
        <v>1</v>
      </c>
      <c r="AR201">
        <f>TYPE(All_India_Index_Upto_April23__1[[#This Row],[Vegetables]])</f>
        <v>1</v>
      </c>
      <c r="AS201">
        <f>TYPE(All_India_Index_Upto_April23__1[[#This Row],[Pulses and products]])</f>
        <v>1</v>
      </c>
      <c r="AT201">
        <f>TYPE(All_India_Index_Upto_April23__1[[#This Row],[Sugar and Confectionery]])</f>
        <v>1</v>
      </c>
      <c r="AU201">
        <f>TYPE(All_India_Index_Upto_April23__1[[#This Row],[Spices]])</f>
        <v>1</v>
      </c>
      <c r="AV201">
        <f>TYPE(All_India_Index_Upto_April23__1[[#This Row],[Non-alcoholic beverages]])</f>
        <v>1</v>
      </c>
      <c r="AW201">
        <f>TYPE(All_India_Index_Upto_April23__1[[#This Row],[Prepared meals, snacks, sweets etc.]])</f>
        <v>1</v>
      </c>
      <c r="AX201">
        <f>TYPE(All_India_Index_Upto_April23__1[[#This Row],[Food and beverages]])</f>
        <v>1</v>
      </c>
      <c r="AY201">
        <f>TYPE(All_India_Index_Upto_April23__1[[#This Row],[Pan, tobacco and intoxicants]])</f>
        <v>1</v>
      </c>
      <c r="AZ201">
        <f>TYPE(All_India_Index_Upto_April23__1[[#This Row],[Clothing]])</f>
        <v>1</v>
      </c>
      <c r="BA201">
        <f>TYPE(All_India_Index_Upto_April23__1[[#This Row],[Footwear]])</f>
        <v>1</v>
      </c>
      <c r="BB201">
        <f>TYPE(All_India_Index_Upto_April23__1[[#This Row],[Clothing and footwear]])</f>
        <v>1</v>
      </c>
      <c r="BC201">
        <f>TYPE(All_India_Index_Upto_April23__1[[#This Row],[Housing]])</f>
        <v>2</v>
      </c>
      <c r="BD201">
        <f>TYPE(All_India_Index_Upto_April23__1[[#This Row],[Fuel and light]])</f>
        <v>1</v>
      </c>
      <c r="BE201">
        <f>TYPE(All_India_Index_Upto_April23__1[[#This Row],[Household goods and services]])</f>
        <v>1</v>
      </c>
      <c r="BF201">
        <f>TYPE(All_India_Index_Upto_April23__1[[#This Row],[Health]])</f>
        <v>1</v>
      </c>
      <c r="BG201">
        <f>TYPE(All_India_Index_Upto_April23__1[[#This Row],[Transport and communication]])</f>
        <v>1</v>
      </c>
      <c r="BH201">
        <f>TYPE(All_India_Index_Upto_April23__1[[#This Row],[Recreation and amusement]])</f>
        <v>1</v>
      </c>
      <c r="BI201">
        <f>TYPE(All_India_Index_Upto_April23__1[[#This Row],[Education]])</f>
        <v>1</v>
      </c>
      <c r="BJ201">
        <f>TYPE(All_India_Index_Upto_April23__1[[#This Row],[Personal care and effects]])</f>
        <v>1</v>
      </c>
      <c r="BK201">
        <f>TYPE(All_India_Index_Upto_April23__1[[#This Row],[Miscellaneous]])</f>
        <v>1</v>
      </c>
      <c r="BL201">
        <f>TYPE(All_India_Index_Upto_April23__1[[#This Row],[General index]])</f>
        <v>1</v>
      </c>
    </row>
    <row r="202" spans="1:64" hidden="1" x14ac:dyDescent="0.3">
      <c r="A202" t="s">
        <v>32</v>
      </c>
      <c r="B202">
        <v>2018</v>
      </c>
      <c r="C202" t="s">
        <v>39</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t="s">
        <v>154</v>
      </c>
      <c r="V202">
        <v>128.1</v>
      </c>
      <c r="W202">
        <v>133.6</v>
      </c>
      <c r="X202">
        <v>133.6</v>
      </c>
      <c r="Y202">
        <v>120.1</v>
      </c>
      <c r="Z202">
        <v>129</v>
      </c>
      <c r="AA202">
        <v>144</v>
      </c>
      <c r="AB202">
        <v>128.19999999999999</v>
      </c>
      <c r="AC202">
        <v>130.19999999999999</v>
      </c>
      <c r="AD202">
        <v>137.5</v>
      </c>
      <c r="AE202">
        <f>SUM(All_India_Index_Upto_April23__1[[#This Row],[Cereals and products]:[Food and beverages]])</f>
        <v>1771.1</v>
      </c>
      <c r="AF202">
        <f>SUM(All_India_Index_Upto_April23__1[[#This Row],[Clothing]:[Clothing and footwear]])</f>
        <v>406.4</v>
      </c>
      <c r="AG202">
        <f t="shared" si="3"/>
        <v>381.79999999999995</v>
      </c>
      <c r="AI202">
        <f>TYPE(All_India_Index_Upto_April23__1[[#This Row],[Sector]])</f>
        <v>2</v>
      </c>
      <c r="AJ202">
        <f>TYPE(All_India_Index_Upto_April23__1[[#This Row],[Year]])</f>
        <v>1</v>
      </c>
      <c r="AK202">
        <f>TYPE(All_India_Index_Upto_April23__1[[#This Row],[Month]])</f>
        <v>2</v>
      </c>
      <c r="AL202">
        <f>TYPE(All_India_Index_Upto_April23__1[[#This Row],[Cereals and products]])</f>
        <v>1</v>
      </c>
      <c r="AM202">
        <f>TYPE(All_India_Index_Upto_April23__1[[#This Row],[Meat and fish]])</f>
        <v>1</v>
      </c>
      <c r="AN202">
        <f>TYPE(All_India_Index_Upto_April23__1[[#This Row],[Egg]])</f>
        <v>1</v>
      </c>
      <c r="AO202">
        <f>TYPE(All_India_Index_Upto_April23__1[[#This Row],[Milk and products]])</f>
        <v>1</v>
      </c>
      <c r="AP202">
        <f>TYPE(All_India_Index_Upto_April23__1[[#This Row],[Oils and fats]])</f>
        <v>1</v>
      </c>
      <c r="AQ202">
        <f>TYPE(All_India_Index_Upto_April23__1[[#This Row],[Fruits]])</f>
        <v>1</v>
      </c>
      <c r="AR202">
        <f>TYPE(All_India_Index_Upto_April23__1[[#This Row],[Vegetables]])</f>
        <v>1</v>
      </c>
      <c r="AS202">
        <f>TYPE(All_India_Index_Upto_April23__1[[#This Row],[Pulses and products]])</f>
        <v>1</v>
      </c>
      <c r="AT202">
        <f>TYPE(All_India_Index_Upto_April23__1[[#This Row],[Sugar and Confectionery]])</f>
        <v>1</v>
      </c>
      <c r="AU202">
        <f>TYPE(All_India_Index_Upto_April23__1[[#This Row],[Spices]])</f>
        <v>1</v>
      </c>
      <c r="AV202">
        <f>TYPE(All_India_Index_Upto_April23__1[[#This Row],[Non-alcoholic beverages]])</f>
        <v>1</v>
      </c>
      <c r="AW202">
        <f>TYPE(All_India_Index_Upto_April23__1[[#This Row],[Prepared meals, snacks, sweets etc.]])</f>
        <v>1</v>
      </c>
      <c r="AX202">
        <f>TYPE(All_India_Index_Upto_April23__1[[#This Row],[Food and beverages]])</f>
        <v>1</v>
      </c>
      <c r="AY202">
        <f>TYPE(All_India_Index_Upto_April23__1[[#This Row],[Pan, tobacco and intoxicants]])</f>
        <v>1</v>
      </c>
      <c r="AZ202">
        <f>TYPE(All_India_Index_Upto_April23__1[[#This Row],[Clothing]])</f>
        <v>1</v>
      </c>
      <c r="BA202">
        <f>TYPE(All_India_Index_Upto_April23__1[[#This Row],[Footwear]])</f>
        <v>1</v>
      </c>
      <c r="BB202">
        <f>TYPE(All_India_Index_Upto_April23__1[[#This Row],[Clothing and footwear]])</f>
        <v>1</v>
      </c>
      <c r="BC202">
        <f>TYPE(All_India_Index_Upto_April23__1[[#This Row],[Housing]])</f>
        <v>2</v>
      </c>
      <c r="BD202">
        <f>TYPE(All_India_Index_Upto_April23__1[[#This Row],[Fuel and light]])</f>
        <v>1</v>
      </c>
      <c r="BE202">
        <f>TYPE(All_India_Index_Upto_April23__1[[#This Row],[Household goods and services]])</f>
        <v>1</v>
      </c>
      <c r="BF202">
        <f>TYPE(All_India_Index_Upto_April23__1[[#This Row],[Health]])</f>
        <v>1</v>
      </c>
      <c r="BG202">
        <f>TYPE(All_India_Index_Upto_April23__1[[#This Row],[Transport and communication]])</f>
        <v>1</v>
      </c>
      <c r="BH202">
        <f>TYPE(All_India_Index_Upto_April23__1[[#This Row],[Recreation and amusement]])</f>
        <v>1</v>
      </c>
      <c r="BI202">
        <f>TYPE(All_India_Index_Upto_April23__1[[#This Row],[Education]])</f>
        <v>1</v>
      </c>
      <c r="BJ202">
        <f>TYPE(All_India_Index_Upto_April23__1[[#This Row],[Personal care and effects]])</f>
        <v>1</v>
      </c>
      <c r="BK202">
        <f>TYPE(All_India_Index_Upto_April23__1[[#This Row],[Miscellaneous]])</f>
        <v>1</v>
      </c>
      <c r="BL202">
        <f>TYPE(All_India_Index_Upto_April23__1[[#This Row],[General index]])</f>
        <v>1</v>
      </c>
    </row>
    <row r="203" spans="1:64" x14ac:dyDescent="0.3">
      <c r="A203" t="s">
        <v>33</v>
      </c>
      <c r="B203">
        <v>2018</v>
      </c>
      <c r="C203" t="s">
        <v>39</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t="s">
        <v>154</v>
      </c>
      <c r="V203">
        <v>139.69999999999999</v>
      </c>
      <c r="W203">
        <v>138.6</v>
      </c>
      <c r="X203">
        <v>137</v>
      </c>
      <c r="Y203">
        <v>123.6</v>
      </c>
      <c r="Z203">
        <v>133.1</v>
      </c>
      <c r="AA203">
        <v>144.69999999999999</v>
      </c>
      <c r="AB203">
        <v>130.1</v>
      </c>
      <c r="AC203">
        <v>133.19999999999999</v>
      </c>
      <c r="AD203">
        <v>139.80000000000001</v>
      </c>
      <c r="AE203">
        <f>SUM(All_India_Index_Upto_April23__1[[#This Row],[Cereals and products]:[Food and beverages]])</f>
        <v>1795.3</v>
      </c>
      <c r="AF203">
        <f>SUM(All_India_Index_Upto_April23__1[[#This Row],[Clothing]:[Clothing and footwear]])</f>
        <v>430.80000000000007</v>
      </c>
      <c r="AG203">
        <f t="shared" si="3"/>
        <v>401.9</v>
      </c>
      <c r="AI203">
        <f>TYPE(All_India_Index_Upto_April23__1[[#This Row],[Sector]])</f>
        <v>2</v>
      </c>
      <c r="AJ203">
        <f>TYPE(All_India_Index_Upto_April23__1[[#This Row],[Year]])</f>
        <v>1</v>
      </c>
      <c r="AK203">
        <f>TYPE(All_India_Index_Upto_April23__1[[#This Row],[Month]])</f>
        <v>2</v>
      </c>
      <c r="AL203">
        <f>TYPE(All_India_Index_Upto_April23__1[[#This Row],[Cereals and products]])</f>
        <v>1</v>
      </c>
      <c r="AM203">
        <f>TYPE(All_India_Index_Upto_April23__1[[#This Row],[Meat and fish]])</f>
        <v>1</v>
      </c>
      <c r="AN203">
        <f>TYPE(All_India_Index_Upto_April23__1[[#This Row],[Egg]])</f>
        <v>1</v>
      </c>
      <c r="AO203">
        <f>TYPE(All_India_Index_Upto_April23__1[[#This Row],[Milk and products]])</f>
        <v>1</v>
      </c>
      <c r="AP203">
        <f>TYPE(All_India_Index_Upto_April23__1[[#This Row],[Oils and fats]])</f>
        <v>1</v>
      </c>
      <c r="AQ203">
        <f>TYPE(All_India_Index_Upto_April23__1[[#This Row],[Fruits]])</f>
        <v>1</v>
      </c>
      <c r="AR203">
        <f>TYPE(All_India_Index_Upto_April23__1[[#This Row],[Vegetables]])</f>
        <v>1</v>
      </c>
      <c r="AS203">
        <f>TYPE(All_India_Index_Upto_April23__1[[#This Row],[Pulses and products]])</f>
        <v>1</v>
      </c>
      <c r="AT203">
        <f>TYPE(All_India_Index_Upto_April23__1[[#This Row],[Sugar and Confectionery]])</f>
        <v>1</v>
      </c>
      <c r="AU203">
        <f>TYPE(All_India_Index_Upto_April23__1[[#This Row],[Spices]])</f>
        <v>1</v>
      </c>
      <c r="AV203">
        <f>TYPE(All_India_Index_Upto_April23__1[[#This Row],[Non-alcoholic beverages]])</f>
        <v>1</v>
      </c>
      <c r="AW203">
        <f>TYPE(All_India_Index_Upto_April23__1[[#This Row],[Prepared meals, snacks, sweets etc.]])</f>
        <v>1</v>
      </c>
      <c r="AX203">
        <f>TYPE(All_India_Index_Upto_April23__1[[#This Row],[Food and beverages]])</f>
        <v>1</v>
      </c>
      <c r="AY203">
        <f>TYPE(All_India_Index_Upto_April23__1[[#This Row],[Pan, tobacco and intoxicants]])</f>
        <v>1</v>
      </c>
      <c r="AZ203">
        <f>TYPE(All_India_Index_Upto_April23__1[[#This Row],[Clothing]])</f>
        <v>1</v>
      </c>
      <c r="BA203">
        <f>TYPE(All_India_Index_Upto_April23__1[[#This Row],[Footwear]])</f>
        <v>1</v>
      </c>
      <c r="BB203">
        <f>TYPE(All_India_Index_Upto_April23__1[[#This Row],[Clothing and footwear]])</f>
        <v>1</v>
      </c>
      <c r="BC203">
        <f>TYPE(All_India_Index_Upto_April23__1[[#This Row],[Housing]])</f>
        <v>2</v>
      </c>
      <c r="BD203">
        <f>TYPE(All_India_Index_Upto_April23__1[[#This Row],[Fuel and light]])</f>
        <v>1</v>
      </c>
      <c r="BE203">
        <f>TYPE(All_India_Index_Upto_April23__1[[#This Row],[Household goods and services]])</f>
        <v>1</v>
      </c>
      <c r="BF203">
        <f>TYPE(All_India_Index_Upto_April23__1[[#This Row],[Health]])</f>
        <v>1</v>
      </c>
      <c r="BG203">
        <f>TYPE(All_India_Index_Upto_April23__1[[#This Row],[Transport and communication]])</f>
        <v>1</v>
      </c>
      <c r="BH203">
        <f>TYPE(All_India_Index_Upto_April23__1[[#This Row],[Recreation and amusement]])</f>
        <v>1</v>
      </c>
      <c r="BI203">
        <f>TYPE(All_India_Index_Upto_April23__1[[#This Row],[Education]])</f>
        <v>1</v>
      </c>
      <c r="BJ203">
        <f>TYPE(All_India_Index_Upto_April23__1[[#This Row],[Personal care and effects]])</f>
        <v>1</v>
      </c>
      <c r="BK203">
        <f>TYPE(All_India_Index_Upto_April23__1[[#This Row],[Miscellaneous]])</f>
        <v>1</v>
      </c>
      <c r="BL203">
        <f>TYPE(All_India_Index_Upto_April23__1[[#This Row],[General index]])</f>
        <v>1</v>
      </c>
    </row>
    <row r="204" spans="1:64" hidden="1" x14ac:dyDescent="0.3">
      <c r="A204" t="s">
        <v>30</v>
      </c>
      <c r="B204">
        <v>2018</v>
      </c>
      <c r="C204" t="s">
        <v>40</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U204" t="s">
        <v>89</v>
      </c>
      <c r="V204">
        <v>147.69999999999999</v>
      </c>
      <c r="W204">
        <v>143.80000000000001</v>
      </c>
      <c r="X204">
        <v>139.4</v>
      </c>
      <c r="Y204">
        <v>128.30000000000001</v>
      </c>
      <c r="Z204">
        <v>138.6</v>
      </c>
      <c r="AA204">
        <v>146.9</v>
      </c>
      <c r="AB204">
        <v>131.30000000000001</v>
      </c>
      <c r="AC204">
        <v>136.6</v>
      </c>
      <c r="AD204">
        <v>142.5</v>
      </c>
      <c r="AE204">
        <f>SUM(All_India_Index_Upto_April23__1[[#This Row],[Cereals and products]:[Food and beverages]])</f>
        <v>1818.8</v>
      </c>
      <c r="AF204">
        <f>SUM(All_India_Index_Upto_April23__1[[#This Row],[Clothing]:[Clothing and footwear]])</f>
        <v>449.2</v>
      </c>
      <c r="AG204">
        <f t="shared" si="3"/>
        <v>419.8</v>
      </c>
      <c r="AI204">
        <f>TYPE(All_India_Index_Upto_April23__1[[#This Row],[Sector]])</f>
        <v>2</v>
      </c>
      <c r="AJ204">
        <f>TYPE(All_India_Index_Upto_April23__1[[#This Row],[Year]])</f>
        <v>1</v>
      </c>
      <c r="AK204">
        <f>TYPE(All_India_Index_Upto_April23__1[[#This Row],[Month]])</f>
        <v>2</v>
      </c>
      <c r="AL204">
        <f>TYPE(All_India_Index_Upto_April23__1[[#This Row],[Cereals and products]])</f>
        <v>1</v>
      </c>
      <c r="AM204">
        <f>TYPE(All_India_Index_Upto_April23__1[[#This Row],[Meat and fish]])</f>
        <v>1</v>
      </c>
      <c r="AN204">
        <f>TYPE(All_India_Index_Upto_April23__1[[#This Row],[Egg]])</f>
        <v>1</v>
      </c>
      <c r="AO204">
        <f>TYPE(All_India_Index_Upto_April23__1[[#This Row],[Milk and products]])</f>
        <v>1</v>
      </c>
      <c r="AP204">
        <f>TYPE(All_India_Index_Upto_April23__1[[#This Row],[Oils and fats]])</f>
        <v>1</v>
      </c>
      <c r="AQ204">
        <f>TYPE(All_India_Index_Upto_April23__1[[#This Row],[Fruits]])</f>
        <v>1</v>
      </c>
      <c r="AR204">
        <f>TYPE(All_India_Index_Upto_April23__1[[#This Row],[Vegetables]])</f>
        <v>1</v>
      </c>
      <c r="AS204">
        <f>TYPE(All_India_Index_Upto_April23__1[[#This Row],[Pulses and products]])</f>
        <v>1</v>
      </c>
      <c r="AT204">
        <f>TYPE(All_India_Index_Upto_April23__1[[#This Row],[Sugar and Confectionery]])</f>
        <v>1</v>
      </c>
      <c r="AU204">
        <f>TYPE(All_India_Index_Upto_April23__1[[#This Row],[Spices]])</f>
        <v>1</v>
      </c>
      <c r="AV204">
        <f>TYPE(All_India_Index_Upto_April23__1[[#This Row],[Non-alcoholic beverages]])</f>
        <v>1</v>
      </c>
      <c r="AW204">
        <f>TYPE(All_India_Index_Upto_April23__1[[#This Row],[Prepared meals, snacks, sweets etc.]])</f>
        <v>1</v>
      </c>
      <c r="AX204">
        <f>TYPE(All_India_Index_Upto_April23__1[[#This Row],[Food and beverages]])</f>
        <v>1</v>
      </c>
      <c r="AY204">
        <f>TYPE(All_India_Index_Upto_April23__1[[#This Row],[Pan, tobacco and intoxicants]])</f>
        <v>1</v>
      </c>
      <c r="AZ204">
        <f>TYPE(All_India_Index_Upto_April23__1[[#This Row],[Clothing]])</f>
        <v>1</v>
      </c>
      <c r="BA204">
        <f>TYPE(All_India_Index_Upto_April23__1[[#This Row],[Footwear]])</f>
        <v>1</v>
      </c>
      <c r="BB204">
        <f>TYPE(All_India_Index_Upto_April23__1[[#This Row],[Clothing and footwear]])</f>
        <v>1</v>
      </c>
      <c r="BC204">
        <f>TYPE(All_India_Index_Upto_April23__1[[#This Row],[Housing]])</f>
        <v>2</v>
      </c>
      <c r="BD204">
        <f>TYPE(All_India_Index_Upto_April23__1[[#This Row],[Fuel and light]])</f>
        <v>1</v>
      </c>
      <c r="BE204">
        <f>TYPE(All_India_Index_Upto_April23__1[[#This Row],[Household goods and services]])</f>
        <v>1</v>
      </c>
      <c r="BF204">
        <f>TYPE(All_India_Index_Upto_April23__1[[#This Row],[Health]])</f>
        <v>1</v>
      </c>
      <c r="BG204">
        <f>TYPE(All_India_Index_Upto_April23__1[[#This Row],[Transport and communication]])</f>
        <v>1</v>
      </c>
      <c r="BH204">
        <f>TYPE(All_India_Index_Upto_April23__1[[#This Row],[Recreation and amusement]])</f>
        <v>1</v>
      </c>
      <c r="BI204">
        <f>TYPE(All_India_Index_Upto_April23__1[[#This Row],[Education]])</f>
        <v>1</v>
      </c>
      <c r="BJ204">
        <f>TYPE(All_India_Index_Upto_April23__1[[#This Row],[Personal care and effects]])</f>
        <v>1</v>
      </c>
      <c r="BK204">
        <f>TYPE(All_India_Index_Upto_April23__1[[#This Row],[Miscellaneous]])</f>
        <v>1</v>
      </c>
      <c r="BL204">
        <f>TYPE(All_India_Index_Upto_April23__1[[#This Row],[General index]])</f>
        <v>1</v>
      </c>
    </row>
    <row r="205" spans="1:64" hidden="1" x14ac:dyDescent="0.3">
      <c r="A205" t="s">
        <v>32</v>
      </c>
      <c r="B205">
        <v>2018</v>
      </c>
      <c r="C205" t="s">
        <v>40</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t="s">
        <v>155</v>
      </c>
      <c r="V205">
        <v>129.80000000000001</v>
      </c>
      <c r="W205">
        <v>134.4</v>
      </c>
      <c r="X205">
        <v>134.9</v>
      </c>
      <c r="Y205">
        <v>120.7</v>
      </c>
      <c r="Z205">
        <v>129.80000000000001</v>
      </c>
      <c r="AA205">
        <v>145.30000000000001</v>
      </c>
      <c r="AB205">
        <v>128.30000000000001</v>
      </c>
      <c r="AC205">
        <v>131</v>
      </c>
      <c r="AD205">
        <v>138</v>
      </c>
      <c r="AE205">
        <f>SUM(All_India_Index_Upto_April23__1[[#This Row],[Cereals and products]:[Food and beverages]])</f>
        <v>1767.6</v>
      </c>
      <c r="AF205">
        <f>SUM(All_India_Index_Upto_April23__1[[#This Row],[Clothing]:[Clothing and footwear]])</f>
        <v>407.3</v>
      </c>
      <c r="AG205">
        <f t="shared" si="3"/>
        <v>384.90000000000003</v>
      </c>
      <c r="AI205">
        <f>TYPE(All_India_Index_Upto_April23__1[[#This Row],[Sector]])</f>
        <v>2</v>
      </c>
      <c r="AJ205">
        <f>TYPE(All_India_Index_Upto_April23__1[[#This Row],[Year]])</f>
        <v>1</v>
      </c>
      <c r="AK205">
        <f>TYPE(All_India_Index_Upto_April23__1[[#This Row],[Month]])</f>
        <v>2</v>
      </c>
      <c r="AL205">
        <f>TYPE(All_India_Index_Upto_April23__1[[#This Row],[Cereals and products]])</f>
        <v>1</v>
      </c>
      <c r="AM205">
        <f>TYPE(All_India_Index_Upto_April23__1[[#This Row],[Meat and fish]])</f>
        <v>1</v>
      </c>
      <c r="AN205">
        <f>TYPE(All_India_Index_Upto_April23__1[[#This Row],[Egg]])</f>
        <v>1</v>
      </c>
      <c r="AO205">
        <f>TYPE(All_India_Index_Upto_April23__1[[#This Row],[Milk and products]])</f>
        <v>1</v>
      </c>
      <c r="AP205">
        <f>TYPE(All_India_Index_Upto_April23__1[[#This Row],[Oils and fats]])</f>
        <v>1</v>
      </c>
      <c r="AQ205">
        <f>TYPE(All_India_Index_Upto_April23__1[[#This Row],[Fruits]])</f>
        <v>1</v>
      </c>
      <c r="AR205">
        <f>TYPE(All_India_Index_Upto_April23__1[[#This Row],[Vegetables]])</f>
        <v>1</v>
      </c>
      <c r="AS205">
        <f>TYPE(All_India_Index_Upto_April23__1[[#This Row],[Pulses and products]])</f>
        <v>1</v>
      </c>
      <c r="AT205">
        <f>TYPE(All_India_Index_Upto_April23__1[[#This Row],[Sugar and Confectionery]])</f>
        <v>1</v>
      </c>
      <c r="AU205">
        <f>TYPE(All_India_Index_Upto_April23__1[[#This Row],[Spices]])</f>
        <v>1</v>
      </c>
      <c r="AV205">
        <f>TYPE(All_India_Index_Upto_April23__1[[#This Row],[Non-alcoholic beverages]])</f>
        <v>1</v>
      </c>
      <c r="AW205">
        <f>TYPE(All_India_Index_Upto_April23__1[[#This Row],[Prepared meals, snacks, sweets etc.]])</f>
        <v>1</v>
      </c>
      <c r="AX205">
        <f>TYPE(All_India_Index_Upto_April23__1[[#This Row],[Food and beverages]])</f>
        <v>1</v>
      </c>
      <c r="AY205">
        <f>TYPE(All_India_Index_Upto_April23__1[[#This Row],[Pan, tobacco and intoxicants]])</f>
        <v>1</v>
      </c>
      <c r="AZ205">
        <f>TYPE(All_India_Index_Upto_April23__1[[#This Row],[Clothing]])</f>
        <v>1</v>
      </c>
      <c r="BA205">
        <f>TYPE(All_India_Index_Upto_April23__1[[#This Row],[Footwear]])</f>
        <v>1</v>
      </c>
      <c r="BB205">
        <f>TYPE(All_India_Index_Upto_April23__1[[#This Row],[Clothing and footwear]])</f>
        <v>1</v>
      </c>
      <c r="BC205">
        <f>TYPE(All_India_Index_Upto_April23__1[[#This Row],[Housing]])</f>
        <v>2</v>
      </c>
      <c r="BD205">
        <f>TYPE(All_India_Index_Upto_April23__1[[#This Row],[Fuel and light]])</f>
        <v>1</v>
      </c>
      <c r="BE205">
        <f>TYPE(All_India_Index_Upto_April23__1[[#This Row],[Household goods and services]])</f>
        <v>1</v>
      </c>
      <c r="BF205">
        <f>TYPE(All_India_Index_Upto_April23__1[[#This Row],[Health]])</f>
        <v>1</v>
      </c>
      <c r="BG205">
        <f>TYPE(All_India_Index_Upto_April23__1[[#This Row],[Transport and communication]])</f>
        <v>1</v>
      </c>
      <c r="BH205">
        <f>TYPE(All_India_Index_Upto_April23__1[[#This Row],[Recreation and amusement]])</f>
        <v>1</v>
      </c>
      <c r="BI205">
        <f>TYPE(All_India_Index_Upto_April23__1[[#This Row],[Education]])</f>
        <v>1</v>
      </c>
      <c r="BJ205">
        <f>TYPE(All_India_Index_Upto_April23__1[[#This Row],[Personal care and effects]])</f>
        <v>1</v>
      </c>
      <c r="BK205">
        <f>TYPE(All_India_Index_Upto_April23__1[[#This Row],[Miscellaneous]])</f>
        <v>1</v>
      </c>
      <c r="BL205">
        <f>TYPE(All_India_Index_Upto_April23__1[[#This Row],[General index]])</f>
        <v>1</v>
      </c>
    </row>
    <row r="206" spans="1:64" x14ac:dyDescent="0.3">
      <c r="A206" t="s">
        <v>33</v>
      </c>
      <c r="B206">
        <v>2018</v>
      </c>
      <c r="C206" t="s">
        <v>40</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t="s">
        <v>155</v>
      </c>
      <c r="V206">
        <v>140.9</v>
      </c>
      <c r="W206">
        <v>139.4</v>
      </c>
      <c r="X206">
        <v>137.69999999999999</v>
      </c>
      <c r="Y206">
        <v>124.3</v>
      </c>
      <c r="Z206">
        <v>133.6</v>
      </c>
      <c r="AA206">
        <v>146</v>
      </c>
      <c r="AB206">
        <v>130.1</v>
      </c>
      <c r="AC206">
        <v>133.9</v>
      </c>
      <c r="AD206">
        <v>140.4</v>
      </c>
      <c r="AE206">
        <f>SUM(All_India_Index_Upto_April23__1[[#This Row],[Cereals and products]:[Food and beverages]])</f>
        <v>1798.7000000000003</v>
      </c>
      <c r="AF206">
        <f>SUM(All_India_Index_Upto_April23__1[[#This Row],[Clothing]:[Clothing and footwear]])</f>
        <v>432.20000000000005</v>
      </c>
      <c r="AG206">
        <f t="shared" si="3"/>
        <v>404.6</v>
      </c>
      <c r="AI206">
        <f>TYPE(All_India_Index_Upto_April23__1[[#This Row],[Sector]])</f>
        <v>2</v>
      </c>
      <c r="AJ206">
        <f>TYPE(All_India_Index_Upto_April23__1[[#This Row],[Year]])</f>
        <v>1</v>
      </c>
      <c r="AK206">
        <f>TYPE(All_India_Index_Upto_April23__1[[#This Row],[Month]])</f>
        <v>2</v>
      </c>
      <c r="AL206">
        <f>TYPE(All_India_Index_Upto_April23__1[[#This Row],[Cereals and products]])</f>
        <v>1</v>
      </c>
      <c r="AM206">
        <f>TYPE(All_India_Index_Upto_April23__1[[#This Row],[Meat and fish]])</f>
        <v>1</v>
      </c>
      <c r="AN206">
        <f>TYPE(All_India_Index_Upto_April23__1[[#This Row],[Egg]])</f>
        <v>1</v>
      </c>
      <c r="AO206">
        <f>TYPE(All_India_Index_Upto_April23__1[[#This Row],[Milk and products]])</f>
        <v>1</v>
      </c>
      <c r="AP206">
        <f>TYPE(All_India_Index_Upto_April23__1[[#This Row],[Oils and fats]])</f>
        <v>1</v>
      </c>
      <c r="AQ206">
        <f>TYPE(All_India_Index_Upto_April23__1[[#This Row],[Fruits]])</f>
        <v>1</v>
      </c>
      <c r="AR206">
        <f>TYPE(All_India_Index_Upto_April23__1[[#This Row],[Vegetables]])</f>
        <v>1</v>
      </c>
      <c r="AS206">
        <f>TYPE(All_India_Index_Upto_April23__1[[#This Row],[Pulses and products]])</f>
        <v>1</v>
      </c>
      <c r="AT206">
        <f>TYPE(All_India_Index_Upto_April23__1[[#This Row],[Sugar and Confectionery]])</f>
        <v>1</v>
      </c>
      <c r="AU206">
        <f>TYPE(All_India_Index_Upto_April23__1[[#This Row],[Spices]])</f>
        <v>1</v>
      </c>
      <c r="AV206">
        <f>TYPE(All_India_Index_Upto_April23__1[[#This Row],[Non-alcoholic beverages]])</f>
        <v>1</v>
      </c>
      <c r="AW206">
        <f>TYPE(All_India_Index_Upto_April23__1[[#This Row],[Prepared meals, snacks, sweets etc.]])</f>
        <v>1</v>
      </c>
      <c r="AX206">
        <f>TYPE(All_India_Index_Upto_April23__1[[#This Row],[Food and beverages]])</f>
        <v>1</v>
      </c>
      <c r="AY206">
        <f>TYPE(All_India_Index_Upto_April23__1[[#This Row],[Pan, tobacco and intoxicants]])</f>
        <v>1</v>
      </c>
      <c r="AZ206">
        <f>TYPE(All_India_Index_Upto_April23__1[[#This Row],[Clothing]])</f>
        <v>1</v>
      </c>
      <c r="BA206">
        <f>TYPE(All_India_Index_Upto_April23__1[[#This Row],[Footwear]])</f>
        <v>1</v>
      </c>
      <c r="BB206">
        <f>TYPE(All_India_Index_Upto_April23__1[[#This Row],[Clothing and footwear]])</f>
        <v>1</v>
      </c>
      <c r="BC206">
        <f>TYPE(All_India_Index_Upto_April23__1[[#This Row],[Housing]])</f>
        <v>2</v>
      </c>
      <c r="BD206">
        <f>TYPE(All_India_Index_Upto_April23__1[[#This Row],[Fuel and light]])</f>
        <v>1</v>
      </c>
      <c r="BE206">
        <f>TYPE(All_India_Index_Upto_April23__1[[#This Row],[Household goods and services]])</f>
        <v>1</v>
      </c>
      <c r="BF206">
        <f>TYPE(All_India_Index_Upto_April23__1[[#This Row],[Health]])</f>
        <v>1</v>
      </c>
      <c r="BG206">
        <f>TYPE(All_India_Index_Upto_April23__1[[#This Row],[Transport and communication]])</f>
        <v>1</v>
      </c>
      <c r="BH206">
        <f>TYPE(All_India_Index_Upto_April23__1[[#This Row],[Recreation and amusement]])</f>
        <v>1</v>
      </c>
      <c r="BI206">
        <f>TYPE(All_India_Index_Upto_April23__1[[#This Row],[Education]])</f>
        <v>1</v>
      </c>
      <c r="BJ206">
        <f>TYPE(All_India_Index_Upto_April23__1[[#This Row],[Personal care and effects]])</f>
        <v>1</v>
      </c>
      <c r="BK206">
        <f>TYPE(All_India_Index_Upto_April23__1[[#This Row],[Miscellaneous]])</f>
        <v>1</v>
      </c>
      <c r="BL206">
        <f>TYPE(All_India_Index_Upto_April23__1[[#This Row],[General index]])</f>
        <v>1</v>
      </c>
    </row>
    <row r="207" spans="1:64" hidden="1" x14ac:dyDescent="0.3">
      <c r="A207" t="s">
        <v>30</v>
      </c>
      <c r="B207">
        <v>2018</v>
      </c>
      <c r="C207" t="s">
        <v>41</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U207" t="s">
        <v>89</v>
      </c>
      <c r="V207">
        <v>149</v>
      </c>
      <c r="W207">
        <v>144</v>
      </c>
      <c r="X207">
        <v>140</v>
      </c>
      <c r="Y207">
        <v>129.9</v>
      </c>
      <c r="Z207">
        <v>140</v>
      </c>
      <c r="AA207">
        <v>147.6</v>
      </c>
      <c r="AB207">
        <v>132</v>
      </c>
      <c r="AC207">
        <v>137.4</v>
      </c>
      <c r="AD207">
        <v>142.1</v>
      </c>
      <c r="AE207">
        <f>SUM(All_India_Index_Upto_April23__1[[#This Row],[Cereals and products]:[Food and beverages]])</f>
        <v>1799.8000000000002</v>
      </c>
      <c r="AF207">
        <f>SUM(All_India_Index_Upto_April23__1[[#This Row],[Clothing]:[Clothing and footwear]])</f>
        <v>449.5</v>
      </c>
      <c r="AG207">
        <f t="shared" si="3"/>
        <v>422.9</v>
      </c>
      <c r="AI207">
        <f>TYPE(All_India_Index_Upto_April23__1[[#This Row],[Sector]])</f>
        <v>2</v>
      </c>
      <c r="AJ207">
        <f>TYPE(All_India_Index_Upto_April23__1[[#This Row],[Year]])</f>
        <v>1</v>
      </c>
      <c r="AK207">
        <f>TYPE(All_India_Index_Upto_April23__1[[#This Row],[Month]])</f>
        <v>2</v>
      </c>
      <c r="AL207">
        <f>TYPE(All_India_Index_Upto_April23__1[[#This Row],[Cereals and products]])</f>
        <v>1</v>
      </c>
      <c r="AM207">
        <f>TYPE(All_India_Index_Upto_April23__1[[#This Row],[Meat and fish]])</f>
        <v>1</v>
      </c>
      <c r="AN207">
        <f>TYPE(All_India_Index_Upto_April23__1[[#This Row],[Egg]])</f>
        <v>1</v>
      </c>
      <c r="AO207">
        <f>TYPE(All_India_Index_Upto_April23__1[[#This Row],[Milk and products]])</f>
        <v>1</v>
      </c>
      <c r="AP207">
        <f>TYPE(All_India_Index_Upto_April23__1[[#This Row],[Oils and fats]])</f>
        <v>1</v>
      </c>
      <c r="AQ207">
        <f>TYPE(All_India_Index_Upto_April23__1[[#This Row],[Fruits]])</f>
        <v>1</v>
      </c>
      <c r="AR207">
        <f>TYPE(All_India_Index_Upto_April23__1[[#This Row],[Vegetables]])</f>
        <v>1</v>
      </c>
      <c r="AS207">
        <f>TYPE(All_India_Index_Upto_April23__1[[#This Row],[Pulses and products]])</f>
        <v>1</v>
      </c>
      <c r="AT207">
        <f>TYPE(All_India_Index_Upto_April23__1[[#This Row],[Sugar and Confectionery]])</f>
        <v>1</v>
      </c>
      <c r="AU207">
        <f>TYPE(All_India_Index_Upto_April23__1[[#This Row],[Spices]])</f>
        <v>1</v>
      </c>
      <c r="AV207">
        <f>TYPE(All_India_Index_Upto_April23__1[[#This Row],[Non-alcoholic beverages]])</f>
        <v>1</v>
      </c>
      <c r="AW207">
        <f>TYPE(All_India_Index_Upto_April23__1[[#This Row],[Prepared meals, snacks, sweets etc.]])</f>
        <v>1</v>
      </c>
      <c r="AX207">
        <f>TYPE(All_India_Index_Upto_April23__1[[#This Row],[Food and beverages]])</f>
        <v>1</v>
      </c>
      <c r="AY207">
        <f>TYPE(All_India_Index_Upto_April23__1[[#This Row],[Pan, tobacco and intoxicants]])</f>
        <v>1</v>
      </c>
      <c r="AZ207">
        <f>TYPE(All_India_Index_Upto_April23__1[[#This Row],[Clothing]])</f>
        <v>1</v>
      </c>
      <c r="BA207">
        <f>TYPE(All_India_Index_Upto_April23__1[[#This Row],[Footwear]])</f>
        <v>1</v>
      </c>
      <c r="BB207">
        <f>TYPE(All_India_Index_Upto_April23__1[[#This Row],[Clothing and footwear]])</f>
        <v>1</v>
      </c>
      <c r="BC207">
        <f>TYPE(All_India_Index_Upto_April23__1[[#This Row],[Housing]])</f>
        <v>2</v>
      </c>
      <c r="BD207">
        <f>TYPE(All_India_Index_Upto_April23__1[[#This Row],[Fuel and light]])</f>
        <v>1</v>
      </c>
      <c r="BE207">
        <f>TYPE(All_India_Index_Upto_April23__1[[#This Row],[Household goods and services]])</f>
        <v>1</v>
      </c>
      <c r="BF207">
        <f>TYPE(All_India_Index_Upto_April23__1[[#This Row],[Health]])</f>
        <v>1</v>
      </c>
      <c r="BG207">
        <f>TYPE(All_India_Index_Upto_April23__1[[#This Row],[Transport and communication]])</f>
        <v>1</v>
      </c>
      <c r="BH207">
        <f>TYPE(All_India_Index_Upto_April23__1[[#This Row],[Recreation and amusement]])</f>
        <v>1</v>
      </c>
      <c r="BI207">
        <f>TYPE(All_India_Index_Upto_April23__1[[#This Row],[Education]])</f>
        <v>1</v>
      </c>
      <c r="BJ207">
        <f>TYPE(All_India_Index_Upto_April23__1[[#This Row],[Personal care and effects]])</f>
        <v>1</v>
      </c>
      <c r="BK207">
        <f>TYPE(All_India_Index_Upto_April23__1[[#This Row],[Miscellaneous]])</f>
        <v>1</v>
      </c>
      <c r="BL207">
        <f>TYPE(All_India_Index_Upto_April23__1[[#This Row],[General index]])</f>
        <v>1</v>
      </c>
    </row>
    <row r="208" spans="1:64" hidden="1" x14ac:dyDescent="0.3">
      <c r="A208" t="s">
        <v>32</v>
      </c>
      <c r="B208">
        <v>2018</v>
      </c>
      <c r="C208" t="s">
        <v>41</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t="s">
        <v>156</v>
      </c>
      <c r="V208">
        <v>131.19999999999999</v>
      </c>
      <c r="W208">
        <v>134.9</v>
      </c>
      <c r="X208">
        <v>135.69999999999999</v>
      </c>
      <c r="Y208">
        <v>122.5</v>
      </c>
      <c r="Z208">
        <v>130.19999999999999</v>
      </c>
      <c r="AA208">
        <v>145.19999999999999</v>
      </c>
      <c r="AB208">
        <v>129.30000000000001</v>
      </c>
      <c r="AC208">
        <v>131.9</v>
      </c>
      <c r="AD208">
        <v>138.1</v>
      </c>
      <c r="AE208">
        <f>SUM(All_India_Index_Upto_April23__1[[#This Row],[Cereals and products]:[Food and beverages]])</f>
        <v>1748.4</v>
      </c>
      <c r="AF208">
        <f>SUM(All_India_Index_Upto_April23__1[[#This Row],[Clothing]:[Clothing and footwear]])</f>
        <v>409.20000000000005</v>
      </c>
      <c r="AG208">
        <f t="shared" si="3"/>
        <v>388.6</v>
      </c>
      <c r="AI208">
        <f>TYPE(All_India_Index_Upto_April23__1[[#This Row],[Sector]])</f>
        <v>2</v>
      </c>
      <c r="AJ208">
        <f>TYPE(All_India_Index_Upto_April23__1[[#This Row],[Year]])</f>
        <v>1</v>
      </c>
      <c r="AK208">
        <f>TYPE(All_India_Index_Upto_April23__1[[#This Row],[Month]])</f>
        <v>2</v>
      </c>
      <c r="AL208">
        <f>TYPE(All_India_Index_Upto_April23__1[[#This Row],[Cereals and products]])</f>
        <v>1</v>
      </c>
      <c r="AM208">
        <f>TYPE(All_India_Index_Upto_April23__1[[#This Row],[Meat and fish]])</f>
        <v>1</v>
      </c>
      <c r="AN208">
        <f>TYPE(All_India_Index_Upto_April23__1[[#This Row],[Egg]])</f>
        <v>1</v>
      </c>
      <c r="AO208">
        <f>TYPE(All_India_Index_Upto_April23__1[[#This Row],[Milk and products]])</f>
        <v>1</v>
      </c>
      <c r="AP208">
        <f>TYPE(All_India_Index_Upto_April23__1[[#This Row],[Oils and fats]])</f>
        <v>1</v>
      </c>
      <c r="AQ208">
        <f>TYPE(All_India_Index_Upto_April23__1[[#This Row],[Fruits]])</f>
        <v>1</v>
      </c>
      <c r="AR208">
        <f>TYPE(All_India_Index_Upto_April23__1[[#This Row],[Vegetables]])</f>
        <v>1</v>
      </c>
      <c r="AS208">
        <f>TYPE(All_India_Index_Upto_April23__1[[#This Row],[Pulses and products]])</f>
        <v>1</v>
      </c>
      <c r="AT208">
        <f>TYPE(All_India_Index_Upto_April23__1[[#This Row],[Sugar and Confectionery]])</f>
        <v>1</v>
      </c>
      <c r="AU208">
        <f>TYPE(All_India_Index_Upto_April23__1[[#This Row],[Spices]])</f>
        <v>1</v>
      </c>
      <c r="AV208">
        <f>TYPE(All_India_Index_Upto_April23__1[[#This Row],[Non-alcoholic beverages]])</f>
        <v>1</v>
      </c>
      <c r="AW208">
        <f>TYPE(All_India_Index_Upto_April23__1[[#This Row],[Prepared meals, snacks, sweets etc.]])</f>
        <v>1</v>
      </c>
      <c r="AX208">
        <f>TYPE(All_India_Index_Upto_April23__1[[#This Row],[Food and beverages]])</f>
        <v>1</v>
      </c>
      <c r="AY208">
        <f>TYPE(All_India_Index_Upto_April23__1[[#This Row],[Pan, tobacco and intoxicants]])</f>
        <v>1</v>
      </c>
      <c r="AZ208">
        <f>TYPE(All_India_Index_Upto_April23__1[[#This Row],[Clothing]])</f>
        <v>1</v>
      </c>
      <c r="BA208">
        <f>TYPE(All_India_Index_Upto_April23__1[[#This Row],[Footwear]])</f>
        <v>1</v>
      </c>
      <c r="BB208">
        <f>TYPE(All_India_Index_Upto_April23__1[[#This Row],[Clothing and footwear]])</f>
        <v>1</v>
      </c>
      <c r="BC208">
        <f>TYPE(All_India_Index_Upto_April23__1[[#This Row],[Housing]])</f>
        <v>2</v>
      </c>
      <c r="BD208">
        <f>TYPE(All_India_Index_Upto_April23__1[[#This Row],[Fuel and light]])</f>
        <v>1</v>
      </c>
      <c r="BE208">
        <f>TYPE(All_India_Index_Upto_April23__1[[#This Row],[Household goods and services]])</f>
        <v>1</v>
      </c>
      <c r="BF208">
        <f>TYPE(All_India_Index_Upto_April23__1[[#This Row],[Health]])</f>
        <v>1</v>
      </c>
      <c r="BG208">
        <f>TYPE(All_India_Index_Upto_April23__1[[#This Row],[Transport and communication]])</f>
        <v>1</v>
      </c>
      <c r="BH208">
        <f>TYPE(All_India_Index_Upto_April23__1[[#This Row],[Recreation and amusement]])</f>
        <v>1</v>
      </c>
      <c r="BI208">
        <f>TYPE(All_India_Index_Upto_April23__1[[#This Row],[Education]])</f>
        <v>1</v>
      </c>
      <c r="BJ208">
        <f>TYPE(All_India_Index_Upto_April23__1[[#This Row],[Personal care and effects]])</f>
        <v>1</v>
      </c>
      <c r="BK208">
        <f>TYPE(All_India_Index_Upto_April23__1[[#This Row],[Miscellaneous]])</f>
        <v>1</v>
      </c>
      <c r="BL208">
        <f>TYPE(All_India_Index_Upto_April23__1[[#This Row],[General index]])</f>
        <v>1</v>
      </c>
    </row>
    <row r="209" spans="1:64" x14ac:dyDescent="0.3">
      <c r="A209" t="s">
        <v>33</v>
      </c>
      <c r="B209">
        <v>2018</v>
      </c>
      <c r="C209" t="s">
        <v>41</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t="s">
        <v>156</v>
      </c>
      <c r="V209">
        <v>142.30000000000001</v>
      </c>
      <c r="W209">
        <v>139.69999999999999</v>
      </c>
      <c r="X209">
        <v>138.4</v>
      </c>
      <c r="Y209">
        <v>126</v>
      </c>
      <c r="Z209">
        <v>134.5</v>
      </c>
      <c r="AA209">
        <v>146.19999999999999</v>
      </c>
      <c r="AB209">
        <v>130.9</v>
      </c>
      <c r="AC209">
        <v>134.69999999999999</v>
      </c>
      <c r="AD209">
        <v>140.19999999999999</v>
      </c>
      <c r="AE209">
        <f>SUM(All_India_Index_Upto_April23__1[[#This Row],[Cereals and products]:[Food and beverages]])</f>
        <v>1779.5</v>
      </c>
      <c r="AF209">
        <f>SUM(All_India_Index_Upto_April23__1[[#This Row],[Clothing]:[Clothing and footwear]])</f>
        <v>433.29999999999995</v>
      </c>
      <c r="AG209">
        <f t="shared" si="3"/>
        <v>408</v>
      </c>
      <c r="AI209">
        <f>TYPE(All_India_Index_Upto_April23__1[[#This Row],[Sector]])</f>
        <v>2</v>
      </c>
      <c r="AJ209">
        <f>TYPE(All_India_Index_Upto_April23__1[[#This Row],[Year]])</f>
        <v>1</v>
      </c>
      <c r="AK209">
        <f>TYPE(All_India_Index_Upto_April23__1[[#This Row],[Month]])</f>
        <v>2</v>
      </c>
      <c r="AL209">
        <f>TYPE(All_India_Index_Upto_April23__1[[#This Row],[Cereals and products]])</f>
        <v>1</v>
      </c>
      <c r="AM209">
        <f>TYPE(All_India_Index_Upto_April23__1[[#This Row],[Meat and fish]])</f>
        <v>1</v>
      </c>
      <c r="AN209">
        <f>TYPE(All_India_Index_Upto_April23__1[[#This Row],[Egg]])</f>
        <v>1</v>
      </c>
      <c r="AO209">
        <f>TYPE(All_India_Index_Upto_April23__1[[#This Row],[Milk and products]])</f>
        <v>1</v>
      </c>
      <c r="AP209">
        <f>TYPE(All_India_Index_Upto_April23__1[[#This Row],[Oils and fats]])</f>
        <v>1</v>
      </c>
      <c r="AQ209">
        <f>TYPE(All_India_Index_Upto_April23__1[[#This Row],[Fruits]])</f>
        <v>1</v>
      </c>
      <c r="AR209">
        <f>TYPE(All_India_Index_Upto_April23__1[[#This Row],[Vegetables]])</f>
        <v>1</v>
      </c>
      <c r="AS209">
        <f>TYPE(All_India_Index_Upto_April23__1[[#This Row],[Pulses and products]])</f>
        <v>1</v>
      </c>
      <c r="AT209">
        <f>TYPE(All_India_Index_Upto_April23__1[[#This Row],[Sugar and Confectionery]])</f>
        <v>1</v>
      </c>
      <c r="AU209">
        <f>TYPE(All_India_Index_Upto_April23__1[[#This Row],[Spices]])</f>
        <v>1</v>
      </c>
      <c r="AV209">
        <f>TYPE(All_India_Index_Upto_April23__1[[#This Row],[Non-alcoholic beverages]])</f>
        <v>1</v>
      </c>
      <c r="AW209">
        <f>TYPE(All_India_Index_Upto_April23__1[[#This Row],[Prepared meals, snacks, sweets etc.]])</f>
        <v>1</v>
      </c>
      <c r="AX209">
        <f>TYPE(All_India_Index_Upto_April23__1[[#This Row],[Food and beverages]])</f>
        <v>1</v>
      </c>
      <c r="AY209">
        <f>TYPE(All_India_Index_Upto_April23__1[[#This Row],[Pan, tobacco and intoxicants]])</f>
        <v>1</v>
      </c>
      <c r="AZ209">
        <f>TYPE(All_India_Index_Upto_April23__1[[#This Row],[Clothing]])</f>
        <v>1</v>
      </c>
      <c r="BA209">
        <f>TYPE(All_India_Index_Upto_April23__1[[#This Row],[Footwear]])</f>
        <v>1</v>
      </c>
      <c r="BB209">
        <f>TYPE(All_India_Index_Upto_April23__1[[#This Row],[Clothing and footwear]])</f>
        <v>1</v>
      </c>
      <c r="BC209">
        <f>TYPE(All_India_Index_Upto_April23__1[[#This Row],[Housing]])</f>
        <v>2</v>
      </c>
      <c r="BD209">
        <f>TYPE(All_India_Index_Upto_April23__1[[#This Row],[Fuel and light]])</f>
        <v>1</v>
      </c>
      <c r="BE209">
        <f>TYPE(All_India_Index_Upto_April23__1[[#This Row],[Household goods and services]])</f>
        <v>1</v>
      </c>
      <c r="BF209">
        <f>TYPE(All_India_Index_Upto_April23__1[[#This Row],[Health]])</f>
        <v>1</v>
      </c>
      <c r="BG209">
        <f>TYPE(All_India_Index_Upto_April23__1[[#This Row],[Transport and communication]])</f>
        <v>1</v>
      </c>
      <c r="BH209">
        <f>TYPE(All_India_Index_Upto_April23__1[[#This Row],[Recreation and amusement]])</f>
        <v>1</v>
      </c>
      <c r="BI209">
        <f>TYPE(All_India_Index_Upto_April23__1[[#This Row],[Education]])</f>
        <v>1</v>
      </c>
      <c r="BJ209">
        <f>TYPE(All_India_Index_Upto_April23__1[[#This Row],[Personal care and effects]])</f>
        <v>1</v>
      </c>
      <c r="BK209">
        <f>TYPE(All_India_Index_Upto_April23__1[[#This Row],[Miscellaneous]])</f>
        <v>1</v>
      </c>
      <c r="BL209">
        <f>TYPE(All_India_Index_Upto_April23__1[[#This Row],[General index]])</f>
        <v>1</v>
      </c>
    </row>
    <row r="210" spans="1:64" hidden="1" x14ac:dyDescent="0.3">
      <c r="A210" t="s">
        <v>30</v>
      </c>
      <c r="B210">
        <v>2018</v>
      </c>
      <c r="C210" t="s">
        <v>42</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U210" t="s">
        <v>89</v>
      </c>
      <c r="V210">
        <v>149.69999999999999</v>
      </c>
      <c r="W210">
        <v>147.5</v>
      </c>
      <c r="X210">
        <v>144.80000000000001</v>
      </c>
      <c r="Y210">
        <v>130.80000000000001</v>
      </c>
      <c r="Z210">
        <v>140.1</v>
      </c>
      <c r="AA210">
        <v>148</v>
      </c>
      <c r="AB210">
        <v>134.4</v>
      </c>
      <c r="AC210">
        <v>139.80000000000001</v>
      </c>
      <c r="AD210">
        <v>142.19999999999999</v>
      </c>
      <c r="AE210">
        <f>SUM(All_India_Index_Upto_April23__1[[#This Row],[Cereals and products]:[Food and beverages]])</f>
        <v>1782.2</v>
      </c>
      <c r="AF210">
        <f>SUM(All_India_Index_Upto_April23__1[[#This Row],[Clothing]:[Clothing and footwear]])</f>
        <v>445</v>
      </c>
      <c r="AG210">
        <f t="shared" si="3"/>
        <v>428</v>
      </c>
      <c r="AI210">
        <f>TYPE(All_India_Index_Upto_April23__1[[#This Row],[Sector]])</f>
        <v>2</v>
      </c>
      <c r="AJ210">
        <f>TYPE(All_India_Index_Upto_April23__1[[#This Row],[Year]])</f>
        <v>1</v>
      </c>
      <c r="AK210">
        <f>TYPE(All_India_Index_Upto_April23__1[[#This Row],[Month]])</f>
        <v>2</v>
      </c>
      <c r="AL210">
        <f>TYPE(All_India_Index_Upto_April23__1[[#This Row],[Cereals and products]])</f>
        <v>1</v>
      </c>
      <c r="AM210">
        <f>TYPE(All_India_Index_Upto_April23__1[[#This Row],[Meat and fish]])</f>
        <v>1</v>
      </c>
      <c r="AN210">
        <f>TYPE(All_India_Index_Upto_April23__1[[#This Row],[Egg]])</f>
        <v>1</v>
      </c>
      <c r="AO210">
        <f>TYPE(All_India_Index_Upto_April23__1[[#This Row],[Milk and products]])</f>
        <v>1</v>
      </c>
      <c r="AP210">
        <f>TYPE(All_India_Index_Upto_April23__1[[#This Row],[Oils and fats]])</f>
        <v>1</v>
      </c>
      <c r="AQ210">
        <f>TYPE(All_India_Index_Upto_April23__1[[#This Row],[Fruits]])</f>
        <v>1</v>
      </c>
      <c r="AR210">
        <f>TYPE(All_India_Index_Upto_April23__1[[#This Row],[Vegetables]])</f>
        <v>1</v>
      </c>
      <c r="AS210">
        <f>TYPE(All_India_Index_Upto_April23__1[[#This Row],[Pulses and products]])</f>
        <v>1</v>
      </c>
      <c r="AT210">
        <f>TYPE(All_India_Index_Upto_April23__1[[#This Row],[Sugar and Confectionery]])</f>
        <v>1</v>
      </c>
      <c r="AU210">
        <f>TYPE(All_India_Index_Upto_April23__1[[#This Row],[Spices]])</f>
        <v>1</v>
      </c>
      <c r="AV210">
        <f>TYPE(All_India_Index_Upto_April23__1[[#This Row],[Non-alcoholic beverages]])</f>
        <v>1</v>
      </c>
      <c r="AW210">
        <f>TYPE(All_India_Index_Upto_April23__1[[#This Row],[Prepared meals, snacks, sweets etc.]])</f>
        <v>1</v>
      </c>
      <c r="AX210">
        <f>TYPE(All_India_Index_Upto_April23__1[[#This Row],[Food and beverages]])</f>
        <v>1</v>
      </c>
      <c r="AY210">
        <f>TYPE(All_India_Index_Upto_April23__1[[#This Row],[Pan, tobacco and intoxicants]])</f>
        <v>1</v>
      </c>
      <c r="AZ210">
        <f>TYPE(All_India_Index_Upto_April23__1[[#This Row],[Clothing]])</f>
        <v>1</v>
      </c>
      <c r="BA210">
        <f>TYPE(All_India_Index_Upto_April23__1[[#This Row],[Footwear]])</f>
        <v>1</v>
      </c>
      <c r="BB210">
        <f>TYPE(All_India_Index_Upto_April23__1[[#This Row],[Clothing and footwear]])</f>
        <v>1</v>
      </c>
      <c r="BC210">
        <f>TYPE(All_India_Index_Upto_April23__1[[#This Row],[Housing]])</f>
        <v>2</v>
      </c>
      <c r="BD210">
        <f>TYPE(All_India_Index_Upto_April23__1[[#This Row],[Fuel and light]])</f>
        <v>1</v>
      </c>
      <c r="BE210">
        <f>TYPE(All_India_Index_Upto_April23__1[[#This Row],[Household goods and services]])</f>
        <v>1</v>
      </c>
      <c r="BF210">
        <f>TYPE(All_India_Index_Upto_April23__1[[#This Row],[Health]])</f>
        <v>1</v>
      </c>
      <c r="BG210">
        <f>TYPE(All_India_Index_Upto_April23__1[[#This Row],[Transport and communication]])</f>
        <v>1</v>
      </c>
      <c r="BH210">
        <f>TYPE(All_India_Index_Upto_April23__1[[#This Row],[Recreation and amusement]])</f>
        <v>1</v>
      </c>
      <c r="BI210">
        <f>TYPE(All_India_Index_Upto_April23__1[[#This Row],[Education]])</f>
        <v>1</v>
      </c>
      <c r="BJ210">
        <f>TYPE(All_India_Index_Upto_April23__1[[#This Row],[Personal care and effects]])</f>
        <v>1</v>
      </c>
      <c r="BK210">
        <f>TYPE(All_India_Index_Upto_April23__1[[#This Row],[Miscellaneous]])</f>
        <v>1</v>
      </c>
      <c r="BL210">
        <f>TYPE(All_India_Index_Upto_April23__1[[#This Row],[General index]])</f>
        <v>1</v>
      </c>
    </row>
    <row r="211" spans="1:64" hidden="1" x14ac:dyDescent="0.3">
      <c r="A211" t="s">
        <v>32</v>
      </c>
      <c r="B211">
        <v>2018</v>
      </c>
      <c r="C211" t="s">
        <v>42</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t="s">
        <v>157</v>
      </c>
      <c r="V211">
        <v>133.4</v>
      </c>
      <c r="W211">
        <v>135.1</v>
      </c>
      <c r="X211">
        <v>136.19999999999999</v>
      </c>
      <c r="Y211">
        <v>123.3</v>
      </c>
      <c r="Z211">
        <v>130.69999999999999</v>
      </c>
      <c r="AA211">
        <v>145.5</v>
      </c>
      <c r="AB211">
        <v>130.4</v>
      </c>
      <c r="AC211">
        <v>132.5</v>
      </c>
      <c r="AD211">
        <v>138.9</v>
      </c>
      <c r="AE211">
        <f>SUM(All_India_Index_Upto_April23__1[[#This Row],[Cereals and products]:[Food and beverages]])</f>
        <v>1754.1</v>
      </c>
      <c r="AF211">
        <f>SUM(All_India_Index_Upto_April23__1[[#This Row],[Clothing]:[Clothing and footwear]])</f>
        <v>411</v>
      </c>
      <c r="AG211">
        <f t="shared" si="3"/>
        <v>391.8</v>
      </c>
      <c r="AI211">
        <f>TYPE(All_India_Index_Upto_April23__1[[#This Row],[Sector]])</f>
        <v>2</v>
      </c>
      <c r="AJ211">
        <f>TYPE(All_India_Index_Upto_April23__1[[#This Row],[Year]])</f>
        <v>1</v>
      </c>
      <c r="AK211">
        <f>TYPE(All_India_Index_Upto_April23__1[[#This Row],[Month]])</f>
        <v>2</v>
      </c>
      <c r="AL211">
        <f>TYPE(All_India_Index_Upto_April23__1[[#This Row],[Cereals and products]])</f>
        <v>1</v>
      </c>
      <c r="AM211">
        <f>TYPE(All_India_Index_Upto_April23__1[[#This Row],[Meat and fish]])</f>
        <v>1</v>
      </c>
      <c r="AN211">
        <f>TYPE(All_India_Index_Upto_April23__1[[#This Row],[Egg]])</f>
        <v>1</v>
      </c>
      <c r="AO211">
        <f>TYPE(All_India_Index_Upto_April23__1[[#This Row],[Milk and products]])</f>
        <v>1</v>
      </c>
      <c r="AP211">
        <f>TYPE(All_India_Index_Upto_April23__1[[#This Row],[Oils and fats]])</f>
        <v>1</v>
      </c>
      <c r="AQ211">
        <f>TYPE(All_India_Index_Upto_April23__1[[#This Row],[Fruits]])</f>
        <v>1</v>
      </c>
      <c r="AR211">
        <f>TYPE(All_India_Index_Upto_April23__1[[#This Row],[Vegetables]])</f>
        <v>1</v>
      </c>
      <c r="AS211">
        <f>TYPE(All_India_Index_Upto_April23__1[[#This Row],[Pulses and products]])</f>
        <v>1</v>
      </c>
      <c r="AT211">
        <f>TYPE(All_India_Index_Upto_April23__1[[#This Row],[Sugar and Confectionery]])</f>
        <v>1</v>
      </c>
      <c r="AU211">
        <f>TYPE(All_India_Index_Upto_April23__1[[#This Row],[Spices]])</f>
        <v>1</v>
      </c>
      <c r="AV211">
        <f>TYPE(All_India_Index_Upto_April23__1[[#This Row],[Non-alcoholic beverages]])</f>
        <v>1</v>
      </c>
      <c r="AW211">
        <f>TYPE(All_India_Index_Upto_April23__1[[#This Row],[Prepared meals, snacks, sweets etc.]])</f>
        <v>1</v>
      </c>
      <c r="AX211">
        <f>TYPE(All_India_Index_Upto_April23__1[[#This Row],[Food and beverages]])</f>
        <v>1</v>
      </c>
      <c r="AY211">
        <f>TYPE(All_India_Index_Upto_April23__1[[#This Row],[Pan, tobacco and intoxicants]])</f>
        <v>1</v>
      </c>
      <c r="AZ211">
        <f>TYPE(All_India_Index_Upto_April23__1[[#This Row],[Clothing]])</f>
        <v>1</v>
      </c>
      <c r="BA211">
        <f>TYPE(All_India_Index_Upto_April23__1[[#This Row],[Footwear]])</f>
        <v>1</v>
      </c>
      <c r="BB211">
        <f>TYPE(All_India_Index_Upto_April23__1[[#This Row],[Clothing and footwear]])</f>
        <v>1</v>
      </c>
      <c r="BC211">
        <f>TYPE(All_India_Index_Upto_April23__1[[#This Row],[Housing]])</f>
        <v>2</v>
      </c>
      <c r="BD211">
        <f>TYPE(All_India_Index_Upto_April23__1[[#This Row],[Fuel and light]])</f>
        <v>1</v>
      </c>
      <c r="BE211">
        <f>TYPE(All_India_Index_Upto_April23__1[[#This Row],[Household goods and services]])</f>
        <v>1</v>
      </c>
      <c r="BF211">
        <f>TYPE(All_India_Index_Upto_April23__1[[#This Row],[Health]])</f>
        <v>1</v>
      </c>
      <c r="BG211">
        <f>TYPE(All_India_Index_Upto_April23__1[[#This Row],[Transport and communication]])</f>
        <v>1</v>
      </c>
      <c r="BH211">
        <f>TYPE(All_India_Index_Upto_April23__1[[#This Row],[Recreation and amusement]])</f>
        <v>1</v>
      </c>
      <c r="BI211">
        <f>TYPE(All_India_Index_Upto_April23__1[[#This Row],[Education]])</f>
        <v>1</v>
      </c>
      <c r="BJ211">
        <f>TYPE(All_India_Index_Upto_April23__1[[#This Row],[Personal care and effects]])</f>
        <v>1</v>
      </c>
      <c r="BK211">
        <f>TYPE(All_India_Index_Upto_April23__1[[#This Row],[Miscellaneous]])</f>
        <v>1</v>
      </c>
      <c r="BL211">
        <f>TYPE(All_India_Index_Upto_April23__1[[#This Row],[General index]])</f>
        <v>1</v>
      </c>
    </row>
    <row r="212" spans="1:64" x14ac:dyDescent="0.3">
      <c r="A212" t="s">
        <v>33</v>
      </c>
      <c r="B212">
        <v>2018</v>
      </c>
      <c r="C212" t="s">
        <v>42</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t="s">
        <v>158</v>
      </c>
      <c r="V212">
        <v>145.30000000000001</v>
      </c>
      <c r="W212">
        <v>142.19999999999999</v>
      </c>
      <c r="X212">
        <v>142.1</v>
      </c>
      <c r="Y212">
        <v>125.5</v>
      </c>
      <c r="Z212">
        <v>136.5</v>
      </c>
      <c r="AA212">
        <v>147.80000000000001</v>
      </c>
      <c r="AB212">
        <v>132</v>
      </c>
      <c r="AC212">
        <v>136.30000000000001</v>
      </c>
      <c r="AD212">
        <v>140.80000000000001</v>
      </c>
      <c r="AE212">
        <f>SUM(All_India_Index_Upto_April23__1[[#This Row],[Cereals and products]:[Food and beverages]])</f>
        <v>1776.2</v>
      </c>
      <c r="AF212">
        <f>SUM(All_India_Index_Upto_April23__1[[#This Row],[Clothing]:[Clothing and footwear]])</f>
        <v>434</v>
      </c>
      <c r="AG212">
        <f t="shared" si="3"/>
        <v>413</v>
      </c>
      <c r="AI212">
        <f>TYPE(All_India_Index_Upto_April23__1[[#This Row],[Sector]])</f>
        <v>2</v>
      </c>
      <c r="AJ212">
        <f>TYPE(All_India_Index_Upto_April23__1[[#This Row],[Year]])</f>
        <v>1</v>
      </c>
      <c r="AK212">
        <f>TYPE(All_India_Index_Upto_April23__1[[#This Row],[Month]])</f>
        <v>2</v>
      </c>
      <c r="AL212">
        <f>TYPE(All_India_Index_Upto_April23__1[[#This Row],[Cereals and products]])</f>
        <v>1</v>
      </c>
      <c r="AM212">
        <f>TYPE(All_India_Index_Upto_April23__1[[#This Row],[Meat and fish]])</f>
        <v>1</v>
      </c>
      <c r="AN212">
        <f>TYPE(All_India_Index_Upto_April23__1[[#This Row],[Egg]])</f>
        <v>1</v>
      </c>
      <c r="AO212">
        <f>TYPE(All_India_Index_Upto_April23__1[[#This Row],[Milk and products]])</f>
        <v>1</v>
      </c>
      <c r="AP212">
        <f>TYPE(All_India_Index_Upto_April23__1[[#This Row],[Oils and fats]])</f>
        <v>1</v>
      </c>
      <c r="AQ212">
        <f>TYPE(All_India_Index_Upto_April23__1[[#This Row],[Fruits]])</f>
        <v>1</v>
      </c>
      <c r="AR212">
        <f>TYPE(All_India_Index_Upto_April23__1[[#This Row],[Vegetables]])</f>
        <v>1</v>
      </c>
      <c r="AS212">
        <f>TYPE(All_India_Index_Upto_April23__1[[#This Row],[Pulses and products]])</f>
        <v>1</v>
      </c>
      <c r="AT212">
        <f>TYPE(All_India_Index_Upto_April23__1[[#This Row],[Sugar and Confectionery]])</f>
        <v>1</v>
      </c>
      <c r="AU212">
        <f>TYPE(All_India_Index_Upto_April23__1[[#This Row],[Spices]])</f>
        <v>1</v>
      </c>
      <c r="AV212">
        <f>TYPE(All_India_Index_Upto_April23__1[[#This Row],[Non-alcoholic beverages]])</f>
        <v>1</v>
      </c>
      <c r="AW212">
        <f>TYPE(All_India_Index_Upto_April23__1[[#This Row],[Prepared meals, snacks, sweets etc.]])</f>
        <v>1</v>
      </c>
      <c r="AX212">
        <f>TYPE(All_India_Index_Upto_April23__1[[#This Row],[Food and beverages]])</f>
        <v>1</v>
      </c>
      <c r="AY212">
        <f>TYPE(All_India_Index_Upto_April23__1[[#This Row],[Pan, tobacco and intoxicants]])</f>
        <v>1</v>
      </c>
      <c r="AZ212">
        <f>TYPE(All_India_Index_Upto_April23__1[[#This Row],[Clothing]])</f>
        <v>1</v>
      </c>
      <c r="BA212">
        <f>TYPE(All_India_Index_Upto_April23__1[[#This Row],[Footwear]])</f>
        <v>1</v>
      </c>
      <c r="BB212">
        <f>TYPE(All_India_Index_Upto_April23__1[[#This Row],[Clothing and footwear]])</f>
        <v>1</v>
      </c>
      <c r="BC212">
        <f>TYPE(All_India_Index_Upto_April23__1[[#This Row],[Housing]])</f>
        <v>2</v>
      </c>
      <c r="BD212">
        <f>TYPE(All_India_Index_Upto_April23__1[[#This Row],[Fuel and light]])</f>
        <v>1</v>
      </c>
      <c r="BE212">
        <f>TYPE(All_India_Index_Upto_April23__1[[#This Row],[Household goods and services]])</f>
        <v>1</v>
      </c>
      <c r="BF212">
        <f>TYPE(All_India_Index_Upto_April23__1[[#This Row],[Health]])</f>
        <v>1</v>
      </c>
      <c r="BG212">
        <f>TYPE(All_India_Index_Upto_April23__1[[#This Row],[Transport and communication]])</f>
        <v>1</v>
      </c>
      <c r="BH212">
        <f>TYPE(All_India_Index_Upto_April23__1[[#This Row],[Recreation and amusement]])</f>
        <v>1</v>
      </c>
      <c r="BI212">
        <f>TYPE(All_India_Index_Upto_April23__1[[#This Row],[Education]])</f>
        <v>1</v>
      </c>
      <c r="BJ212">
        <f>TYPE(All_India_Index_Upto_April23__1[[#This Row],[Personal care and effects]])</f>
        <v>1</v>
      </c>
      <c r="BK212">
        <f>TYPE(All_India_Index_Upto_April23__1[[#This Row],[Miscellaneous]])</f>
        <v>1</v>
      </c>
      <c r="BL212">
        <f>TYPE(All_India_Index_Upto_April23__1[[#This Row],[General index]])</f>
        <v>1</v>
      </c>
    </row>
    <row r="213" spans="1:64" hidden="1" x14ac:dyDescent="0.3">
      <c r="A213" t="s">
        <v>30</v>
      </c>
      <c r="B213">
        <v>2018</v>
      </c>
      <c r="C213" t="s">
        <v>43</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U213" t="s">
        <v>89</v>
      </c>
      <c r="V213">
        <v>150.30000000000001</v>
      </c>
      <c r="W213">
        <v>148</v>
      </c>
      <c r="X213">
        <v>145.4</v>
      </c>
      <c r="Y213">
        <v>130.30000000000001</v>
      </c>
      <c r="Z213">
        <v>143.1</v>
      </c>
      <c r="AA213">
        <v>150.19999999999999</v>
      </c>
      <c r="AB213">
        <v>133.1</v>
      </c>
      <c r="AC213">
        <v>140.1</v>
      </c>
      <c r="AD213">
        <v>142.4</v>
      </c>
      <c r="AE213">
        <f>SUM(All_India_Index_Upto_April23__1[[#This Row],[Cereals and products]:[Food and beverages]])</f>
        <v>1787.4999999999995</v>
      </c>
      <c r="AF213">
        <f>SUM(All_India_Index_Upto_April23__1[[#This Row],[Clothing]:[Clothing and footwear]])</f>
        <v>448</v>
      </c>
      <c r="AG213">
        <f t="shared" si="3"/>
        <v>428.6</v>
      </c>
      <c r="AI213">
        <f>TYPE(All_India_Index_Upto_April23__1[[#This Row],[Sector]])</f>
        <v>2</v>
      </c>
      <c r="AJ213">
        <f>TYPE(All_India_Index_Upto_April23__1[[#This Row],[Year]])</f>
        <v>1</v>
      </c>
      <c r="AK213">
        <f>TYPE(All_India_Index_Upto_April23__1[[#This Row],[Month]])</f>
        <v>2</v>
      </c>
      <c r="AL213">
        <f>TYPE(All_India_Index_Upto_April23__1[[#This Row],[Cereals and products]])</f>
        <v>1</v>
      </c>
      <c r="AM213">
        <f>TYPE(All_India_Index_Upto_April23__1[[#This Row],[Meat and fish]])</f>
        <v>1</v>
      </c>
      <c r="AN213">
        <f>TYPE(All_India_Index_Upto_April23__1[[#This Row],[Egg]])</f>
        <v>1</v>
      </c>
      <c r="AO213">
        <f>TYPE(All_India_Index_Upto_April23__1[[#This Row],[Milk and products]])</f>
        <v>1</v>
      </c>
      <c r="AP213">
        <f>TYPE(All_India_Index_Upto_April23__1[[#This Row],[Oils and fats]])</f>
        <v>1</v>
      </c>
      <c r="AQ213">
        <f>TYPE(All_India_Index_Upto_April23__1[[#This Row],[Fruits]])</f>
        <v>1</v>
      </c>
      <c r="AR213">
        <f>TYPE(All_India_Index_Upto_April23__1[[#This Row],[Vegetables]])</f>
        <v>1</v>
      </c>
      <c r="AS213">
        <f>TYPE(All_India_Index_Upto_April23__1[[#This Row],[Pulses and products]])</f>
        <v>1</v>
      </c>
      <c r="AT213">
        <f>TYPE(All_India_Index_Upto_April23__1[[#This Row],[Sugar and Confectionery]])</f>
        <v>1</v>
      </c>
      <c r="AU213">
        <f>TYPE(All_India_Index_Upto_April23__1[[#This Row],[Spices]])</f>
        <v>1</v>
      </c>
      <c r="AV213">
        <f>TYPE(All_India_Index_Upto_April23__1[[#This Row],[Non-alcoholic beverages]])</f>
        <v>1</v>
      </c>
      <c r="AW213">
        <f>TYPE(All_India_Index_Upto_April23__1[[#This Row],[Prepared meals, snacks, sweets etc.]])</f>
        <v>1</v>
      </c>
      <c r="AX213">
        <f>TYPE(All_India_Index_Upto_April23__1[[#This Row],[Food and beverages]])</f>
        <v>1</v>
      </c>
      <c r="AY213">
        <f>TYPE(All_India_Index_Upto_April23__1[[#This Row],[Pan, tobacco and intoxicants]])</f>
        <v>1</v>
      </c>
      <c r="AZ213">
        <f>TYPE(All_India_Index_Upto_April23__1[[#This Row],[Clothing]])</f>
        <v>1</v>
      </c>
      <c r="BA213">
        <f>TYPE(All_India_Index_Upto_April23__1[[#This Row],[Footwear]])</f>
        <v>1</v>
      </c>
      <c r="BB213">
        <f>TYPE(All_India_Index_Upto_April23__1[[#This Row],[Clothing and footwear]])</f>
        <v>1</v>
      </c>
      <c r="BC213">
        <f>TYPE(All_India_Index_Upto_April23__1[[#This Row],[Housing]])</f>
        <v>2</v>
      </c>
      <c r="BD213">
        <f>TYPE(All_India_Index_Upto_April23__1[[#This Row],[Fuel and light]])</f>
        <v>1</v>
      </c>
      <c r="BE213">
        <f>TYPE(All_India_Index_Upto_April23__1[[#This Row],[Household goods and services]])</f>
        <v>1</v>
      </c>
      <c r="BF213">
        <f>TYPE(All_India_Index_Upto_April23__1[[#This Row],[Health]])</f>
        <v>1</v>
      </c>
      <c r="BG213">
        <f>TYPE(All_India_Index_Upto_April23__1[[#This Row],[Transport and communication]])</f>
        <v>1</v>
      </c>
      <c r="BH213">
        <f>TYPE(All_India_Index_Upto_April23__1[[#This Row],[Recreation and amusement]])</f>
        <v>1</v>
      </c>
      <c r="BI213">
        <f>TYPE(All_India_Index_Upto_April23__1[[#This Row],[Education]])</f>
        <v>1</v>
      </c>
      <c r="BJ213">
        <f>TYPE(All_India_Index_Upto_April23__1[[#This Row],[Personal care and effects]])</f>
        <v>1</v>
      </c>
      <c r="BK213">
        <f>TYPE(All_India_Index_Upto_April23__1[[#This Row],[Miscellaneous]])</f>
        <v>1</v>
      </c>
      <c r="BL213">
        <f>TYPE(All_India_Index_Upto_April23__1[[#This Row],[General index]])</f>
        <v>1</v>
      </c>
    </row>
    <row r="214" spans="1:64" hidden="1" x14ac:dyDescent="0.3">
      <c r="A214" t="s">
        <v>32</v>
      </c>
      <c r="B214">
        <v>2018</v>
      </c>
      <c r="C214" t="s">
        <v>43</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t="s">
        <v>158</v>
      </c>
      <c r="V214">
        <v>136.69999999999999</v>
      </c>
      <c r="W214">
        <v>135.80000000000001</v>
      </c>
      <c r="X214">
        <v>136.80000000000001</v>
      </c>
      <c r="Y214">
        <v>121.2</v>
      </c>
      <c r="Z214">
        <v>131.30000000000001</v>
      </c>
      <c r="AA214">
        <v>146.1</v>
      </c>
      <c r="AB214">
        <v>130.5</v>
      </c>
      <c r="AC214">
        <v>132.19999999999999</v>
      </c>
      <c r="AD214">
        <v>139</v>
      </c>
      <c r="AE214">
        <f>SUM(All_India_Index_Upto_April23__1[[#This Row],[Cereals and products]:[Food and beverages]])</f>
        <v>1757.4999999999998</v>
      </c>
      <c r="AF214">
        <f>SUM(All_India_Index_Upto_April23__1[[#This Row],[Clothing]:[Clothing and footwear]])</f>
        <v>413.1</v>
      </c>
      <c r="AG214">
        <f t="shared" si="3"/>
        <v>393.7</v>
      </c>
      <c r="AI214">
        <f>TYPE(All_India_Index_Upto_April23__1[[#This Row],[Sector]])</f>
        <v>2</v>
      </c>
      <c r="AJ214">
        <f>TYPE(All_India_Index_Upto_April23__1[[#This Row],[Year]])</f>
        <v>1</v>
      </c>
      <c r="AK214">
        <f>TYPE(All_India_Index_Upto_April23__1[[#This Row],[Month]])</f>
        <v>2</v>
      </c>
      <c r="AL214">
        <f>TYPE(All_India_Index_Upto_April23__1[[#This Row],[Cereals and products]])</f>
        <v>1</v>
      </c>
      <c r="AM214">
        <f>TYPE(All_India_Index_Upto_April23__1[[#This Row],[Meat and fish]])</f>
        <v>1</v>
      </c>
      <c r="AN214">
        <f>TYPE(All_India_Index_Upto_April23__1[[#This Row],[Egg]])</f>
        <v>1</v>
      </c>
      <c r="AO214">
        <f>TYPE(All_India_Index_Upto_April23__1[[#This Row],[Milk and products]])</f>
        <v>1</v>
      </c>
      <c r="AP214">
        <f>TYPE(All_India_Index_Upto_April23__1[[#This Row],[Oils and fats]])</f>
        <v>1</v>
      </c>
      <c r="AQ214">
        <f>TYPE(All_India_Index_Upto_April23__1[[#This Row],[Fruits]])</f>
        <v>1</v>
      </c>
      <c r="AR214">
        <f>TYPE(All_India_Index_Upto_April23__1[[#This Row],[Vegetables]])</f>
        <v>1</v>
      </c>
      <c r="AS214">
        <f>TYPE(All_India_Index_Upto_April23__1[[#This Row],[Pulses and products]])</f>
        <v>1</v>
      </c>
      <c r="AT214">
        <f>TYPE(All_India_Index_Upto_April23__1[[#This Row],[Sugar and Confectionery]])</f>
        <v>1</v>
      </c>
      <c r="AU214">
        <f>TYPE(All_India_Index_Upto_April23__1[[#This Row],[Spices]])</f>
        <v>1</v>
      </c>
      <c r="AV214">
        <f>TYPE(All_India_Index_Upto_April23__1[[#This Row],[Non-alcoholic beverages]])</f>
        <v>1</v>
      </c>
      <c r="AW214">
        <f>TYPE(All_India_Index_Upto_April23__1[[#This Row],[Prepared meals, snacks, sweets etc.]])</f>
        <v>1</v>
      </c>
      <c r="AX214">
        <f>TYPE(All_India_Index_Upto_April23__1[[#This Row],[Food and beverages]])</f>
        <v>1</v>
      </c>
      <c r="AY214">
        <f>TYPE(All_India_Index_Upto_April23__1[[#This Row],[Pan, tobacco and intoxicants]])</f>
        <v>1</v>
      </c>
      <c r="AZ214">
        <f>TYPE(All_India_Index_Upto_April23__1[[#This Row],[Clothing]])</f>
        <v>1</v>
      </c>
      <c r="BA214">
        <f>TYPE(All_India_Index_Upto_April23__1[[#This Row],[Footwear]])</f>
        <v>1</v>
      </c>
      <c r="BB214">
        <f>TYPE(All_India_Index_Upto_April23__1[[#This Row],[Clothing and footwear]])</f>
        <v>1</v>
      </c>
      <c r="BC214">
        <f>TYPE(All_India_Index_Upto_April23__1[[#This Row],[Housing]])</f>
        <v>2</v>
      </c>
      <c r="BD214">
        <f>TYPE(All_India_Index_Upto_April23__1[[#This Row],[Fuel and light]])</f>
        <v>1</v>
      </c>
      <c r="BE214">
        <f>TYPE(All_India_Index_Upto_April23__1[[#This Row],[Household goods and services]])</f>
        <v>1</v>
      </c>
      <c r="BF214">
        <f>TYPE(All_India_Index_Upto_April23__1[[#This Row],[Health]])</f>
        <v>1</v>
      </c>
      <c r="BG214">
        <f>TYPE(All_India_Index_Upto_April23__1[[#This Row],[Transport and communication]])</f>
        <v>1</v>
      </c>
      <c r="BH214">
        <f>TYPE(All_India_Index_Upto_April23__1[[#This Row],[Recreation and amusement]])</f>
        <v>1</v>
      </c>
      <c r="BI214">
        <f>TYPE(All_India_Index_Upto_April23__1[[#This Row],[Education]])</f>
        <v>1</v>
      </c>
      <c r="BJ214">
        <f>TYPE(All_India_Index_Upto_April23__1[[#This Row],[Personal care and effects]])</f>
        <v>1</v>
      </c>
      <c r="BK214">
        <f>TYPE(All_India_Index_Upto_April23__1[[#This Row],[Miscellaneous]])</f>
        <v>1</v>
      </c>
      <c r="BL214">
        <f>TYPE(All_India_Index_Upto_April23__1[[#This Row],[General index]])</f>
        <v>1</v>
      </c>
    </row>
    <row r="215" spans="1:64" x14ac:dyDescent="0.3">
      <c r="A215" t="s">
        <v>33</v>
      </c>
      <c r="B215">
        <v>2018</v>
      </c>
      <c r="C215" t="s">
        <v>43</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t="s">
        <v>158</v>
      </c>
      <c r="V215">
        <v>145.1</v>
      </c>
      <c r="W215">
        <v>142.19999999999999</v>
      </c>
      <c r="X215">
        <v>142.1</v>
      </c>
      <c r="Y215">
        <v>125.5</v>
      </c>
      <c r="Z215">
        <v>136.5</v>
      </c>
      <c r="AA215">
        <v>147.80000000000001</v>
      </c>
      <c r="AB215">
        <v>132</v>
      </c>
      <c r="AC215">
        <v>136.30000000000001</v>
      </c>
      <c r="AD215">
        <v>140.80000000000001</v>
      </c>
      <c r="AE215">
        <f>SUM(All_India_Index_Upto_April23__1[[#This Row],[Cereals and products]:[Food and beverages]])</f>
        <v>1775.7000000000003</v>
      </c>
      <c r="AF215">
        <f>SUM(All_India_Index_Upto_April23__1[[#This Row],[Clothing]:[Clothing and footwear]])</f>
        <v>433.8</v>
      </c>
      <c r="AG215">
        <f t="shared" si="3"/>
        <v>412.79999999999995</v>
      </c>
      <c r="AI215">
        <f>TYPE(All_India_Index_Upto_April23__1[[#This Row],[Sector]])</f>
        <v>2</v>
      </c>
      <c r="AJ215">
        <f>TYPE(All_India_Index_Upto_April23__1[[#This Row],[Year]])</f>
        <v>1</v>
      </c>
      <c r="AK215">
        <f>TYPE(All_India_Index_Upto_April23__1[[#This Row],[Month]])</f>
        <v>2</v>
      </c>
      <c r="AL215">
        <f>TYPE(All_India_Index_Upto_April23__1[[#This Row],[Cereals and products]])</f>
        <v>1</v>
      </c>
      <c r="AM215">
        <f>TYPE(All_India_Index_Upto_April23__1[[#This Row],[Meat and fish]])</f>
        <v>1</v>
      </c>
      <c r="AN215">
        <f>TYPE(All_India_Index_Upto_April23__1[[#This Row],[Egg]])</f>
        <v>1</v>
      </c>
      <c r="AO215">
        <f>TYPE(All_India_Index_Upto_April23__1[[#This Row],[Milk and products]])</f>
        <v>1</v>
      </c>
      <c r="AP215">
        <f>TYPE(All_India_Index_Upto_April23__1[[#This Row],[Oils and fats]])</f>
        <v>1</v>
      </c>
      <c r="AQ215">
        <f>TYPE(All_India_Index_Upto_April23__1[[#This Row],[Fruits]])</f>
        <v>1</v>
      </c>
      <c r="AR215">
        <f>TYPE(All_India_Index_Upto_April23__1[[#This Row],[Vegetables]])</f>
        <v>1</v>
      </c>
      <c r="AS215">
        <f>TYPE(All_India_Index_Upto_April23__1[[#This Row],[Pulses and products]])</f>
        <v>1</v>
      </c>
      <c r="AT215">
        <f>TYPE(All_India_Index_Upto_April23__1[[#This Row],[Sugar and Confectionery]])</f>
        <v>1</v>
      </c>
      <c r="AU215">
        <f>TYPE(All_India_Index_Upto_April23__1[[#This Row],[Spices]])</f>
        <v>1</v>
      </c>
      <c r="AV215">
        <f>TYPE(All_India_Index_Upto_April23__1[[#This Row],[Non-alcoholic beverages]])</f>
        <v>1</v>
      </c>
      <c r="AW215">
        <f>TYPE(All_India_Index_Upto_April23__1[[#This Row],[Prepared meals, snacks, sweets etc.]])</f>
        <v>1</v>
      </c>
      <c r="AX215">
        <f>TYPE(All_India_Index_Upto_April23__1[[#This Row],[Food and beverages]])</f>
        <v>1</v>
      </c>
      <c r="AY215">
        <f>TYPE(All_India_Index_Upto_April23__1[[#This Row],[Pan, tobacco and intoxicants]])</f>
        <v>1</v>
      </c>
      <c r="AZ215">
        <f>TYPE(All_India_Index_Upto_April23__1[[#This Row],[Clothing]])</f>
        <v>1</v>
      </c>
      <c r="BA215">
        <f>TYPE(All_India_Index_Upto_April23__1[[#This Row],[Footwear]])</f>
        <v>1</v>
      </c>
      <c r="BB215">
        <f>TYPE(All_India_Index_Upto_April23__1[[#This Row],[Clothing and footwear]])</f>
        <v>1</v>
      </c>
      <c r="BC215">
        <f>TYPE(All_India_Index_Upto_April23__1[[#This Row],[Housing]])</f>
        <v>2</v>
      </c>
      <c r="BD215">
        <f>TYPE(All_India_Index_Upto_April23__1[[#This Row],[Fuel and light]])</f>
        <v>1</v>
      </c>
      <c r="BE215">
        <f>TYPE(All_India_Index_Upto_April23__1[[#This Row],[Household goods and services]])</f>
        <v>1</v>
      </c>
      <c r="BF215">
        <f>TYPE(All_India_Index_Upto_April23__1[[#This Row],[Health]])</f>
        <v>1</v>
      </c>
      <c r="BG215">
        <f>TYPE(All_India_Index_Upto_April23__1[[#This Row],[Transport and communication]])</f>
        <v>1</v>
      </c>
      <c r="BH215">
        <f>TYPE(All_India_Index_Upto_April23__1[[#This Row],[Recreation and amusement]])</f>
        <v>1</v>
      </c>
      <c r="BI215">
        <f>TYPE(All_India_Index_Upto_April23__1[[#This Row],[Education]])</f>
        <v>1</v>
      </c>
      <c r="BJ215">
        <f>TYPE(All_India_Index_Upto_April23__1[[#This Row],[Personal care and effects]])</f>
        <v>1</v>
      </c>
      <c r="BK215">
        <f>TYPE(All_India_Index_Upto_April23__1[[#This Row],[Miscellaneous]])</f>
        <v>1</v>
      </c>
      <c r="BL215">
        <f>TYPE(All_India_Index_Upto_April23__1[[#This Row],[General index]])</f>
        <v>1</v>
      </c>
    </row>
    <row r="216" spans="1:64" hidden="1" x14ac:dyDescent="0.3">
      <c r="A216" t="s">
        <v>30</v>
      </c>
      <c r="B216">
        <v>2018</v>
      </c>
      <c r="C216" t="s">
        <v>44</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U216" t="s">
        <v>89</v>
      </c>
      <c r="V216">
        <v>149</v>
      </c>
      <c r="W216">
        <v>149.5</v>
      </c>
      <c r="X216">
        <v>149.6</v>
      </c>
      <c r="Y216">
        <v>128.9</v>
      </c>
      <c r="Z216">
        <v>143.30000000000001</v>
      </c>
      <c r="AA216">
        <v>155.1</v>
      </c>
      <c r="AB216">
        <v>133.19999999999999</v>
      </c>
      <c r="AC216">
        <v>141.6</v>
      </c>
      <c r="AD216">
        <v>141.9</v>
      </c>
      <c r="AE216">
        <f>SUM(All_India_Index_Upto_April23__1[[#This Row],[Cereals and products]:[Food and beverages]])</f>
        <v>1773.1000000000001</v>
      </c>
      <c r="AF216">
        <f>SUM(All_India_Index_Upto_April23__1[[#This Row],[Clothing]:[Clothing and footwear]])</f>
        <v>448.3</v>
      </c>
      <c r="AG216">
        <f t="shared" si="3"/>
        <v>427.4</v>
      </c>
      <c r="AI216">
        <f>TYPE(All_India_Index_Upto_April23__1[[#This Row],[Sector]])</f>
        <v>2</v>
      </c>
      <c r="AJ216">
        <f>TYPE(All_India_Index_Upto_April23__1[[#This Row],[Year]])</f>
        <v>1</v>
      </c>
      <c r="AK216">
        <f>TYPE(All_India_Index_Upto_April23__1[[#This Row],[Month]])</f>
        <v>2</v>
      </c>
      <c r="AL216">
        <f>TYPE(All_India_Index_Upto_April23__1[[#This Row],[Cereals and products]])</f>
        <v>1</v>
      </c>
      <c r="AM216">
        <f>TYPE(All_India_Index_Upto_April23__1[[#This Row],[Meat and fish]])</f>
        <v>1</v>
      </c>
      <c r="AN216">
        <f>TYPE(All_India_Index_Upto_April23__1[[#This Row],[Egg]])</f>
        <v>1</v>
      </c>
      <c r="AO216">
        <f>TYPE(All_India_Index_Upto_April23__1[[#This Row],[Milk and products]])</f>
        <v>1</v>
      </c>
      <c r="AP216">
        <f>TYPE(All_India_Index_Upto_April23__1[[#This Row],[Oils and fats]])</f>
        <v>1</v>
      </c>
      <c r="AQ216">
        <f>TYPE(All_India_Index_Upto_April23__1[[#This Row],[Fruits]])</f>
        <v>1</v>
      </c>
      <c r="AR216">
        <f>TYPE(All_India_Index_Upto_April23__1[[#This Row],[Vegetables]])</f>
        <v>1</v>
      </c>
      <c r="AS216">
        <f>TYPE(All_India_Index_Upto_April23__1[[#This Row],[Pulses and products]])</f>
        <v>1</v>
      </c>
      <c r="AT216">
        <f>TYPE(All_India_Index_Upto_April23__1[[#This Row],[Sugar and Confectionery]])</f>
        <v>1</v>
      </c>
      <c r="AU216">
        <f>TYPE(All_India_Index_Upto_April23__1[[#This Row],[Spices]])</f>
        <v>1</v>
      </c>
      <c r="AV216">
        <f>TYPE(All_India_Index_Upto_April23__1[[#This Row],[Non-alcoholic beverages]])</f>
        <v>1</v>
      </c>
      <c r="AW216">
        <f>TYPE(All_India_Index_Upto_April23__1[[#This Row],[Prepared meals, snacks, sweets etc.]])</f>
        <v>1</v>
      </c>
      <c r="AX216">
        <f>TYPE(All_India_Index_Upto_April23__1[[#This Row],[Food and beverages]])</f>
        <v>1</v>
      </c>
      <c r="AY216">
        <f>TYPE(All_India_Index_Upto_April23__1[[#This Row],[Pan, tobacco and intoxicants]])</f>
        <v>1</v>
      </c>
      <c r="AZ216">
        <f>TYPE(All_India_Index_Upto_April23__1[[#This Row],[Clothing]])</f>
        <v>1</v>
      </c>
      <c r="BA216">
        <f>TYPE(All_India_Index_Upto_April23__1[[#This Row],[Footwear]])</f>
        <v>1</v>
      </c>
      <c r="BB216">
        <f>TYPE(All_India_Index_Upto_April23__1[[#This Row],[Clothing and footwear]])</f>
        <v>1</v>
      </c>
      <c r="BC216">
        <f>TYPE(All_India_Index_Upto_April23__1[[#This Row],[Housing]])</f>
        <v>2</v>
      </c>
      <c r="BD216">
        <f>TYPE(All_India_Index_Upto_April23__1[[#This Row],[Fuel and light]])</f>
        <v>1</v>
      </c>
      <c r="BE216">
        <f>TYPE(All_India_Index_Upto_April23__1[[#This Row],[Household goods and services]])</f>
        <v>1</v>
      </c>
      <c r="BF216">
        <f>TYPE(All_India_Index_Upto_April23__1[[#This Row],[Health]])</f>
        <v>1</v>
      </c>
      <c r="BG216">
        <f>TYPE(All_India_Index_Upto_April23__1[[#This Row],[Transport and communication]])</f>
        <v>1</v>
      </c>
      <c r="BH216">
        <f>TYPE(All_India_Index_Upto_April23__1[[#This Row],[Recreation and amusement]])</f>
        <v>1</v>
      </c>
      <c r="BI216">
        <f>TYPE(All_India_Index_Upto_April23__1[[#This Row],[Education]])</f>
        <v>1</v>
      </c>
      <c r="BJ216">
        <f>TYPE(All_India_Index_Upto_April23__1[[#This Row],[Personal care and effects]])</f>
        <v>1</v>
      </c>
      <c r="BK216">
        <f>TYPE(All_India_Index_Upto_April23__1[[#This Row],[Miscellaneous]])</f>
        <v>1</v>
      </c>
      <c r="BL216">
        <f>TYPE(All_India_Index_Upto_April23__1[[#This Row],[General index]])</f>
        <v>1</v>
      </c>
    </row>
    <row r="217" spans="1:64" hidden="1" x14ac:dyDescent="0.3">
      <c r="A217" t="s">
        <v>32</v>
      </c>
      <c r="B217">
        <v>2018</v>
      </c>
      <c r="C217" t="s">
        <v>44</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t="s">
        <v>159</v>
      </c>
      <c r="V217">
        <v>132.4</v>
      </c>
      <c r="W217">
        <v>136.19999999999999</v>
      </c>
      <c r="X217">
        <v>137.30000000000001</v>
      </c>
      <c r="Y217">
        <v>118.8</v>
      </c>
      <c r="Z217">
        <v>131.69999999999999</v>
      </c>
      <c r="AA217">
        <v>146.5</v>
      </c>
      <c r="AB217">
        <v>130.80000000000001</v>
      </c>
      <c r="AC217">
        <v>131.69999999999999</v>
      </c>
      <c r="AD217">
        <v>138</v>
      </c>
      <c r="AE217">
        <f>SUM(All_India_Index_Upto_April23__1[[#This Row],[Cereals and products]:[Food and beverages]])</f>
        <v>1746.6</v>
      </c>
      <c r="AF217">
        <f>SUM(All_India_Index_Upto_April23__1[[#This Row],[Clothing]:[Clothing and footwear]])</f>
        <v>413.8</v>
      </c>
      <c r="AG217">
        <f t="shared" si="3"/>
        <v>387.40000000000003</v>
      </c>
      <c r="AI217">
        <f>TYPE(All_India_Index_Upto_April23__1[[#This Row],[Sector]])</f>
        <v>2</v>
      </c>
      <c r="AJ217">
        <f>TYPE(All_India_Index_Upto_April23__1[[#This Row],[Year]])</f>
        <v>1</v>
      </c>
      <c r="AK217">
        <f>TYPE(All_India_Index_Upto_April23__1[[#This Row],[Month]])</f>
        <v>2</v>
      </c>
      <c r="AL217">
        <f>TYPE(All_India_Index_Upto_April23__1[[#This Row],[Cereals and products]])</f>
        <v>1</v>
      </c>
      <c r="AM217">
        <f>TYPE(All_India_Index_Upto_April23__1[[#This Row],[Meat and fish]])</f>
        <v>1</v>
      </c>
      <c r="AN217">
        <f>TYPE(All_India_Index_Upto_April23__1[[#This Row],[Egg]])</f>
        <v>1</v>
      </c>
      <c r="AO217">
        <f>TYPE(All_India_Index_Upto_April23__1[[#This Row],[Milk and products]])</f>
        <v>1</v>
      </c>
      <c r="AP217">
        <f>TYPE(All_India_Index_Upto_April23__1[[#This Row],[Oils and fats]])</f>
        <v>1</v>
      </c>
      <c r="AQ217">
        <f>TYPE(All_India_Index_Upto_April23__1[[#This Row],[Fruits]])</f>
        <v>1</v>
      </c>
      <c r="AR217">
        <f>TYPE(All_India_Index_Upto_April23__1[[#This Row],[Vegetables]])</f>
        <v>1</v>
      </c>
      <c r="AS217">
        <f>TYPE(All_India_Index_Upto_April23__1[[#This Row],[Pulses and products]])</f>
        <v>1</v>
      </c>
      <c r="AT217">
        <f>TYPE(All_India_Index_Upto_April23__1[[#This Row],[Sugar and Confectionery]])</f>
        <v>1</v>
      </c>
      <c r="AU217">
        <f>TYPE(All_India_Index_Upto_April23__1[[#This Row],[Spices]])</f>
        <v>1</v>
      </c>
      <c r="AV217">
        <f>TYPE(All_India_Index_Upto_April23__1[[#This Row],[Non-alcoholic beverages]])</f>
        <v>1</v>
      </c>
      <c r="AW217">
        <f>TYPE(All_India_Index_Upto_April23__1[[#This Row],[Prepared meals, snacks, sweets etc.]])</f>
        <v>1</v>
      </c>
      <c r="AX217">
        <f>TYPE(All_India_Index_Upto_April23__1[[#This Row],[Food and beverages]])</f>
        <v>1</v>
      </c>
      <c r="AY217">
        <f>TYPE(All_India_Index_Upto_April23__1[[#This Row],[Pan, tobacco and intoxicants]])</f>
        <v>1</v>
      </c>
      <c r="AZ217">
        <f>TYPE(All_India_Index_Upto_April23__1[[#This Row],[Clothing]])</f>
        <v>1</v>
      </c>
      <c r="BA217">
        <f>TYPE(All_India_Index_Upto_April23__1[[#This Row],[Footwear]])</f>
        <v>1</v>
      </c>
      <c r="BB217">
        <f>TYPE(All_India_Index_Upto_April23__1[[#This Row],[Clothing and footwear]])</f>
        <v>1</v>
      </c>
      <c r="BC217">
        <f>TYPE(All_India_Index_Upto_April23__1[[#This Row],[Housing]])</f>
        <v>2</v>
      </c>
      <c r="BD217">
        <f>TYPE(All_India_Index_Upto_April23__1[[#This Row],[Fuel and light]])</f>
        <v>1</v>
      </c>
      <c r="BE217">
        <f>TYPE(All_India_Index_Upto_April23__1[[#This Row],[Household goods and services]])</f>
        <v>1</v>
      </c>
      <c r="BF217">
        <f>TYPE(All_India_Index_Upto_April23__1[[#This Row],[Health]])</f>
        <v>1</v>
      </c>
      <c r="BG217">
        <f>TYPE(All_India_Index_Upto_April23__1[[#This Row],[Transport and communication]])</f>
        <v>1</v>
      </c>
      <c r="BH217">
        <f>TYPE(All_India_Index_Upto_April23__1[[#This Row],[Recreation and amusement]])</f>
        <v>1</v>
      </c>
      <c r="BI217">
        <f>TYPE(All_India_Index_Upto_April23__1[[#This Row],[Education]])</f>
        <v>1</v>
      </c>
      <c r="BJ217">
        <f>TYPE(All_India_Index_Upto_April23__1[[#This Row],[Personal care and effects]])</f>
        <v>1</v>
      </c>
      <c r="BK217">
        <f>TYPE(All_India_Index_Upto_April23__1[[#This Row],[Miscellaneous]])</f>
        <v>1</v>
      </c>
      <c r="BL217">
        <f>TYPE(All_India_Index_Upto_April23__1[[#This Row],[General index]])</f>
        <v>1</v>
      </c>
    </row>
    <row r="218" spans="1:64" x14ac:dyDescent="0.3">
      <c r="A218" t="s">
        <v>33</v>
      </c>
      <c r="B218">
        <v>2018</v>
      </c>
      <c r="C218" t="s">
        <v>44</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t="s">
        <v>159</v>
      </c>
      <c r="V218">
        <v>142.69999999999999</v>
      </c>
      <c r="W218">
        <v>143.19999999999999</v>
      </c>
      <c r="X218">
        <v>144.9</v>
      </c>
      <c r="Y218">
        <v>123.6</v>
      </c>
      <c r="Z218">
        <v>136.80000000000001</v>
      </c>
      <c r="AA218">
        <v>150.1</v>
      </c>
      <c r="AB218">
        <v>132.19999999999999</v>
      </c>
      <c r="AC218">
        <v>136.80000000000001</v>
      </c>
      <c r="AD218">
        <v>140.1</v>
      </c>
      <c r="AE218">
        <f>SUM(All_India_Index_Upto_April23__1[[#This Row],[Cereals and products]:[Food and beverages]])</f>
        <v>1762.7999999999997</v>
      </c>
      <c r="AF218">
        <f>SUM(All_India_Index_Upto_April23__1[[#This Row],[Clothing]:[Clothing and footwear]])</f>
        <v>434.3</v>
      </c>
      <c r="AG218">
        <f t="shared" si="3"/>
        <v>409.5</v>
      </c>
      <c r="AI218">
        <f>TYPE(All_India_Index_Upto_April23__1[[#This Row],[Sector]])</f>
        <v>2</v>
      </c>
      <c r="AJ218">
        <f>TYPE(All_India_Index_Upto_April23__1[[#This Row],[Year]])</f>
        <v>1</v>
      </c>
      <c r="AK218">
        <f>TYPE(All_India_Index_Upto_April23__1[[#This Row],[Month]])</f>
        <v>2</v>
      </c>
      <c r="AL218">
        <f>TYPE(All_India_Index_Upto_April23__1[[#This Row],[Cereals and products]])</f>
        <v>1</v>
      </c>
      <c r="AM218">
        <f>TYPE(All_India_Index_Upto_April23__1[[#This Row],[Meat and fish]])</f>
        <v>1</v>
      </c>
      <c r="AN218">
        <f>TYPE(All_India_Index_Upto_April23__1[[#This Row],[Egg]])</f>
        <v>1</v>
      </c>
      <c r="AO218">
        <f>TYPE(All_India_Index_Upto_April23__1[[#This Row],[Milk and products]])</f>
        <v>1</v>
      </c>
      <c r="AP218">
        <f>TYPE(All_India_Index_Upto_April23__1[[#This Row],[Oils and fats]])</f>
        <v>1</v>
      </c>
      <c r="AQ218">
        <f>TYPE(All_India_Index_Upto_April23__1[[#This Row],[Fruits]])</f>
        <v>1</v>
      </c>
      <c r="AR218">
        <f>TYPE(All_India_Index_Upto_April23__1[[#This Row],[Vegetables]])</f>
        <v>1</v>
      </c>
      <c r="AS218">
        <f>TYPE(All_India_Index_Upto_April23__1[[#This Row],[Pulses and products]])</f>
        <v>1</v>
      </c>
      <c r="AT218">
        <f>TYPE(All_India_Index_Upto_April23__1[[#This Row],[Sugar and Confectionery]])</f>
        <v>1</v>
      </c>
      <c r="AU218">
        <f>TYPE(All_India_Index_Upto_April23__1[[#This Row],[Spices]])</f>
        <v>1</v>
      </c>
      <c r="AV218">
        <f>TYPE(All_India_Index_Upto_April23__1[[#This Row],[Non-alcoholic beverages]])</f>
        <v>1</v>
      </c>
      <c r="AW218">
        <f>TYPE(All_India_Index_Upto_April23__1[[#This Row],[Prepared meals, snacks, sweets etc.]])</f>
        <v>1</v>
      </c>
      <c r="AX218">
        <f>TYPE(All_India_Index_Upto_April23__1[[#This Row],[Food and beverages]])</f>
        <v>1</v>
      </c>
      <c r="AY218">
        <f>TYPE(All_India_Index_Upto_April23__1[[#This Row],[Pan, tobacco and intoxicants]])</f>
        <v>1</v>
      </c>
      <c r="AZ218">
        <f>TYPE(All_India_Index_Upto_April23__1[[#This Row],[Clothing]])</f>
        <v>1</v>
      </c>
      <c r="BA218">
        <f>TYPE(All_India_Index_Upto_April23__1[[#This Row],[Footwear]])</f>
        <v>1</v>
      </c>
      <c r="BB218">
        <f>TYPE(All_India_Index_Upto_April23__1[[#This Row],[Clothing and footwear]])</f>
        <v>1</v>
      </c>
      <c r="BC218">
        <f>TYPE(All_India_Index_Upto_April23__1[[#This Row],[Housing]])</f>
        <v>2</v>
      </c>
      <c r="BD218">
        <f>TYPE(All_India_Index_Upto_April23__1[[#This Row],[Fuel and light]])</f>
        <v>1</v>
      </c>
      <c r="BE218">
        <f>TYPE(All_India_Index_Upto_April23__1[[#This Row],[Household goods and services]])</f>
        <v>1</v>
      </c>
      <c r="BF218">
        <f>TYPE(All_India_Index_Upto_April23__1[[#This Row],[Health]])</f>
        <v>1</v>
      </c>
      <c r="BG218">
        <f>TYPE(All_India_Index_Upto_April23__1[[#This Row],[Transport and communication]])</f>
        <v>1</v>
      </c>
      <c r="BH218">
        <f>TYPE(All_India_Index_Upto_April23__1[[#This Row],[Recreation and amusement]])</f>
        <v>1</v>
      </c>
      <c r="BI218">
        <f>TYPE(All_India_Index_Upto_April23__1[[#This Row],[Education]])</f>
        <v>1</v>
      </c>
      <c r="BJ218">
        <f>TYPE(All_India_Index_Upto_April23__1[[#This Row],[Personal care and effects]])</f>
        <v>1</v>
      </c>
      <c r="BK218">
        <f>TYPE(All_India_Index_Upto_April23__1[[#This Row],[Miscellaneous]])</f>
        <v>1</v>
      </c>
      <c r="BL218">
        <f>TYPE(All_India_Index_Upto_April23__1[[#This Row],[General index]])</f>
        <v>1</v>
      </c>
    </row>
    <row r="219" spans="1:64" hidden="1" x14ac:dyDescent="0.3">
      <c r="A219" t="s">
        <v>30</v>
      </c>
      <c r="B219">
        <v>2019</v>
      </c>
      <c r="C219" t="s">
        <v>31</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U219" t="s">
        <v>89</v>
      </c>
      <c r="V219">
        <v>146.19999999999999</v>
      </c>
      <c r="W219">
        <v>150.1</v>
      </c>
      <c r="X219">
        <v>149.6</v>
      </c>
      <c r="Y219">
        <v>128.6</v>
      </c>
      <c r="Z219">
        <v>142.9</v>
      </c>
      <c r="AA219">
        <v>155.19999999999999</v>
      </c>
      <c r="AB219">
        <v>133.5</v>
      </c>
      <c r="AC219">
        <v>141.69999999999999</v>
      </c>
      <c r="AD219">
        <v>141</v>
      </c>
      <c r="AE219">
        <f>SUM(All_India_Index_Upto_April23__1[[#This Row],[Cereals and products]:[Food and beverages]])</f>
        <v>1759.6000000000001</v>
      </c>
      <c r="AF219">
        <f>SUM(All_India_Index_Upto_April23__1[[#This Row],[Clothing]:[Clothing and footwear]])</f>
        <v>445.6</v>
      </c>
      <c r="AG219">
        <f t="shared" si="3"/>
        <v>424.9</v>
      </c>
      <c r="AI219">
        <f>TYPE(All_India_Index_Upto_April23__1[[#This Row],[Sector]])</f>
        <v>2</v>
      </c>
      <c r="AJ219">
        <f>TYPE(All_India_Index_Upto_April23__1[[#This Row],[Year]])</f>
        <v>1</v>
      </c>
      <c r="AK219">
        <f>TYPE(All_India_Index_Upto_April23__1[[#This Row],[Month]])</f>
        <v>2</v>
      </c>
      <c r="AL219">
        <f>TYPE(All_India_Index_Upto_April23__1[[#This Row],[Cereals and products]])</f>
        <v>1</v>
      </c>
      <c r="AM219">
        <f>TYPE(All_India_Index_Upto_April23__1[[#This Row],[Meat and fish]])</f>
        <v>1</v>
      </c>
      <c r="AN219">
        <f>TYPE(All_India_Index_Upto_April23__1[[#This Row],[Egg]])</f>
        <v>1</v>
      </c>
      <c r="AO219">
        <f>TYPE(All_India_Index_Upto_April23__1[[#This Row],[Milk and products]])</f>
        <v>1</v>
      </c>
      <c r="AP219">
        <f>TYPE(All_India_Index_Upto_April23__1[[#This Row],[Oils and fats]])</f>
        <v>1</v>
      </c>
      <c r="AQ219">
        <f>TYPE(All_India_Index_Upto_April23__1[[#This Row],[Fruits]])</f>
        <v>1</v>
      </c>
      <c r="AR219">
        <f>TYPE(All_India_Index_Upto_April23__1[[#This Row],[Vegetables]])</f>
        <v>1</v>
      </c>
      <c r="AS219">
        <f>TYPE(All_India_Index_Upto_April23__1[[#This Row],[Pulses and products]])</f>
        <v>1</v>
      </c>
      <c r="AT219">
        <f>TYPE(All_India_Index_Upto_April23__1[[#This Row],[Sugar and Confectionery]])</f>
        <v>1</v>
      </c>
      <c r="AU219">
        <f>TYPE(All_India_Index_Upto_April23__1[[#This Row],[Spices]])</f>
        <v>1</v>
      </c>
      <c r="AV219">
        <f>TYPE(All_India_Index_Upto_April23__1[[#This Row],[Non-alcoholic beverages]])</f>
        <v>1</v>
      </c>
      <c r="AW219">
        <f>TYPE(All_India_Index_Upto_April23__1[[#This Row],[Prepared meals, snacks, sweets etc.]])</f>
        <v>1</v>
      </c>
      <c r="AX219">
        <f>TYPE(All_India_Index_Upto_April23__1[[#This Row],[Food and beverages]])</f>
        <v>1</v>
      </c>
      <c r="AY219">
        <f>TYPE(All_India_Index_Upto_April23__1[[#This Row],[Pan, tobacco and intoxicants]])</f>
        <v>1</v>
      </c>
      <c r="AZ219">
        <f>TYPE(All_India_Index_Upto_April23__1[[#This Row],[Clothing]])</f>
        <v>1</v>
      </c>
      <c r="BA219">
        <f>TYPE(All_India_Index_Upto_April23__1[[#This Row],[Footwear]])</f>
        <v>1</v>
      </c>
      <c r="BB219">
        <f>TYPE(All_India_Index_Upto_April23__1[[#This Row],[Clothing and footwear]])</f>
        <v>1</v>
      </c>
      <c r="BC219">
        <f>TYPE(All_India_Index_Upto_April23__1[[#This Row],[Housing]])</f>
        <v>2</v>
      </c>
      <c r="BD219">
        <f>TYPE(All_India_Index_Upto_April23__1[[#This Row],[Fuel and light]])</f>
        <v>1</v>
      </c>
      <c r="BE219">
        <f>TYPE(All_India_Index_Upto_April23__1[[#This Row],[Household goods and services]])</f>
        <v>1</v>
      </c>
      <c r="BF219">
        <f>TYPE(All_India_Index_Upto_April23__1[[#This Row],[Health]])</f>
        <v>1</v>
      </c>
      <c r="BG219">
        <f>TYPE(All_India_Index_Upto_April23__1[[#This Row],[Transport and communication]])</f>
        <v>1</v>
      </c>
      <c r="BH219">
        <f>TYPE(All_India_Index_Upto_April23__1[[#This Row],[Recreation and amusement]])</f>
        <v>1</v>
      </c>
      <c r="BI219">
        <f>TYPE(All_India_Index_Upto_April23__1[[#This Row],[Education]])</f>
        <v>1</v>
      </c>
      <c r="BJ219">
        <f>TYPE(All_India_Index_Upto_April23__1[[#This Row],[Personal care and effects]])</f>
        <v>1</v>
      </c>
      <c r="BK219">
        <f>TYPE(All_India_Index_Upto_April23__1[[#This Row],[Miscellaneous]])</f>
        <v>1</v>
      </c>
      <c r="BL219">
        <f>TYPE(All_India_Index_Upto_April23__1[[#This Row],[General index]])</f>
        <v>1</v>
      </c>
    </row>
    <row r="220" spans="1:64" hidden="1" x14ac:dyDescent="0.3">
      <c r="A220" t="s">
        <v>32</v>
      </c>
      <c r="B220">
        <v>2019</v>
      </c>
      <c r="C220" t="s">
        <v>31</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t="s">
        <v>160</v>
      </c>
      <c r="V220">
        <v>128.6</v>
      </c>
      <c r="W220">
        <v>136.30000000000001</v>
      </c>
      <c r="X220">
        <v>137.80000000000001</v>
      </c>
      <c r="Y220">
        <v>118.6</v>
      </c>
      <c r="Z220">
        <v>131.9</v>
      </c>
      <c r="AA220">
        <v>146.6</v>
      </c>
      <c r="AB220">
        <v>131.69999999999999</v>
      </c>
      <c r="AC220">
        <v>131.80000000000001</v>
      </c>
      <c r="AD220">
        <v>138</v>
      </c>
      <c r="AE220">
        <f>SUM(All_India_Index_Upto_April23__1[[#This Row],[Cereals and products]:[Food and beverages]])</f>
        <v>1744.3000000000002</v>
      </c>
      <c r="AF220">
        <f>SUM(All_India_Index_Upto_April23__1[[#This Row],[Clothing]:[Clothing and footwear]])</f>
        <v>414.5</v>
      </c>
      <c r="AG220">
        <f t="shared" si="3"/>
        <v>383.5</v>
      </c>
      <c r="AI220">
        <f>TYPE(All_India_Index_Upto_April23__1[[#This Row],[Sector]])</f>
        <v>2</v>
      </c>
      <c r="AJ220">
        <f>TYPE(All_India_Index_Upto_April23__1[[#This Row],[Year]])</f>
        <v>1</v>
      </c>
      <c r="AK220">
        <f>TYPE(All_India_Index_Upto_April23__1[[#This Row],[Month]])</f>
        <v>2</v>
      </c>
      <c r="AL220">
        <f>TYPE(All_India_Index_Upto_April23__1[[#This Row],[Cereals and products]])</f>
        <v>1</v>
      </c>
      <c r="AM220">
        <f>TYPE(All_India_Index_Upto_April23__1[[#This Row],[Meat and fish]])</f>
        <v>1</v>
      </c>
      <c r="AN220">
        <f>TYPE(All_India_Index_Upto_April23__1[[#This Row],[Egg]])</f>
        <v>1</v>
      </c>
      <c r="AO220">
        <f>TYPE(All_India_Index_Upto_April23__1[[#This Row],[Milk and products]])</f>
        <v>1</v>
      </c>
      <c r="AP220">
        <f>TYPE(All_India_Index_Upto_April23__1[[#This Row],[Oils and fats]])</f>
        <v>1</v>
      </c>
      <c r="AQ220">
        <f>TYPE(All_India_Index_Upto_April23__1[[#This Row],[Fruits]])</f>
        <v>1</v>
      </c>
      <c r="AR220">
        <f>TYPE(All_India_Index_Upto_April23__1[[#This Row],[Vegetables]])</f>
        <v>1</v>
      </c>
      <c r="AS220">
        <f>TYPE(All_India_Index_Upto_April23__1[[#This Row],[Pulses and products]])</f>
        <v>1</v>
      </c>
      <c r="AT220">
        <f>TYPE(All_India_Index_Upto_April23__1[[#This Row],[Sugar and Confectionery]])</f>
        <v>1</v>
      </c>
      <c r="AU220">
        <f>TYPE(All_India_Index_Upto_April23__1[[#This Row],[Spices]])</f>
        <v>1</v>
      </c>
      <c r="AV220">
        <f>TYPE(All_India_Index_Upto_April23__1[[#This Row],[Non-alcoholic beverages]])</f>
        <v>1</v>
      </c>
      <c r="AW220">
        <f>TYPE(All_India_Index_Upto_April23__1[[#This Row],[Prepared meals, snacks, sweets etc.]])</f>
        <v>1</v>
      </c>
      <c r="AX220">
        <f>TYPE(All_India_Index_Upto_April23__1[[#This Row],[Food and beverages]])</f>
        <v>1</v>
      </c>
      <c r="AY220">
        <f>TYPE(All_India_Index_Upto_April23__1[[#This Row],[Pan, tobacco and intoxicants]])</f>
        <v>1</v>
      </c>
      <c r="AZ220">
        <f>TYPE(All_India_Index_Upto_April23__1[[#This Row],[Clothing]])</f>
        <v>1</v>
      </c>
      <c r="BA220">
        <f>TYPE(All_India_Index_Upto_April23__1[[#This Row],[Footwear]])</f>
        <v>1</v>
      </c>
      <c r="BB220">
        <f>TYPE(All_India_Index_Upto_April23__1[[#This Row],[Clothing and footwear]])</f>
        <v>1</v>
      </c>
      <c r="BC220">
        <f>TYPE(All_India_Index_Upto_April23__1[[#This Row],[Housing]])</f>
        <v>2</v>
      </c>
      <c r="BD220">
        <f>TYPE(All_India_Index_Upto_April23__1[[#This Row],[Fuel and light]])</f>
        <v>1</v>
      </c>
      <c r="BE220">
        <f>TYPE(All_India_Index_Upto_April23__1[[#This Row],[Household goods and services]])</f>
        <v>1</v>
      </c>
      <c r="BF220">
        <f>TYPE(All_India_Index_Upto_April23__1[[#This Row],[Health]])</f>
        <v>1</v>
      </c>
      <c r="BG220">
        <f>TYPE(All_India_Index_Upto_April23__1[[#This Row],[Transport and communication]])</f>
        <v>1</v>
      </c>
      <c r="BH220">
        <f>TYPE(All_India_Index_Upto_April23__1[[#This Row],[Recreation and amusement]])</f>
        <v>1</v>
      </c>
      <c r="BI220">
        <f>TYPE(All_India_Index_Upto_April23__1[[#This Row],[Education]])</f>
        <v>1</v>
      </c>
      <c r="BJ220">
        <f>TYPE(All_India_Index_Upto_April23__1[[#This Row],[Personal care and effects]])</f>
        <v>1</v>
      </c>
      <c r="BK220">
        <f>TYPE(All_India_Index_Upto_April23__1[[#This Row],[Miscellaneous]])</f>
        <v>1</v>
      </c>
      <c r="BL220">
        <f>TYPE(All_India_Index_Upto_April23__1[[#This Row],[General index]])</f>
        <v>1</v>
      </c>
    </row>
    <row r="221" spans="1:64" x14ac:dyDescent="0.3">
      <c r="A221" t="s">
        <v>33</v>
      </c>
      <c r="B221">
        <v>2019</v>
      </c>
      <c r="C221" t="s">
        <v>31</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t="s">
        <v>160</v>
      </c>
      <c r="V221">
        <v>139.5</v>
      </c>
      <c r="W221">
        <v>143.6</v>
      </c>
      <c r="X221">
        <v>145.1</v>
      </c>
      <c r="Y221">
        <v>123.3</v>
      </c>
      <c r="Z221">
        <v>136.69999999999999</v>
      </c>
      <c r="AA221">
        <v>150.19999999999999</v>
      </c>
      <c r="AB221">
        <v>132.80000000000001</v>
      </c>
      <c r="AC221">
        <v>136.9</v>
      </c>
      <c r="AD221">
        <v>139.6</v>
      </c>
      <c r="AE221">
        <f>SUM(All_India_Index_Upto_April23__1[[#This Row],[Cereals and products]:[Food and beverages]])</f>
        <v>1753.3999999999999</v>
      </c>
      <c r="AF221">
        <f>SUM(All_India_Index_Upto_April23__1[[#This Row],[Clothing]:[Clothing and footwear]])</f>
        <v>433</v>
      </c>
      <c r="AG221">
        <f t="shared" si="3"/>
        <v>406.40000000000003</v>
      </c>
      <c r="AI221">
        <f>TYPE(All_India_Index_Upto_April23__1[[#This Row],[Sector]])</f>
        <v>2</v>
      </c>
      <c r="AJ221">
        <f>TYPE(All_India_Index_Upto_April23__1[[#This Row],[Year]])</f>
        <v>1</v>
      </c>
      <c r="AK221">
        <f>TYPE(All_India_Index_Upto_April23__1[[#This Row],[Month]])</f>
        <v>2</v>
      </c>
      <c r="AL221">
        <f>TYPE(All_India_Index_Upto_April23__1[[#This Row],[Cereals and products]])</f>
        <v>1</v>
      </c>
      <c r="AM221">
        <f>TYPE(All_India_Index_Upto_April23__1[[#This Row],[Meat and fish]])</f>
        <v>1</v>
      </c>
      <c r="AN221">
        <f>TYPE(All_India_Index_Upto_April23__1[[#This Row],[Egg]])</f>
        <v>1</v>
      </c>
      <c r="AO221">
        <f>TYPE(All_India_Index_Upto_April23__1[[#This Row],[Milk and products]])</f>
        <v>1</v>
      </c>
      <c r="AP221">
        <f>TYPE(All_India_Index_Upto_April23__1[[#This Row],[Oils and fats]])</f>
        <v>1</v>
      </c>
      <c r="AQ221">
        <f>TYPE(All_India_Index_Upto_April23__1[[#This Row],[Fruits]])</f>
        <v>1</v>
      </c>
      <c r="AR221">
        <f>TYPE(All_India_Index_Upto_April23__1[[#This Row],[Vegetables]])</f>
        <v>1</v>
      </c>
      <c r="AS221">
        <f>TYPE(All_India_Index_Upto_April23__1[[#This Row],[Pulses and products]])</f>
        <v>1</v>
      </c>
      <c r="AT221">
        <f>TYPE(All_India_Index_Upto_April23__1[[#This Row],[Sugar and Confectionery]])</f>
        <v>1</v>
      </c>
      <c r="AU221">
        <f>TYPE(All_India_Index_Upto_April23__1[[#This Row],[Spices]])</f>
        <v>1</v>
      </c>
      <c r="AV221">
        <f>TYPE(All_India_Index_Upto_April23__1[[#This Row],[Non-alcoholic beverages]])</f>
        <v>1</v>
      </c>
      <c r="AW221">
        <f>TYPE(All_India_Index_Upto_April23__1[[#This Row],[Prepared meals, snacks, sweets etc.]])</f>
        <v>1</v>
      </c>
      <c r="AX221">
        <f>TYPE(All_India_Index_Upto_April23__1[[#This Row],[Food and beverages]])</f>
        <v>1</v>
      </c>
      <c r="AY221">
        <f>TYPE(All_India_Index_Upto_April23__1[[#This Row],[Pan, tobacco and intoxicants]])</f>
        <v>1</v>
      </c>
      <c r="AZ221">
        <f>TYPE(All_India_Index_Upto_April23__1[[#This Row],[Clothing]])</f>
        <v>1</v>
      </c>
      <c r="BA221">
        <f>TYPE(All_India_Index_Upto_April23__1[[#This Row],[Footwear]])</f>
        <v>1</v>
      </c>
      <c r="BB221">
        <f>TYPE(All_India_Index_Upto_April23__1[[#This Row],[Clothing and footwear]])</f>
        <v>1</v>
      </c>
      <c r="BC221">
        <f>TYPE(All_India_Index_Upto_April23__1[[#This Row],[Housing]])</f>
        <v>2</v>
      </c>
      <c r="BD221">
        <f>TYPE(All_India_Index_Upto_April23__1[[#This Row],[Fuel and light]])</f>
        <v>1</v>
      </c>
      <c r="BE221">
        <f>TYPE(All_India_Index_Upto_April23__1[[#This Row],[Household goods and services]])</f>
        <v>1</v>
      </c>
      <c r="BF221">
        <f>TYPE(All_India_Index_Upto_April23__1[[#This Row],[Health]])</f>
        <v>1</v>
      </c>
      <c r="BG221">
        <f>TYPE(All_India_Index_Upto_April23__1[[#This Row],[Transport and communication]])</f>
        <v>1</v>
      </c>
      <c r="BH221">
        <f>TYPE(All_India_Index_Upto_April23__1[[#This Row],[Recreation and amusement]])</f>
        <v>1</v>
      </c>
      <c r="BI221">
        <f>TYPE(All_India_Index_Upto_April23__1[[#This Row],[Education]])</f>
        <v>1</v>
      </c>
      <c r="BJ221">
        <f>TYPE(All_India_Index_Upto_April23__1[[#This Row],[Personal care and effects]])</f>
        <v>1</v>
      </c>
      <c r="BK221">
        <f>TYPE(All_India_Index_Upto_April23__1[[#This Row],[Miscellaneous]])</f>
        <v>1</v>
      </c>
      <c r="BL221">
        <f>TYPE(All_India_Index_Upto_April23__1[[#This Row],[General index]])</f>
        <v>1</v>
      </c>
    </row>
    <row r="222" spans="1:64" hidden="1" x14ac:dyDescent="0.3">
      <c r="A222" t="s">
        <v>30</v>
      </c>
      <c r="B222">
        <v>2019</v>
      </c>
      <c r="C222" t="s">
        <v>34</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U222" t="s">
        <v>89</v>
      </c>
      <c r="V222">
        <v>145.30000000000001</v>
      </c>
      <c r="W222">
        <v>150.1</v>
      </c>
      <c r="X222">
        <v>149.9</v>
      </c>
      <c r="Y222">
        <v>129.19999999999999</v>
      </c>
      <c r="Z222">
        <v>143.4</v>
      </c>
      <c r="AA222">
        <v>155.5</v>
      </c>
      <c r="AB222">
        <v>134.9</v>
      </c>
      <c r="AC222">
        <v>142.19999999999999</v>
      </c>
      <c r="AD222">
        <v>141</v>
      </c>
      <c r="AE222">
        <f>SUM(All_India_Index_Upto_April23__1[[#This Row],[Cereals and products]:[Food and beverages]])</f>
        <v>1759.8000000000002</v>
      </c>
      <c r="AF222">
        <f>SUM(All_India_Index_Upto_April23__1[[#This Row],[Clothing]:[Clothing and footwear]])</f>
        <v>446.5</v>
      </c>
      <c r="AG222">
        <f t="shared" si="3"/>
        <v>424.59999999999997</v>
      </c>
      <c r="AI222">
        <f>TYPE(All_India_Index_Upto_April23__1[[#This Row],[Sector]])</f>
        <v>2</v>
      </c>
      <c r="AJ222">
        <f>TYPE(All_India_Index_Upto_April23__1[[#This Row],[Year]])</f>
        <v>1</v>
      </c>
      <c r="AK222">
        <f>TYPE(All_India_Index_Upto_April23__1[[#This Row],[Month]])</f>
        <v>2</v>
      </c>
      <c r="AL222">
        <f>TYPE(All_India_Index_Upto_April23__1[[#This Row],[Cereals and products]])</f>
        <v>1</v>
      </c>
      <c r="AM222">
        <f>TYPE(All_India_Index_Upto_April23__1[[#This Row],[Meat and fish]])</f>
        <v>1</v>
      </c>
      <c r="AN222">
        <f>TYPE(All_India_Index_Upto_April23__1[[#This Row],[Egg]])</f>
        <v>1</v>
      </c>
      <c r="AO222">
        <f>TYPE(All_India_Index_Upto_April23__1[[#This Row],[Milk and products]])</f>
        <v>1</v>
      </c>
      <c r="AP222">
        <f>TYPE(All_India_Index_Upto_April23__1[[#This Row],[Oils and fats]])</f>
        <v>1</v>
      </c>
      <c r="AQ222">
        <f>TYPE(All_India_Index_Upto_April23__1[[#This Row],[Fruits]])</f>
        <v>1</v>
      </c>
      <c r="AR222">
        <f>TYPE(All_India_Index_Upto_April23__1[[#This Row],[Vegetables]])</f>
        <v>1</v>
      </c>
      <c r="AS222">
        <f>TYPE(All_India_Index_Upto_April23__1[[#This Row],[Pulses and products]])</f>
        <v>1</v>
      </c>
      <c r="AT222">
        <f>TYPE(All_India_Index_Upto_April23__1[[#This Row],[Sugar and Confectionery]])</f>
        <v>1</v>
      </c>
      <c r="AU222">
        <f>TYPE(All_India_Index_Upto_April23__1[[#This Row],[Spices]])</f>
        <v>1</v>
      </c>
      <c r="AV222">
        <f>TYPE(All_India_Index_Upto_April23__1[[#This Row],[Non-alcoholic beverages]])</f>
        <v>1</v>
      </c>
      <c r="AW222">
        <f>TYPE(All_India_Index_Upto_April23__1[[#This Row],[Prepared meals, snacks, sweets etc.]])</f>
        <v>1</v>
      </c>
      <c r="AX222">
        <f>TYPE(All_India_Index_Upto_April23__1[[#This Row],[Food and beverages]])</f>
        <v>1</v>
      </c>
      <c r="AY222">
        <f>TYPE(All_India_Index_Upto_April23__1[[#This Row],[Pan, tobacco and intoxicants]])</f>
        <v>1</v>
      </c>
      <c r="AZ222">
        <f>TYPE(All_India_Index_Upto_April23__1[[#This Row],[Clothing]])</f>
        <v>1</v>
      </c>
      <c r="BA222">
        <f>TYPE(All_India_Index_Upto_April23__1[[#This Row],[Footwear]])</f>
        <v>1</v>
      </c>
      <c r="BB222">
        <f>TYPE(All_India_Index_Upto_April23__1[[#This Row],[Clothing and footwear]])</f>
        <v>1</v>
      </c>
      <c r="BC222">
        <f>TYPE(All_India_Index_Upto_April23__1[[#This Row],[Housing]])</f>
        <v>2</v>
      </c>
      <c r="BD222">
        <f>TYPE(All_India_Index_Upto_April23__1[[#This Row],[Fuel and light]])</f>
        <v>1</v>
      </c>
      <c r="BE222">
        <f>TYPE(All_India_Index_Upto_April23__1[[#This Row],[Household goods and services]])</f>
        <v>1</v>
      </c>
      <c r="BF222">
        <f>TYPE(All_India_Index_Upto_April23__1[[#This Row],[Health]])</f>
        <v>1</v>
      </c>
      <c r="BG222">
        <f>TYPE(All_India_Index_Upto_April23__1[[#This Row],[Transport and communication]])</f>
        <v>1</v>
      </c>
      <c r="BH222">
        <f>TYPE(All_India_Index_Upto_April23__1[[#This Row],[Recreation and amusement]])</f>
        <v>1</v>
      </c>
      <c r="BI222">
        <f>TYPE(All_India_Index_Upto_April23__1[[#This Row],[Education]])</f>
        <v>1</v>
      </c>
      <c r="BJ222">
        <f>TYPE(All_India_Index_Upto_April23__1[[#This Row],[Personal care and effects]])</f>
        <v>1</v>
      </c>
      <c r="BK222">
        <f>TYPE(All_India_Index_Upto_April23__1[[#This Row],[Miscellaneous]])</f>
        <v>1</v>
      </c>
      <c r="BL222">
        <f>TYPE(All_India_Index_Upto_April23__1[[#This Row],[General index]])</f>
        <v>1</v>
      </c>
    </row>
    <row r="223" spans="1:64" hidden="1" x14ac:dyDescent="0.3">
      <c r="A223" t="s">
        <v>32</v>
      </c>
      <c r="B223">
        <v>2019</v>
      </c>
      <c r="C223" t="s">
        <v>34</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t="s">
        <v>161</v>
      </c>
      <c r="V223">
        <v>127.1</v>
      </c>
      <c r="W223">
        <v>136.6</v>
      </c>
      <c r="X223">
        <v>138.5</v>
      </c>
      <c r="Y223">
        <v>119.2</v>
      </c>
      <c r="Z223">
        <v>132.19999999999999</v>
      </c>
      <c r="AA223">
        <v>146.6</v>
      </c>
      <c r="AB223">
        <v>133</v>
      </c>
      <c r="AC223">
        <v>132.4</v>
      </c>
      <c r="AD223">
        <v>138.6</v>
      </c>
      <c r="AE223">
        <f>SUM(All_India_Index_Upto_April23__1[[#This Row],[Cereals and products]:[Food and beverages]])</f>
        <v>1754.4</v>
      </c>
      <c r="AF223">
        <f>SUM(All_India_Index_Upto_April23__1[[#This Row],[Clothing]:[Clothing and footwear]])</f>
        <v>415.5</v>
      </c>
      <c r="AG223">
        <f t="shared" si="3"/>
        <v>382.9</v>
      </c>
      <c r="AI223">
        <f>TYPE(All_India_Index_Upto_April23__1[[#This Row],[Sector]])</f>
        <v>2</v>
      </c>
      <c r="AJ223">
        <f>TYPE(All_India_Index_Upto_April23__1[[#This Row],[Year]])</f>
        <v>1</v>
      </c>
      <c r="AK223">
        <f>TYPE(All_India_Index_Upto_April23__1[[#This Row],[Month]])</f>
        <v>2</v>
      </c>
      <c r="AL223">
        <f>TYPE(All_India_Index_Upto_April23__1[[#This Row],[Cereals and products]])</f>
        <v>1</v>
      </c>
      <c r="AM223">
        <f>TYPE(All_India_Index_Upto_April23__1[[#This Row],[Meat and fish]])</f>
        <v>1</v>
      </c>
      <c r="AN223">
        <f>TYPE(All_India_Index_Upto_April23__1[[#This Row],[Egg]])</f>
        <v>1</v>
      </c>
      <c r="AO223">
        <f>TYPE(All_India_Index_Upto_April23__1[[#This Row],[Milk and products]])</f>
        <v>1</v>
      </c>
      <c r="AP223">
        <f>TYPE(All_India_Index_Upto_April23__1[[#This Row],[Oils and fats]])</f>
        <v>1</v>
      </c>
      <c r="AQ223">
        <f>TYPE(All_India_Index_Upto_April23__1[[#This Row],[Fruits]])</f>
        <v>1</v>
      </c>
      <c r="AR223">
        <f>TYPE(All_India_Index_Upto_April23__1[[#This Row],[Vegetables]])</f>
        <v>1</v>
      </c>
      <c r="AS223">
        <f>TYPE(All_India_Index_Upto_April23__1[[#This Row],[Pulses and products]])</f>
        <v>1</v>
      </c>
      <c r="AT223">
        <f>TYPE(All_India_Index_Upto_April23__1[[#This Row],[Sugar and Confectionery]])</f>
        <v>1</v>
      </c>
      <c r="AU223">
        <f>TYPE(All_India_Index_Upto_April23__1[[#This Row],[Spices]])</f>
        <v>1</v>
      </c>
      <c r="AV223">
        <f>TYPE(All_India_Index_Upto_April23__1[[#This Row],[Non-alcoholic beverages]])</f>
        <v>1</v>
      </c>
      <c r="AW223">
        <f>TYPE(All_India_Index_Upto_April23__1[[#This Row],[Prepared meals, snacks, sweets etc.]])</f>
        <v>1</v>
      </c>
      <c r="AX223">
        <f>TYPE(All_India_Index_Upto_April23__1[[#This Row],[Food and beverages]])</f>
        <v>1</v>
      </c>
      <c r="AY223">
        <f>TYPE(All_India_Index_Upto_April23__1[[#This Row],[Pan, tobacco and intoxicants]])</f>
        <v>1</v>
      </c>
      <c r="AZ223">
        <f>TYPE(All_India_Index_Upto_April23__1[[#This Row],[Clothing]])</f>
        <v>1</v>
      </c>
      <c r="BA223">
        <f>TYPE(All_India_Index_Upto_April23__1[[#This Row],[Footwear]])</f>
        <v>1</v>
      </c>
      <c r="BB223">
        <f>TYPE(All_India_Index_Upto_April23__1[[#This Row],[Clothing and footwear]])</f>
        <v>1</v>
      </c>
      <c r="BC223">
        <f>TYPE(All_India_Index_Upto_April23__1[[#This Row],[Housing]])</f>
        <v>2</v>
      </c>
      <c r="BD223">
        <f>TYPE(All_India_Index_Upto_April23__1[[#This Row],[Fuel and light]])</f>
        <v>1</v>
      </c>
      <c r="BE223">
        <f>TYPE(All_India_Index_Upto_April23__1[[#This Row],[Household goods and services]])</f>
        <v>1</v>
      </c>
      <c r="BF223">
        <f>TYPE(All_India_Index_Upto_April23__1[[#This Row],[Health]])</f>
        <v>1</v>
      </c>
      <c r="BG223">
        <f>TYPE(All_India_Index_Upto_April23__1[[#This Row],[Transport and communication]])</f>
        <v>1</v>
      </c>
      <c r="BH223">
        <f>TYPE(All_India_Index_Upto_April23__1[[#This Row],[Recreation and amusement]])</f>
        <v>1</v>
      </c>
      <c r="BI223">
        <f>TYPE(All_India_Index_Upto_April23__1[[#This Row],[Education]])</f>
        <v>1</v>
      </c>
      <c r="BJ223">
        <f>TYPE(All_India_Index_Upto_April23__1[[#This Row],[Personal care and effects]])</f>
        <v>1</v>
      </c>
      <c r="BK223">
        <f>TYPE(All_India_Index_Upto_April23__1[[#This Row],[Miscellaneous]])</f>
        <v>1</v>
      </c>
      <c r="BL223">
        <f>TYPE(All_India_Index_Upto_April23__1[[#This Row],[General index]])</f>
        <v>1</v>
      </c>
    </row>
    <row r="224" spans="1:64" x14ac:dyDescent="0.3">
      <c r="A224" t="s">
        <v>33</v>
      </c>
      <c r="B224">
        <v>2019</v>
      </c>
      <c r="C224" t="s">
        <v>34</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t="s">
        <v>161</v>
      </c>
      <c r="V224">
        <v>138.4</v>
      </c>
      <c r="W224">
        <v>143.69999999999999</v>
      </c>
      <c r="X224">
        <v>145.6</v>
      </c>
      <c r="Y224">
        <v>123.9</v>
      </c>
      <c r="Z224">
        <v>137.1</v>
      </c>
      <c r="AA224">
        <v>150.30000000000001</v>
      </c>
      <c r="AB224">
        <v>134.1</v>
      </c>
      <c r="AC224">
        <v>137.4</v>
      </c>
      <c r="AD224">
        <v>139.9</v>
      </c>
      <c r="AE224">
        <f>SUM(All_India_Index_Upto_April23__1[[#This Row],[Cereals and products]:[Food and beverages]])</f>
        <v>1757.1</v>
      </c>
      <c r="AF224">
        <f>SUM(All_India_Index_Upto_April23__1[[#This Row],[Clothing]:[Clothing and footwear]])</f>
        <v>433.9</v>
      </c>
      <c r="AG224">
        <f t="shared" si="3"/>
        <v>406</v>
      </c>
      <c r="AI224">
        <f>TYPE(All_India_Index_Upto_April23__1[[#This Row],[Sector]])</f>
        <v>2</v>
      </c>
      <c r="AJ224">
        <f>TYPE(All_India_Index_Upto_April23__1[[#This Row],[Year]])</f>
        <v>1</v>
      </c>
      <c r="AK224">
        <f>TYPE(All_India_Index_Upto_April23__1[[#This Row],[Month]])</f>
        <v>2</v>
      </c>
      <c r="AL224">
        <f>TYPE(All_India_Index_Upto_April23__1[[#This Row],[Cereals and products]])</f>
        <v>1</v>
      </c>
      <c r="AM224">
        <f>TYPE(All_India_Index_Upto_April23__1[[#This Row],[Meat and fish]])</f>
        <v>1</v>
      </c>
      <c r="AN224">
        <f>TYPE(All_India_Index_Upto_April23__1[[#This Row],[Egg]])</f>
        <v>1</v>
      </c>
      <c r="AO224">
        <f>TYPE(All_India_Index_Upto_April23__1[[#This Row],[Milk and products]])</f>
        <v>1</v>
      </c>
      <c r="AP224">
        <f>TYPE(All_India_Index_Upto_April23__1[[#This Row],[Oils and fats]])</f>
        <v>1</v>
      </c>
      <c r="AQ224">
        <f>TYPE(All_India_Index_Upto_April23__1[[#This Row],[Fruits]])</f>
        <v>1</v>
      </c>
      <c r="AR224">
        <f>TYPE(All_India_Index_Upto_April23__1[[#This Row],[Vegetables]])</f>
        <v>1</v>
      </c>
      <c r="AS224">
        <f>TYPE(All_India_Index_Upto_April23__1[[#This Row],[Pulses and products]])</f>
        <v>1</v>
      </c>
      <c r="AT224">
        <f>TYPE(All_India_Index_Upto_April23__1[[#This Row],[Sugar and Confectionery]])</f>
        <v>1</v>
      </c>
      <c r="AU224">
        <f>TYPE(All_India_Index_Upto_April23__1[[#This Row],[Spices]])</f>
        <v>1</v>
      </c>
      <c r="AV224">
        <f>TYPE(All_India_Index_Upto_April23__1[[#This Row],[Non-alcoholic beverages]])</f>
        <v>1</v>
      </c>
      <c r="AW224">
        <f>TYPE(All_India_Index_Upto_April23__1[[#This Row],[Prepared meals, snacks, sweets etc.]])</f>
        <v>1</v>
      </c>
      <c r="AX224">
        <f>TYPE(All_India_Index_Upto_April23__1[[#This Row],[Food and beverages]])</f>
        <v>1</v>
      </c>
      <c r="AY224">
        <f>TYPE(All_India_Index_Upto_April23__1[[#This Row],[Pan, tobacco and intoxicants]])</f>
        <v>1</v>
      </c>
      <c r="AZ224">
        <f>TYPE(All_India_Index_Upto_April23__1[[#This Row],[Clothing]])</f>
        <v>1</v>
      </c>
      <c r="BA224">
        <f>TYPE(All_India_Index_Upto_April23__1[[#This Row],[Footwear]])</f>
        <v>1</v>
      </c>
      <c r="BB224">
        <f>TYPE(All_India_Index_Upto_April23__1[[#This Row],[Clothing and footwear]])</f>
        <v>1</v>
      </c>
      <c r="BC224">
        <f>TYPE(All_India_Index_Upto_April23__1[[#This Row],[Housing]])</f>
        <v>2</v>
      </c>
      <c r="BD224">
        <f>TYPE(All_India_Index_Upto_April23__1[[#This Row],[Fuel and light]])</f>
        <v>1</v>
      </c>
      <c r="BE224">
        <f>TYPE(All_India_Index_Upto_April23__1[[#This Row],[Household goods and services]])</f>
        <v>1</v>
      </c>
      <c r="BF224">
        <f>TYPE(All_India_Index_Upto_April23__1[[#This Row],[Health]])</f>
        <v>1</v>
      </c>
      <c r="BG224">
        <f>TYPE(All_India_Index_Upto_April23__1[[#This Row],[Transport and communication]])</f>
        <v>1</v>
      </c>
      <c r="BH224">
        <f>TYPE(All_India_Index_Upto_April23__1[[#This Row],[Recreation and amusement]])</f>
        <v>1</v>
      </c>
      <c r="BI224">
        <f>TYPE(All_India_Index_Upto_April23__1[[#This Row],[Education]])</f>
        <v>1</v>
      </c>
      <c r="BJ224">
        <f>TYPE(All_India_Index_Upto_April23__1[[#This Row],[Personal care and effects]])</f>
        <v>1</v>
      </c>
      <c r="BK224">
        <f>TYPE(All_India_Index_Upto_April23__1[[#This Row],[Miscellaneous]])</f>
        <v>1</v>
      </c>
      <c r="BL224">
        <f>TYPE(All_India_Index_Upto_April23__1[[#This Row],[General index]])</f>
        <v>1</v>
      </c>
    </row>
    <row r="225" spans="1:64" hidden="1" x14ac:dyDescent="0.3">
      <c r="A225" t="s">
        <v>30</v>
      </c>
      <c r="B225">
        <v>2019</v>
      </c>
      <c r="C225" t="s">
        <v>35</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U225" t="s">
        <v>89</v>
      </c>
      <c r="V225">
        <v>146.4</v>
      </c>
      <c r="W225">
        <v>150</v>
      </c>
      <c r="X225">
        <v>150.4</v>
      </c>
      <c r="Y225">
        <v>129.9</v>
      </c>
      <c r="Z225">
        <v>143.80000000000001</v>
      </c>
      <c r="AA225">
        <v>155.5</v>
      </c>
      <c r="AB225">
        <v>134</v>
      </c>
      <c r="AC225">
        <v>142.4</v>
      </c>
      <c r="AD225">
        <v>141.19999999999999</v>
      </c>
      <c r="AE225">
        <f>SUM(All_India_Index_Upto_April23__1[[#This Row],[Cereals and products]:[Food and beverages]])</f>
        <v>1761.2000000000003</v>
      </c>
      <c r="AF225">
        <f>SUM(All_India_Index_Upto_April23__1[[#This Row],[Clothing]:[Clothing and footwear]])</f>
        <v>447</v>
      </c>
      <c r="AG225">
        <f t="shared" si="3"/>
        <v>426.29999999999995</v>
      </c>
      <c r="AI225">
        <f>TYPE(All_India_Index_Upto_April23__1[[#This Row],[Sector]])</f>
        <v>2</v>
      </c>
      <c r="AJ225">
        <f>TYPE(All_India_Index_Upto_April23__1[[#This Row],[Year]])</f>
        <v>1</v>
      </c>
      <c r="AK225">
        <f>TYPE(All_India_Index_Upto_April23__1[[#This Row],[Month]])</f>
        <v>2</v>
      </c>
      <c r="AL225">
        <f>TYPE(All_India_Index_Upto_April23__1[[#This Row],[Cereals and products]])</f>
        <v>1</v>
      </c>
      <c r="AM225">
        <f>TYPE(All_India_Index_Upto_April23__1[[#This Row],[Meat and fish]])</f>
        <v>1</v>
      </c>
      <c r="AN225">
        <f>TYPE(All_India_Index_Upto_April23__1[[#This Row],[Egg]])</f>
        <v>1</v>
      </c>
      <c r="AO225">
        <f>TYPE(All_India_Index_Upto_April23__1[[#This Row],[Milk and products]])</f>
        <v>1</v>
      </c>
      <c r="AP225">
        <f>TYPE(All_India_Index_Upto_April23__1[[#This Row],[Oils and fats]])</f>
        <v>1</v>
      </c>
      <c r="AQ225">
        <f>TYPE(All_India_Index_Upto_April23__1[[#This Row],[Fruits]])</f>
        <v>1</v>
      </c>
      <c r="AR225">
        <f>TYPE(All_India_Index_Upto_April23__1[[#This Row],[Vegetables]])</f>
        <v>1</v>
      </c>
      <c r="AS225">
        <f>TYPE(All_India_Index_Upto_April23__1[[#This Row],[Pulses and products]])</f>
        <v>1</v>
      </c>
      <c r="AT225">
        <f>TYPE(All_India_Index_Upto_April23__1[[#This Row],[Sugar and Confectionery]])</f>
        <v>1</v>
      </c>
      <c r="AU225">
        <f>TYPE(All_India_Index_Upto_April23__1[[#This Row],[Spices]])</f>
        <v>1</v>
      </c>
      <c r="AV225">
        <f>TYPE(All_India_Index_Upto_April23__1[[#This Row],[Non-alcoholic beverages]])</f>
        <v>1</v>
      </c>
      <c r="AW225">
        <f>TYPE(All_India_Index_Upto_April23__1[[#This Row],[Prepared meals, snacks, sweets etc.]])</f>
        <v>1</v>
      </c>
      <c r="AX225">
        <f>TYPE(All_India_Index_Upto_April23__1[[#This Row],[Food and beverages]])</f>
        <v>1</v>
      </c>
      <c r="AY225">
        <f>TYPE(All_India_Index_Upto_April23__1[[#This Row],[Pan, tobacco and intoxicants]])</f>
        <v>1</v>
      </c>
      <c r="AZ225">
        <f>TYPE(All_India_Index_Upto_April23__1[[#This Row],[Clothing]])</f>
        <v>1</v>
      </c>
      <c r="BA225">
        <f>TYPE(All_India_Index_Upto_April23__1[[#This Row],[Footwear]])</f>
        <v>1</v>
      </c>
      <c r="BB225">
        <f>TYPE(All_India_Index_Upto_April23__1[[#This Row],[Clothing and footwear]])</f>
        <v>1</v>
      </c>
      <c r="BC225">
        <f>TYPE(All_India_Index_Upto_April23__1[[#This Row],[Housing]])</f>
        <v>2</v>
      </c>
      <c r="BD225">
        <f>TYPE(All_India_Index_Upto_April23__1[[#This Row],[Fuel and light]])</f>
        <v>1</v>
      </c>
      <c r="BE225">
        <f>TYPE(All_India_Index_Upto_April23__1[[#This Row],[Household goods and services]])</f>
        <v>1</v>
      </c>
      <c r="BF225">
        <f>TYPE(All_India_Index_Upto_April23__1[[#This Row],[Health]])</f>
        <v>1</v>
      </c>
      <c r="BG225">
        <f>TYPE(All_India_Index_Upto_April23__1[[#This Row],[Transport and communication]])</f>
        <v>1</v>
      </c>
      <c r="BH225">
        <f>TYPE(All_India_Index_Upto_April23__1[[#This Row],[Recreation and amusement]])</f>
        <v>1</v>
      </c>
      <c r="BI225">
        <f>TYPE(All_India_Index_Upto_April23__1[[#This Row],[Education]])</f>
        <v>1</v>
      </c>
      <c r="BJ225">
        <f>TYPE(All_India_Index_Upto_April23__1[[#This Row],[Personal care and effects]])</f>
        <v>1</v>
      </c>
      <c r="BK225">
        <f>TYPE(All_India_Index_Upto_April23__1[[#This Row],[Miscellaneous]])</f>
        <v>1</v>
      </c>
      <c r="BL225">
        <f>TYPE(All_India_Index_Upto_April23__1[[#This Row],[General index]])</f>
        <v>1</v>
      </c>
    </row>
    <row r="226" spans="1:64" hidden="1" x14ac:dyDescent="0.3">
      <c r="A226" t="s">
        <v>32</v>
      </c>
      <c r="B226">
        <v>2019</v>
      </c>
      <c r="C226" t="s">
        <v>35</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t="s">
        <v>162</v>
      </c>
      <c r="V226">
        <v>128.80000000000001</v>
      </c>
      <c r="W226">
        <v>136.80000000000001</v>
      </c>
      <c r="X226">
        <v>139.19999999999999</v>
      </c>
      <c r="Y226">
        <v>119.9</v>
      </c>
      <c r="Z226">
        <v>133</v>
      </c>
      <c r="AA226">
        <v>146.69999999999999</v>
      </c>
      <c r="AB226">
        <v>132.5</v>
      </c>
      <c r="AC226">
        <v>132.80000000000001</v>
      </c>
      <c r="AD226">
        <v>139.5</v>
      </c>
      <c r="AE226">
        <f>SUM(All_India_Index_Upto_April23__1[[#This Row],[Cereals and products]:[Food and beverages]])</f>
        <v>1768.4</v>
      </c>
      <c r="AF226">
        <f>SUM(All_India_Index_Upto_April23__1[[#This Row],[Clothing]:[Clothing and footwear]])</f>
        <v>416.29999999999995</v>
      </c>
      <c r="AG226">
        <f t="shared" si="3"/>
        <v>385.5</v>
      </c>
      <c r="AI226">
        <f>TYPE(All_India_Index_Upto_April23__1[[#This Row],[Sector]])</f>
        <v>2</v>
      </c>
      <c r="AJ226">
        <f>TYPE(All_India_Index_Upto_April23__1[[#This Row],[Year]])</f>
        <v>1</v>
      </c>
      <c r="AK226">
        <f>TYPE(All_India_Index_Upto_April23__1[[#This Row],[Month]])</f>
        <v>2</v>
      </c>
      <c r="AL226">
        <f>TYPE(All_India_Index_Upto_April23__1[[#This Row],[Cereals and products]])</f>
        <v>1</v>
      </c>
      <c r="AM226">
        <f>TYPE(All_India_Index_Upto_April23__1[[#This Row],[Meat and fish]])</f>
        <v>1</v>
      </c>
      <c r="AN226">
        <f>TYPE(All_India_Index_Upto_April23__1[[#This Row],[Egg]])</f>
        <v>1</v>
      </c>
      <c r="AO226">
        <f>TYPE(All_India_Index_Upto_April23__1[[#This Row],[Milk and products]])</f>
        <v>1</v>
      </c>
      <c r="AP226">
        <f>TYPE(All_India_Index_Upto_April23__1[[#This Row],[Oils and fats]])</f>
        <v>1</v>
      </c>
      <c r="AQ226">
        <f>TYPE(All_India_Index_Upto_April23__1[[#This Row],[Fruits]])</f>
        <v>1</v>
      </c>
      <c r="AR226">
        <f>TYPE(All_India_Index_Upto_April23__1[[#This Row],[Vegetables]])</f>
        <v>1</v>
      </c>
      <c r="AS226">
        <f>TYPE(All_India_Index_Upto_April23__1[[#This Row],[Pulses and products]])</f>
        <v>1</v>
      </c>
      <c r="AT226">
        <f>TYPE(All_India_Index_Upto_April23__1[[#This Row],[Sugar and Confectionery]])</f>
        <v>1</v>
      </c>
      <c r="AU226">
        <f>TYPE(All_India_Index_Upto_April23__1[[#This Row],[Spices]])</f>
        <v>1</v>
      </c>
      <c r="AV226">
        <f>TYPE(All_India_Index_Upto_April23__1[[#This Row],[Non-alcoholic beverages]])</f>
        <v>1</v>
      </c>
      <c r="AW226">
        <f>TYPE(All_India_Index_Upto_April23__1[[#This Row],[Prepared meals, snacks, sweets etc.]])</f>
        <v>1</v>
      </c>
      <c r="AX226">
        <f>TYPE(All_India_Index_Upto_April23__1[[#This Row],[Food and beverages]])</f>
        <v>1</v>
      </c>
      <c r="AY226">
        <f>TYPE(All_India_Index_Upto_April23__1[[#This Row],[Pan, tobacco and intoxicants]])</f>
        <v>1</v>
      </c>
      <c r="AZ226">
        <f>TYPE(All_India_Index_Upto_April23__1[[#This Row],[Clothing]])</f>
        <v>1</v>
      </c>
      <c r="BA226">
        <f>TYPE(All_India_Index_Upto_April23__1[[#This Row],[Footwear]])</f>
        <v>1</v>
      </c>
      <c r="BB226">
        <f>TYPE(All_India_Index_Upto_April23__1[[#This Row],[Clothing and footwear]])</f>
        <v>1</v>
      </c>
      <c r="BC226">
        <f>TYPE(All_India_Index_Upto_April23__1[[#This Row],[Housing]])</f>
        <v>2</v>
      </c>
      <c r="BD226">
        <f>TYPE(All_India_Index_Upto_April23__1[[#This Row],[Fuel and light]])</f>
        <v>1</v>
      </c>
      <c r="BE226">
        <f>TYPE(All_India_Index_Upto_April23__1[[#This Row],[Household goods and services]])</f>
        <v>1</v>
      </c>
      <c r="BF226">
        <f>TYPE(All_India_Index_Upto_April23__1[[#This Row],[Health]])</f>
        <v>1</v>
      </c>
      <c r="BG226">
        <f>TYPE(All_India_Index_Upto_April23__1[[#This Row],[Transport and communication]])</f>
        <v>1</v>
      </c>
      <c r="BH226">
        <f>TYPE(All_India_Index_Upto_April23__1[[#This Row],[Recreation and amusement]])</f>
        <v>1</v>
      </c>
      <c r="BI226">
        <f>TYPE(All_India_Index_Upto_April23__1[[#This Row],[Education]])</f>
        <v>1</v>
      </c>
      <c r="BJ226">
        <f>TYPE(All_India_Index_Upto_April23__1[[#This Row],[Personal care and effects]])</f>
        <v>1</v>
      </c>
      <c r="BK226">
        <f>TYPE(All_India_Index_Upto_April23__1[[#This Row],[Miscellaneous]])</f>
        <v>1</v>
      </c>
      <c r="BL226">
        <f>TYPE(All_India_Index_Upto_April23__1[[#This Row],[General index]])</f>
        <v>1</v>
      </c>
    </row>
    <row r="227" spans="1:64" x14ac:dyDescent="0.3">
      <c r="A227" t="s">
        <v>33</v>
      </c>
      <c r="B227">
        <v>2019</v>
      </c>
      <c r="C227" t="s">
        <v>35</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t="s">
        <v>162</v>
      </c>
      <c r="V227">
        <v>139.69999999999999</v>
      </c>
      <c r="W227">
        <v>143.80000000000001</v>
      </c>
      <c r="X227">
        <v>146.19999999999999</v>
      </c>
      <c r="Y227">
        <v>124.6</v>
      </c>
      <c r="Z227">
        <v>137.69999999999999</v>
      </c>
      <c r="AA227">
        <v>150.30000000000001</v>
      </c>
      <c r="AB227">
        <v>133.4</v>
      </c>
      <c r="AC227">
        <v>137.69999999999999</v>
      </c>
      <c r="AD227">
        <v>140.4</v>
      </c>
      <c r="AE227">
        <f>SUM(All_India_Index_Upto_April23__1[[#This Row],[Cereals and products]:[Food and beverages]])</f>
        <v>1762.9</v>
      </c>
      <c r="AF227">
        <f>SUM(All_India_Index_Upto_April23__1[[#This Row],[Clothing]:[Clothing and footwear]])</f>
        <v>434.5</v>
      </c>
      <c r="AG227">
        <f t="shared" si="3"/>
        <v>408.1</v>
      </c>
      <c r="AI227">
        <f>TYPE(All_India_Index_Upto_April23__1[[#This Row],[Sector]])</f>
        <v>2</v>
      </c>
      <c r="AJ227">
        <f>TYPE(All_India_Index_Upto_April23__1[[#This Row],[Year]])</f>
        <v>1</v>
      </c>
      <c r="AK227">
        <f>TYPE(All_India_Index_Upto_April23__1[[#This Row],[Month]])</f>
        <v>2</v>
      </c>
      <c r="AL227">
        <f>TYPE(All_India_Index_Upto_April23__1[[#This Row],[Cereals and products]])</f>
        <v>1</v>
      </c>
      <c r="AM227">
        <f>TYPE(All_India_Index_Upto_April23__1[[#This Row],[Meat and fish]])</f>
        <v>1</v>
      </c>
      <c r="AN227">
        <f>TYPE(All_India_Index_Upto_April23__1[[#This Row],[Egg]])</f>
        <v>1</v>
      </c>
      <c r="AO227">
        <f>TYPE(All_India_Index_Upto_April23__1[[#This Row],[Milk and products]])</f>
        <v>1</v>
      </c>
      <c r="AP227">
        <f>TYPE(All_India_Index_Upto_April23__1[[#This Row],[Oils and fats]])</f>
        <v>1</v>
      </c>
      <c r="AQ227">
        <f>TYPE(All_India_Index_Upto_April23__1[[#This Row],[Fruits]])</f>
        <v>1</v>
      </c>
      <c r="AR227">
        <f>TYPE(All_India_Index_Upto_April23__1[[#This Row],[Vegetables]])</f>
        <v>1</v>
      </c>
      <c r="AS227">
        <f>TYPE(All_India_Index_Upto_April23__1[[#This Row],[Pulses and products]])</f>
        <v>1</v>
      </c>
      <c r="AT227">
        <f>TYPE(All_India_Index_Upto_April23__1[[#This Row],[Sugar and Confectionery]])</f>
        <v>1</v>
      </c>
      <c r="AU227">
        <f>TYPE(All_India_Index_Upto_April23__1[[#This Row],[Spices]])</f>
        <v>1</v>
      </c>
      <c r="AV227">
        <f>TYPE(All_India_Index_Upto_April23__1[[#This Row],[Non-alcoholic beverages]])</f>
        <v>1</v>
      </c>
      <c r="AW227">
        <f>TYPE(All_India_Index_Upto_April23__1[[#This Row],[Prepared meals, snacks, sweets etc.]])</f>
        <v>1</v>
      </c>
      <c r="AX227">
        <f>TYPE(All_India_Index_Upto_April23__1[[#This Row],[Food and beverages]])</f>
        <v>1</v>
      </c>
      <c r="AY227">
        <f>TYPE(All_India_Index_Upto_April23__1[[#This Row],[Pan, tobacco and intoxicants]])</f>
        <v>1</v>
      </c>
      <c r="AZ227">
        <f>TYPE(All_India_Index_Upto_April23__1[[#This Row],[Clothing]])</f>
        <v>1</v>
      </c>
      <c r="BA227">
        <f>TYPE(All_India_Index_Upto_April23__1[[#This Row],[Footwear]])</f>
        <v>1</v>
      </c>
      <c r="BB227">
        <f>TYPE(All_India_Index_Upto_April23__1[[#This Row],[Clothing and footwear]])</f>
        <v>1</v>
      </c>
      <c r="BC227">
        <f>TYPE(All_India_Index_Upto_April23__1[[#This Row],[Housing]])</f>
        <v>2</v>
      </c>
      <c r="BD227">
        <f>TYPE(All_India_Index_Upto_April23__1[[#This Row],[Fuel and light]])</f>
        <v>1</v>
      </c>
      <c r="BE227">
        <f>TYPE(All_India_Index_Upto_April23__1[[#This Row],[Household goods and services]])</f>
        <v>1</v>
      </c>
      <c r="BF227">
        <f>TYPE(All_India_Index_Upto_April23__1[[#This Row],[Health]])</f>
        <v>1</v>
      </c>
      <c r="BG227">
        <f>TYPE(All_India_Index_Upto_April23__1[[#This Row],[Transport and communication]])</f>
        <v>1</v>
      </c>
      <c r="BH227">
        <f>TYPE(All_India_Index_Upto_April23__1[[#This Row],[Recreation and amusement]])</f>
        <v>1</v>
      </c>
      <c r="BI227">
        <f>TYPE(All_India_Index_Upto_April23__1[[#This Row],[Education]])</f>
        <v>1</v>
      </c>
      <c r="BJ227">
        <f>TYPE(All_India_Index_Upto_April23__1[[#This Row],[Personal care and effects]])</f>
        <v>1</v>
      </c>
      <c r="BK227">
        <f>TYPE(All_India_Index_Upto_April23__1[[#This Row],[Miscellaneous]])</f>
        <v>1</v>
      </c>
      <c r="BL227">
        <f>TYPE(All_India_Index_Upto_April23__1[[#This Row],[General index]])</f>
        <v>1</v>
      </c>
    </row>
    <row r="228" spans="1:64" hidden="1" x14ac:dyDescent="0.3">
      <c r="A228" t="s">
        <v>30</v>
      </c>
      <c r="B228">
        <v>2019</v>
      </c>
      <c r="C228" t="s">
        <v>37</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U228" t="s">
        <v>89</v>
      </c>
      <c r="V228">
        <v>146.9</v>
      </c>
      <c r="W228">
        <v>149.5</v>
      </c>
      <c r="X228">
        <v>151.30000000000001</v>
      </c>
      <c r="Y228">
        <v>130.19999999999999</v>
      </c>
      <c r="Z228">
        <v>145.9</v>
      </c>
      <c r="AA228">
        <v>156.69999999999999</v>
      </c>
      <c r="AB228">
        <v>133.9</v>
      </c>
      <c r="AC228">
        <v>142.9</v>
      </c>
      <c r="AD228">
        <v>142.4</v>
      </c>
      <c r="AE228">
        <f>SUM(All_India_Index_Upto_April23__1[[#This Row],[Cereals and products]:[Food and beverages]])</f>
        <v>1782.1000000000001</v>
      </c>
      <c r="AF228">
        <f>SUM(All_India_Index_Upto_April23__1[[#This Row],[Clothing]:[Clothing and footwear]])</f>
        <v>448.59999999999997</v>
      </c>
      <c r="AG228">
        <f t="shared" si="3"/>
        <v>426.59999999999997</v>
      </c>
      <c r="AI228">
        <f>TYPE(All_India_Index_Upto_April23__1[[#This Row],[Sector]])</f>
        <v>2</v>
      </c>
      <c r="AJ228">
        <f>TYPE(All_India_Index_Upto_April23__1[[#This Row],[Year]])</f>
        <v>1</v>
      </c>
      <c r="AK228">
        <f>TYPE(All_India_Index_Upto_April23__1[[#This Row],[Month]])</f>
        <v>2</v>
      </c>
      <c r="AL228">
        <f>TYPE(All_India_Index_Upto_April23__1[[#This Row],[Cereals and products]])</f>
        <v>1</v>
      </c>
      <c r="AM228">
        <f>TYPE(All_India_Index_Upto_April23__1[[#This Row],[Meat and fish]])</f>
        <v>1</v>
      </c>
      <c r="AN228">
        <f>TYPE(All_India_Index_Upto_April23__1[[#This Row],[Egg]])</f>
        <v>1</v>
      </c>
      <c r="AO228">
        <f>TYPE(All_India_Index_Upto_April23__1[[#This Row],[Milk and products]])</f>
        <v>1</v>
      </c>
      <c r="AP228">
        <f>TYPE(All_India_Index_Upto_April23__1[[#This Row],[Oils and fats]])</f>
        <v>1</v>
      </c>
      <c r="AQ228">
        <f>TYPE(All_India_Index_Upto_April23__1[[#This Row],[Fruits]])</f>
        <v>1</v>
      </c>
      <c r="AR228">
        <f>TYPE(All_India_Index_Upto_April23__1[[#This Row],[Vegetables]])</f>
        <v>1</v>
      </c>
      <c r="AS228">
        <f>TYPE(All_India_Index_Upto_April23__1[[#This Row],[Pulses and products]])</f>
        <v>1</v>
      </c>
      <c r="AT228">
        <f>TYPE(All_India_Index_Upto_April23__1[[#This Row],[Sugar and Confectionery]])</f>
        <v>1</v>
      </c>
      <c r="AU228">
        <f>TYPE(All_India_Index_Upto_April23__1[[#This Row],[Spices]])</f>
        <v>1</v>
      </c>
      <c r="AV228">
        <f>TYPE(All_India_Index_Upto_April23__1[[#This Row],[Non-alcoholic beverages]])</f>
        <v>1</v>
      </c>
      <c r="AW228">
        <f>TYPE(All_India_Index_Upto_April23__1[[#This Row],[Prepared meals, snacks, sweets etc.]])</f>
        <v>1</v>
      </c>
      <c r="AX228">
        <f>TYPE(All_India_Index_Upto_April23__1[[#This Row],[Food and beverages]])</f>
        <v>1</v>
      </c>
      <c r="AY228">
        <f>TYPE(All_India_Index_Upto_April23__1[[#This Row],[Pan, tobacco and intoxicants]])</f>
        <v>1</v>
      </c>
      <c r="AZ228">
        <f>TYPE(All_India_Index_Upto_April23__1[[#This Row],[Clothing]])</f>
        <v>1</v>
      </c>
      <c r="BA228">
        <f>TYPE(All_India_Index_Upto_April23__1[[#This Row],[Footwear]])</f>
        <v>1</v>
      </c>
      <c r="BB228">
        <f>TYPE(All_India_Index_Upto_April23__1[[#This Row],[Clothing and footwear]])</f>
        <v>1</v>
      </c>
      <c r="BC228">
        <f>TYPE(All_India_Index_Upto_April23__1[[#This Row],[Housing]])</f>
        <v>2</v>
      </c>
      <c r="BD228">
        <f>TYPE(All_India_Index_Upto_April23__1[[#This Row],[Fuel and light]])</f>
        <v>1</v>
      </c>
      <c r="BE228">
        <f>TYPE(All_India_Index_Upto_April23__1[[#This Row],[Household goods and services]])</f>
        <v>1</v>
      </c>
      <c r="BF228">
        <f>TYPE(All_India_Index_Upto_April23__1[[#This Row],[Health]])</f>
        <v>1</v>
      </c>
      <c r="BG228">
        <f>TYPE(All_India_Index_Upto_April23__1[[#This Row],[Transport and communication]])</f>
        <v>1</v>
      </c>
      <c r="BH228">
        <f>TYPE(All_India_Index_Upto_April23__1[[#This Row],[Recreation and amusement]])</f>
        <v>1</v>
      </c>
      <c r="BI228">
        <f>TYPE(All_India_Index_Upto_April23__1[[#This Row],[Education]])</f>
        <v>1</v>
      </c>
      <c r="BJ228">
        <f>TYPE(All_India_Index_Upto_April23__1[[#This Row],[Personal care and effects]])</f>
        <v>1</v>
      </c>
      <c r="BK228">
        <f>TYPE(All_India_Index_Upto_April23__1[[#This Row],[Miscellaneous]])</f>
        <v>1</v>
      </c>
      <c r="BL228">
        <f>TYPE(All_India_Index_Upto_April23__1[[#This Row],[General index]])</f>
        <v>1</v>
      </c>
    </row>
    <row r="229" spans="1:64" hidden="1" x14ac:dyDescent="0.3">
      <c r="A229" t="s">
        <v>32</v>
      </c>
      <c r="B229">
        <v>2019</v>
      </c>
      <c r="C229" t="s">
        <v>37</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t="s">
        <v>163</v>
      </c>
      <c r="V229">
        <v>129.4</v>
      </c>
      <c r="W229">
        <v>137.19999999999999</v>
      </c>
      <c r="X229">
        <v>139.80000000000001</v>
      </c>
      <c r="Y229">
        <v>120.1</v>
      </c>
      <c r="Z229">
        <v>134</v>
      </c>
      <c r="AA229">
        <v>148</v>
      </c>
      <c r="AB229">
        <v>132.6</v>
      </c>
      <c r="AC229">
        <v>133.30000000000001</v>
      </c>
      <c r="AD229">
        <v>141.5</v>
      </c>
      <c r="AE229">
        <f>SUM(All_India_Index_Upto_April23__1[[#This Row],[Cereals and products]:[Food and beverages]])</f>
        <v>1811.5000000000002</v>
      </c>
      <c r="AF229">
        <f>SUM(All_India_Index_Upto_April23__1[[#This Row],[Clothing]:[Clothing and footwear]])</f>
        <v>417.9</v>
      </c>
      <c r="AG229">
        <f t="shared" si="3"/>
        <v>386.70000000000005</v>
      </c>
      <c r="AI229">
        <f>TYPE(All_India_Index_Upto_April23__1[[#This Row],[Sector]])</f>
        <v>2</v>
      </c>
      <c r="AJ229">
        <f>TYPE(All_India_Index_Upto_April23__1[[#This Row],[Year]])</f>
        <v>1</v>
      </c>
      <c r="AK229">
        <f>TYPE(All_India_Index_Upto_April23__1[[#This Row],[Month]])</f>
        <v>2</v>
      </c>
      <c r="AL229">
        <f>TYPE(All_India_Index_Upto_April23__1[[#This Row],[Cereals and products]])</f>
        <v>1</v>
      </c>
      <c r="AM229">
        <f>TYPE(All_India_Index_Upto_April23__1[[#This Row],[Meat and fish]])</f>
        <v>1</v>
      </c>
      <c r="AN229">
        <f>TYPE(All_India_Index_Upto_April23__1[[#This Row],[Egg]])</f>
        <v>1</v>
      </c>
      <c r="AO229">
        <f>TYPE(All_India_Index_Upto_April23__1[[#This Row],[Milk and products]])</f>
        <v>1</v>
      </c>
      <c r="AP229">
        <f>TYPE(All_India_Index_Upto_April23__1[[#This Row],[Oils and fats]])</f>
        <v>1</v>
      </c>
      <c r="AQ229">
        <f>TYPE(All_India_Index_Upto_April23__1[[#This Row],[Fruits]])</f>
        <v>1</v>
      </c>
      <c r="AR229">
        <f>TYPE(All_India_Index_Upto_April23__1[[#This Row],[Vegetables]])</f>
        <v>1</v>
      </c>
      <c r="AS229">
        <f>TYPE(All_India_Index_Upto_April23__1[[#This Row],[Pulses and products]])</f>
        <v>1</v>
      </c>
      <c r="AT229">
        <f>TYPE(All_India_Index_Upto_April23__1[[#This Row],[Sugar and Confectionery]])</f>
        <v>1</v>
      </c>
      <c r="AU229">
        <f>TYPE(All_India_Index_Upto_April23__1[[#This Row],[Spices]])</f>
        <v>1</v>
      </c>
      <c r="AV229">
        <f>TYPE(All_India_Index_Upto_April23__1[[#This Row],[Non-alcoholic beverages]])</f>
        <v>1</v>
      </c>
      <c r="AW229">
        <f>TYPE(All_India_Index_Upto_April23__1[[#This Row],[Prepared meals, snacks, sweets etc.]])</f>
        <v>1</v>
      </c>
      <c r="AX229">
        <f>TYPE(All_India_Index_Upto_April23__1[[#This Row],[Food and beverages]])</f>
        <v>1</v>
      </c>
      <c r="AY229">
        <f>TYPE(All_India_Index_Upto_April23__1[[#This Row],[Pan, tobacco and intoxicants]])</f>
        <v>1</v>
      </c>
      <c r="AZ229">
        <f>TYPE(All_India_Index_Upto_April23__1[[#This Row],[Clothing]])</f>
        <v>1</v>
      </c>
      <c r="BA229">
        <f>TYPE(All_India_Index_Upto_April23__1[[#This Row],[Footwear]])</f>
        <v>1</v>
      </c>
      <c r="BB229">
        <f>TYPE(All_India_Index_Upto_April23__1[[#This Row],[Clothing and footwear]])</f>
        <v>1</v>
      </c>
      <c r="BC229">
        <f>TYPE(All_India_Index_Upto_April23__1[[#This Row],[Housing]])</f>
        <v>2</v>
      </c>
      <c r="BD229">
        <f>TYPE(All_India_Index_Upto_April23__1[[#This Row],[Fuel and light]])</f>
        <v>1</v>
      </c>
      <c r="BE229">
        <f>TYPE(All_India_Index_Upto_April23__1[[#This Row],[Household goods and services]])</f>
        <v>1</v>
      </c>
      <c r="BF229">
        <f>TYPE(All_India_Index_Upto_April23__1[[#This Row],[Health]])</f>
        <v>1</v>
      </c>
      <c r="BG229">
        <f>TYPE(All_India_Index_Upto_April23__1[[#This Row],[Transport and communication]])</f>
        <v>1</v>
      </c>
      <c r="BH229">
        <f>TYPE(All_India_Index_Upto_April23__1[[#This Row],[Recreation and amusement]])</f>
        <v>1</v>
      </c>
      <c r="BI229">
        <f>TYPE(All_India_Index_Upto_April23__1[[#This Row],[Education]])</f>
        <v>1</v>
      </c>
      <c r="BJ229">
        <f>TYPE(All_India_Index_Upto_April23__1[[#This Row],[Personal care and effects]])</f>
        <v>1</v>
      </c>
      <c r="BK229">
        <f>TYPE(All_India_Index_Upto_April23__1[[#This Row],[Miscellaneous]])</f>
        <v>1</v>
      </c>
      <c r="BL229">
        <f>TYPE(All_India_Index_Upto_April23__1[[#This Row],[General index]])</f>
        <v>1</v>
      </c>
    </row>
    <row r="230" spans="1:64" x14ac:dyDescent="0.3">
      <c r="A230" t="s">
        <v>33</v>
      </c>
      <c r="B230">
        <v>2019</v>
      </c>
      <c r="C230" t="s">
        <v>37</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t="s">
        <v>163</v>
      </c>
      <c r="V230">
        <v>140.30000000000001</v>
      </c>
      <c r="W230">
        <v>143.69999999999999</v>
      </c>
      <c r="X230">
        <v>146.9</v>
      </c>
      <c r="Y230">
        <v>124.9</v>
      </c>
      <c r="Z230">
        <v>139.19999999999999</v>
      </c>
      <c r="AA230">
        <v>151.6</v>
      </c>
      <c r="AB230">
        <v>133.4</v>
      </c>
      <c r="AC230">
        <v>138.19999999999999</v>
      </c>
      <c r="AD230">
        <v>142</v>
      </c>
      <c r="AE230">
        <f>SUM(All_India_Index_Upto_April23__1[[#This Row],[Cereals and products]:[Food and beverages]])</f>
        <v>1791.9000000000003</v>
      </c>
      <c r="AF230">
        <f>SUM(All_India_Index_Upto_April23__1[[#This Row],[Clothing]:[Clothing and footwear]])</f>
        <v>436.1</v>
      </c>
      <c r="AG230">
        <f t="shared" si="3"/>
        <v>408.9</v>
      </c>
      <c r="AI230">
        <f>TYPE(All_India_Index_Upto_April23__1[[#This Row],[Sector]])</f>
        <v>2</v>
      </c>
      <c r="AJ230">
        <f>TYPE(All_India_Index_Upto_April23__1[[#This Row],[Year]])</f>
        <v>1</v>
      </c>
      <c r="AK230">
        <f>TYPE(All_India_Index_Upto_April23__1[[#This Row],[Month]])</f>
        <v>2</v>
      </c>
      <c r="AL230">
        <f>TYPE(All_India_Index_Upto_April23__1[[#This Row],[Cereals and products]])</f>
        <v>1</v>
      </c>
      <c r="AM230">
        <f>TYPE(All_India_Index_Upto_April23__1[[#This Row],[Meat and fish]])</f>
        <v>1</v>
      </c>
      <c r="AN230">
        <f>TYPE(All_India_Index_Upto_April23__1[[#This Row],[Egg]])</f>
        <v>1</v>
      </c>
      <c r="AO230">
        <f>TYPE(All_India_Index_Upto_April23__1[[#This Row],[Milk and products]])</f>
        <v>1</v>
      </c>
      <c r="AP230">
        <f>TYPE(All_India_Index_Upto_April23__1[[#This Row],[Oils and fats]])</f>
        <v>1</v>
      </c>
      <c r="AQ230">
        <f>TYPE(All_India_Index_Upto_April23__1[[#This Row],[Fruits]])</f>
        <v>1</v>
      </c>
      <c r="AR230">
        <f>TYPE(All_India_Index_Upto_April23__1[[#This Row],[Vegetables]])</f>
        <v>1</v>
      </c>
      <c r="AS230">
        <f>TYPE(All_India_Index_Upto_April23__1[[#This Row],[Pulses and products]])</f>
        <v>1</v>
      </c>
      <c r="AT230">
        <f>TYPE(All_India_Index_Upto_April23__1[[#This Row],[Sugar and Confectionery]])</f>
        <v>1</v>
      </c>
      <c r="AU230">
        <f>TYPE(All_India_Index_Upto_April23__1[[#This Row],[Spices]])</f>
        <v>1</v>
      </c>
      <c r="AV230">
        <f>TYPE(All_India_Index_Upto_April23__1[[#This Row],[Non-alcoholic beverages]])</f>
        <v>1</v>
      </c>
      <c r="AW230">
        <f>TYPE(All_India_Index_Upto_April23__1[[#This Row],[Prepared meals, snacks, sweets etc.]])</f>
        <v>1</v>
      </c>
      <c r="AX230">
        <f>TYPE(All_India_Index_Upto_April23__1[[#This Row],[Food and beverages]])</f>
        <v>1</v>
      </c>
      <c r="AY230">
        <f>TYPE(All_India_Index_Upto_April23__1[[#This Row],[Pan, tobacco and intoxicants]])</f>
        <v>1</v>
      </c>
      <c r="AZ230">
        <f>TYPE(All_India_Index_Upto_April23__1[[#This Row],[Clothing]])</f>
        <v>1</v>
      </c>
      <c r="BA230">
        <f>TYPE(All_India_Index_Upto_April23__1[[#This Row],[Footwear]])</f>
        <v>1</v>
      </c>
      <c r="BB230">
        <f>TYPE(All_India_Index_Upto_April23__1[[#This Row],[Clothing and footwear]])</f>
        <v>1</v>
      </c>
      <c r="BC230">
        <f>TYPE(All_India_Index_Upto_April23__1[[#This Row],[Housing]])</f>
        <v>2</v>
      </c>
      <c r="BD230">
        <f>TYPE(All_India_Index_Upto_April23__1[[#This Row],[Fuel and light]])</f>
        <v>1</v>
      </c>
      <c r="BE230">
        <f>TYPE(All_India_Index_Upto_April23__1[[#This Row],[Household goods and services]])</f>
        <v>1</v>
      </c>
      <c r="BF230">
        <f>TYPE(All_India_Index_Upto_April23__1[[#This Row],[Health]])</f>
        <v>1</v>
      </c>
      <c r="BG230">
        <f>TYPE(All_India_Index_Upto_April23__1[[#This Row],[Transport and communication]])</f>
        <v>1</v>
      </c>
      <c r="BH230">
        <f>TYPE(All_India_Index_Upto_April23__1[[#This Row],[Recreation and amusement]])</f>
        <v>1</v>
      </c>
      <c r="BI230">
        <f>TYPE(All_India_Index_Upto_April23__1[[#This Row],[Education]])</f>
        <v>1</v>
      </c>
      <c r="BJ230">
        <f>TYPE(All_India_Index_Upto_April23__1[[#This Row],[Personal care and effects]])</f>
        <v>1</v>
      </c>
      <c r="BK230">
        <f>TYPE(All_India_Index_Upto_April23__1[[#This Row],[Miscellaneous]])</f>
        <v>1</v>
      </c>
      <c r="BL230">
        <f>TYPE(All_India_Index_Upto_April23__1[[#This Row],[General index]])</f>
        <v>1</v>
      </c>
    </row>
    <row r="231" spans="1:64" hidden="1" x14ac:dyDescent="0.3">
      <c r="A231" t="s">
        <v>30</v>
      </c>
      <c r="B231">
        <v>2019</v>
      </c>
      <c r="C231" t="s">
        <v>38</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U231" t="s">
        <v>89</v>
      </c>
      <c r="V231">
        <v>147.80000000000001</v>
      </c>
      <c r="W231">
        <v>149.6</v>
      </c>
      <c r="X231">
        <v>151.69999999999999</v>
      </c>
      <c r="Y231">
        <v>130.19999999999999</v>
      </c>
      <c r="Z231">
        <v>146.4</v>
      </c>
      <c r="AA231">
        <v>157.69999999999999</v>
      </c>
      <c r="AB231">
        <v>134.80000000000001</v>
      </c>
      <c r="AC231">
        <v>143.30000000000001</v>
      </c>
      <c r="AD231">
        <v>143.6</v>
      </c>
      <c r="AE231">
        <f>SUM(All_India_Index_Upto_April23__1[[#This Row],[Cereals and products]:[Food and beverages]])</f>
        <v>1804.1999999999998</v>
      </c>
      <c r="AF231">
        <f>SUM(All_India_Index_Upto_April23__1[[#This Row],[Clothing]:[Clothing and footwear]])</f>
        <v>448.59999999999997</v>
      </c>
      <c r="AG231">
        <f t="shared" si="3"/>
        <v>427.59999999999997</v>
      </c>
      <c r="AI231">
        <f>TYPE(All_India_Index_Upto_April23__1[[#This Row],[Sector]])</f>
        <v>2</v>
      </c>
      <c r="AJ231">
        <f>TYPE(All_India_Index_Upto_April23__1[[#This Row],[Year]])</f>
        <v>1</v>
      </c>
      <c r="AK231">
        <f>TYPE(All_India_Index_Upto_April23__1[[#This Row],[Month]])</f>
        <v>2</v>
      </c>
      <c r="AL231">
        <f>TYPE(All_India_Index_Upto_April23__1[[#This Row],[Cereals and products]])</f>
        <v>1</v>
      </c>
      <c r="AM231">
        <f>TYPE(All_India_Index_Upto_April23__1[[#This Row],[Meat and fish]])</f>
        <v>1</v>
      </c>
      <c r="AN231">
        <f>TYPE(All_India_Index_Upto_April23__1[[#This Row],[Egg]])</f>
        <v>1</v>
      </c>
      <c r="AO231">
        <f>TYPE(All_India_Index_Upto_April23__1[[#This Row],[Milk and products]])</f>
        <v>1</v>
      </c>
      <c r="AP231">
        <f>TYPE(All_India_Index_Upto_April23__1[[#This Row],[Oils and fats]])</f>
        <v>1</v>
      </c>
      <c r="AQ231">
        <f>TYPE(All_India_Index_Upto_April23__1[[#This Row],[Fruits]])</f>
        <v>1</v>
      </c>
      <c r="AR231">
        <f>TYPE(All_India_Index_Upto_April23__1[[#This Row],[Vegetables]])</f>
        <v>1</v>
      </c>
      <c r="AS231">
        <f>TYPE(All_India_Index_Upto_April23__1[[#This Row],[Pulses and products]])</f>
        <v>1</v>
      </c>
      <c r="AT231">
        <f>TYPE(All_India_Index_Upto_April23__1[[#This Row],[Sugar and Confectionery]])</f>
        <v>1</v>
      </c>
      <c r="AU231">
        <f>TYPE(All_India_Index_Upto_April23__1[[#This Row],[Spices]])</f>
        <v>1</v>
      </c>
      <c r="AV231">
        <f>TYPE(All_India_Index_Upto_April23__1[[#This Row],[Non-alcoholic beverages]])</f>
        <v>1</v>
      </c>
      <c r="AW231">
        <f>TYPE(All_India_Index_Upto_April23__1[[#This Row],[Prepared meals, snacks, sweets etc.]])</f>
        <v>1</v>
      </c>
      <c r="AX231">
        <f>TYPE(All_India_Index_Upto_April23__1[[#This Row],[Food and beverages]])</f>
        <v>1</v>
      </c>
      <c r="AY231">
        <f>TYPE(All_India_Index_Upto_April23__1[[#This Row],[Pan, tobacco and intoxicants]])</f>
        <v>1</v>
      </c>
      <c r="AZ231">
        <f>TYPE(All_India_Index_Upto_April23__1[[#This Row],[Clothing]])</f>
        <v>1</v>
      </c>
      <c r="BA231">
        <f>TYPE(All_India_Index_Upto_April23__1[[#This Row],[Footwear]])</f>
        <v>1</v>
      </c>
      <c r="BB231">
        <f>TYPE(All_India_Index_Upto_April23__1[[#This Row],[Clothing and footwear]])</f>
        <v>1</v>
      </c>
      <c r="BC231">
        <f>TYPE(All_India_Index_Upto_April23__1[[#This Row],[Housing]])</f>
        <v>2</v>
      </c>
      <c r="BD231">
        <f>TYPE(All_India_Index_Upto_April23__1[[#This Row],[Fuel and light]])</f>
        <v>1</v>
      </c>
      <c r="BE231">
        <f>TYPE(All_India_Index_Upto_April23__1[[#This Row],[Household goods and services]])</f>
        <v>1</v>
      </c>
      <c r="BF231">
        <f>TYPE(All_India_Index_Upto_April23__1[[#This Row],[Health]])</f>
        <v>1</v>
      </c>
      <c r="BG231">
        <f>TYPE(All_India_Index_Upto_April23__1[[#This Row],[Transport and communication]])</f>
        <v>1</v>
      </c>
      <c r="BH231">
        <f>TYPE(All_India_Index_Upto_April23__1[[#This Row],[Recreation and amusement]])</f>
        <v>1</v>
      </c>
      <c r="BI231">
        <f>TYPE(All_India_Index_Upto_April23__1[[#This Row],[Education]])</f>
        <v>1</v>
      </c>
      <c r="BJ231">
        <f>TYPE(All_India_Index_Upto_April23__1[[#This Row],[Personal care and effects]])</f>
        <v>1</v>
      </c>
      <c r="BK231">
        <f>TYPE(All_India_Index_Upto_April23__1[[#This Row],[Miscellaneous]])</f>
        <v>1</v>
      </c>
      <c r="BL231">
        <f>TYPE(All_India_Index_Upto_April23__1[[#This Row],[General index]])</f>
        <v>1</v>
      </c>
    </row>
    <row r="232" spans="1:64" hidden="1" x14ac:dyDescent="0.3">
      <c r="A232" t="s">
        <v>32</v>
      </c>
      <c r="B232">
        <v>2019</v>
      </c>
      <c r="C232" t="s">
        <v>38</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t="s">
        <v>164</v>
      </c>
      <c r="V232">
        <v>130.5</v>
      </c>
      <c r="W232">
        <v>137.4</v>
      </c>
      <c r="X232">
        <v>140.30000000000001</v>
      </c>
      <c r="Y232">
        <v>119.6</v>
      </c>
      <c r="Z232">
        <v>134.30000000000001</v>
      </c>
      <c r="AA232">
        <v>148.9</v>
      </c>
      <c r="AB232">
        <v>133.69999999999999</v>
      </c>
      <c r="AC232">
        <v>133.6</v>
      </c>
      <c r="AD232">
        <v>142.1</v>
      </c>
      <c r="AE232">
        <f>SUM(All_India_Index_Upto_April23__1[[#This Row],[Cereals and products]:[Food and beverages]])</f>
        <v>1833.2999999999997</v>
      </c>
      <c r="AF232">
        <f>SUM(All_India_Index_Upto_April23__1[[#This Row],[Clothing]:[Clothing and footwear]])</f>
        <v>418.4</v>
      </c>
      <c r="AG232">
        <f t="shared" si="3"/>
        <v>387.5</v>
      </c>
      <c r="AI232">
        <f>TYPE(All_India_Index_Upto_April23__1[[#This Row],[Sector]])</f>
        <v>2</v>
      </c>
      <c r="AJ232">
        <f>TYPE(All_India_Index_Upto_April23__1[[#This Row],[Year]])</f>
        <v>1</v>
      </c>
      <c r="AK232">
        <f>TYPE(All_India_Index_Upto_April23__1[[#This Row],[Month]])</f>
        <v>2</v>
      </c>
      <c r="AL232">
        <f>TYPE(All_India_Index_Upto_April23__1[[#This Row],[Cereals and products]])</f>
        <v>1</v>
      </c>
      <c r="AM232">
        <f>TYPE(All_India_Index_Upto_April23__1[[#This Row],[Meat and fish]])</f>
        <v>1</v>
      </c>
      <c r="AN232">
        <f>TYPE(All_India_Index_Upto_April23__1[[#This Row],[Egg]])</f>
        <v>1</v>
      </c>
      <c r="AO232">
        <f>TYPE(All_India_Index_Upto_April23__1[[#This Row],[Milk and products]])</f>
        <v>1</v>
      </c>
      <c r="AP232">
        <f>TYPE(All_India_Index_Upto_April23__1[[#This Row],[Oils and fats]])</f>
        <v>1</v>
      </c>
      <c r="AQ232">
        <f>TYPE(All_India_Index_Upto_April23__1[[#This Row],[Fruits]])</f>
        <v>1</v>
      </c>
      <c r="AR232">
        <f>TYPE(All_India_Index_Upto_April23__1[[#This Row],[Vegetables]])</f>
        <v>1</v>
      </c>
      <c r="AS232">
        <f>TYPE(All_India_Index_Upto_April23__1[[#This Row],[Pulses and products]])</f>
        <v>1</v>
      </c>
      <c r="AT232">
        <f>TYPE(All_India_Index_Upto_April23__1[[#This Row],[Sugar and Confectionery]])</f>
        <v>1</v>
      </c>
      <c r="AU232">
        <f>TYPE(All_India_Index_Upto_April23__1[[#This Row],[Spices]])</f>
        <v>1</v>
      </c>
      <c r="AV232">
        <f>TYPE(All_India_Index_Upto_April23__1[[#This Row],[Non-alcoholic beverages]])</f>
        <v>1</v>
      </c>
      <c r="AW232">
        <f>TYPE(All_India_Index_Upto_April23__1[[#This Row],[Prepared meals, snacks, sweets etc.]])</f>
        <v>1</v>
      </c>
      <c r="AX232">
        <f>TYPE(All_India_Index_Upto_April23__1[[#This Row],[Food and beverages]])</f>
        <v>1</v>
      </c>
      <c r="AY232">
        <f>TYPE(All_India_Index_Upto_April23__1[[#This Row],[Pan, tobacco and intoxicants]])</f>
        <v>1</v>
      </c>
      <c r="AZ232">
        <f>TYPE(All_India_Index_Upto_April23__1[[#This Row],[Clothing]])</f>
        <v>1</v>
      </c>
      <c r="BA232">
        <f>TYPE(All_India_Index_Upto_April23__1[[#This Row],[Footwear]])</f>
        <v>1</v>
      </c>
      <c r="BB232">
        <f>TYPE(All_India_Index_Upto_April23__1[[#This Row],[Clothing and footwear]])</f>
        <v>1</v>
      </c>
      <c r="BC232">
        <f>TYPE(All_India_Index_Upto_April23__1[[#This Row],[Housing]])</f>
        <v>2</v>
      </c>
      <c r="BD232">
        <f>TYPE(All_India_Index_Upto_April23__1[[#This Row],[Fuel and light]])</f>
        <v>1</v>
      </c>
      <c r="BE232">
        <f>TYPE(All_India_Index_Upto_April23__1[[#This Row],[Household goods and services]])</f>
        <v>1</v>
      </c>
      <c r="BF232">
        <f>TYPE(All_India_Index_Upto_April23__1[[#This Row],[Health]])</f>
        <v>1</v>
      </c>
      <c r="BG232">
        <f>TYPE(All_India_Index_Upto_April23__1[[#This Row],[Transport and communication]])</f>
        <v>1</v>
      </c>
      <c r="BH232">
        <f>TYPE(All_India_Index_Upto_April23__1[[#This Row],[Recreation and amusement]])</f>
        <v>1</v>
      </c>
      <c r="BI232">
        <f>TYPE(All_India_Index_Upto_April23__1[[#This Row],[Education]])</f>
        <v>1</v>
      </c>
      <c r="BJ232">
        <f>TYPE(All_India_Index_Upto_April23__1[[#This Row],[Personal care and effects]])</f>
        <v>1</v>
      </c>
      <c r="BK232">
        <f>TYPE(All_India_Index_Upto_April23__1[[#This Row],[Miscellaneous]])</f>
        <v>1</v>
      </c>
      <c r="BL232">
        <f>TYPE(All_India_Index_Upto_April23__1[[#This Row],[General index]])</f>
        <v>1</v>
      </c>
    </row>
    <row r="233" spans="1:64" x14ac:dyDescent="0.3">
      <c r="A233" t="s">
        <v>33</v>
      </c>
      <c r="B233">
        <v>2019</v>
      </c>
      <c r="C233" t="s">
        <v>38</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t="s">
        <v>164</v>
      </c>
      <c r="V233">
        <v>141.19999999999999</v>
      </c>
      <c r="W233">
        <v>143.80000000000001</v>
      </c>
      <c r="X233">
        <v>147.4</v>
      </c>
      <c r="Y233">
        <v>124.6</v>
      </c>
      <c r="Z233">
        <v>139.6</v>
      </c>
      <c r="AA233">
        <v>152.5</v>
      </c>
      <c r="AB233">
        <v>134.30000000000001</v>
      </c>
      <c r="AC233">
        <v>138.6</v>
      </c>
      <c r="AD233">
        <v>142.9</v>
      </c>
      <c r="AE233">
        <f>SUM(All_India_Index_Upto_April23__1[[#This Row],[Cereals and products]:[Food and beverages]])</f>
        <v>1814.1000000000001</v>
      </c>
      <c r="AF233">
        <f>SUM(All_India_Index_Upto_April23__1[[#This Row],[Clothing]:[Clothing and footwear]])</f>
        <v>436.4</v>
      </c>
      <c r="AG233">
        <f t="shared" si="3"/>
        <v>409.6</v>
      </c>
      <c r="AI233">
        <f>TYPE(All_India_Index_Upto_April23__1[[#This Row],[Sector]])</f>
        <v>2</v>
      </c>
      <c r="AJ233">
        <f>TYPE(All_India_Index_Upto_April23__1[[#This Row],[Year]])</f>
        <v>1</v>
      </c>
      <c r="AK233">
        <f>TYPE(All_India_Index_Upto_April23__1[[#This Row],[Month]])</f>
        <v>2</v>
      </c>
      <c r="AL233">
        <f>TYPE(All_India_Index_Upto_April23__1[[#This Row],[Cereals and products]])</f>
        <v>1</v>
      </c>
      <c r="AM233">
        <f>TYPE(All_India_Index_Upto_April23__1[[#This Row],[Meat and fish]])</f>
        <v>1</v>
      </c>
      <c r="AN233">
        <f>TYPE(All_India_Index_Upto_April23__1[[#This Row],[Egg]])</f>
        <v>1</v>
      </c>
      <c r="AO233">
        <f>TYPE(All_India_Index_Upto_April23__1[[#This Row],[Milk and products]])</f>
        <v>1</v>
      </c>
      <c r="AP233">
        <f>TYPE(All_India_Index_Upto_April23__1[[#This Row],[Oils and fats]])</f>
        <v>1</v>
      </c>
      <c r="AQ233">
        <f>TYPE(All_India_Index_Upto_April23__1[[#This Row],[Fruits]])</f>
        <v>1</v>
      </c>
      <c r="AR233">
        <f>TYPE(All_India_Index_Upto_April23__1[[#This Row],[Vegetables]])</f>
        <v>1</v>
      </c>
      <c r="AS233">
        <f>TYPE(All_India_Index_Upto_April23__1[[#This Row],[Pulses and products]])</f>
        <v>1</v>
      </c>
      <c r="AT233">
        <f>TYPE(All_India_Index_Upto_April23__1[[#This Row],[Sugar and Confectionery]])</f>
        <v>1</v>
      </c>
      <c r="AU233">
        <f>TYPE(All_India_Index_Upto_April23__1[[#This Row],[Spices]])</f>
        <v>1</v>
      </c>
      <c r="AV233">
        <f>TYPE(All_India_Index_Upto_April23__1[[#This Row],[Non-alcoholic beverages]])</f>
        <v>1</v>
      </c>
      <c r="AW233">
        <f>TYPE(All_India_Index_Upto_April23__1[[#This Row],[Prepared meals, snacks, sweets etc.]])</f>
        <v>1</v>
      </c>
      <c r="AX233">
        <f>TYPE(All_India_Index_Upto_April23__1[[#This Row],[Food and beverages]])</f>
        <v>1</v>
      </c>
      <c r="AY233">
        <f>TYPE(All_India_Index_Upto_April23__1[[#This Row],[Pan, tobacco and intoxicants]])</f>
        <v>1</v>
      </c>
      <c r="AZ233">
        <f>TYPE(All_India_Index_Upto_April23__1[[#This Row],[Clothing]])</f>
        <v>1</v>
      </c>
      <c r="BA233">
        <f>TYPE(All_India_Index_Upto_April23__1[[#This Row],[Footwear]])</f>
        <v>1</v>
      </c>
      <c r="BB233">
        <f>TYPE(All_India_Index_Upto_April23__1[[#This Row],[Clothing and footwear]])</f>
        <v>1</v>
      </c>
      <c r="BC233">
        <f>TYPE(All_India_Index_Upto_April23__1[[#This Row],[Housing]])</f>
        <v>2</v>
      </c>
      <c r="BD233">
        <f>TYPE(All_India_Index_Upto_April23__1[[#This Row],[Fuel and light]])</f>
        <v>1</v>
      </c>
      <c r="BE233">
        <f>TYPE(All_India_Index_Upto_April23__1[[#This Row],[Household goods and services]])</f>
        <v>1</v>
      </c>
      <c r="BF233">
        <f>TYPE(All_India_Index_Upto_April23__1[[#This Row],[Health]])</f>
        <v>1</v>
      </c>
      <c r="BG233">
        <f>TYPE(All_India_Index_Upto_April23__1[[#This Row],[Transport and communication]])</f>
        <v>1</v>
      </c>
      <c r="BH233">
        <f>TYPE(All_India_Index_Upto_April23__1[[#This Row],[Recreation and amusement]])</f>
        <v>1</v>
      </c>
      <c r="BI233">
        <f>TYPE(All_India_Index_Upto_April23__1[[#This Row],[Education]])</f>
        <v>1</v>
      </c>
      <c r="BJ233">
        <f>TYPE(All_India_Index_Upto_April23__1[[#This Row],[Personal care and effects]])</f>
        <v>1</v>
      </c>
      <c r="BK233">
        <f>TYPE(All_India_Index_Upto_April23__1[[#This Row],[Miscellaneous]])</f>
        <v>1</v>
      </c>
      <c r="BL233">
        <f>TYPE(All_India_Index_Upto_April23__1[[#This Row],[General index]])</f>
        <v>1</v>
      </c>
    </row>
    <row r="234" spans="1:64" hidden="1" x14ac:dyDescent="0.3">
      <c r="A234" t="s">
        <v>30</v>
      </c>
      <c r="B234">
        <v>2019</v>
      </c>
      <c r="C234" t="s">
        <v>39</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U234" t="s">
        <v>89</v>
      </c>
      <c r="V234">
        <v>146.80000000000001</v>
      </c>
      <c r="W234">
        <v>150</v>
      </c>
      <c r="X234">
        <v>152.19999999999999</v>
      </c>
      <c r="Y234">
        <v>131.19999999999999</v>
      </c>
      <c r="Z234">
        <v>147.5</v>
      </c>
      <c r="AA234">
        <v>159.1</v>
      </c>
      <c r="AB234">
        <v>136.1</v>
      </c>
      <c r="AC234">
        <v>144.19999999999999</v>
      </c>
      <c r="AD234">
        <v>144.9</v>
      </c>
      <c r="AE234">
        <f>SUM(All_India_Index_Upto_April23__1[[#This Row],[Cereals and products]:[Food and beverages]])</f>
        <v>1826.8999999999999</v>
      </c>
      <c r="AF234">
        <f>SUM(All_India_Index_Upto_April23__1[[#This Row],[Clothing]:[Clothing and footwear]])</f>
        <v>449.1</v>
      </c>
      <c r="AG234">
        <f t="shared" si="3"/>
        <v>428</v>
      </c>
      <c r="AI234">
        <f>TYPE(All_India_Index_Upto_April23__1[[#This Row],[Sector]])</f>
        <v>2</v>
      </c>
      <c r="AJ234">
        <f>TYPE(All_India_Index_Upto_April23__1[[#This Row],[Year]])</f>
        <v>1</v>
      </c>
      <c r="AK234">
        <f>TYPE(All_India_Index_Upto_April23__1[[#This Row],[Month]])</f>
        <v>2</v>
      </c>
      <c r="AL234">
        <f>TYPE(All_India_Index_Upto_April23__1[[#This Row],[Cereals and products]])</f>
        <v>1</v>
      </c>
      <c r="AM234">
        <f>TYPE(All_India_Index_Upto_April23__1[[#This Row],[Meat and fish]])</f>
        <v>1</v>
      </c>
      <c r="AN234">
        <f>TYPE(All_India_Index_Upto_April23__1[[#This Row],[Egg]])</f>
        <v>1</v>
      </c>
      <c r="AO234">
        <f>TYPE(All_India_Index_Upto_April23__1[[#This Row],[Milk and products]])</f>
        <v>1</v>
      </c>
      <c r="AP234">
        <f>TYPE(All_India_Index_Upto_April23__1[[#This Row],[Oils and fats]])</f>
        <v>1</v>
      </c>
      <c r="AQ234">
        <f>TYPE(All_India_Index_Upto_April23__1[[#This Row],[Fruits]])</f>
        <v>1</v>
      </c>
      <c r="AR234">
        <f>TYPE(All_India_Index_Upto_April23__1[[#This Row],[Vegetables]])</f>
        <v>1</v>
      </c>
      <c r="AS234">
        <f>TYPE(All_India_Index_Upto_April23__1[[#This Row],[Pulses and products]])</f>
        <v>1</v>
      </c>
      <c r="AT234">
        <f>TYPE(All_India_Index_Upto_April23__1[[#This Row],[Sugar and Confectionery]])</f>
        <v>1</v>
      </c>
      <c r="AU234">
        <f>TYPE(All_India_Index_Upto_April23__1[[#This Row],[Spices]])</f>
        <v>1</v>
      </c>
      <c r="AV234">
        <f>TYPE(All_India_Index_Upto_April23__1[[#This Row],[Non-alcoholic beverages]])</f>
        <v>1</v>
      </c>
      <c r="AW234">
        <f>TYPE(All_India_Index_Upto_April23__1[[#This Row],[Prepared meals, snacks, sweets etc.]])</f>
        <v>1</v>
      </c>
      <c r="AX234">
        <f>TYPE(All_India_Index_Upto_April23__1[[#This Row],[Food and beverages]])</f>
        <v>1</v>
      </c>
      <c r="AY234">
        <f>TYPE(All_India_Index_Upto_April23__1[[#This Row],[Pan, tobacco and intoxicants]])</f>
        <v>1</v>
      </c>
      <c r="AZ234">
        <f>TYPE(All_India_Index_Upto_April23__1[[#This Row],[Clothing]])</f>
        <v>1</v>
      </c>
      <c r="BA234">
        <f>TYPE(All_India_Index_Upto_April23__1[[#This Row],[Footwear]])</f>
        <v>1</v>
      </c>
      <c r="BB234">
        <f>TYPE(All_India_Index_Upto_April23__1[[#This Row],[Clothing and footwear]])</f>
        <v>1</v>
      </c>
      <c r="BC234">
        <f>TYPE(All_India_Index_Upto_April23__1[[#This Row],[Housing]])</f>
        <v>2</v>
      </c>
      <c r="BD234">
        <f>TYPE(All_India_Index_Upto_April23__1[[#This Row],[Fuel and light]])</f>
        <v>1</v>
      </c>
      <c r="BE234">
        <f>TYPE(All_India_Index_Upto_April23__1[[#This Row],[Household goods and services]])</f>
        <v>1</v>
      </c>
      <c r="BF234">
        <f>TYPE(All_India_Index_Upto_April23__1[[#This Row],[Health]])</f>
        <v>1</v>
      </c>
      <c r="BG234">
        <f>TYPE(All_India_Index_Upto_April23__1[[#This Row],[Transport and communication]])</f>
        <v>1</v>
      </c>
      <c r="BH234">
        <f>TYPE(All_India_Index_Upto_April23__1[[#This Row],[Recreation and amusement]])</f>
        <v>1</v>
      </c>
      <c r="BI234">
        <f>TYPE(All_India_Index_Upto_April23__1[[#This Row],[Education]])</f>
        <v>1</v>
      </c>
      <c r="BJ234">
        <f>TYPE(All_India_Index_Upto_April23__1[[#This Row],[Personal care and effects]])</f>
        <v>1</v>
      </c>
      <c r="BK234">
        <f>TYPE(All_India_Index_Upto_April23__1[[#This Row],[Miscellaneous]])</f>
        <v>1</v>
      </c>
      <c r="BL234">
        <f>TYPE(All_India_Index_Upto_April23__1[[#This Row],[General index]])</f>
        <v>1</v>
      </c>
    </row>
    <row r="235" spans="1:64" hidden="1" x14ac:dyDescent="0.3">
      <c r="A235" t="s">
        <v>32</v>
      </c>
      <c r="B235">
        <v>2019</v>
      </c>
      <c r="C235" t="s">
        <v>39</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t="s">
        <v>165</v>
      </c>
      <c r="V235">
        <v>127</v>
      </c>
      <c r="W235">
        <v>137.69999999999999</v>
      </c>
      <c r="X235">
        <v>140.80000000000001</v>
      </c>
      <c r="Y235">
        <v>120.6</v>
      </c>
      <c r="Z235">
        <v>135</v>
      </c>
      <c r="AA235">
        <v>150.4</v>
      </c>
      <c r="AB235">
        <v>135.1</v>
      </c>
      <c r="AC235">
        <v>134.5</v>
      </c>
      <c r="AD235">
        <v>143.30000000000001</v>
      </c>
      <c r="AE235">
        <f>SUM(All_India_Index_Upto_April23__1[[#This Row],[Cereals and products]:[Food and beverages]])</f>
        <v>1857.3999999999999</v>
      </c>
      <c r="AF235">
        <f>SUM(All_India_Index_Upto_April23__1[[#This Row],[Clothing]:[Clothing and footwear]])</f>
        <v>419.3</v>
      </c>
      <c r="AG235">
        <f t="shared" si="3"/>
        <v>385.29999999999995</v>
      </c>
      <c r="AI235">
        <f>TYPE(All_India_Index_Upto_April23__1[[#This Row],[Sector]])</f>
        <v>2</v>
      </c>
      <c r="AJ235">
        <f>TYPE(All_India_Index_Upto_April23__1[[#This Row],[Year]])</f>
        <v>1</v>
      </c>
      <c r="AK235">
        <f>TYPE(All_India_Index_Upto_April23__1[[#This Row],[Month]])</f>
        <v>2</v>
      </c>
      <c r="AL235">
        <f>TYPE(All_India_Index_Upto_April23__1[[#This Row],[Cereals and products]])</f>
        <v>1</v>
      </c>
      <c r="AM235">
        <f>TYPE(All_India_Index_Upto_April23__1[[#This Row],[Meat and fish]])</f>
        <v>1</v>
      </c>
      <c r="AN235">
        <f>TYPE(All_India_Index_Upto_April23__1[[#This Row],[Egg]])</f>
        <v>1</v>
      </c>
      <c r="AO235">
        <f>TYPE(All_India_Index_Upto_April23__1[[#This Row],[Milk and products]])</f>
        <v>1</v>
      </c>
      <c r="AP235">
        <f>TYPE(All_India_Index_Upto_April23__1[[#This Row],[Oils and fats]])</f>
        <v>1</v>
      </c>
      <c r="AQ235">
        <f>TYPE(All_India_Index_Upto_April23__1[[#This Row],[Fruits]])</f>
        <v>1</v>
      </c>
      <c r="AR235">
        <f>TYPE(All_India_Index_Upto_April23__1[[#This Row],[Vegetables]])</f>
        <v>1</v>
      </c>
      <c r="AS235">
        <f>TYPE(All_India_Index_Upto_April23__1[[#This Row],[Pulses and products]])</f>
        <v>1</v>
      </c>
      <c r="AT235">
        <f>TYPE(All_India_Index_Upto_April23__1[[#This Row],[Sugar and Confectionery]])</f>
        <v>1</v>
      </c>
      <c r="AU235">
        <f>TYPE(All_India_Index_Upto_April23__1[[#This Row],[Spices]])</f>
        <v>1</v>
      </c>
      <c r="AV235">
        <f>TYPE(All_India_Index_Upto_April23__1[[#This Row],[Non-alcoholic beverages]])</f>
        <v>1</v>
      </c>
      <c r="AW235">
        <f>TYPE(All_India_Index_Upto_April23__1[[#This Row],[Prepared meals, snacks, sweets etc.]])</f>
        <v>1</v>
      </c>
      <c r="AX235">
        <f>TYPE(All_India_Index_Upto_April23__1[[#This Row],[Food and beverages]])</f>
        <v>1</v>
      </c>
      <c r="AY235">
        <f>TYPE(All_India_Index_Upto_April23__1[[#This Row],[Pan, tobacco and intoxicants]])</f>
        <v>1</v>
      </c>
      <c r="AZ235">
        <f>TYPE(All_India_Index_Upto_April23__1[[#This Row],[Clothing]])</f>
        <v>1</v>
      </c>
      <c r="BA235">
        <f>TYPE(All_India_Index_Upto_April23__1[[#This Row],[Footwear]])</f>
        <v>1</v>
      </c>
      <c r="BB235">
        <f>TYPE(All_India_Index_Upto_April23__1[[#This Row],[Clothing and footwear]])</f>
        <v>1</v>
      </c>
      <c r="BC235">
        <f>TYPE(All_India_Index_Upto_April23__1[[#This Row],[Housing]])</f>
        <v>2</v>
      </c>
      <c r="BD235">
        <f>TYPE(All_India_Index_Upto_April23__1[[#This Row],[Fuel and light]])</f>
        <v>1</v>
      </c>
      <c r="BE235">
        <f>TYPE(All_India_Index_Upto_April23__1[[#This Row],[Household goods and services]])</f>
        <v>1</v>
      </c>
      <c r="BF235">
        <f>TYPE(All_India_Index_Upto_April23__1[[#This Row],[Health]])</f>
        <v>1</v>
      </c>
      <c r="BG235">
        <f>TYPE(All_India_Index_Upto_April23__1[[#This Row],[Transport and communication]])</f>
        <v>1</v>
      </c>
      <c r="BH235">
        <f>TYPE(All_India_Index_Upto_April23__1[[#This Row],[Recreation and amusement]])</f>
        <v>1</v>
      </c>
      <c r="BI235">
        <f>TYPE(All_India_Index_Upto_April23__1[[#This Row],[Education]])</f>
        <v>1</v>
      </c>
      <c r="BJ235">
        <f>TYPE(All_India_Index_Upto_April23__1[[#This Row],[Personal care and effects]])</f>
        <v>1</v>
      </c>
      <c r="BK235">
        <f>TYPE(All_India_Index_Upto_April23__1[[#This Row],[Miscellaneous]])</f>
        <v>1</v>
      </c>
      <c r="BL235">
        <f>TYPE(All_India_Index_Upto_April23__1[[#This Row],[General index]])</f>
        <v>1</v>
      </c>
    </row>
    <row r="236" spans="1:64" x14ac:dyDescent="0.3">
      <c r="A236" t="s">
        <v>33</v>
      </c>
      <c r="B236">
        <v>2019</v>
      </c>
      <c r="C236" t="s">
        <v>39</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t="s">
        <v>165</v>
      </c>
      <c r="V236">
        <v>139.30000000000001</v>
      </c>
      <c r="W236">
        <v>144.19999999999999</v>
      </c>
      <c r="X236">
        <v>147.9</v>
      </c>
      <c r="Y236">
        <v>125.6</v>
      </c>
      <c r="Z236">
        <v>140.5</v>
      </c>
      <c r="AA236">
        <v>154</v>
      </c>
      <c r="AB236">
        <v>135.69999999999999</v>
      </c>
      <c r="AC236">
        <v>139.5</v>
      </c>
      <c r="AD236">
        <v>144.19999999999999</v>
      </c>
      <c r="AE236">
        <f>SUM(All_India_Index_Upto_April23__1[[#This Row],[Cereals and products]:[Food and beverages]])</f>
        <v>1837.5</v>
      </c>
      <c r="AF236">
        <f>SUM(All_India_Index_Upto_April23__1[[#This Row],[Clothing]:[Clothing and footwear]])</f>
        <v>437</v>
      </c>
      <c r="AG236">
        <f t="shared" si="3"/>
        <v>409.1</v>
      </c>
      <c r="AI236">
        <f>TYPE(All_India_Index_Upto_April23__1[[#This Row],[Sector]])</f>
        <v>2</v>
      </c>
      <c r="AJ236">
        <f>TYPE(All_India_Index_Upto_April23__1[[#This Row],[Year]])</f>
        <v>1</v>
      </c>
      <c r="AK236">
        <f>TYPE(All_India_Index_Upto_April23__1[[#This Row],[Month]])</f>
        <v>2</v>
      </c>
      <c r="AL236">
        <f>TYPE(All_India_Index_Upto_April23__1[[#This Row],[Cereals and products]])</f>
        <v>1</v>
      </c>
      <c r="AM236">
        <f>TYPE(All_India_Index_Upto_April23__1[[#This Row],[Meat and fish]])</f>
        <v>1</v>
      </c>
      <c r="AN236">
        <f>TYPE(All_India_Index_Upto_April23__1[[#This Row],[Egg]])</f>
        <v>1</v>
      </c>
      <c r="AO236">
        <f>TYPE(All_India_Index_Upto_April23__1[[#This Row],[Milk and products]])</f>
        <v>1</v>
      </c>
      <c r="AP236">
        <f>TYPE(All_India_Index_Upto_April23__1[[#This Row],[Oils and fats]])</f>
        <v>1</v>
      </c>
      <c r="AQ236">
        <f>TYPE(All_India_Index_Upto_April23__1[[#This Row],[Fruits]])</f>
        <v>1</v>
      </c>
      <c r="AR236">
        <f>TYPE(All_India_Index_Upto_April23__1[[#This Row],[Vegetables]])</f>
        <v>1</v>
      </c>
      <c r="AS236">
        <f>TYPE(All_India_Index_Upto_April23__1[[#This Row],[Pulses and products]])</f>
        <v>1</v>
      </c>
      <c r="AT236">
        <f>TYPE(All_India_Index_Upto_April23__1[[#This Row],[Sugar and Confectionery]])</f>
        <v>1</v>
      </c>
      <c r="AU236">
        <f>TYPE(All_India_Index_Upto_April23__1[[#This Row],[Spices]])</f>
        <v>1</v>
      </c>
      <c r="AV236">
        <f>TYPE(All_India_Index_Upto_April23__1[[#This Row],[Non-alcoholic beverages]])</f>
        <v>1</v>
      </c>
      <c r="AW236">
        <f>TYPE(All_India_Index_Upto_April23__1[[#This Row],[Prepared meals, snacks, sweets etc.]])</f>
        <v>1</v>
      </c>
      <c r="AX236">
        <f>TYPE(All_India_Index_Upto_April23__1[[#This Row],[Food and beverages]])</f>
        <v>1</v>
      </c>
      <c r="AY236">
        <f>TYPE(All_India_Index_Upto_April23__1[[#This Row],[Pan, tobacco and intoxicants]])</f>
        <v>1</v>
      </c>
      <c r="AZ236">
        <f>TYPE(All_India_Index_Upto_April23__1[[#This Row],[Clothing]])</f>
        <v>1</v>
      </c>
      <c r="BA236">
        <f>TYPE(All_India_Index_Upto_April23__1[[#This Row],[Footwear]])</f>
        <v>1</v>
      </c>
      <c r="BB236">
        <f>TYPE(All_India_Index_Upto_April23__1[[#This Row],[Clothing and footwear]])</f>
        <v>1</v>
      </c>
      <c r="BC236">
        <f>TYPE(All_India_Index_Upto_April23__1[[#This Row],[Housing]])</f>
        <v>2</v>
      </c>
      <c r="BD236">
        <f>TYPE(All_India_Index_Upto_April23__1[[#This Row],[Fuel and light]])</f>
        <v>1</v>
      </c>
      <c r="BE236">
        <f>TYPE(All_India_Index_Upto_April23__1[[#This Row],[Household goods and services]])</f>
        <v>1</v>
      </c>
      <c r="BF236">
        <f>TYPE(All_India_Index_Upto_April23__1[[#This Row],[Health]])</f>
        <v>1</v>
      </c>
      <c r="BG236">
        <f>TYPE(All_India_Index_Upto_April23__1[[#This Row],[Transport and communication]])</f>
        <v>1</v>
      </c>
      <c r="BH236">
        <f>TYPE(All_India_Index_Upto_April23__1[[#This Row],[Recreation and amusement]])</f>
        <v>1</v>
      </c>
      <c r="BI236">
        <f>TYPE(All_India_Index_Upto_April23__1[[#This Row],[Education]])</f>
        <v>1</v>
      </c>
      <c r="BJ236">
        <f>TYPE(All_India_Index_Upto_April23__1[[#This Row],[Personal care and effects]])</f>
        <v>1</v>
      </c>
      <c r="BK236">
        <f>TYPE(All_India_Index_Upto_April23__1[[#This Row],[Miscellaneous]])</f>
        <v>1</v>
      </c>
      <c r="BL236">
        <f>TYPE(All_India_Index_Upto_April23__1[[#This Row],[General index]])</f>
        <v>1</v>
      </c>
    </row>
    <row r="237" spans="1:64" hidden="1" x14ac:dyDescent="0.3">
      <c r="A237" t="s">
        <v>30</v>
      </c>
      <c r="B237">
        <v>2019</v>
      </c>
      <c r="C237" t="s">
        <v>40</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U237" t="s">
        <v>89</v>
      </c>
      <c r="V237">
        <v>146.4</v>
      </c>
      <c r="W237">
        <v>150.19999999999999</v>
      </c>
      <c r="X237">
        <v>152.69999999999999</v>
      </c>
      <c r="Y237">
        <v>131.4</v>
      </c>
      <c r="Z237">
        <v>148</v>
      </c>
      <c r="AA237">
        <v>159.69999999999999</v>
      </c>
      <c r="AB237">
        <v>138.80000000000001</v>
      </c>
      <c r="AC237">
        <v>144.9</v>
      </c>
      <c r="AD237">
        <v>145.69999999999999</v>
      </c>
      <c r="AE237">
        <f>SUM(All_India_Index_Upto_April23__1[[#This Row],[Cereals and products]:[Food and beverages]])</f>
        <v>1834.5000000000002</v>
      </c>
      <c r="AF237">
        <f>SUM(All_India_Index_Upto_April23__1[[#This Row],[Clothing]:[Clothing and footwear]])</f>
        <v>449.5</v>
      </c>
      <c r="AG237">
        <f t="shared" si="3"/>
        <v>428</v>
      </c>
      <c r="AI237">
        <f>TYPE(All_India_Index_Upto_April23__1[[#This Row],[Sector]])</f>
        <v>2</v>
      </c>
      <c r="AJ237">
        <f>TYPE(All_India_Index_Upto_April23__1[[#This Row],[Year]])</f>
        <v>1</v>
      </c>
      <c r="AK237">
        <f>TYPE(All_India_Index_Upto_April23__1[[#This Row],[Month]])</f>
        <v>2</v>
      </c>
      <c r="AL237">
        <f>TYPE(All_India_Index_Upto_April23__1[[#This Row],[Cereals and products]])</f>
        <v>1</v>
      </c>
      <c r="AM237">
        <f>TYPE(All_India_Index_Upto_April23__1[[#This Row],[Meat and fish]])</f>
        <v>1</v>
      </c>
      <c r="AN237">
        <f>TYPE(All_India_Index_Upto_April23__1[[#This Row],[Egg]])</f>
        <v>1</v>
      </c>
      <c r="AO237">
        <f>TYPE(All_India_Index_Upto_April23__1[[#This Row],[Milk and products]])</f>
        <v>1</v>
      </c>
      <c r="AP237">
        <f>TYPE(All_India_Index_Upto_April23__1[[#This Row],[Oils and fats]])</f>
        <v>1</v>
      </c>
      <c r="AQ237">
        <f>TYPE(All_India_Index_Upto_April23__1[[#This Row],[Fruits]])</f>
        <v>1</v>
      </c>
      <c r="AR237">
        <f>TYPE(All_India_Index_Upto_April23__1[[#This Row],[Vegetables]])</f>
        <v>1</v>
      </c>
      <c r="AS237">
        <f>TYPE(All_India_Index_Upto_April23__1[[#This Row],[Pulses and products]])</f>
        <v>1</v>
      </c>
      <c r="AT237">
        <f>TYPE(All_India_Index_Upto_April23__1[[#This Row],[Sugar and Confectionery]])</f>
        <v>1</v>
      </c>
      <c r="AU237">
        <f>TYPE(All_India_Index_Upto_April23__1[[#This Row],[Spices]])</f>
        <v>1</v>
      </c>
      <c r="AV237">
        <f>TYPE(All_India_Index_Upto_April23__1[[#This Row],[Non-alcoholic beverages]])</f>
        <v>1</v>
      </c>
      <c r="AW237">
        <f>TYPE(All_India_Index_Upto_April23__1[[#This Row],[Prepared meals, snacks, sweets etc.]])</f>
        <v>1</v>
      </c>
      <c r="AX237">
        <f>TYPE(All_India_Index_Upto_April23__1[[#This Row],[Food and beverages]])</f>
        <v>1</v>
      </c>
      <c r="AY237">
        <f>TYPE(All_India_Index_Upto_April23__1[[#This Row],[Pan, tobacco and intoxicants]])</f>
        <v>1</v>
      </c>
      <c r="AZ237">
        <f>TYPE(All_India_Index_Upto_April23__1[[#This Row],[Clothing]])</f>
        <v>1</v>
      </c>
      <c r="BA237">
        <f>TYPE(All_India_Index_Upto_April23__1[[#This Row],[Footwear]])</f>
        <v>1</v>
      </c>
      <c r="BB237">
        <f>TYPE(All_India_Index_Upto_April23__1[[#This Row],[Clothing and footwear]])</f>
        <v>1</v>
      </c>
      <c r="BC237">
        <f>TYPE(All_India_Index_Upto_April23__1[[#This Row],[Housing]])</f>
        <v>2</v>
      </c>
      <c r="BD237">
        <f>TYPE(All_India_Index_Upto_April23__1[[#This Row],[Fuel and light]])</f>
        <v>1</v>
      </c>
      <c r="BE237">
        <f>TYPE(All_India_Index_Upto_April23__1[[#This Row],[Household goods and services]])</f>
        <v>1</v>
      </c>
      <c r="BF237">
        <f>TYPE(All_India_Index_Upto_April23__1[[#This Row],[Health]])</f>
        <v>1</v>
      </c>
      <c r="BG237">
        <f>TYPE(All_India_Index_Upto_April23__1[[#This Row],[Transport and communication]])</f>
        <v>1</v>
      </c>
      <c r="BH237">
        <f>TYPE(All_India_Index_Upto_April23__1[[#This Row],[Recreation and amusement]])</f>
        <v>1</v>
      </c>
      <c r="BI237">
        <f>TYPE(All_India_Index_Upto_April23__1[[#This Row],[Education]])</f>
        <v>1</v>
      </c>
      <c r="BJ237">
        <f>TYPE(All_India_Index_Upto_April23__1[[#This Row],[Personal care and effects]])</f>
        <v>1</v>
      </c>
      <c r="BK237">
        <f>TYPE(All_India_Index_Upto_April23__1[[#This Row],[Miscellaneous]])</f>
        <v>1</v>
      </c>
      <c r="BL237">
        <f>TYPE(All_India_Index_Upto_April23__1[[#This Row],[General index]])</f>
        <v>1</v>
      </c>
    </row>
    <row r="238" spans="1:64" hidden="1" x14ac:dyDescent="0.3">
      <c r="A238" t="s">
        <v>32</v>
      </c>
      <c r="B238">
        <v>2019</v>
      </c>
      <c r="C238" t="s">
        <v>40</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t="s">
        <v>166</v>
      </c>
      <c r="V238">
        <v>125.5</v>
      </c>
      <c r="W238">
        <v>138.1</v>
      </c>
      <c r="X238">
        <v>141.5</v>
      </c>
      <c r="Y238">
        <v>120.8</v>
      </c>
      <c r="Z238">
        <v>135.4</v>
      </c>
      <c r="AA238">
        <v>151.5</v>
      </c>
      <c r="AB238">
        <v>137.80000000000001</v>
      </c>
      <c r="AC238">
        <v>135.30000000000001</v>
      </c>
      <c r="AD238">
        <v>144.19999999999999</v>
      </c>
      <c r="AE238">
        <f>SUM(All_India_Index_Upto_April23__1[[#This Row],[Cereals and products]:[Food and beverages]])</f>
        <v>1869.1</v>
      </c>
      <c r="AF238">
        <f>SUM(All_India_Index_Upto_April23__1[[#This Row],[Clothing]:[Clothing and footwear]])</f>
        <v>420.2</v>
      </c>
      <c r="AG238">
        <f t="shared" si="3"/>
        <v>384.40000000000003</v>
      </c>
      <c r="AI238">
        <f>TYPE(All_India_Index_Upto_April23__1[[#This Row],[Sector]])</f>
        <v>2</v>
      </c>
      <c r="AJ238">
        <f>TYPE(All_India_Index_Upto_April23__1[[#This Row],[Year]])</f>
        <v>1</v>
      </c>
      <c r="AK238">
        <f>TYPE(All_India_Index_Upto_April23__1[[#This Row],[Month]])</f>
        <v>2</v>
      </c>
      <c r="AL238">
        <f>TYPE(All_India_Index_Upto_April23__1[[#This Row],[Cereals and products]])</f>
        <v>1</v>
      </c>
      <c r="AM238">
        <f>TYPE(All_India_Index_Upto_April23__1[[#This Row],[Meat and fish]])</f>
        <v>1</v>
      </c>
      <c r="AN238">
        <f>TYPE(All_India_Index_Upto_April23__1[[#This Row],[Egg]])</f>
        <v>1</v>
      </c>
      <c r="AO238">
        <f>TYPE(All_India_Index_Upto_April23__1[[#This Row],[Milk and products]])</f>
        <v>1</v>
      </c>
      <c r="AP238">
        <f>TYPE(All_India_Index_Upto_April23__1[[#This Row],[Oils and fats]])</f>
        <v>1</v>
      </c>
      <c r="AQ238">
        <f>TYPE(All_India_Index_Upto_April23__1[[#This Row],[Fruits]])</f>
        <v>1</v>
      </c>
      <c r="AR238">
        <f>TYPE(All_India_Index_Upto_April23__1[[#This Row],[Vegetables]])</f>
        <v>1</v>
      </c>
      <c r="AS238">
        <f>TYPE(All_India_Index_Upto_April23__1[[#This Row],[Pulses and products]])</f>
        <v>1</v>
      </c>
      <c r="AT238">
        <f>TYPE(All_India_Index_Upto_April23__1[[#This Row],[Sugar and Confectionery]])</f>
        <v>1</v>
      </c>
      <c r="AU238">
        <f>TYPE(All_India_Index_Upto_April23__1[[#This Row],[Spices]])</f>
        <v>1</v>
      </c>
      <c r="AV238">
        <f>TYPE(All_India_Index_Upto_April23__1[[#This Row],[Non-alcoholic beverages]])</f>
        <v>1</v>
      </c>
      <c r="AW238">
        <f>TYPE(All_India_Index_Upto_April23__1[[#This Row],[Prepared meals, snacks, sweets etc.]])</f>
        <v>1</v>
      </c>
      <c r="AX238">
        <f>TYPE(All_India_Index_Upto_April23__1[[#This Row],[Food and beverages]])</f>
        <v>1</v>
      </c>
      <c r="AY238">
        <f>TYPE(All_India_Index_Upto_April23__1[[#This Row],[Pan, tobacco and intoxicants]])</f>
        <v>1</v>
      </c>
      <c r="AZ238">
        <f>TYPE(All_India_Index_Upto_April23__1[[#This Row],[Clothing]])</f>
        <v>1</v>
      </c>
      <c r="BA238">
        <f>TYPE(All_India_Index_Upto_April23__1[[#This Row],[Footwear]])</f>
        <v>1</v>
      </c>
      <c r="BB238">
        <f>TYPE(All_India_Index_Upto_April23__1[[#This Row],[Clothing and footwear]])</f>
        <v>1</v>
      </c>
      <c r="BC238">
        <f>TYPE(All_India_Index_Upto_April23__1[[#This Row],[Housing]])</f>
        <v>2</v>
      </c>
      <c r="BD238">
        <f>TYPE(All_India_Index_Upto_April23__1[[#This Row],[Fuel and light]])</f>
        <v>1</v>
      </c>
      <c r="BE238">
        <f>TYPE(All_India_Index_Upto_April23__1[[#This Row],[Household goods and services]])</f>
        <v>1</v>
      </c>
      <c r="BF238">
        <f>TYPE(All_India_Index_Upto_April23__1[[#This Row],[Health]])</f>
        <v>1</v>
      </c>
      <c r="BG238">
        <f>TYPE(All_India_Index_Upto_April23__1[[#This Row],[Transport and communication]])</f>
        <v>1</v>
      </c>
      <c r="BH238">
        <f>TYPE(All_India_Index_Upto_April23__1[[#This Row],[Recreation and amusement]])</f>
        <v>1</v>
      </c>
      <c r="BI238">
        <f>TYPE(All_India_Index_Upto_April23__1[[#This Row],[Education]])</f>
        <v>1</v>
      </c>
      <c r="BJ238">
        <f>TYPE(All_India_Index_Upto_April23__1[[#This Row],[Personal care and effects]])</f>
        <v>1</v>
      </c>
      <c r="BK238">
        <f>TYPE(All_India_Index_Upto_April23__1[[#This Row],[Miscellaneous]])</f>
        <v>1</v>
      </c>
      <c r="BL238">
        <f>TYPE(All_India_Index_Upto_April23__1[[#This Row],[General index]])</f>
        <v>1</v>
      </c>
    </row>
    <row r="239" spans="1:64" x14ac:dyDescent="0.3">
      <c r="A239" t="s">
        <v>33</v>
      </c>
      <c r="B239">
        <v>2019</v>
      </c>
      <c r="C239" t="s">
        <v>40</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t="s">
        <v>166</v>
      </c>
      <c r="V239">
        <v>138.5</v>
      </c>
      <c r="W239">
        <v>144.5</v>
      </c>
      <c r="X239">
        <v>148.5</v>
      </c>
      <c r="Y239">
        <v>125.8</v>
      </c>
      <c r="Z239">
        <v>140.9</v>
      </c>
      <c r="AA239">
        <v>154.9</v>
      </c>
      <c r="AB239">
        <v>138.4</v>
      </c>
      <c r="AC239">
        <v>140.19999999999999</v>
      </c>
      <c r="AD239">
        <v>145</v>
      </c>
      <c r="AE239">
        <f>SUM(All_India_Index_Upto_April23__1[[#This Row],[Cereals and products]:[Food and beverages]])</f>
        <v>1846.5</v>
      </c>
      <c r="AF239">
        <f>SUM(All_India_Index_Upto_April23__1[[#This Row],[Clothing]:[Clothing and footwear]])</f>
        <v>437.6</v>
      </c>
      <c r="AG239">
        <f t="shared" si="3"/>
        <v>408.8</v>
      </c>
      <c r="AI239">
        <f>TYPE(All_India_Index_Upto_April23__1[[#This Row],[Sector]])</f>
        <v>2</v>
      </c>
      <c r="AJ239">
        <f>TYPE(All_India_Index_Upto_April23__1[[#This Row],[Year]])</f>
        <v>1</v>
      </c>
      <c r="AK239">
        <f>TYPE(All_India_Index_Upto_April23__1[[#This Row],[Month]])</f>
        <v>2</v>
      </c>
      <c r="AL239">
        <f>TYPE(All_India_Index_Upto_April23__1[[#This Row],[Cereals and products]])</f>
        <v>1</v>
      </c>
      <c r="AM239">
        <f>TYPE(All_India_Index_Upto_April23__1[[#This Row],[Meat and fish]])</f>
        <v>1</v>
      </c>
      <c r="AN239">
        <f>TYPE(All_India_Index_Upto_April23__1[[#This Row],[Egg]])</f>
        <v>1</v>
      </c>
      <c r="AO239">
        <f>TYPE(All_India_Index_Upto_April23__1[[#This Row],[Milk and products]])</f>
        <v>1</v>
      </c>
      <c r="AP239">
        <f>TYPE(All_India_Index_Upto_April23__1[[#This Row],[Oils and fats]])</f>
        <v>1</v>
      </c>
      <c r="AQ239">
        <f>TYPE(All_India_Index_Upto_April23__1[[#This Row],[Fruits]])</f>
        <v>1</v>
      </c>
      <c r="AR239">
        <f>TYPE(All_India_Index_Upto_April23__1[[#This Row],[Vegetables]])</f>
        <v>1</v>
      </c>
      <c r="AS239">
        <f>TYPE(All_India_Index_Upto_April23__1[[#This Row],[Pulses and products]])</f>
        <v>1</v>
      </c>
      <c r="AT239">
        <f>TYPE(All_India_Index_Upto_April23__1[[#This Row],[Sugar and Confectionery]])</f>
        <v>1</v>
      </c>
      <c r="AU239">
        <f>TYPE(All_India_Index_Upto_April23__1[[#This Row],[Spices]])</f>
        <v>1</v>
      </c>
      <c r="AV239">
        <f>TYPE(All_India_Index_Upto_April23__1[[#This Row],[Non-alcoholic beverages]])</f>
        <v>1</v>
      </c>
      <c r="AW239">
        <f>TYPE(All_India_Index_Upto_April23__1[[#This Row],[Prepared meals, snacks, sweets etc.]])</f>
        <v>1</v>
      </c>
      <c r="AX239">
        <f>TYPE(All_India_Index_Upto_April23__1[[#This Row],[Food and beverages]])</f>
        <v>1</v>
      </c>
      <c r="AY239">
        <f>TYPE(All_India_Index_Upto_April23__1[[#This Row],[Pan, tobacco and intoxicants]])</f>
        <v>1</v>
      </c>
      <c r="AZ239">
        <f>TYPE(All_India_Index_Upto_April23__1[[#This Row],[Clothing]])</f>
        <v>1</v>
      </c>
      <c r="BA239">
        <f>TYPE(All_India_Index_Upto_April23__1[[#This Row],[Footwear]])</f>
        <v>1</v>
      </c>
      <c r="BB239">
        <f>TYPE(All_India_Index_Upto_April23__1[[#This Row],[Clothing and footwear]])</f>
        <v>1</v>
      </c>
      <c r="BC239">
        <f>TYPE(All_India_Index_Upto_April23__1[[#This Row],[Housing]])</f>
        <v>2</v>
      </c>
      <c r="BD239">
        <f>TYPE(All_India_Index_Upto_April23__1[[#This Row],[Fuel and light]])</f>
        <v>1</v>
      </c>
      <c r="BE239">
        <f>TYPE(All_India_Index_Upto_April23__1[[#This Row],[Household goods and services]])</f>
        <v>1</v>
      </c>
      <c r="BF239">
        <f>TYPE(All_India_Index_Upto_April23__1[[#This Row],[Health]])</f>
        <v>1</v>
      </c>
      <c r="BG239">
        <f>TYPE(All_India_Index_Upto_April23__1[[#This Row],[Transport and communication]])</f>
        <v>1</v>
      </c>
      <c r="BH239">
        <f>TYPE(All_India_Index_Upto_April23__1[[#This Row],[Recreation and amusement]])</f>
        <v>1</v>
      </c>
      <c r="BI239">
        <f>TYPE(All_India_Index_Upto_April23__1[[#This Row],[Education]])</f>
        <v>1</v>
      </c>
      <c r="BJ239">
        <f>TYPE(All_India_Index_Upto_April23__1[[#This Row],[Personal care and effects]])</f>
        <v>1</v>
      </c>
      <c r="BK239">
        <f>TYPE(All_India_Index_Upto_April23__1[[#This Row],[Miscellaneous]])</f>
        <v>1</v>
      </c>
      <c r="BL239">
        <f>TYPE(All_India_Index_Upto_April23__1[[#This Row],[General index]])</f>
        <v>1</v>
      </c>
    </row>
    <row r="240" spans="1:64" hidden="1" x14ac:dyDescent="0.3">
      <c r="A240" t="s">
        <v>30</v>
      </c>
      <c r="B240">
        <v>2019</v>
      </c>
      <c r="C240" t="s">
        <v>41</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U240" t="s">
        <v>89</v>
      </c>
      <c r="V240">
        <v>146.9</v>
      </c>
      <c r="W240">
        <v>150.30000000000001</v>
      </c>
      <c r="X240">
        <v>153.4</v>
      </c>
      <c r="Y240">
        <v>131.6</v>
      </c>
      <c r="Z240">
        <v>148.30000000000001</v>
      </c>
      <c r="AA240">
        <v>160.19999999999999</v>
      </c>
      <c r="AB240">
        <v>140.19999999999999</v>
      </c>
      <c r="AC240">
        <v>145.4</v>
      </c>
      <c r="AD240">
        <v>146.69999999999999</v>
      </c>
      <c r="AE240">
        <f>SUM(All_India_Index_Upto_April23__1[[#This Row],[Cereals and products]:[Food and beverages]])</f>
        <v>1848.7</v>
      </c>
      <c r="AF240">
        <f>SUM(All_India_Index_Upto_April23__1[[#This Row],[Clothing]:[Clothing and footwear]])</f>
        <v>449.29999999999995</v>
      </c>
      <c r="AG240">
        <f t="shared" si="3"/>
        <v>428.80000000000007</v>
      </c>
      <c r="AI240">
        <f>TYPE(All_India_Index_Upto_April23__1[[#This Row],[Sector]])</f>
        <v>2</v>
      </c>
      <c r="AJ240">
        <f>TYPE(All_India_Index_Upto_April23__1[[#This Row],[Year]])</f>
        <v>1</v>
      </c>
      <c r="AK240">
        <f>TYPE(All_India_Index_Upto_April23__1[[#This Row],[Month]])</f>
        <v>2</v>
      </c>
      <c r="AL240">
        <f>TYPE(All_India_Index_Upto_April23__1[[#This Row],[Cereals and products]])</f>
        <v>1</v>
      </c>
      <c r="AM240">
        <f>TYPE(All_India_Index_Upto_April23__1[[#This Row],[Meat and fish]])</f>
        <v>1</v>
      </c>
      <c r="AN240">
        <f>TYPE(All_India_Index_Upto_April23__1[[#This Row],[Egg]])</f>
        <v>1</v>
      </c>
      <c r="AO240">
        <f>TYPE(All_India_Index_Upto_April23__1[[#This Row],[Milk and products]])</f>
        <v>1</v>
      </c>
      <c r="AP240">
        <f>TYPE(All_India_Index_Upto_April23__1[[#This Row],[Oils and fats]])</f>
        <v>1</v>
      </c>
      <c r="AQ240">
        <f>TYPE(All_India_Index_Upto_April23__1[[#This Row],[Fruits]])</f>
        <v>1</v>
      </c>
      <c r="AR240">
        <f>TYPE(All_India_Index_Upto_April23__1[[#This Row],[Vegetables]])</f>
        <v>1</v>
      </c>
      <c r="AS240">
        <f>TYPE(All_India_Index_Upto_April23__1[[#This Row],[Pulses and products]])</f>
        <v>1</v>
      </c>
      <c r="AT240">
        <f>TYPE(All_India_Index_Upto_April23__1[[#This Row],[Sugar and Confectionery]])</f>
        <v>1</v>
      </c>
      <c r="AU240">
        <f>TYPE(All_India_Index_Upto_April23__1[[#This Row],[Spices]])</f>
        <v>1</v>
      </c>
      <c r="AV240">
        <f>TYPE(All_India_Index_Upto_April23__1[[#This Row],[Non-alcoholic beverages]])</f>
        <v>1</v>
      </c>
      <c r="AW240">
        <f>TYPE(All_India_Index_Upto_April23__1[[#This Row],[Prepared meals, snacks, sweets etc.]])</f>
        <v>1</v>
      </c>
      <c r="AX240">
        <f>TYPE(All_India_Index_Upto_April23__1[[#This Row],[Food and beverages]])</f>
        <v>1</v>
      </c>
      <c r="AY240">
        <f>TYPE(All_India_Index_Upto_April23__1[[#This Row],[Pan, tobacco and intoxicants]])</f>
        <v>1</v>
      </c>
      <c r="AZ240">
        <f>TYPE(All_India_Index_Upto_April23__1[[#This Row],[Clothing]])</f>
        <v>1</v>
      </c>
      <c r="BA240">
        <f>TYPE(All_India_Index_Upto_April23__1[[#This Row],[Footwear]])</f>
        <v>1</v>
      </c>
      <c r="BB240">
        <f>TYPE(All_India_Index_Upto_April23__1[[#This Row],[Clothing and footwear]])</f>
        <v>1</v>
      </c>
      <c r="BC240">
        <f>TYPE(All_India_Index_Upto_April23__1[[#This Row],[Housing]])</f>
        <v>2</v>
      </c>
      <c r="BD240">
        <f>TYPE(All_India_Index_Upto_April23__1[[#This Row],[Fuel and light]])</f>
        <v>1</v>
      </c>
      <c r="BE240">
        <f>TYPE(All_India_Index_Upto_April23__1[[#This Row],[Household goods and services]])</f>
        <v>1</v>
      </c>
      <c r="BF240">
        <f>TYPE(All_India_Index_Upto_April23__1[[#This Row],[Health]])</f>
        <v>1</v>
      </c>
      <c r="BG240">
        <f>TYPE(All_India_Index_Upto_April23__1[[#This Row],[Transport and communication]])</f>
        <v>1</v>
      </c>
      <c r="BH240">
        <f>TYPE(All_India_Index_Upto_April23__1[[#This Row],[Recreation and amusement]])</f>
        <v>1</v>
      </c>
      <c r="BI240">
        <f>TYPE(All_India_Index_Upto_April23__1[[#This Row],[Education]])</f>
        <v>1</v>
      </c>
      <c r="BJ240">
        <f>TYPE(All_India_Index_Upto_April23__1[[#This Row],[Personal care and effects]])</f>
        <v>1</v>
      </c>
      <c r="BK240">
        <f>TYPE(All_India_Index_Upto_April23__1[[#This Row],[Miscellaneous]])</f>
        <v>1</v>
      </c>
      <c r="BL240">
        <f>TYPE(All_India_Index_Upto_April23__1[[#This Row],[General index]])</f>
        <v>1</v>
      </c>
    </row>
    <row r="241" spans="1:64" hidden="1" x14ac:dyDescent="0.3">
      <c r="A241" t="s">
        <v>32</v>
      </c>
      <c r="B241">
        <v>2019</v>
      </c>
      <c r="C241" t="s">
        <v>41</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t="s">
        <v>167</v>
      </c>
      <c r="V241">
        <v>126.6</v>
      </c>
      <c r="W241">
        <v>138.30000000000001</v>
      </c>
      <c r="X241">
        <v>141.9</v>
      </c>
      <c r="Y241">
        <v>121.2</v>
      </c>
      <c r="Z241">
        <v>135.9</v>
      </c>
      <c r="AA241">
        <v>151.6</v>
      </c>
      <c r="AB241">
        <v>139</v>
      </c>
      <c r="AC241">
        <v>135.69999999999999</v>
      </c>
      <c r="AD241">
        <v>144.69999999999999</v>
      </c>
      <c r="AE241">
        <f>SUM(All_India_Index_Upto_April23__1[[#This Row],[Cereals and products]:[Food and beverages]])</f>
        <v>1874.9</v>
      </c>
      <c r="AF241">
        <f>SUM(All_India_Index_Upto_April23__1[[#This Row],[Clothing]:[Clothing and footwear]])</f>
        <v>420.8</v>
      </c>
      <c r="AG241">
        <f t="shared" si="3"/>
        <v>386.09999999999997</v>
      </c>
      <c r="AI241">
        <f>TYPE(All_India_Index_Upto_April23__1[[#This Row],[Sector]])</f>
        <v>2</v>
      </c>
      <c r="AJ241">
        <f>TYPE(All_India_Index_Upto_April23__1[[#This Row],[Year]])</f>
        <v>1</v>
      </c>
      <c r="AK241">
        <f>TYPE(All_India_Index_Upto_April23__1[[#This Row],[Month]])</f>
        <v>2</v>
      </c>
      <c r="AL241">
        <f>TYPE(All_India_Index_Upto_April23__1[[#This Row],[Cereals and products]])</f>
        <v>1</v>
      </c>
      <c r="AM241">
        <f>TYPE(All_India_Index_Upto_April23__1[[#This Row],[Meat and fish]])</f>
        <v>1</v>
      </c>
      <c r="AN241">
        <f>TYPE(All_India_Index_Upto_April23__1[[#This Row],[Egg]])</f>
        <v>1</v>
      </c>
      <c r="AO241">
        <f>TYPE(All_India_Index_Upto_April23__1[[#This Row],[Milk and products]])</f>
        <v>1</v>
      </c>
      <c r="AP241">
        <f>TYPE(All_India_Index_Upto_April23__1[[#This Row],[Oils and fats]])</f>
        <v>1</v>
      </c>
      <c r="AQ241">
        <f>TYPE(All_India_Index_Upto_April23__1[[#This Row],[Fruits]])</f>
        <v>1</v>
      </c>
      <c r="AR241">
        <f>TYPE(All_India_Index_Upto_April23__1[[#This Row],[Vegetables]])</f>
        <v>1</v>
      </c>
      <c r="AS241">
        <f>TYPE(All_India_Index_Upto_April23__1[[#This Row],[Pulses and products]])</f>
        <v>1</v>
      </c>
      <c r="AT241">
        <f>TYPE(All_India_Index_Upto_April23__1[[#This Row],[Sugar and Confectionery]])</f>
        <v>1</v>
      </c>
      <c r="AU241">
        <f>TYPE(All_India_Index_Upto_April23__1[[#This Row],[Spices]])</f>
        <v>1</v>
      </c>
      <c r="AV241">
        <f>TYPE(All_India_Index_Upto_April23__1[[#This Row],[Non-alcoholic beverages]])</f>
        <v>1</v>
      </c>
      <c r="AW241">
        <f>TYPE(All_India_Index_Upto_April23__1[[#This Row],[Prepared meals, snacks, sweets etc.]])</f>
        <v>1</v>
      </c>
      <c r="AX241">
        <f>TYPE(All_India_Index_Upto_April23__1[[#This Row],[Food and beverages]])</f>
        <v>1</v>
      </c>
      <c r="AY241">
        <f>TYPE(All_India_Index_Upto_April23__1[[#This Row],[Pan, tobacco and intoxicants]])</f>
        <v>1</v>
      </c>
      <c r="AZ241">
        <f>TYPE(All_India_Index_Upto_April23__1[[#This Row],[Clothing]])</f>
        <v>1</v>
      </c>
      <c r="BA241">
        <f>TYPE(All_India_Index_Upto_April23__1[[#This Row],[Footwear]])</f>
        <v>1</v>
      </c>
      <c r="BB241">
        <f>TYPE(All_India_Index_Upto_April23__1[[#This Row],[Clothing and footwear]])</f>
        <v>1</v>
      </c>
      <c r="BC241">
        <f>TYPE(All_India_Index_Upto_April23__1[[#This Row],[Housing]])</f>
        <v>2</v>
      </c>
      <c r="BD241">
        <f>TYPE(All_India_Index_Upto_April23__1[[#This Row],[Fuel and light]])</f>
        <v>1</v>
      </c>
      <c r="BE241">
        <f>TYPE(All_India_Index_Upto_April23__1[[#This Row],[Household goods and services]])</f>
        <v>1</v>
      </c>
      <c r="BF241">
        <f>TYPE(All_India_Index_Upto_April23__1[[#This Row],[Health]])</f>
        <v>1</v>
      </c>
      <c r="BG241">
        <f>TYPE(All_India_Index_Upto_April23__1[[#This Row],[Transport and communication]])</f>
        <v>1</v>
      </c>
      <c r="BH241">
        <f>TYPE(All_India_Index_Upto_April23__1[[#This Row],[Recreation and amusement]])</f>
        <v>1</v>
      </c>
      <c r="BI241">
        <f>TYPE(All_India_Index_Upto_April23__1[[#This Row],[Education]])</f>
        <v>1</v>
      </c>
      <c r="BJ241">
        <f>TYPE(All_India_Index_Upto_April23__1[[#This Row],[Personal care and effects]])</f>
        <v>1</v>
      </c>
      <c r="BK241">
        <f>TYPE(All_India_Index_Upto_April23__1[[#This Row],[Miscellaneous]])</f>
        <v>1</v>
      </c>
      <c r="BL241">
        <f>TYPE(All_India_Index_Upto_April23__1[[#This Row],[General index]])</f>
        <v>1</v>
      </c>
    </row>
    <row r="242" spans="1:64" x14ac:dyDescent="0.3">
      <c r="A242" t="s">
        <v>33</v>
      </c>
      <c r="B242">
        <v>2019</v>
      </c>
      <c r="C242" t="s">
        <v>41</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t="s">
        <v>167</v>
      </c>
      <c r="V242">
        <v>139.19999999999999</v>
      </c>
      <c r="W242">
        <v>144.6</v>
      </c>
      <c r="X242">
        <v>149</v>
      </c>
      <c r="Y242">
        <v>126.1</v>
      </c>
      <c r="Z242">
        <v>141.30000000000001</v>
      </c>
      <c r="AA242">
        <v>155.19999999999999</v>
      </c>
      <c r="AB242">
        <v>139.69999999999999</v>
      </c>
      <c r="AC242">
        <v>140.69999999999999</v>
      </c>
      <c r="AD242">
        <v>145.80000000000001</v>
      </c>
      <c r="AE242">
        <f>SUM(All_India_Index_Upto_April23__1[[#This Row],[Cereals and products]:[Food and beverages]])</f>
        <v>1857.6999999999998</v>
      </c>
      <c r="AF242">
        <f>SUM(All_India_Index_Upto_April23__1[[#This Row],[Clothing]:[Clothing and footwear]])</f>
        <v>437.69999999999993</v>
      </c>
      <c r="AG242">
        <f t="shared" si="3"/>
        <v>409.9</v>
      </c>
      <c r="AI242">
        <f>TYPE(All_India_Index_Upto_April23__1[[#This Row],[Sector]])</f>
        <v>2</v>
      </c>
      <c r="AJ242">
        <f>TYPE(All_India_Index_Upto_April23__1[[#This Row],[Year]])</f>
        <v>1</v>
      </c>
      <c r="AK242">
        <f>TYPE(All_India_Index_Upto_April23__1[[#This Row],[Month]])</f>
        <v>2</v>
      </c>
      <c r="AL242">
        <f>TYPE(All_India_Index_Upto_April23__1[[#This Row],[Cereals and products]])</f>
        <v>1</v>
      </c>
      <c r="AM242">
        <f>TYPE(All_India_Index_Upto_April23__1[[#This Row],[Meat and fish]])</f>
        <v>1</v>
      </c>
      <c r="AN242">
        <f>TYPE(All_India_Index_Upto_April23__1[[#This Row],[Egg]])</f>
        <v>1</v>
      </c>
      <c r="AO242">
        <f>TYPE(All_India_Index_Upto_April23__1[[#This Row],[Milk and products]])</f>
        <v>1</v>
      </c>
      <c r="AP242">
        <f>TYPE(All_India_Index_Upto_April23__1[[#This Row],[Oils and fats]])</f>
        <v>1</v>
      </c>
      <c r="AQ242">
        <f>TYPE(All_India_Index_Upto_April23__1[[#This Row],[Fruits]])</f>
        <v>1</v>
      </c>
      <c r="AR242">
        <f>TYPE(All_India_Index_Upto_April23__1[[#This Row],[Vegetables]])</f>
        <v>1</v>
      </c>
      <c r="AS242">
        <f>TYPE(All_India_Index_Upto_April23__1[[#This Row],[Pulses and products]])</f>
        <v>1</v>
      </c>
      <c r="AT242">
        <f>TYPE(All_India_Index_Upto_April23__1[[#This Row],[Sugar and Confectionery]])</f>
        <v>1</v>
      </c>
      <c r="AU242">
        <f>TYPE(All_India_Index_Upto_April23__1[[#This Row],[Spices]])</f>
        <v>1</v>
      </c>
      <c r="AV242">
        <f>TYPE(All_India_Index_Upto_April23__1[[#This Row],[Non-alcoholic beverages]])</f>
        <v>1</v>
      </c>
      <c r="AW242">
        <f>TYPE(All_India_Index_Upto_April23__1[[#This Row],[Prepared meals, snacks, sweets etc.]])</f>
        <v>1</v>
      </c>
      <c r="AX242">
        <f>TYPE(All_India_Index_Upto_April23__1[[#This Row],[Food and beverages]])</f>
        <v>1</v>
      </c>
      <c r="AY242">
        <f>TYPE(All_India_Index_Upto_April23__1[[#This Row],[Pan, tobacco and intoxicants]])</f>
        <v>1</v>
      </c>
      <c r="AZ242">
        <f>TYPE(All_India_Index_Upto_April23__1[[#This Row],[Clothing]])</f>
        <v>1</v>
      </c>
      <c r="BA242">
        <f>TYPE(All_India_Index_Upto_April23__1[[#This Row],[Footwear]])</f>
        <v>1</v>
      </c>
      <c r="BB242">
        <f>TYPE(All_India_Index_Upto_April23__1[[#This Row],[Clothing and footwear]])</f>
        <v>1</v>
      </c>
      <c r="BC242">
        <f>TYPE(All_India_Index_Upto_April23__1[[#This Row],[Housing]])</f>
        <v>2</v>
      </c>
      <c r="BD242">
        <f>TYPE(All_India_Index_Upto_April23__1[[#This Row],[Fuel and light]])</f>
        <v>1</v>
      </c>
      <c r="BE242">
        <f>TYPE(All_India_Index_Upto_April23__1[[#This Row],[Household goods and services]])</f>
        <v>1</v>
      </c>
      <c r="BF242">
        <f>TYPE(All_India_Index_Upto_April23__1[[#This Row],[Health]])</f>
        <v>1</v>
      </c>
      <c r="BG242">
        <f>TYPE(All_India_Index_Upto_April23__1[[#This Row],[Transport and communication]])</f>
        <v>1</v>
      </c>
      <c r="BH242">
        <f>TYPE(All_India_Index_Upto_April23__1[[#This Row],[Recreation and amusement]])</f>
        <v>1</v>
      </c>
      <c r="BI242">
        <f>TYPE(All_India_Index_Upto_April23__1[[#This Row],[Education]])</f>
        <v>1</v>
      </c>
      <c r="BJ242">
        <f>TYPE(All_India_Index_Upto_April23__1[[#This Row],[Personal care and effects]])</f>
        <v>1</v>
      </c>
      <c r="BK242">
        <f>TYPE(All_India_Index_Upto_April23__1[[#This Row],[Miscellaneous]])</f>
        <v>1</v>
      </c>
      <c r="BL242">
        <f>TYPE(All_India_Index_Upto_April23__1[[#This Row],[General index]])</f>
        <v>1</v>
      </c>
    </row>
    <row r="243" spans="1:64" hidden="1" x14ac:dyDescent="0.3">
      <c r="A243" t="s">
        <v>30</v>
      </c>
      <c r="B243">
        <v>2019</v>
      </c>
      <c r="C243" t="s">
        <v>42</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U243" t="s">
        <v>89</v>
      </c>
      <c r="V243">
        <v>147.69999999999999</v>
      </c>
      <c r="W243">
        <v>150.6</v>
      </c>
      <c r="X243">
        <v>153.69999999999999</v>
      </c>
      <c r="Y243">
        <v>131.69999999999999</v>
      </c>
      <c r="Z243">
        <v>148.69999999999999</v>
      </c>
      <c r="AA243">
        <v>160.69999999999999</v>
      </c>
      <c r="AB243">
        <v>140.30000000000001</v>
      </c>
      <c r="AC243">
        <v>145.69999999999999</v>
      </c>
      <c r="AD243">
        <v>148.30000000000001</v>
      </c>
      <c r="AE243">
        <f>SUM(All_India_Index_Upto_April23__1[[#This Row],[Cereals and products]:[Food and beverages]])</f>
        <v>1876.8999999999996</v>
      </c>
      <c r="AF243">
        <f>SUM(All_India_Index_Upto_April23__1[[#This Row],[Clothing]:[Clothing and footwear]])</f>
        <v>449.4</v>
      </c>
      <c r="AG243">
        <f t="shared" si="3"/>
        <v>429.99999999999994</v>
      </c>
      <c r="AI243">
        <f>TYPE(All_India_Index_Upto_April23__1[[#This Row],[Sector]])</f>
        <v>2</v>
      </c>
      <c r="AJ243">
        <f>TYPE(All_India_Index_Upto_April23__1[[#This Row],[Year]])</f>
        <v>1</v>
      </c>
      <c r="AK243">
        <f>TYPE(All_India_Index_Upto_April23__1[[#This Row],[Month]])</f>
        <v>2</v>
      </c>
      <c r="AL243">
        <f>TYPE(All_India_Index_Upto_April23__1[[#This Row],[Cereals and products]])</f>
        <v>1</v>
      </c>
      <c r="AM243">
        <f>TYPE(All_India_Index_Upto_April23__1[[#This Row],[Meat and fish]])</f>
        <v>1</v>
      </c>
      <c r="AN243">
        <f>TYPE(All_India_Index_Upto_April23__1[[#This Row],[Egg]])</f>
        <v>1</v>
      </c>
      <c r="AO243">
        <f>TYPE(All_India_Index_Upto_April23__1[[#This Row],[Milk and products]])</f>
        <v>1</v>
      </c>
      <c r="AP243">
        <f>TYPE(All_India_Index_Upto_April23__1[[#This Row],[Oils and fats]])</f>
        <v>1</v>
      </c>
      <c r="AQ243">
        <f>TYPE(All_India_Index_Upto_April23__1[[#This Row],[Fruits]])</f>
        <v>1</v>
      </c>
      <c r="AR243">
        <f>TYPE(All_India_Index_Upto_April23__1[[#This Row],[Vegetables]])</f>
        <v>1</v>
      </c>
      <c r="AS243">
        <f>TYPE(All_India_Index_Upto_April23__1[[#This Row],[Pulses and products]])</f>
        <v>1</v>
      </c>
      <c r="AT243">
        <f>TYPE(All_India_Index_Upto_April23__1[[#This Row],[Sugar and Confectionery]])</f>
        <v>1</v>
      </c>
      <c r="AU243">
        <f>TYPE(All_India_Index_Upto_April23__1[[#This Row],[Spices]])</f>
        <v>1</v>
      </c>
      <c r="AV243">
        <f>TYPE(All_India_Index_Upto_April23__1[[#This Row],[Non-alcoholic beverages]])</f>
        <v>1</v>
      </c>
      <c r="AW243">
        <f>TYPE(All_India_Index_Upto_April23__1[[#This Row],[Prepared meals, snacks, sweets etc.]])</f>
        <v>1</v>
      </c>
      <c r="AX243">
        <f>TYPE(All_India_Index_Upto_April23__1[[#This Row],[Food and beverages]])</f>
        <v>1</v>
      </c>
      <c r="AY243">
        <f>TYPE(All_India_Index_Upto_April23__1[[#This Row],[Pan, tobacco and intoxicants]])</f>
        <v>1</v>
      </c>
      <c r="AZ243">
        <f>TYPE(All_India_Index_Upto_April23__1[[#This Row],[Clothing]])</f>
        <v>1</v>
      </c>
      <c r="BA243">
        <f>TYPE(All_India_Index_Upto_April23__1[[#This Row],[Footwear]])</f>
        <v>1</v>
      </c>
      <c r="BB243">
        <f>TYPE(All_India_Index_Upto_April23__1[[#This Row],[Clothing and footwear]])</f>
        <v>1</v>
      </c>
      <c r="BC243">
        <f>TYPE(All_India_Index_Upto_April23__1[[#This Row],[Housing]])</f>
        <v>2</v>
      </c>
      <c r="BD243">
        <f>TYPE(All_India_Index_Upto_April23__1[[#This Row],[Fuel and light]])</f>
        <v>1</v>
      </c>
      <c r="BE243">
        <f>TYPE(All_India_Index_Upto_April23__1[[#This Row],[Household goods and services]])</f>
        <v>1</v>
      </c>
      <c r="BF243">
        <f>TYPE(All_India_Index_Upto_April23__1[[#This Row],[Health]])</f>
        <v>1</v>
      </c>
      <c r="BG243">
        <f>TYPE(All_India_Index_Upto_April23__1[[#This Row],[Transport and communication]])</f>
        <v>1</v>
      </c>
      <c r="BH243">
        <f>TYPE(All_India_Index_Upto_April23__1[[#This Row],[Recreation and amusement]])</f>
        <v>1</v>
      </c>
      <c r="BI243">
        <f>TYPE(All_India_Index_Upto_April23__1[[#This Row],[Education]])</f>
        <v>1</v>
      </c>
      <c r="BJ243">
        <f>TYPE(All_India_Index_Upto_April23__1[[#This Row],[Personal care and effects]])</f>
        <v>1</v>
      </c>
      <c r="BK243">
        <f>TYPE(All_India_Index_Upto_April23__1[[#This Row],[Miscellaneous]])</f>
        <v>1</v>
      </c>
      <c r="BL243">
        <f>TYPE(All_India_Index_Upto_April23__1[[#This Row],[General index]])</f>
        <v>1</v>
      </c>
    </row>
    <row r="244" spans="1:64" hidden="1" x14ac:dyDescent="0.3">
      <c r="A244" t="s">
        <v>32</v>
      </c>
      <c r="B244">
        <v>2019</v>
      </c>
      <c r="C244" t="s">
        <v>42</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t="s">
        <v>168</v>
      </c>
      <c r="V244">
        <v>128.9</v>
      </c>
      <c r="W244">
        <v>138.69999999999999</v>
      </c>
      <c r="X244">
        <v>142.4</v>
      </c>
      <c r="Y244">
        <v>121.5</v>
      </c>
      <c r="Z244">
        <v>136.19999999999999</v>
      </c>
      <c r="AA244">
        <v>151.69999999999999</v>
      </c>
      <c r="AB244">
        <v>139.5</v>
      </c>
      <c r="AC244">
        <v>136</v>
      </c>
      <c r="AD244">
        <v>146</v>
      </c>
      <c r="AE244">
        <f>SUM(All_India_Index_Upto_April23__1[[#This Row],[Cereals and products]:[Food and beverages]])</f>
        <v>1902.6000000000001</v>
      </c>
      <c r="AF244">
        <f>SUM(All_India_Index_Upto_April23__1[[#This Row],[Clothing]:[Clothing and footwear]])</f>
        <v>422.20000000000005</v>
      </c>
      <c r="AG244">
        <f t="shared" si="3"/>
        <v>389.1</v>
      </c>
      <c r="AI244">
        <f>TYPE(All_India_Index_Upto_April23__1[[#This Row],[Sector]])</f>
        <v>2</v>
      </c>
      <c r="AJ244">
        <f>TYPE(All_India_Index_Upto_April23__1[[#This Row],[Year]])</f>
        <v>1</v>
      </c>
      <c r="AK244">
        <f>TYPE(All_India_Index_Upto_April23__1[[#This Row],[Month]])</f>
        <v>2</v>
      </c>
      <c r="AL244">
        <f>TYPE(All_India_Index_Upto_April23__1[[#This Row],[Cereals and products]])</f>
        <v>1</v>
      </c>
      <c r="AM244">
        <f>TYPE(All_India_Index_Upto_April23__1[[#This Row],[Meat and fish]])</f>
        <v>1</v>
      </c>
      <c r="AN244">
        <f>TYPE(All_India_Index_Upto_April23__1[[#This Row],[Egg]])</f>
        <v>1</v>
      </c>
      <c r="AO244">
        <f>TYPE(All_India_Index_Upto_April23__1[[#This Row],[Milk and products]])</f>
        <v>1</v>
      </c>
      <c r="AP244">
        <f>TYPE(All_India_Index_Upto_April23__1[[#This Row],[Oils and fats]])</f>
        <v>1</v>
      </c>
      <c r="AQ244">
        <f>TYPE(All_India_Index_Upto_April23__1[[#This Row],[Fruits]])</f>
        <v>1</v>
      </c>
      <c r="AR244">
        <f>TYPE(All_India_Index_Upto_April23__1[[#This Row],[Vegetables]])</f>
        <v>1</v>
      </c>
      <c r="AS244">
        <f>TYPE(All_India_Index_Upto_April23__1[[#This Row],[Pulses and products]])</f>
        <v>1</v>
      </c>
      <c r="AT244">
        <f>TYPE(All_India_Index_Upto_April23__1[[#This Row],[Sugar and Confectionery]])</f>
        <v>1</v>
      </c>
      <c r="AU244">
        <f>TYPE(All_India_Index_Upto_April23__1[[#This Row],[Spices]])</f>
        <v>1</v>
      </c>
      <c r="AV244">
        <f>TYPE(All_India_Index_Upto_April23__1[[#This Row],[Non-alcoholic beverages]])</f>
        <v>1</v>
      </c>
      <c r="AW244">
        <f>TYPE(All_India_Index_Upto_April23__1[[#This Row],[Prepared meals, snacks, sweets etc.]])</f>
        <v>1</v>
      </c>
      <c r="AX244">
        <f>TYPE(All_India_Index_Upto_April23__1[[#This Row],[Food and beverages]])</f>
        <v>1</v>
      </c>
      <c r="AY244">
        <f>TYPE(All_India_Index_Upto_April23__1[[#This Row],[Pan, tobacco and intoxicants]])</f>
        <v>1</v>
      </c>
      <c r="AZ244">
        <f>TYPE(All_India_Index_Upto_April23__1[[#This Row],[Clothing]])</f>
        <v>1</v>
      </c>
      <c r="BA244">
        <f>TYPE(All_India_Index_Upto_April23__1[[#This Row],[Footwear]])</f>
        <v>1</v>
      </c>
      <c r="BB244">
        <f>TYPE(All_India_Index_Upto_April23__1[[#This Row],[Clothing and footwear]])</f>
        <v>1</v>
      </c>
      <c r="BC244">
        <f>TYPE(All_India_Index_Upto_April23__1[[#This Row],[Housing]])</f>
        <v>2</v>
      </c>
      <c r="BD244">
        <f>TYPE(All_India_Index_Upto_April23__1[[#This Row],[Fuel and light]])</f>
        <v>1</v>
      </c>
      <c r="BE244">
        <f>TYPE(All_India_Index_Upto_April23__1[[#This Row],[Household goods and services]])</f>
        <v>1</v>
      </c>
      <c r="BF244">
        <f>TYPE(All_India_Index_Upto_April23__1[[#This Row],[Health]])</f>
        <v>1</v>
      </c>
      <c r="BG244">
        <f>TYPE(All_India_Index_Upto_April23__1[[#This Row],[Transport and communication]])</f>
        <v>1</v>
      </c>
      <c r="BH244">
        <f>TYPE(All_India_Index_Upto_April23__1[[#This Row],[Recreation and amusement]])</f>
        <v>1</v>
      </c>
      <c r="BI244">
        <f>TYPE(All_India_Index_Upto_April23__1[[#This Row],[Education]])</f>
        <v>1</v>
      </c>
      <c r="BJ244">
        <f>TYPE(All_India_Index_Upto_April23__1[[#This Row],[Personal care and effects]])</f>
        <v>1</v>
      </c>
      <c r="BK244">
        <f>TYPE(All_India_Index_Upto_April23__1[[#This Row],[Miscellaneous]])</f>
        <v>1</v>
      </c>
      <c r="BL244">
        <f>TYPE(All_India_Index_Upto_April23__1[[#This Row],[General index]])</f>
        <v>1</v>
      </c>
    </row>
    <row r="245" spans="1:64" x14ac:dyDescent="0.3">
      <c r="A245" t="s">
        <v>33</v>
      </c>
      <c r="B245">
        <v>2019</v>
      </c>
      <c r="C245" t="s">
        <v>42</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t="s">
        <v>168</v>
      </c>
      <c r="V245">
        <v>140.6</v>
      </c>
      <c r="W245">
        <v>145</v>
      </c>
      <c r="X245">
        <v>149.4</v>
      </c>
      <c r="Y245">
        <v>126.3</v>
      </c>
      <c r="Z245">
        <v>141.69999999999999</v>
      </c>
      <c r="AA245">
        <v>155.4</v>
      </c>
      <c r="AB245">
        <v>140</v>
      </c>
      <c r="AC245">
        <v>141</v>
      </c>
      <c r="AD245">
        <v>147.19999999999999</v>
      </c>
      <c r="AE245">
        <f>SUM(All_India_Index_Upto_April23__1[[#This Row],[Cereals and products]:[Food and beverages]])</f>
        <v>1885.5999999999997</v>
      </c>
      <c r="AF245">
        <f>SUM(All_India_Index_Upto_April23__1[[#This Row],[Clothing]:[Clothing and footwear]])</f>
        <v>438.40000000000003</v>
      </c>
      <c r="AG245">
        <f t="shared" si="3"/>
        <v>411.90000000000003</v>
      </c>
      <c r="AI245">
        <f>TYPE(All_India_Index_Upto_April23__1[[#This Row],[Sector]])</f>
        <v>2</v>
      </c>
      <c r="AJ245">
        <f>TYPE(All_India_Index_Upto_April23__1[[#This Row],[Year]])</f>
        <v>1</v>
      </c>
      <c r="AK245">
        <f>TYPE(All_India_Index_Upto_April23__1[[#This Row],[Month]])</f>
        <v>2</v>
      </c>
      <c r="AL245">
        <f>TYPE(All_India_Index_Upto_April23__1[[#This Row],[Cereals and products]])</f>
        <v>1</v>
      </c>
      <c r="AM245">
        <f>TYPE(All_India_Index_Upto_April23__1[[#This Row],[Meat and fish]])</f>
        <v>1</v>
      </c>
      <c r="AN245">
        <f>TYPE(All_India_Index_Upto_April23__1[[#This Row],[Egg]])</f>
        <v>1</v>
      </c>
      <c r="AO245">
        <f>TYPE(All_India_Index_Upto_April23__1[[#This Row],[Milk and products]])</f>
        <v>1</v>
      </c>
      <c r="AP245">
        <f>TYPE(All_India_Index_Upto_April23__1[[#This Row],[Oils and fats]])</f>
        <v>1</v>
      </c>
      <c r="AQ245">
        <f>TYPE(All_India_Index_Upto_April23__1[[#This Row],[Fruits]])</f>
        <v>1</v>
      </c>
      <c r="AR245">
        <f>TYPE(All_India_Index_Upto_April23__1[[#This Row],[Vegetables]])</f>
        <v>1</v>
      </c>
      <c r="AS245">
        <f>TYPE(All_India_Index_Upto_April23__1[[#This Row],[Pulses and products]])</f>
        <v>1</v>
      </c>
      <c r="AT245">
        <f>TYPE(All_India_Index_Upto_April23__1[[#This Row],[Sugar and Confectionery]])</f>
        <v>1</v>
      </c>
      <c r="AU245">
        <f>TYPE(All_India_Index_Upto_April23__1[[#This Row],[Spices]])</f>
        <v>1</v>
      </c>
      <c r="AV245">
        <f>TYPE(All_India_Index_Upto_April23__1[[#This Row],[Non-alcoholic beverages]])</f>
        <v>1</v>
      </c>
      <c r="AW245">
        <f>TYPE(All_India_Index_Upto_April23__1[[#This Row],[Prepared meals, snacks, sweets etc.]])</f>
        <v>1</v>
      </c>
      <c r="AX245">
        <f>TYPE(All_India_Index_Upto_April23__1[[#This Row],[Food and beverages]])</f>
        <v>1</v>
      </c>
      <c r="AY245">
        <f>TYPE(All_India_Index_Upto_April23__1[[#This Row],[Pan, tobacco and intoxicants]])</f>
        <v>1</v>
      </c>
      <c r="AZ245">
        <f>TYPE(All_India_Index_Upto_April23__1[[#This Row],[Clothing]])</f>
        <v>1</v>
      </c>
      <c r="BA245">
        <f>TYPE(All_India_Index_Upto_April23__1[[#This Row],[Footwear]])</f>
        <v>1</v>
      </c>
      <c r="BB245">
        <f>TYPE(All_India_Index_Upto_April23__1[[#This Row],[Clothing and footwear]])</f>
        <v>1</v>
      </c>
      <c r="BC245">
        <f>TYPE(All_India_Index_Upto_April23__1[[#This Row],[Housing]])</f>
        <v>2</v>
      </c>
      <c r="BD245">
        <f>TYPE(All_India_Index_Upto_April23__1[[#This Row],[Fuel and light]])</f>
        <v>1</v>
      </c>
      <c r="BE245">
        <f>TYPE(All_India_Index_Upto_April23__1[[#This Row],[Household goods and services]])</f>
        <v>1</v>
      </c>
      <c r="BF245">
        <f>TYPE(All_India_Index_Upto_April23__1[[#This Row],[Health]])</f>
        <v>1</v>
      </c>
      <c r="BG245">
        <f>TYPE(All_India_Index_Upto_April23__1[[#This Row],[Transport and communication]])</f>
        <v>1</v>
      </c>
      <c r="BH245">
        <f>TYPE(All_India_Index_Upto_April23__1[[#This Row],[Recreation and amusement]])</f>
        <v>1</v>
      </c>
      <c r="BI245">
        <f>TYPE(All_India_Index_Upto_April23__1[[#This Row],[Education]])</f>
        <v>1</v>
      </c>
      <c r="BJ245">
        <f>TYPE(All_India_Index_Upto_April23__1[[#This Row],[Personal care and effects]])</f>
        <v>1</v>
      </c>
      <c r="BK245">
        <f>TYPE(All_India_Index_Upto_April23__1[[#This Row],[Miscellaneous]])</f>
        <v>1</v>
      </c>
      <c r="BL245">
        <f>TYPE(All_India_Index_Upto_April23__1[[#This Row],[General index]])</f>
        <v>1</v>
      </c>
    </row>
    <row r="246" spans="1:64" hidden="1" x14ac:dyDescent="0.3">
      <c r="A246" t="s">
        <v>30</v>
      </c>
      <c r="B246">
        <v>2019</v>
      </c>
      <c r="C246" t="s">
        <v>43</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U246" t="s">
        <v>89</v>
      </c>
      <c r="V246">
        <v>148.4</v>
      </c>
      <c r="W246">
        <v>150.9</v>
      </c>
      <c r="X246">
        <v>154.30000000000001</v>
      </c>
      <c r="Y246">
        <v>132.1</v>
      </c>
      <c r="Z246">
        <v>149.1</v>
      </c>
      <c r="AA246">
        <v>160.80000000000001</v>
      </c>
      <c r="AB246">
        <v>140.6</v>
      </c>
      <c r="AC246">
        <v>146.1</v>
      </c>
      <c r="AD246">
        <v>149.9</v>
      </c>
      <c r="AE246">
        <f>SUM(All_India_Index_Upto_April23__1[[#This Row],[Cereals and products]:[Food and beverages]])</f>
        <v>1904.6000000000001</v>
      </c>
      <c r="AF246">
        <f>SUM(All_India_Index_Upto_April23__1[[#This Row],[Clothing]:[Clothing and footwear]])</f>
        <v>450.8</v>
      </c>
      <c r="AG246">
        <f t="shared" si="3"/>
        <v>431.4</v>
      </c>
      <c r="AI246">
        <f>TYPE(All_India_Index_Upto_April23__1[[#This Row],[Sector]])</f>
        <v>2</v>
      </c>
      <c r="AJ246">
        <f>TYPE(All_India_Index_Upto_April23__1[[#This Row],[Year]])</f>
        <v>1</v>
      </c>
      <c r="AK246">
        <f>TYPE(All_India_Index_Upto_April23__1[[#This Row],[Month]])</f>
        <v>2</v>
      </c>
      <c r="AL246">
        <f>TYPE(All_India_Index_Upto_April23__1[[#This Row],[Cereals and products]])</f>
        <v>1</v>
      </c>
      <c r="AM246">
        <f>TYPE(All_India_Index_Upto_April23__1[[#This Row],[Meat and fish]])</f>
        <v>1</v>
      </c>
      <c r="AN246">
        <f>TYPE(All_India_Index_Upto_April23__1[[#This Row],[Egg]])</f>
        <v>1</v>
      </c>
      <c r="AO246">
        <f>TYPE(All_India_Index_Upto_April23__1[[#This Row],[Milk and products]])</f>
        <v>1</v>
      </c>
      <c r="AP246">
        <f>TYPE(All_India_Index_Upto_April23__1[[#This Row],[Oils and fats]])</f>
        <v>1</v>
      </c>
      <c r="AQ246">
        <f>TYPE(All_India_Index_Upto_April23__1[[#This Row],[Fruits]])</f>
        <v>1</v>
      </c>
      <c r="AR246">
        <f>TYPE(All_India_Index_Upto_April23__1[[#This Row],[Vegetables]])</f>
        <v>1</v>
      </c>
      <c r="AS246">
        <f>TYPE(All_India_Index_Upto_April23__1[[#This Row],[Pulses and products]])</f>
        <v>1</v>
      </c>
      <c r="AT246">
        <f>TYPE(All_India_Index_Upto_April23__1[[#This Row],[Sugar and Confectionery]])</f>
        <v>1</v>
      </c>
      <c r="AU246">
        <f>TYPE(All_India_Index_Upto_April23__1[[#This Row],[Spices]])</f>
        <v>1</v>
      </c>
      <c r="AV246">
        <f>TYPE(All_India_Index_Upto_April23__1[[#This Row],[Non-alcoholic beverages]])</f>
        <v>1</v>
      </c>
      <c r="AW246">
        <f>TYPE(All_India_Index_Upto_April23__1[[#This Row],[Prepared meals, snacks, sweets etc.]])</f>
        <v>1</v>
      </c>
      <c r="AX246">
        <f>TYPE(All_India_Index_Upto_April23__1[[#This Row],[Food and beverages]])</f>
        <v>1</v>
      </c>
      <c r="AY246">
        <f>TYPE(All_India_Index_Upto_April23__1[[#This Row],[Pan, tobacco and intoxicants]])</f>
        <v>1</v>
      </c>
      <c r="AZ246">
        <f>TYPE(All_India_Index_Upto_April23__1[[#This Row],[Clothing]])</f>
        <v>1</v>
      </c>
      <c r="BA246">
        <f>TYPE(All_India_Index_Upto_April23__1[[#This Row],[Footwear]])</f>
        <v>1</v>
      </c>
      <c r="BB246">
        <f>TYPE(All_India_Index_Upto_April23__1[[#This Row],[Clothing and footwear]])</f>
        <v>1</v>
      </c>
      <c r="BC246">
        <f>TYPE(All_India_Index_Upto_April23__1[[#This Row],[Housing]])</f>
        <v>2</v>
      </c>
      <c r="BD246">
        <f>TYPE(All_India_Index_Upto_April23__1[[#This Row],[Fuel and light]])</f>
        <v>1</v>
      </c>
      <c r="BE246">
        <f>TYPE(All_India_Index_Upto_April23__1[[#This Row],[Household goods and services]])</f>
        <v>1</v>
      </c>
      <c r="BF246">
        <f>TYPE(All_India_Index_Upto_April23__1[[#This Row],[Health]])</f>
        <v>1</v>
      </c>
      <c r="BG246">
        <f>TYPE(All_India_Index_Upto_April23__1[[#This Row],[Transport and communication]])</f>
        <v>1</v>
      </c>
      <c r="BH246">
        <f>TYPE(All_India_Index_Upto_April23__1[[#This Row],[Recreation and amusement]])</f>
        <v>1</v>
      </c>
      <c r="BI246">
        <f>TYPE(All_India_Index_Upto_April23__1[[#This Row],[Education]])</f>
        <v>1</v>
      </c>
      <c r="BJ246">
        <f>TYPE(All_India_Index_Upto_April23__1[[#This Row],[Personal care and effects]])</f>
        <v>1</v>
      </c>
      <c r="BK246">
        <f>TYPE(All_India_Index_Upto_April23__1[[#This Row],[Miscellaneous]])</f>
        <v>1</v>
      </c>
      <c r="BL246">
        <f>TYPE(All_India_Index_Upto_April23__1[[#This Row],[General index]])</f>
        <v>1</v>
      </c>
    </row>
    <row r="247" spans="1:64" hidden="1" x14ac:dyDescent="0.3">
      <c r="A247" t="s">
        <v>32</v>
      </c>
      <c r="B247">
        <v>2019</v>
      </c>
      <c r="C247" t="s">
        <v>43</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t="s">
        <v>169</v>
      </c>
      <c r="V247">
        <v>132.19999999999999</v>
      </c>
      <c r="W247">
        <v>139.1</v>
      </c>
      <c r="X247">
        <v>142.80000000000001</v>
      </c>
      <c r="Y247">
        <v>121.7</v>
      </c>
      <c r="Z247">
        <v>136.69999999999999</v>
      </c>
      <c r="AA247">
        <v>151.80000000000001</v>
      </c>
      <c r="AB247">
        <v>139.80000000000001</v>
      </c>
      <c r="AC247">
        <v>136.30000000000001</v>
      </c>
      <c r="AD247">
        <v>147</v>
      </c>
      <c r="AE247">
        <f>SUM(All_India_Index_Upto_April23__1[[#This Row],[Cereals and products]:[Food and beverages]])</f>
        <v>1923.9999999999998</v>
      </c>
      <c r="AF247">
        <f>SUM(All_India_Index_Upto_April23__1[[#This Row],[Clothing]:[Clothing and footwear]])</f>
        <v>423.09999999999997</v>
      </c>
      <c r="AG247">
        <f t="shared" si="3"/>
        <v>392.99999999999994</v>
      </c>
      <c r="AI247">
        <f>TYPE(All_India_Index_Upto_April23__1[[#This Row],[Sector]])</f>
        <v>2</v>
      </c>
      <c r="AJ247">
        <f>TYPE(All_India_Index_Upto_April23__1[[#This Row],[Year]])</f>
        <v>1</v>
      </c>
      <c r="AK247">
        <f>TYPE(All_India_Index_Upto_April23__1[[#This Row],[Month]])</f>
        <v>2</v>
      </c>
      <c r="AL247">
        <f>TYPE(All_India_Index_Upto_April23__1[[#This Row],[Cereals and products]])</f>
        <v>1</v>
      </c>
      <c r="AM247">
        <f>TYPE(All_India_Index_Upto_April23__1[[#This Row],[Meat and fish]])</f>
        <v>1</v>
      </c>
      <c r="AN247">
        <f>TYPE(All_India_Index_Upto_April23__1[[#This Row],[Egg]])</f>
        <v>1</v>
      </c>
      <c r="AO247">
        <f>TYPE(All_India_Index_Upto_April23__1[[#This Row],[Milk and products]])</f>
        <v>1</v>
      </c>
      <c r="AP247">
        <f>TYPE(All_India_Index_Upto_April23__1[[#This Row],[Oils and fats]])</f>
        <v>1</v>
      </c>
      <c r="AQ247">
        <f>TYPE(All_India_Index_Upto_April23__1[[#This Row],[Fruits]])</f>
        <v>1</v>
      </c>
      <c r="AR247">
        <f>TYPE(All_India_Index_Upto_April23__1[[#This Row],[Vegetables]])</f>
        <v>1</v>
      </c>
      <c r="AS247">
        <f>TYPE(All_India_Index_Upto_April23__1[[#This Row],[Pulses and products]])</f>
        <v>1</v>
      </c>
      <c r="AT247">
        <f>TYPE(All_India_Index_Upto_April23__1[[#This Row],[Sugar and Confectionery]])</f>
        <v>1</v>
      </c>
      <c r="AU247">
        <f>TYPE(All_India_Index_Upto_April23__1[[#This Row],[Spices]])</f>
        <v>1</v>
      </c>
      <c r="AV247">
        <f>TYPE(All_India_Index_Upto_April23__1[[#This Row],[Non-alcoholic beverages]])</f>
        <v>1</v>
      </c>
      <c r="AW247">
        <f>TYPE(All_India_Index_Upto_April23__1[[#This Row],[Prepared meals, snacks, sweets etc.]])</f>
        <v>1</v>
      </c>
      <c r="AX247">
        <f>TYPE(All_India_Index_Upto_April23__1[[#This Row],[Food and beverages]])</f>
        <v>1</v>
      </c>
      <c r="AY247">
        <f>TYPE(All_India_Index_Upto_April23__1[[#This Row],[Pan, tobacco and intoxicants]])</f>
        <v>1</v>
      </c>
      <c r="AZ247">
        <f>TYPE(All_India_Index_Upto_April23__1[[#This Row],[Clothing]])</f>
        <v>1</v>
      </c>
      <c r="BA247">
        <f>TYPE(All_India_Index_Upto_April23__1[[#This Row],[Footwear]])</f>
        <v>1</v>
      </c>
      <c r="BB247">
        <f>TYPE(All_India_Index_Upto_April23__1[[#This Row],[Clothing and footwear]])</f>
        <v>1</v>
      </c>
      <c r="BC247">
        <f>TYPE(All_India_Index_Upto_April23__1[[#This Row],[Housing]])</f>
        <v>2</v>
      </c>
      <c r="BD247">
        <f>TYPE(All_India_Index_Upto_April23__1[[#This Row],[Fuel and light]])</f>
        <v>1</v>
      </c>
      <c r="BE247">
        <f>TYPE(All_India_Index_Upto_April23__1[[#This Row],[Household goods and services]])</f>
        <v>1</v>
      </c>
      <c r="BF247">
        <f>TYPE(All_India_Index_Upto_April23__1[[#This Row],[Health]])</f>
        <v>1</v>
      </c>
      <c r="BG247">
        <f>TYPE(All_India_Index_Upto_April23__1[[#This Row],[Transport and communication]])</f>
        <v>1</v>
      </c>
      <c r="BH247">
        <f>TYPE(All_India_Index_Upto_April23__1[[#This Row],[Recreation and amusement]])</f>
        <v>1</v>
      </c>
      <c r="BI247">
        <f>TYPE(All_India_Index_Upto_April23__1[[#This Row],[Education]])</f>
        <v>1</v>
      </c>
      <c r="BJ247">
        <f>TYPE(All_India_Index_Upto_April23__1[[#This Row],[Personal care and effects]])</f>
        <v>1</v>
      </c>
      <c r="BK247">
        <f>TYPE(All_India_Index_Upto_April23__1[[#This Row],[Miscellaneous]])</f>
        <v>1</v>
      </c>
      <c r="BL247">
        <f>TYPE(All_India_Index_Upto_April23__1[[#This Row],[General index]])</f>
        <v>1</v>
      </c>
    </row>
    <row r="248" spans="1:64" x14ac:dyDescent="0.3">
      <c r="A248" t="s">
        <v>33</v>
      </c>
      <c r="B248">
        <v>2019</v>
      </c>
      <c r="C248" t="s">
        <v>43</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t="s">
        <v>169</v>
      </c>
      <c r="V248">
        <v>142.30000000000001</v>
      </c>
      <c r="W248">
        <v>145.30000000000001</v>
      </c>
      <c r="X248">
        <v>149.9</v>
      </c>
      <c r="Y248">
        <v>126.6</v>
      </c>
      <c r="Z248">
        <v>142.1</v>
      </c>
      <c r="AA248">
        <v>155.5</v>
      </c>
      <c r="AB248">
        <v>140.30000000000001</v>
      </c>
      <c r="AC248">
        <v>141.30000000000001</v>
      </c>
      <c r="AD248">
        <v>148.6</v>
      </c>
      <c r="AE248">
        <f>SUM(All_India_Index_Upto_April23__1[[#This Row],[Cereals and products]:[Food and beverages]])</f>
        <v>1910.9</v>
      </c>
      <c r="AF248">
        <f>SUM(All_India_Index_Upto_April23__1[[#This Row],[Clothing]:[Clothing and footwear]])</f>
        <v>439.5</v>
      </c>
      <c r="AG248">
        <f t="shared" si="3"/>
        <v>414.20000000000005</v>
      </c>
      <c r="AI248">
        <f>TYPE(All_India_Index_Upto_April23__1[[#This Row],[Sector]])</f>
        <v>2</v>
      </c>
      <c r="AJ248">
        <f>TYPE(All_India_Index_Upto_April23__1[[#This Row],[Year]])</f>
        <v>1</v>
      </c>
      <c r="AK248">
        <f>TYPE(All_India_Index_Upto_April23__1[[#This Row],[Month]])</f>
        <v>2</v>
      </c>
      <c r="AL248">
        <f>TYPE(All_India_Index_Upto_April23__1[[#This Row],[Cereals and products]])</f>
        <v>1</v>
      </c>
      <c r="AM248">
        <f>TYPE(All_India_Index_Upto_April23__1[[#This Row],[Meat and fish]])</f>
        <v>1</v>
      </c>
      <c r="AN248">
        <f>TYPE(All_India_Index_Upto_April23__1[[#This Row],[Egg]])</f>
        <v>1</v>
      </c>
      <c r="AO248">
        <f>TYPE(All_India_Index_Upto_April23__1[[#This Row],[Milk and products]])</f>
        <v>1</v>
      </c>
      <c r="AP248">
        <f>TYPE(All_India_Index_Upto_April23__1[[#This Row],[Oils and fats]])</f>
        <v>1</v>
      </c>
      <c r="AQ248">
        <f>TYPE(All_India_Index_Upto_April23__1[[#This Row],[Fruits]])</f>
        <v>1</v>
      </c>
      <c r="AR248">
        <f>TYPE(All_India_Index_Upto_April23__1[[#This Row],[Vegetables]])</f>
        <v>1</v>
      </c>
      <c r="AS248">
        <f>TYPE(All_India_Index_Upto_April23__1[[#This Row],[Pulses and products]])</f>
        <v>1</v>
      </c>
      <c r="AT248">
        <f>TYPE(All_India_Index_Upto_April23__1[[#This Row],[Sugar and Confectionery]])</f>
        <v>1</v>
      </c>
      <c r="AU248">
        <f>TYPE(All_India_Index_Upto_April23__1[[#This Row],[Spices]])</f>
        <v>1</v>
      </c>
      <c r="AV248">
        <f>TYPE(All_India_Index_Upto_April23__1[[#This Row],[Non-alcoholic beverages]])</f>
        <v>1</v>
      </c>
      <c r="AW248">
        <f>TYPE(All_India_Index_Upto_April23__1[[#This Row],[Prepared meals, snacks, sweets etc.]])</f>
        <v>1</v>
      </c>
      <c r="AX248">
        <f>TYPE(All_India_Index_Upto_April23__1[[#This Row],[Food and beverages]])</f>
        <v>1</v>
      </c>
      <c r="AY248">
        <f>TYPE(All_India_Index_Upto_April23__1[[#This Row],[Pan, tobacco and intoxicants]])</f>
        <v>1</v>
      </c>
      <c r="AZ248">
        <f>TYPE(All_India_Index_Upto_April23__1[[#This Row],[Clothing]])</f>
        <v>1</v>
      </c>
      <c r="BA248">
        <f>TYPE(All_India_Index_Upto_April23__1[[#This Row],[Footwear]])</f>
        <v>1</v>
      </c>
      <c r="BB248">
        <f>TYPE(All_India_Index_Upto_April23__1[[#This Row],[Clothing and footwear]])</f>
        <v>1</v>
      </c>
      <c r="BC248">
        <f>TYPE(All_India_Index_Upto_April23__1[[#This Row],[Housing]])</f>
        <v>2</v>
      </c>
      <c r="BD248">
        <f>TYPE(All_India_Index_Upto_April23__1[[#This Row],[Fuel and light]])</f>
        <v>1</v>
      </c>
      <c r="BE248">
        <f>TYPE(All_India_Index_Upto_April23__1[[#This Row],[Household goods and services]])</f>
        <v>1</v>
      </c>
      <c r="BF248">
        <f>TYPE(All_India_Index_Upto_April23__1[[#This Row],[Health]])</f>
        <v>1</v>
      </c>
      <c r="BG248">
        <f>TYPE(All_India_Index_Upto_April23__1[[#This Row],[Transport and communication]])</f>
        <v>1</v>
      </c>
      <c r="BH248">
        <f>TYPE(All_India_Index_Upto_April23__1[[#This Row],[Recreation and amusement]])</f>
        <v>1</v>
      </c>
      <c r="BI248">
        <f>TYPE(All_India_Index_Upto_April23__1[[#This Row],[Education]])</f>
        <v>1</v>
      </c>
      <c r="BJ248">
        <f>TYPE(All_India_Index_Upto_April23__1[[#This Row],[Personal care and effects]])</f>
        <v>1</v>
      </c>
      <c r="BK248">
        <f>TYPE(All_India_Index_Upto_April23__1[[#This Row],[Miscellaneous]])</f>
        <v>1</v>
      </c>
      <c r="BL248">
        <f>TYPE(All_India_Index_Upto_April23__1[[#This Row],[General index]])</f>
        <v>1</v>
      </c>
    </row>
    <row r="249" spans="1:64" hidden="1" x14ac:dyDescent="0.3">
      <c r="A249" t="s">
        <v>30</v>
      </c>
      <c r="B249">
        <v>2019</v>
      </c>
      <c r="C249" t="s">
        <v>44</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U249" t="s">
        <v>89</v>
      </c>
      <c r="V249">
        <v>149.9</v>
      </c>
      <c r="W249">
        <v>151.19999999999999</v>
      </c>
      <c r="X249">
        <v>154.80000000000001</v>
      </c>
      <c r="Y249">
        <v>135</v>
      </c>
      <c r="Z249">
        <v>149.5</v>
      </c>
      <c r="AA249">
        <v>161.1</v>
      </c>
      <c r="AB249">
        <v>140.6</v>
      </c>
      <c r="AC249">
        <v>147.1</v>
      </c>
      <c r="AD249">
        <v>152.30000000000001</v>
      </c>
      <c r="AE249">
        <f>SUM(All_India_Index_Upto_April23__1[[#This Row],[Cereals and products]:[Food and beverages]])</f>
        <v>1940.9999999999995</v>
      </c>
      <c r="AF249">
        <f>SUM(All_India_Index_Upto_April23__1[[#This Row],[Clothing]:[Clothing and footwear]])</f>
        <v>451.79999999999995</v>
      </c>
      <c r="AG249">
        <f t="shared" si="3"/>
        <v>436.1</v>
      </c>
      <c r="AI249">
        <f>TYPE(All_India_Index_Upto_April23__1[[#This Row],[Sector]])</f>
        <v>2</v>
      </c>
      <c r="AJ249">
        <f>TYPE(All_India_Index_Upto_April23__1[[#This Row],[Year]])</f>
        <v>1</v>
      </c>
      <c r="AK249">
        <f>TYPE(All_India_Index_Upto_April23__1[[#This Row],[Month]])</f>
        <v>2</v>
      </c>
      <c r="AL249">
        <f>TYPE(All_India_Index_Upto_April23__1[[#This Row],[Cereals and products]])</f>
        <v>1</v>
      </c>
      <c r="AM249">
        <f>TYPE(All_India_Index_Upto_April23__1[[#This Row],[Meat and fish]])</f>
        <v>1</v>
      </c>
      <c r="AN249">
        <f>TYPE(All_India_Index_Upto_April23__1[[#This Row],[Egg]])</f>
        <v>1</v>
      </c>
      <c r="AO249">
        <f>TYPE(All_India_Index_Upto_April23__1[[#This Row],[Milk and products]])</f>
        <v>1</v>
      </c>
      <c r="AP249">
        <f>TYPE(All_India_Index_Upto_April23__1[[#This Row],[Oils and fats]])</f>
        <v>1</v>
      </c>
      <c r="AQ249">
        <f>TYPE(All_India_Index_Upto_April23__1[[#This Row],[Fruits]])</f>
        <v>1</v>
      </c>
      <c r="AR249">
        <f>TYPE(All_India_Index_Upto_April23__1[[#This Row],[Vegetables]])</f>
        <v>1</v>
      </c>
      <c r="AS249">
        <f>TYPE(All_India_Index_Upto_April23__1[[#This Row],[Pulses and products]])</f>
        <v>1</v>
      </c>
      <c r="AT249">
        <f>TYPE(All_India_Index_Upto_April23__1[[#This Row],[Sugar and Confectionery]])</f>
        <v>1</v>
      </c>
      <c r="AU249">
        <f>TYPE(All_India_Index_Upto_April23__1[[#This Row],[Spices]])</f>
        <v>1</v>
      </c>
      <c r="AV249">
        <f>TYPE(All_India_Index_Upto_April23__1[[#This Row],[Non-alcoholic beverages]])</f>
        <v>1</v>
      </c>
      <c r="AW249">
        <f>TYPE(All_India_Index_Upto_April23__1[[#This Row],[Prepared meals, snacks, sweets etc.]])</f>
        <v>1</v>
      </c>
      <c r="AX249">
        <f>TYPE(All_India_Index_Upto_April23__1[[#This Row],[Food and beverages]])</f>
        <v>1</v>
      </c>
      <c r="AY249">
        <f>TYPE(All_India_Index_Upto_April23__1[[#This Row],[Pan, tobacco and intoxicants]])</f>
        <v>1</v>
      </c>
      <c r="AZ249">
        <f>TYPE(All_India_Index_Upto_April23__1[[#This Row],[Clothing]])</f>
        <v>1</v>
      </c>
      <c r="BA249">
        <f>TYPE(All_India_Index_Upto_April23__1[[#This Row],[Footwear]])</f>
        <v>1</v>
      </c>
      <c r="BB249">
        <f>TYPE(All_India_Index_Upto_April23__1[[#This Row],[Clothing and footwear]])</f>
        <v>1</v>
      </c>
      <c r="BC249">
        <f>TYPE(All_India_Index_Upto_April23__1[[#This Row],[Housing]])</f>
        <v>2</v>
      </c>
      <c r="BD249">
        <f>TYPE(All_India_Index_Upto_April23__1[[#This Row],[Fuel and light]])</f>
        <v>1</v>
      </c>
      <c r="BE249">
        <f>TYPE(All_India_Index_Upto_April23__1[[#This Row],[Household goods and services]])</f>
        <v>1</v>
      </c>
      <c r="BF249">
        <f>TYPE(All_India_Index_Upto_April23__1[[#This Row],[Health]])</f>
        <v>1</v>
      </c>
      <c r="BG249">
        <f>TYPE(All_India_Index_Upto_April23__1[[#This Row],[Transport and communication]])</f>
        <v>1</v>
      </c>
      <c r="BH249">
        <f>TYPE(All_India_Index_Upto_April23__1[[#This Row],[Recreation and amusement]])</f>
        <v>1</v>
      </c>
      <c r="BI249">
        <f>TYPE(All_India_Index_Upto_April23__1[[#This Row],[Education]])</f>
        <v>1</v>
      </c>
      <c r="BJ249">
        <f>TYPE(All_India_Index_Upto_April23__1[[#This Row],[Personal care and effects]])</f>
        <v>1</v>
      </c>
      <c r="BK249">
        <f>TYPE(All_India_Index_Upto_April23__1[[#This Row],[Miscellaneous]])</f>
        <v>1</v>
      </c>
      <c r="BL249">
        <f>TYPE(All_India_Index_Upto_April23__1[[#This Row],[General index]])</f>
        <v>1</v>
      </c>
    </row>
    <row r="250" spans="1:64" hidden="1" x14ac:dyDescent="0.3">
      <c r="A250" t="s">
        <v>32</v>
      </c>
      <c r="B250">
        <v>2019</v>
      </c>
      <c r="C250" t="s">
        <v>44</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t="s">
        <v>170</v>
      </c>
      <c r="V250">
        <v>133.6</v>
      </c>
      <c r="W250">
        <v>139.80000000000001</v>
      </c>
      <c r="X250">
        <v>143.19999999999999</v>
      </c>
      <c r="Y250">
        <v>125.2</v>
      </c>
      <c r="Z250">
        <v>136.80000000000001</v>
      </c>
      <c r="AA250">
        <v>151.9</v>
      </c>
      <c r="AB250">
        <v>140.19999999999999</v>
      </c>
      <c r="AC250">
        <v>137.69999999999999</v>
      </c>
      <c r="AD250">
        <v>148.30000000000001</v>
      </c>
      <c r="AE250">
        <f>SUM(All_India_Index_Upto_April23__1[[#This Row],[Cereals and products]:[Food and beverages]])</f>
        <v>1956.7</v>
      </c>
      <c r="AF250">
        <f>SUM(All_India_Index_Upto_April23__1[[#This Row],[Clothing]:[Clothing and footwear]])</f>
        <v>424.20000000000005</v>
      </c>
      <c r="AG250">
        <f t="shared" si="3"/>
        <v>398.59999999999997</v>
      </c>
      <c r="AI250">
        <f>TYPE(All_India_Index_Upto_April23__1[[#This Row],[Sector]])</f>
        <v>2</v>
      </c>
      <c r="AJ250">
        <f>TYPE(All_India_Index_Upto_April23__1[[#This Row],[Year]])</f>
        <v>1</v>
      </c>
      <c r="AK250">
        <f>TYPE(All_India_Index_Upto_April23__1[[#This Row],[Month]])</f>
        <v>2</v>
      </c>
      <c r="AL250">
        <f>TYPE(All_India_Index_Upto_April23__1[[#This Row],[Cereals and products]])</f>
        <v>1</v>
      </c>
      <c r="AM250">
        <f>TYPE(All_India_Index_Upto_April23__1[[#This Row],[Meat and fish]])</f>
        <v>1</v>
      </c>
      <c r="AN250">
        <f>TYPE(All_India_Index_Upto_April23__1[[#This Row],[Egg]])</f>
        <v>1</v>
      </c>
      <c r="AO250">
        <f>TYPE(All_India_Index_Upto_April23__1[[#This Row],[Milk and products]])</f>
        <v>1</v>
      </c>
      <c r="AP250">
        <f>TYPE(All_India_Index_Upto_April23__1[[#This Row],[Oils and fats]])</f>
        <v>1</v>
      </c>
      <c r="AQ250">
        <f>TYPE(All_India_Index_Upto_April23__1[[#This Row],[Fruits]])</f>
        <v>1</v>
      </c>
      <c r="AR250">
        <f>TYPE(All_India_Index_Upto_April23__1[[#This Row],[Vegetables]])</f>
        <v>1</v>
      </c>
      <c r="AS250">
        <f>TYPE(All_India_Index_Upto_April23__1[[#This Row],[Pulses and products]])</f>
        <v>1</v>
      </c>
      <c r="AT250">
        <f>TYPE(All_India_Index_Upto_April23__1[[#This Row],[Sugar and Confectionery]])</f>
        <v>1</v>
      </c>
      <c r="AU250">
        <f>TYPE(All_India_Index_Upto_April23__1[[#This Row],[Spices]])</f>
        <v>1</v>
      </c>
      <c r="AV250">
        <f>TYPE(All_India_Index_Upto_April23__1[[#This Row],[Non-alcoholic beverages]])</f>
        <v>1</v>
      </c>
      <c r="AW250">
        <f>TYPE(All_India_Index_Upto_April23__1[[#This Row],[Prepared meals, snacks, sweets etc.]])</f>
        <v>1</v>
      </c>
      <c r="AX250">
        <f>TYPE(All_India_Index_Upto_April23__1[[#This Row],[Food and beverages]])</f>
        <v>1</v>
      </c>
      <c r="AY250">
        <f>TYPE(All_India_Index_Upto_April23__1[[#This Row],[Pan, tobacco and intoxicants]])</f>
        <v>1</v>
      </c>
      <c r="AZ250">
        <f>TYPE(All_India_Index_Upto_April23__1[[#This Row],[Clothing]])</f>
        <v>1</v>
      </c>
      <c r="BA250">
        <f>TYPE(All_India_Index_Upto_April23__1[[#This Row],[Footwear]])</f>
        <v>1</v>
      </c>
      <c r="BB250">
        <f>TYPE(All_India_Index_Upto_April23__1[[#This Row],[Clothing and footwear]])</f>
        <v>1</v>
      </c>
      <c r="BC250">
        <f>TYPE(All_India_Index_Upto_April23__1[[#This Row],[Housing]])</f>
        <v>2</v>
      </c>
      <c r="BD250">
        <f>TYPE(All_India_Index_Upto_April23__1[[#This Row],[Fuel and light]])</f>
        <v>1</v>
      </c>
      <c r="BE250">
        <f>TYPE(All_India_Index_Upto_April23__1[[#This Row],[Household goods and services]])</f>
        <v>1</v>
      </c>
      <c r="BF250">
        <f>TYPE(All_India_Index_Upto_April23__1[[#This Row],[Health]])</f>
        <v>1</v>
      </c>
      <c r="BG250">
        <f>TYPE(All_India_Index_Upto_April23__1[[#This Row],[Transport and communication]])</f>
        <v>1</v>
      </c>
      <c r="BH250">
        <f>TYPE(All_India_Index_Upto_April23__1[[#This Row],[Recreation and amusement]])</f>
        <v>1</v>
      </c>
      <c r="BI250">
        <f>TYPE(All_India_Index_Upto_April23__1[[#This Row],[Education]])</f>
        <v>1</v>
      </c>
      <c r="BJ250">
        <f>TYPE(All_India_Index_Upto_April23__1[[#This Row],[Personal care and effects]])</f>
        <v>1</v>
      </c>
      <c r="BK250">
        <f>TYPE(All_India_Index_Upto_April23__1[[#This Row],[Miscellaneous]])</f>
        <v>1</v>
      </c>
      <c r="BL250">
        <f>TYPE(All_India_Index_Upto_April23__1[[#This Row],[General index]])</f>
        <v>1</v>
      </c>
    </row>
    <row r="251" spans="1:64" x14ac:dyDescent="0.3">
      <c r="A251" t="s">
        <v>33</v>
      </c>
      <c r="B251">
        <v>2019</v>
      </c>
      <c r="C251" t="s">
        <v>44</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t="s">
        <v>170</v>
      </c>
      <c r="V251">
        <v>143.69999999999999</v>
      </c>
      <c r="W251">
        <v>145.80000000000001</v>
      </c>
      <c r="X251">
        <v>150.4</v>
      </c>
      <c r="Y251">
        <v>129.80000000000001</v>
      </c>
      <c r="Z251">
        <v>142.30000000000001</v>
      </c>
      <c r="AA251">
        <v>155.69999999999999</v>
      </c>
      <c r="AB251">
        <v>140.4</v>
      </c>
      <c r="AC251">
        <v>142.5</v>
      </c>
      <c r="AD251">
        <v>150.4</v>
      </c>
      <c r="AE251">
        <f>SUM(All_India_Index_Upto_April23__1[[#This Row],[Cereals and products]:[Food and beverages]])</f>
        <v>1946.1000000000001</v>
      </c>
      <c r="AF251">
        <f>SUM(All_India_Index_Upto_April23__1[[#This Row],[Clothing]:[Clothing and footwear]])</f>
        <v>440.6</v>
      </c>
      <c r="AG251">
        <f t="shared" si="3"/>
        <v>419.3</v>
      </c>
      <c r="AI251">
        <f>TYPE(All_India_Index_Upto_April23__1[[#This Row],[Sector]])</f>
        <v>2</v>
      </c>
      <c r="AJ251">
        <f>TYPE(All_India_Index_Upto_April23__1[[#This Row],[Year]])</f>
        <v>1</v>
      </c>
      <c r="AK251">
        <f>TYPE(All_India_Index_Upto_April23__1[[#This Row],[Month]])</f>
        <v>2</v>
      </c>
      <c r="AL251">
        <f>TYPE(All_India_Index_Upto_April23__1[[#This Row],[Cereals and products]])</f>
        <v>1</v>
      </c>
      <c r="AM251">
        <f>TYPE(All_India_Index_Upto_April23__1[[#This Row],[Meat and fish]])</f>
        <v>1</v>
      </c>
      <c r="AN251">
        <f>TYPE(All_India_Index_Upto_April23__1[[#This Row],[Egg]])</f>
        <v>1</v>
      </c>
      <c r="AO251">
        <f>TYPE(All_India_Index_Upto_April23__1[[#This Row],[Milk and products]])</f>
        <v>1</v>
      </c>
      <c r="AP251">
        <f>TYPE(All_India_Index_Upto_April23__1[[#This Row],[Oils and fats]])</f>
        <v>1</v>
      </c>
      <c r="AQ251">
        <f>TYPE(All_India_Index_Upto_April23__1[[#This Row],[Fruits]])</f>
        <v>1</v>
      </c>
      <c r="AR251">
        <f>TYPE(All_India_Index_Upto_April23__1[[#This Row],[Vegetables]])</f>
        <v>1</v>
      </c>
      <c r="AS251">
        <f>TYPE(All_India_Index_Upto_April23__1[[#This Row],[Pulses and products]])</f>
        <v>1</v>
      </c>
      <c r="AT251">
        <f>TYPE(All_India_Index_Upto_April23__1[[#This Row],[Sugar and Confectionery]])</f>
        <v>1</v>
      </c>
      <c r="AU251">
        <f>TYPE(All_India_Index_Upto_April23__1[[#This Row],[Spices]])</f>
        <v>1</v>
      </c>
      <c r="AV251">
        <f>TYPE(All_India_Index_Upto_April23__1[[#This Row],[Non-alcoholic beverages]])</f>
        <v>1</v>
      </c>
      <c r="AW251">
        <f>TYPE(All_India_Index_Upto_April23__1[[#This Row],[Prepared meals, snacks, sweets etc.]])</f>
        <v>1</v>
      </c>
      <c r="AX251">
        <f>TYPE(All_India_Index_Upto_April23__1[[#This Row],[Food and beverages]])</f>
        <v>1</v>
      </c>
      <c r="AY251">
        <f>TYPE(All_India_Index_Upto_April23__1[[#This Row],[Pan, tobacco and intoxicants]])</f>
        <v>1</v>
      </c>
      <c r="AZ251">
        <f>TYPE(All_India_Index_Upto_April23__1[[#This Row],[Clothing]])</f>
        <v>1</v>
      </c>
      <c r="BA251">
        <f>TYPE(All_India_Index_Upto_April23__1[[#This Row],[Footwear]])</f>
        <v>1</v>
      </c>
      <c r="BB251">
        <f>TYPE(All_India_Index_Upto_April23__1[[#This Row],[Clothing and footwear]])</f>
        <v>1</v>
      </c>
      <c r="BC251">
        <f>TYPE(All_India_Index_Upto_April23__1[[#This Row],[Housing]])</f>
        <v>2</v>
      </c>
      <c r="BD251">
        <f>TYPE(All_India_Index_Upto_April23__1[[#This Row],[Fuel and light]])</f>
        <v>1</v>
      </c>
      <c r="BE251">
        <f>TYPE(All_India_Index_Upto_April23__1[[#This Row],[Household goods and services]])</f>
        <v>1</v>
      </c>
      <c r="BF251">
        <f>TYPE(All_India_Index_Upto_April23__1[[#This Row],[Health]])</f>
        <v>1</v>
      </c>
      <c r="BG251">
        <f>TYPE(All_India_Index_Upto_April23__1[[#This Row],[Transport and communication]])</f>
        <v>1</v>
      </c>
      <c r="BH251">
        <f>TYPE(All_India_Index_Upto_April23__1[[#This Row],[Recreation and amusement]])</f>
        <v>1</v>
      </c>
      <c r="BI251">
        <f>TYPE(All_India_Index_Upto_April23__1[[#This Row],[Education]])</f>
        <v>1</v>
      </c>
      <c r="BJ251">
        <f>TYPE(All_India_Index_Upto_April23__1[[#This Row],[Personal care and effects]])</f>
        <v>1</v>
      </c>
      <c r="BK251">
        <f>TYPE(All_India_Index_Upto_April23__1[[#This Row],[Miscellaneous]])</f>
        <v>1</v>
      </c>
      <c r="BL251">
        <f>TYPE(All_India_Index_Upto_April23__1[[#This Row],[General index]])</f>
        <v>1</v>
      </c>
    </row>
    <row r="252" spans="1:64" hidden="1" x14ac:dyDescent="0.3">
      <c r="A252" t="s">
        <v>30</v>
      </c>
      <c r="B252">
        <v>2020</v>
      </c>
      <c r="C252" t="s">
        <v>31</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U252" t="s">
        <v>89</v>
      </c>
      <c r="V252">
        <v>150.4</v>
      </c>
      <c r="W252">
        <v>151.69999999999999</v>
      </c>
      <c r="X252">
        <v>155.69999999999999</v>
      </c>
      <c r="Y252">
        <v>136.30000000000001</v>
      </c>
      <c r="Z252">
        <v>150.1</v>
      </c>
      <c r="AA252">
        <v>161.69999999999999</v>
      </c>
      <c r="AB252">
        <v>142.5</v>
      </c>
      <c r="AC252">
        <v>148.1</v>
      </c>
      <c r="AD252">
        <v>151.9</v>
      </c>
      <c r="AE252">
        <f>SUM(All_India_Index_Upto_April23__1[[#This Row],[Cereals and products]:[Food and beverages]])</f>
        <v>1938.6</v>
      </c>
      <c r="AF252">
        <f>SUM(All_India_Index_Upto_April23__1[[#This Row],[Clothing]:[Clothing and footwear]])</f>
        <v>452.30000000000007</v>
      </c>
      <c r="AG252">
        <f t="shared" si="3"/>
        <v>438.40000000000003</v>
      </c>
      <c r="AI252">
        <f>TYPE(All_India_Index_Upto_April23__1[[#This Row],[Sector]])</f>
        <v>2</v>
      </c>
      <c r="AJ252">
        <f>TYPE(All_India_Index_Upto_April23__1[[#This Row],[Year]])</f>
        <v>1</v>
      </c>
      <c r="AK252">
        <f>TYPE(All_India_Index_Upto_April23__1[[#This Row],[Month]])</f>
        <v>2</v>
      </c>
      <c r="AL252">
        <f>TYPE(All_India_Index_Upto_April23__1[[#This Row],[Cereals and products]])</f>
        <v>1</v>
      </c>
      <c r="AM252">
        <f>TYPE(All_India_Index_Upto_April23__1[[#This Row],[Meat and fish]])</f>
        <v>1</v>
      </c>
      <c r="AN252">
        <f>TYPE(All_India_Index_Upto_April23__1[[#This Row],[Egg]])</f>
        <v>1</v>
      </c>
      <c r="AO252">
        <f>TYPE(All_India_Index_Upto_April23__1[[#This Row],[Milk and products]])</f>
        <v>1</v>
      </c>
      <c r="AP252">
        <f>TYPE(All_India_Index_Upto_April23__1[[#This Row],[Oils and fats]])</f>
        <v>1</v>
      </c>
      <c r="AQ252">
        <f>TYPE(All_India_Index_Upto_April23__1[[#This Row],[Fruits]])</f>
        <v>1</v>
      </c>
      <c r="AR252">
        <f>TYPE(All_India_Index_Upto_April23__1[[#This Row],[Vegetables]])</f>
        <v>1</v>
      </c>
      <c r="AS252">
        <f>TYPE(All_India_Index_Upto_April23__1[[#This Row],[Pulses and products]])</f>
        <v>1</v>
      </c>
      <c r="AT252">
        <f>TYPE(All_India_Index_Upto_April23__1[[#This Row],[Sugar and Confectionery]])</f>
        <v>1</v>
      </c>
      <c r="AU252">
        <f>TYPE(All_India_Index_Upto_April23__1[[#This Row],[Spices]])</f>
        <v>1</v>
      </c>
      <c r="AV252">
        <f>TYPE(All_India_Index_Upto_April23__1[[#This Row],[Non-alcoholic beverages]])</f>
        <v>1</v>
      </c>
      <c r="AW252">
        <f>TYPE(All_India_Index_Upto_April23__1[[#This Row],[Prepared meals, snacks, sweets etc.]])</f>
        <v>1</v>
      </c>
      <c r="AX252">
        <f>TYPE(All_India_Index_Upto_April23__1[[#This Row],[Food and beverages]])</f>
        <v>1</v>
      </c>
      <c r="AY252">
        <f>TYPE(All_India_Index_Upto_April23__1[[#This Row],[Pan, tobacco and intoxicants]])</f>
        <v>1</v>
      </c>
      <c r="AZ252">
        <f>TYPE(All_India_Index_Upto_April23__1[[#This Row],[Clothing]])</f>
        <v>1</v>
      </c>
      <c r="BA252">
        <f>TYPE(All_India_Index_Upto_April23__1[[#This Row],[Footwear]])</f>
        <v>1</v>
      </c>
      <c r="BB252">
        <f>TYPE(All_India_Index_Upto_April23__1[[#This Row],[Clothing and footwear]])</f>
        <v>1</v>
      </c>
      <c r="BC252">
        <f>TYPE(All_India_Index_Upto_April23__1[[#This Row],[Housing]])</f>
        <v>2</v>
      </c>
      <c r="BD252">
        <f>TYPE(All_India_Index_Upto_April23__1[[#This Row],[Fuel and light]])</f>
        <v>1</v>
      </c>
      <c r="BE252">
        <f>TYPE(All_India_Index_Upto_April23__1[[#This Row],[Household goods and services]])</f>
        <v>1</v>
      </c>
      <c r="BF252">
        <f>TYPE(All_India_Index_Upto_April23__1[[#This Row],[Health]])</f>
        <v>1</v>
      </c>
      <c r="BG252">
        <f>TYPE(All_India_Index_Upto_April23__1[[#This Row],[Transport and communication]])</f>
        <v>1</v>
      </c>
      <c r="BH252">
        <f>TYPE(All_India_Index_Upto_April23__1[[#This Row],[Recreation and amusement]])</f>
        <v>1</v>
      </c>
      <c r="BI252">
        <f>TYPE(All_India_Index_Upto_April23__1[[#This Row],[Education]])</f>
        <v>1</v>
      </c>
      <c r="BJ252">
        <f>TYPE(All_India_Index_Upto_April23__1[[#This Row],[Personal care and effects]])</f>
        <v>1</v>
      </c>
      <c r="BK252">
        <f>TYPE(All_India_Index_Upto_April23__1[[#This Row],[Miscellaneous]])</f>
        <v>1</v>
      </c>
      <c r="BL252">
        <f>TYPE(All_India_Index_Upto_April23__1[[#This Row],[General index]])</f>
        <v>1</v>
      </c>
    </row>
    <row r="253" spans="1:64" hidden="1" x14ac:dyDescent="0.3">
      <c r="A253" t="s">
        <v>32</v>
      </c>
      <c r="B253">
        <v>2020</v>
      </c>
      <c r="C253" t="s">
        <v>31</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t="s">
        <v>171</v>
      </c>
      <c r="V253">
        <v>135.1</v>
      </c>
      <c r="W253">
        <v>140.1</v>
      </c>
      <c r="X253">
        <v>143.80000000000001</v>
      </c>
      <c r="Y253">
        <v>126.1</v>
      </c>
      <c r="Z253">
        <v>137.19999999999999</v>
      </c>
      <c r="AA253">
        <v>152.1</v>
      </c>
      <c r="AB253">
        <v>142.1</v>
      </c>
      <c r="AC253">
        <v>138.4</v>
      </c>
      <c r="AD253">
        <v>148.19999999999999</v>
      </c>
      <c r="AE253">
        <f>SUM(All_India_Index_Upto_April23__1[[#This Row],[Cereals and products]:[Food and beverages]])</f>
        <v>1945.3999999999999</v>
      </c>
      <c r="AF253">
        <f>SUM(All_India_Index_Upto_April23__1[[#This Row],[Clothing]:[Clothing and footwear]])</f>
        <v>425.1</v>
      </c>
      <c r="AG253">
        <f t="shared" si="3"/>
        <v>401.29999999999995</v>
      </c>
      <c r="AI253">
        <f>TYPE(All_India_Index_Upto_April23__1[[#This Row],[Sector]])</f>
        <v>2</v>
      </c>
      <c r="AJ253">
        <f>TYPE(All_India_Index_Upto_April23__1[[#This Row],[Year]])</f>
        <v>1</v>
      </c>
      <c r="AK253">
        <f>TYPE(All_India_Index_Upto_April23__1[[#This Row],[Month]])</f>
        <v>2</v>
      </c>
      <c r="AL253">
        <f>TYPE(All_India_Index_Upto_April23__1[[#This Row],[Cereals and products]])</f>
        <v>1</v>
      </c>
      <c r="AM253">
        <f>TYPE(All_India_Index_Upto_April23__1[[#This Row],[Meat and fish]])</f>
        <v>1</v>
      </c>
      <c r="AN253">
        <f>TYPE(All_India_Index_Upto_April23__1[[#This Row],[Egg]])</f>
        <v>1</v>
      </c>
      <c r="AO253">
        <f>TYPE(All_India_Index_Upto_April23__1[[#This Row],[Milk and products]])</f>
        <v>1</v>
      </c>
      <c r="AP253">
        <f>TYPE(All_India_Index_Upto_April23__1[[#This Row],[Oils and fats]])</f>
        <v>1</v>
      </c>
      <c r="AQ253">
        <f>TYPE(All_India_Index_Upto_April23__1[[#This Row],[Fruits]])</f>
        <v>1</v>
      </c>
      <c r="AR253">
        <f>TYPE(All_India_Index_Upto_April23__1[[#This Row],[Vegetables]])</f>
        <v>1</v>
      </c>
      <c r="AS253">
        <f>TYPE(All_India_Index_Upto_April23__1[[#This Row],[Pulses and products]])</f>
        <v>1</v>
      </c>
      <c r="AT253">
        <f>TYPE(All_India_Index_Upto_April23__1[[#This Row],[Sugar and Confectionery]])</f>
        <v>1</v>
      </c>
      <c r="AU253">
        <f>TYPE(All_India_Index_Upto_April23__1[[#This Row],[Spices]])</f>
        <v>1</v>
      </c>
      <c r="AV253">
        <f>TYPE(All_India_Index_Upto_April23__1[[#This Row],[Non-alcoholic beverages]])</f>
        <v>1</v>
      </c>
      <c r="AW253">
        <f>TYPE(All_India_Index_Upto_April23__1[[#This Row],[Prepared meals, snacks, sweets etc.]])</f>
        <v>1</v>
      </c>
      <c r="AX253">
        <f>TYPE(All_India_Index_Upto_April23__1[[#This Row],[Food and beverages]])</f>
        <v>1</v>
      </c>
      <c r="AY253">
        <f>TYPE(All_India_Index_Upto_April23__1[[#This Row],[Pan, tobacco and intoxicants]])</f>
        <v>1</v>
      </c>
      <c r="AZ253">
        <f>TYPE(All_India_Index_Upto_April23__1[[#This Row],[Clothing]])</f>
        <v>1</v>
      </c>
      <c r="BA253">
        <f>TYPE(All_India_Index_Upto_April23__1[[#This Row],[Footwear]])</f>
        <v>1</v>
      </c>
      <c r="BB253">
        <f>TYPE(All_India_Index_Upto_April23__1[[#This Row],[Clothing and footwear]])</f>
        <v>1</v>
      </c>
      <c r="BC253">
        <f>TYPE(All_India_Index_Upto_April23__1[[#This Row],[Housing]])</f>
        <v>2</v>
      </c>
      <c r="BD253">
        <f>TYPE(All_India_Index_Upto_April23__1[[#This Row],[Fuel and light]])</f>
        <v>1</v>
      </c>
      <c r="BE253">
        <f>TYPE(All_India_Index_Upto_April23__1[[#This Row],[Household goods and services]])</f>
        <v>1</v>
      </c>
      <c r="BF253">
        <f>TYPE(All_India_Index_Upto_April23__1[[#This Row],[Health]])</f>
        <v>1</v>
      </c>
      <c r="BG253">
        <f>TYPE(All_India_Index_Upto_April23__1[[#This Row],[Transport and communication]])</f>
        <v>1</v>
      </c>
      <c r="BH253">
        <f>TYPE(All_India_Index_Upto_April23__1[[#This Row],[Recreation and amusement]])</f>
        <v>1</v>
      </c>
      <c r="BI253">
        <f>TYPE(All_India_Index_Upto_April23__1[[#This Row],[Education]])</f>
        <v>1</v>
      </c>
      <c r="BJ253">
        <f>TYPE(All_India_Index_Upto_April23__1[[#This Row],[Personal care and effects]])</f>
        <v>1</v>
      </c>
      <c r="BK253">
        <f>TYPE(All_India_Index_Upto_April23__1[[#This Row],[Miscellaneous]])</f>
        <v>1</v>
      </c>
      <c r="BL253">
        <f>TYPE(All_India_Index_Upto_April23__1[[#This Row],[General index]])</f>
        <v>1</v>
      </c>
    </row>
    <row r="254" spans="1:64" x14ac:dyDescent="0.3">
      <c r="A254" t="s">
        <v>33</v>
      </c>
      <c r="B254">
        <v>2020</v>
      </c>
      <c r="C254" t="s">
        <v>31</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t="s">
        <v>171</v>
      </c>
      <c r="V254">
        <v>144.6</v>
      </c>
      <c r="W254">
        <v>146.19999999999999</v>
      </c>
      <c r="X254">
        <v>151.19999999999999</v>
      </c>
      <c r="Y254">
        <v>130.9</v>
      </c>
      <c r="Z254">
        <v>142.80000000000001</v>
      </c>
      <c r="AA254">
        <v>156.1</v>
      </c>
      <c r="AB254">
        <v>142.30000000000001</v>
      </c>
      <c r="AC254">
        <v>143.4</v>
      </c>
      <c r="AD254">
        <v>150.19999999999999</v>
      </c>
      <c r="AE254">
        <f>SUM(All_India_Index_Upto_April23__1[[#This Row],[Cereals and products]:[Food and beverages]])</f>
        <v>1940.3999999999999</v>
      </c>
      <c r="AF254">
        <f>SUM(All_India_Index_Upto_April23__1[[#This Row],[Clothing]:[Clothing and footwear]])</f>
        <v>441.2</v>
      </c>
      <c r="AG254">
        <f t="shared" si="3"/>
        <v>421.69999999999993</v>
      </c>
      <c r="AI254">
        <f>TYPE(All_India_Index_Upto_April23__1[[#This Row],[Sector]])</f>
        <v>2</v>
      </c>
      <c r="AJ254">
        <f>TYPE(All_India_Index_Upto_April23__1[[#This Row],[Year]])</f>
        <v>1</v>
      </c>
      <c r="AK254">
        <f>TYPE(All_India_Index_Upto_April23__1[[#This Row],[Month]])</f>
        <v>2</v>
      </c>
      <c r="AL254">
        <f>TYPE(All_India_Index_Upto_April23__1[[#This Row],[Cereals and products]])</f>
        <v>1</v>
      </c>
      <c r="AM254">
        <f>TYPE(All_India_Index_Upto_April23__1[[#This Row],[Meat and fish]])</f>
        <v>1</v>
      </c>
      <c r="AN254">
        <f>TYPE(All_India_Index_Upto_April23__1[[#This Row],[Egg]])</f>
        <v>1</v>
      </c>
      <c r="AO254">
        <f>TYPE(All_India_Index_Upto_April23__1[[#This Row],[Milk and products]])</f>
        <v>1</v>
      </c>
      <c r="AP254">
        <f>TYPE(All_India_Index_Upto_April23__1[[#This Row],[Oils and fats]])</f>
        <v>1</v>
      </c>
      <c r="AQ254">
        <f>TYPE(All_India_Index_Upto_April23__1[[#This Row],[Fruits]])</f>
        <v>1</v>
      </c>
      <c r="AR254">
        <f>TYPE(All_India_Index_Upto_April23__1[[#This Row],[Vegetables]])</f>
        <v>1</v>
      </c>
      <c r="AS254">
        <f>TYPE(All_India_Index_Upto_April23__1[[#This Row],[Pulses and products]])</f>
        <v>1</v>
      </c>
      <c r="AT254">
        <f>TYPE(All_India_Index_Upto_April23__1[[#This Row],[Sugar and Confectionery]])</f>
        <v>1</v>
      </c>
      <c r="AU254">
        <f>TYPE(All_India_Index_Upto_April23__1[[#This Row],[Spices]])</f>
        <v>1</v>
      </c>
      <c r="AV254">
        <f>TYPE(All_India_Index_Upto_April23__1[[#This Row],[Non-alcoholic beverages]])</f>
        <v>1</v>
      </c>
      <c r="AW254">
        <f>TYPE(All_India_Index_Upto_April23__1[[#This Row],[Prepared meals, snacks, sweets etc.]])</f>
        <v>1</v>
      </c>
      <c r="AX254">
        <f>TYPE(All_India_Index_Upto_April23__1[[#This Row],[Food and beverages]])</f>
        <v>1</v>
      </c>
      <c r="AY254">
        <f>TYPE(All_India_Index_Upto_April23__1[[#This Row],[Pan, tobacco and intoxicants]])</f>
        <v>1</v>
      </c>
      <c r="AZ254">
        <f>TYPE(All_India_Index_Upto_April23__1[[#This Row],[Clothing]])</f>
        <v>1</v>
      </c>
      <c r="BA254">
        <f>TYPE(All_India_Index_Upto_April23__1[[#This Row],[Footwear]])</f>
        <v>1</v>
      </c>
      <c r="BB254">
        <f>TYPE(All_India_Index_Upto_April23__1[[#This Row],[Clothing and footwear]])</f>
        <v>1</v>
      </c>
      <c r="BC254">
        <f>TYPE(All_India_Index_Upto_April23__1[[#This Row],[Housing]])</f>
        <v>2</v>
      </c>
      <c r="BD254">
        <f>TYPE(All_India_Index_Upto_April23__1[[#This Row],[Fuel and light]])</f>
        <v>1</v>
      </c>
      <c r="BE254">
        <f>TYPE(All_India_Index_Upto_April23__1[[#This Row],[Household goods and services]])</f>
        <v>1</v>
      </c>
      <c r="BF254">
        <f>TYPE(All_India_Index_Upto_April23__1[[#This Row],[Health]])</f>
        <v>1</v>
      </c>
      <c r="BG254">
        <f>TYPE(All_India_Index_Upto_April23__1[[#This Row],[Transport and communication]])</f>
        <v>1</v>
      </c>
      <c r="BH254">
        <f>TYPE(All_India_Index_Upto_April23__1[[#This Row],[Recreation and amusement]])</f>
        <v>1</v>
      </c>
      <c r="BI254">
        <f>TYPE(All_India_Index_Upto_April23__1[[#This Row],[Education]])</f>
        <v>1</v>
      </c>
      <c r="BJ254">
        <f>TYPE(All_India_Index_Upto_April23__1[[#This Row],[Personal care and effects]])</f>
        <v>1</v>
      </c>
      <c r="BK254">
        <f>TYPE(All_India_Index_Upto_April23__1[[#This Row],[Miscellaneous]])</f>
        <v>1</v>
      </c>
      <c r="BL254">
        <f>TYPE(All_India_Index_Upto_April23__1[[#This Row],[General index]])</f>
        <v>1</v>
      </c>
    </row>
    <row r="255" spans="1:64" hidden="1" x14ac:dyDescent="0.3">
      <c r="A255" t="s">
        <v>30</v>
      </c>
      <c r="B255">
        <v>2020</v>
      </c>
      <c r="C255" t="s">
        <v>34</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U255" t="s">
        <v>89</v>
      </c>
      <c r="V255">
        <v>152.30000000000001</v>
      </c>
      <c r="W255">
        <v>151.80000000000001</v>
      </c>
      <c r="X255">
        <v>156.19999999999999</v>
      </c>
      <c r="Y255">
        <v>136</v>
      </c>
      <c r="Z255">
        <v>150.4</v>
      </c>
      <c r="AA255">
        <v>161.9</v>
      </c>
      <c r="AB255">
        <v>143.4</v>
      </c>
      <c r="AC255">
        <v>148.4</v>
      </c>
      <c r="AD255">
        <v>150.4</v>
      </c>
      <c r="AE255">
        <f>SUM(All_India_Index_Upto_April23__1[[#This Row],[Cereals and products]:[Food and beverages]])</f>
        <v>1909.7999999999997</v>
      </c>
      <c r="AF255">
        <f>SUM(All_India_Index_Upto_April23__1[[#This Row],[Clothing]:[Clothing and footwear]])</f>
        <v>452.8</v>
      </c>
      <c r="AG255">
        <f t="shared" si="3"/>
        <v>440.1</v>
      </c>
      <c r="AI255">
        <f>TYPE(All_India_Index_Upto_April23__1[[#This Row],[Sector]])</f>
        <v>2</v>
      </c>
      <c r="AJ255">
        <f>TYPE(All_India_Index_Upto_April23__1[[#This Row],[Year]])</f>
        <v>1</v>
      </c>
      <c r="AK255">
        <f>TYPE(All_India_Index_Upto_April23__1[[#This Row],[Month]])</f>
        <v>2</v>
      </c>
      <c r="AL255">
        <f>TYPE(All_India_Index_Upto_April23__1[[#This Row],[Cereals and products]])</f>
        <v>1</v>
      </c>
      <c r="AM255">
        <f>TYPE(All_India_Index_Upto_April23__1[[#This Row],[Meat and fish]])</f>
        <v>1</v>
      </c>
      <c r="AN255">
        <f>TYPE(All_India_Index_Upto_April23__1[[#This Row],[Egg]])</f>
        <v>1</v>
      </c>
      <c r="AO255">
        <f>TYPE(All_India_Index_Upto_April23__1[[#This Row],[Milk and products]])</f>
        <v>1</v>
      </c>
      <c r="AP255">
        <f>TYPE(All_India_Index_Upto_April23__1[[#This Row],[Oils and fats]])</f>
        <v>1</v>
      </c>
      <c r="AQ255">
        <f>TYPE(All_India_Index_Upto_April23__1[[#This Row],[Fruits]])</f>
        <v>1</v>
      </c>
      <c r="AR255">
        <f>TYPE(All_India_Index_Upto_April23__1[[#This Row],[Vegetables]])</f>
        <v>1</v>
      </c>
      <c r="AS255">
        <f>TYPE(All_India_Index_Upto_April23__1[[#This Row],[Pulses and products]])</f>
        <v>1</v>
      </c>
      <c r="AT255">
        <f>TYPE(All_India_Index_Upto_April23__1[[#This Row],[Sugar and Confectionery]])</f>
        <v>1</v>
      </c>
      <c r="AU255">
        <f>TYPE(All_India_Index_Upto_April23__1[[#This Row],[Spices]])</f>
        <v>1</v>
      </c>
      <c r="AV255">
        <f>TYPE(All_India_Index_Upto_April23__1[[#This Row],[Non-alcoholic beverages]])</f>
        <v>1</v>
      </c>
      <c r="AW255">
        <f>TYPE(All_India_Index_Upto_April23__1[[#This Row],[Prepared meals, snacks, sweets etc.]])</f>
        <v>1</v>
      </c>
      <c r="AX255">
        <f>TYPE(All_India_Index_Upto_April23__1[[#This Row],[Food and beverages]])</f>
        <v>1</v>
      </c>
      <c r="AY255">
        <f>TYPE(All_India_Index_Upto_April23__1[[#This Row],[Pan, tobacco and intoxicants]])</f>
        <v>1</v>
      </c>
      <c r="AZ255">
        <f>TYPE(All_India_Index_Upto_April23__1[[#This Row],[Clothing]])</f>
        <v>1</v>
      </c>
      <c r="BA255">
        <f>TYPE(All_India_Index_Upto_April23__1[[#This Row],[Footwear]])</f>
        <v>1</v>
      </c>
      <c r="BB255">
        <f>TYPE(All_India_Index_Upto_April23__1[[#This Row],[Clothing and footwear]])</f>
        <v>1</v>
      </c>
      <c r="BC255">
        <f>TYPE(All_India_Index_Upto_April23__1[[#This Row],[Housing]])</f>
        <v>2</v>
      </c>
      <c r="BD255">
        <f>TYPE(All_India_Index_Upto_April23__1[[#This Row],[Fuel and light]])</f>
        <v>1</v>
      </c>
      <c r="BE255">
        <f>TYPE(All_India_Index_Upto_April23__1[[#This Row],[Household goods and services]])</f>
        <v>1</v>
      </c>
      <c r="BF255">
        <f>TYPE(All_India_Index_Upto_April23__1[[#This Row],[Health]])</f>
        <v>1</v>
      </c>
      <c r="BG255">
        <f>TYPE(All_India_Index_Upto_April23__1[[#This Row],[Transport and communication]])</f>
        <v>1</v>
      </c>
      <c r="BH255">
        <f>TYPE(All_India_Index_Upto_April23__1[[#This Row],[Recreation and amusement]])</f>
        <v>1</v>
      </c>
      <c r="BI255">
        <f>TYPE(All_India_Index_Upto_April23__1[[#This Row],[Education]])</f>
        <v>1</v>
      </c>
      <c r="BJ255">
        <f>TYPE(All_India_Index_Upto_April23__1[[#This Row],[Personal care and effects]])</f>
        <v>1</v>
      </c>
      <c r="BK255">
        <f>TYPE(All_India_Index_Upto_April23__1[[#This Row],[Miscellaneous]])</f>
        <v>1</v>
      </c>
      <c r="BL255">
        <f>TYPE(All_India_Index_Upto_April23__1[[#This Row],[General index]])</f>
        <v>1</v>
      </c>
    </row>
    <row r="256" spans="1:64" hidden="1" x14ac:dyDescent="0.3">
      <c r="A256" t="s">
        <v>32</v>
      </c>
      <c r="B256">
        <v>2020</v>
      </c>
      <c r="C256" t="s">
        <v>34</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t="s">
        <v>172</v>
      </c>
      <c r="V256">
        <v>138.9</v>
      </c>
      <c r="W256">
        <v>140.4</v>
      </c>
      <c r="X256">
        <v>144.4</v>
      </c>
      <c r="Y256">
        <v>125.2</v>
      </c>
      <c r="Z256">
        <v>137.69999999999999</v>
      </c>
      <c r="AA256">
        <v>152.19999999999999</v>
      </c>
      <c r="AB256">
        <v>143.5</v>
      </c>
      <c r="AC256">
        <v>138.4</v>
      </c>
      <c r="AD256">
        <v>147.69999999999999</v>
      </c>
      <c r="AE256">
        <f>SUM(All_India_Index_Upto_April23__1[[#This Row],[Cereals and products]:[Food and beverages]])</f>
        <v>1916.6</v>
      </c>
      <c r="AF256">
        <f>SUM(All_India_Index_Upto_April23__1[[#This Row],[Clothing]:[Clothing and footwear]])</f>
        <v>426</v>
      </c>
      <c r="AG256">
        <f t="shared" si="3"/>
        <v>404.5</v>
      </c>
      <c r="AI256">
        <f>TYPE(All_India_Index_Upto_April23__1[[#This Row],[Sector]])</f>
        <v>2</v>
      </c>
      <c r="AJ256">
        <f>TYPE(All_India_Index_Upto_April23__1[[#This Row],[Year]])</f>
        <v>1</v>
      </c>
      <c r="AK256">
        <f>TYPE(All_India_Index_Upto_April23__1[[#This Row],[Month]])</f>
        <v>2</v>
      </c>
      <c r="AL256">
        <f>TYPE(All_India_Index_Upto_April23__1[[#This Row],[Cereals and products]])</f>
        <v>1</v>
      </c>
      <c r="AM256">
        <f>TYPE(All_India_Index_Upto_April23__1[[#This Row],[Meat and fish]])</f>
        <v>1</v>
      </c>
      <c r="AN256">
        <f>TYPE(All_India_Index_Upto_April23__1[[#This Row],[Egg]])</f>
        <v>1</v>
      </c>
      <c r="AO256">
        <f>TYPE(All_India_Index_Upto_April23__1[[#This Row],[Milk and products]])</f>
        <v>1</v>
      </c>
      <c r="AP256">
        <f>TYPE(All_India_Index_Upto_April23__1[[#This Row],[Oils and fats]])</f>
        <v>1</v>
      </c>
      <c r="AQ256">
        <f>TYPE(All_India_Index_Upto_April23__1[[#This Row],[Fruits]])</f>
        <v>1</v>
      </c>
      <c r="AR256">
        <f>TYPE(All_India_Index_Upto_April23__1[[#This Row],[Vegetables]])</f>
        <v>1</v>
      </c>
      <c r="AS256">
        <f>TYPE(All_India_Index_Upto_April23__1[[#This Row],[Pulses and products]])</f>
        <v>1</v>
      </c>
      <c r="AT256">
        <f>TYPE(All_India_Index_Upto_April23__1[[#This Row],[Sugar and Confectionery]])</f>
        <v>1</v>
      </c>
      <c r="AU256">
        <f>TYPE(All_India_Index_Upto_April23__1[[#This Row],[Spices]])</f>
        <v>1</v>
      </c>
      <c r="AV256">
        <f>TYPE(All_India_Index_Upto_April23__1[[#This Row],[Non-alcoholic beverages]])</f>
        <v>1</v>
      </c>
      <c r="AW256">
        <f>TYPE(All_India_Index_Upto_April23__1[[#This Row],[Prepared meals, snacks, sweets etc.]])</f>
        <v>1</v>
      </c>
      <c r="AX256">
        <f>TYPE(All_India_Index_Upto_April23__1[[#This Row],[Food and beverages]])</f>
        <v>1</v>
      </c>
      <c r="AY256">
        <f>TYPE(All_India_Index_Upto_April23__1[[#This Row],[Pan, tobacco and intoxicants]])</f>
        <v>1</v>
      </c>
      <c r="AZ256">
        <f>TYPE(All_India_Index_Upto_April23__1[[#This Row],[Clothing]])</f>
        <v>1</v>
      </c>
      <c r="BA256">
        <f>TYPE(All_India_Index_Upto_April23__1[[#This Row],[Footwear]])</f>
        <v>1</v>
      </c>
      <c r="BB256">
        <f>TYPE(All_India_Index_Upto_April23__1[[#This Row],[Clothing and footwear]])</f>
        <v>1</v>
      </c>
      <c r="BC256">
        <f>TYPE(All_India_Index_Upto_April23__1[[#This Row],[Housing]])</f>
        <v>2</v>
      </c>
      <c r="BD256">
        <f>TYPE(All_India_Index_Upto_April23__1[[#This Row],[Fuel and light]])</f>
        <v>1</v>
      </c>
      <c r="BE256">
        <f>TYPE(All_India_Index_Upto_April23__1[[#This Row],[Household goods and services]])</f>
        <v>1</v>
      </c>
      <c r="BF256">
        <f>TYPE(All_India_Index_Upto_April23__1[[#This Row],[Health]])</f>
        <v>1</v>
      </c>
      <c r="BG256">
        <f>TYPE(All_India_Index_Upto_April23__1[[#This Row],[Transport and communication]])</f>
        <v>1</v>
      </c>
      <c r="BH256">
        <f>TYPE(All_India_Index_Upto_April23__1[[#This Row],[Recreation and amusement]])</f>
        <v>1</v>
      </c>
      <c r="BI256">
        <f>TYPE(All_India_Index_Upto_April23__1[[#This Row],[Education]])</f>
        <v>1</v>
      </c>
      <c r="BJ256">
        <f>TYPE(All_India_Index_Upto_April23__1[[#This Row],[Personal care and effects]])</f>
        <v>1</v>
      </c>
      <c r="BK256">
        <f>TYPE(All_India_Index_Upto_April23__1[[#This Row],[Miscellaneous]])</f>
        <v>1</v>
      </c>
      <c r="BL256">
        <f>TYPE(All_India_Index_Upto_April23__1[[#This Row],[General index]])</f>
        <v>1</v>
      </c>
    </row>
    <row r="257" spans="1:64" x14ac:dyDescent="0.3">
      <c r="A257" t="s">
        <v>33</v>
      </c>
      <c r="B257">
        <v>2020</v>
      </c>
      <c r="C257" t="s">
        <v>34</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t="s">
        <v>172</v>
      </c>
      <c r="V257">
        <v>147.19999999999999</v>
      </c>
      <c r="W257">
        <v>146.4</v>
      </c>
      <c r="X257">
        <v>151.69999999999999</v>
      </c>
      <c r="Y257">
        <v>130.30000000000001</v>
      </c>
      <c r="Z257">
        <v>143.19999999999999</v>
      </c>
      <c r="AA257">
        <v>156.19999999999999</v>
      </c>
      <c r="AB257">
        <v>143.4</v>
      </c>
      <c r="AC257">
        <v>143.6</v>
      </c>
      <c r="AD257">
        <v>149.1</v>
      </c>
      <c r="AE257">
        <f>SUM(All_India_Index_Upto_April23__1[[#This Row],[Cereals and products]:[Food and beverages]])</f>
        <v>1911.6</v>
      </c>
      <c r="AF257">
        <f>SUM(All_India_Index_Upto_April23__1[[#This Row],[Clothing]:[Clothing and footwear]])</f>
        <v>442</v>
      </c>
      <c r="AG257">
        <f t="shared" si="3"/>
        <v>423.90000000000003</v>
      </c>
      <c r="AI257">
        <f>TYPE(All_India_Index_Upto_April23__1[[#This Row],[Sector]])</f>
        <v>2</v>
      </c>
      <c r="AJ257">
        <f>TYPE(All_India_Index_Upto_April23__1[[#This Row],[Year]])</f>
        <v>1</v>
      </c>
      <c r="AK257">
        <f>TYPE(All_India_Index_Upto_April23__1[[#This Row],[Month]])</f>
        <v>2</v>
      </c>
      <c r="AL257">
        <f>TYPE(All_India_Index_Upto_April23__1[[#This Row],[Cereals and products]])</f>
        <v>1</v>
      </c>
      <c r="AM257">
        <f>TYPE(All_India_Index_Upto_April23__1[[#This Row],[Meat and fish]])</f>
        <v>1</v>
      </c>
      <c r="AN257">
        <f>TYPE(All_India_Index_Upto_April23__1[[#This Row],[Egg]])</f>
        <v>1</v>
      </c>
      <c r="AO257">
        <f>TYPE(All_India_Index_Upto_April23__1[[#This Row],[Milk and products]])</f>
        <v>1</v>
      </c>
      <c r="AP257">
        <f>TYPE(All_India_Index_Upto_April23__1[[#This Row],[Oils and fats]])</f>
        <v>1</v>
      </c>
      <c r="AQ257">
        <f>TYPE(All_India_Index_Upto_April23__1[[#This Row],[Fruits]])</f>
        <v>1</v>
      </c>
      <c r="AR257">
        <f>TYPE(All_India_Index_Upto_April23__1[[#This Row],[Vegetables]])</f>
        <v>1</v>
      </c>
      <c r="AS257">
        <f>TYPE(All_India_Index_Upto_April23__1[[#This Row],[Pulses and products]])</f>
        <v>1</v>
      </c>
      <c r="AT257">
        <f>TYPE(All_India_Index_Upto_April23__1[[#This Row],[Sugar and Confectionery]])</f>
        <v>1</v>
      </c>
      <c r="AU257">
        <f>TYPE(All_India_Index_Upto_April23__1[[#This Row],[Spices]])</f>
        <v>1</v>
      </c>
      <c r="AV257">
        <f>TYPE(All_India_Index_Upto_April23__1[[#This Row],[Non-alcoholic beverages]])</f>
        <v>1</v>
      </c>
      <c r="AW257">
        <f>TYPE(All_India_Index_Upto_April23__1[[#This Row],[Prepared meals, snacks, sweets etc.]])</f>
        <v>1</v>
      </c>
      <c r="AX257">
        <f>TYPE(All_India_Index_Upto_April23__1[[#This Row],[Food and beverages]])</f>
        <v>1</v>
      </c>
      <c r="AY257">
        <f>TYPE(All_India_Index_Upto_April23__1[[#This Row],[Pan, tobacco and intoxicants]])</f>
        <v>1</v>
      </c>
      <c r="AZ257">
        <f>TYPE(All_India_Index_Upto_April23__1[[#This Row],[Clothing]])</f>
        <v>1</v>
      </c>
      <c r="BA257">
        <f>TYPE(All_India_Index_Upto_April23__1[[#This Row],[Footwear]])</f>
        <v>1</v>
      </c>
      <c r="BB257">
        <f>TYPE(All_India_Index_Upto_April23__1[[#This Row],[Clothing and footwear]])</f>
        <v>1</v>
      </c>
      <c r="BC257">
        <f>TYPE(All_India_Index_Upto_April23__1[[#This Row],[Housing]])</f>
        <v>2</v>
      </c>
      <c r="BD257">
        <f>TYPE(All_India_Index_Upto_April23__1[[#This Row],[Fuel and light]])</f>
        <v>1</v>
      </c>
      <c r="BE257">
        <f>TYPE(All_India_Index_Upto_April23__1[[#This Row],[Household goods and services]])</f>
        <v>1</v>
      </c>
      <c r="BF257">
        <f>TYPE(All_India_Index_Upto_April23__1[[#This Row],[Health]])</f>
        <v>1</v>
      </c>
      <c r="BG257">
        <f>TYPE(All_India_Index_Upto_April23__1[[#This Row],[Transport and communication]])</f>
        <v>1</v>
      </c>
      <c r="BH257">
        <f>TYPE(All_India_Index_Upto_April23__1[[#This Row],[Recreation and amusement]])</f>
        <v>1</v>
      </c>
      <c r="BI257">
        <f>TYPE(All_India_Index_Upto_April23__1[[#This Row],[Education]])</f>
        <v>1</v>
      </c>
      <c r="BJ257">
        <f>TYPE(All_India_Index_Upto_April23__1[[#This Row],[Personal care and effects]])</f>
        <v>1</v>
      </c>
      <c r="BK257">
        <f>TYPE(All_India_Index_Upto_April23__1[[#This Row],[Miscellaneous]])</f>
        <v>1</v>
      </c>
      <c r="BL257">
        <f>TYPE(All_India_Index_Upto_April23__1[[#This Row],[General index]])</f>
        <v>1</v>
      </c>
    </row>
    <row r="258" spans="1:64" hidden="1" x14ac:dyDescent="0.3">
      <c r="A258" t="s">
        <v>30</v>
      </c>
      <c r="B258">
        <v>2020</v>
      </c>
      <c r="C258" t="s">
        <v>35</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U258" t="s">
        <v>89</v>
      </c>
      <c r="V258">
        <v>153.4</v>
      </c>
      <c r="W258">
        <v>151.5</v>
      </c>
      <c r="X258">
        <v>156.69999999999999</v>
      </c>
      <c r="Y258">
        <v>135.80000000000001</v>
      </c>
      <c r="Z258">
        <v>151.19999999999999</v>
      </c>
      <c r="AA258">
        <v>161.19999999999999</v>
      </c>
      <c r="AB258">
        <v>145.1</v>
      </c>
      <c r="AC258">
        <v>148.6</v>
      </c>
      <c r="AD258">
        <v>149.80000000000001</v>
      </c>
      <c r="AE258">
        <f>SUM(All_India_Index_Upto_April23__1[[#This Row],[Cereals and products]:[Food and beverages]])</f>
        <v>1894.5999999999997</v>
      </c>
      <c r="AF258">
        <f>SUM(All_India_Index_Upto_April23__1[[#This Row],[Clothing]:[Clothing and footwear]])</f>
        <v>453.5</v>
      </c>
      <c r="AG258">
        <f t="shared" si="3"/>
        <v>440.7</v>
      </c>
      <c r="AI258">
        <f>TYPE(All_India_Index_Upto_April23__1[[#This Row],[Sector]])</f>
        <v>2</v>
      </c>
      <c r="AJ258">
        <f>TYPE(All_India_Index_Upto_April23__1[[#This Row],[Year]])</f>
        <v>1</v>
      </c>
      <c r="AK258">
        <f>TYPE(All_India_Index_Upto_April23__1[[#This Row],[Month]])</f>
        <v>2</v>
      </c>
      <c r="AL258">
        <f>TYPE(All_India_Index_Upto_April23__1[[#This Row],[Cereals and products]])</f>
        <v>1</v>
      </c>
      <c r="AM258">
        <f>TYPE(All_India_Index_Upto_April23__1[[#This Row],[Meat and fish]])</f>
        <v>1</v>
      </c>
      <c r="AN258">
        <f>TYPE(All_India_Index_Upto_April23__1[[#This Row],[Egg]])</f>
        <v>1</v>
      </c>
      <c r="AO258">
        <f>TYPE(All_India_Index_Upto_April23__1[[#This Row],[Milk and products]])</f>
        <v>1</v>
      </c>
      <c r="AP258">
        <f>TYPE(All_India_Index_Upto_April23__1[[#This Row],[Oils and fats]])</f>
        <v>1</v>
      </c>
      <c r="AQ258">
        <f>TYPE(All_India_Index_Upto_April23__1[[#This Row],[Fruits]])</f>
        <v>1</v>
      </c>
      <c r="AR258">
        <f>TYPE(All_India_Index_Upto_April23__1[[#This Row],[Vegetables]])</f>
        <v>1</v>
      </c>
      <c r="AS258">
        <f>TYPE(All_India_Index_Upto_April23__1[[#This Row],[Pulses and products]])</f>
        <v>1</v>
      </c>
      <c r="AT258">
        <f>TYPE(All_India_Index_Upto_April23__1[[#This Row],[Sugar and Confectionery]])</f>
        <v>1</v>
      </c>
      <c r="AU258">
        <f>TYPE(All_India_Index_Upto_April23__1[[#This Row],[Spices]])</f>
        <v>1</v>
      </c>
      <c r="AV258">
        <f>TYPE(All_India_Index_Upto_April23__1[[#This Row],[Non-alcoholic beverages]])</f>
        <v>1</v>
      </c>
      <c r="AW258">
        <f>TYPE(All_India_Index_Upto_April23__1[[#This Row],[Prepared meals, snacks, sweets etc.]])</f>
        <v>1</v>
      </c>
      <c r="AX258">
        <f>TYPE(All_India_Index_Upto_April23__1[[#This Row],[Food and beverages]])</f>
        <v>1</v>
      </c>
      <c r="AY258">
        <f>TYPE(All_India_Index_Upto_April23__1[[#This Row],[Pan, tobacco and intoxicants]])</f>
        <v>1</v>
      </c>
      <c r="AZ258">
        <f>TYPE(All_India_Index_Upto_April23__1[[#This Row],[Clothing]])</f>
        <v>1</v>
      </c>
      <c r="BA258">
        <f>TYPE(All_India_Index_Upto_April23__1[[#This Row],[Footwear]])</f>
        <v>1</v>
      </c>
      <c r="BB258">
        <f>TYPE(All_India_Index_Upto_April23__1[[#This Row],[Clothing and footwear]])</f>
        <v>1</v>
      </c>
      <c r="BC258">
        <f>TYPE(All_India_Index_Upto_April23__1[[#This Row],[Housing]])</f>
        <v>2</v>
      </c>
      <c r="BD258">
        <f>TYPE(All_India_Index_Upto_April23__1[[#This Row],[Fuel and light]])</f>
        <v>1</v>
      </c>
      <c r="BE258">
        <f>TYPE(All_India_Index_Upto_April23__1[[#This Row],[Household goods and services]])</f>
        <v>1</v>
      </c>
      <c r="BF258">
        <f>TYPE(All_India_Index_Upto_April23__1[[#This Row],[Health]])</f>
        <v>1</v>
      </c>
      <c r="BG258">
        <f>TYPE(All_India_Index_Upto_April23__1[[#This Row],[Transport and communication]])</f>
        <v>1</v>
      </c>
      <c r="BH258">
        <f>TYPE(All_India_Index_Upto_April23__1[[#This Row],[Recreation and amusement]])</f>
        <v>1</v>
      </c>
      <c r="BI258">
        <f>TYPE(All_India_Index_Upto_April23__1[[#This Row],[Education]])</f>
        <v>1</v>
      </c>
      <c r="BJ258">
        <f>TYPE(All_India_Index_Upto_April23__1[[#This Row],[Personal care and effects]])</f>
        <v>1</v>
      </c>
      <c r="BK258">
        <f>TYPE(All_India_Index_Upto_April23__1[[#This Row],[Miscellaneous]])</f>
        <v>1</v>
      </c>
      <c r="BL258">
        <f>TYPE(All_India_Index_Upto_April23__1[[#This Row],[General index]])</f>
        <v>1</v>
      </c>
    </row>
    <row r="259" spans="1:64" hidden="1" x14ac:dyDescent="0.3">
      <c r="A259" t="s">
        <v>32</v>
      </c>
      <c r="B259">
        <v>2020</v>
      </c>
      <c r="C259" t="s">
        <v>35</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t="s">
        <v>173</v>
      </c>
      <c r="V259">
        <v>141.4</v>
      </c>
      <c r="W259">
        <v>140.80000000000001</v>
      </c>
      <c r="X259">
        <v>145</v>
      </c>
      <c r="Y259">
        <v>124.6</v>
      </c>
      <c r="Z259">
        <v>137.9</v>
      </c>
      <c r="AA259">
        <v>152.5</v>
      </c>
      <c r="AB259">
        <v>145.30000000000001</v>
      </c>
      <c r="AC259">
        <v>138.69999999999999</v>
      </c>
      <c r="AD259">
        <v>147.30000000000001</v>
      </c>
      <c r="AE259">
        <f>SUM(All_India_Index_Upto_April23__1[[#This Row],[Cereals and products]:[Food and beverages]])</f>
        <v>1898.5</v>
      </c>
      <c r="AF259">
        <f>SUM(All_India_Index_Upto_April23__1[[#This Row],[Clothing]:[Clothing and footwear]])</f>
        <v>427.1</v>
      </c>
      <c r="AG259">
        <f t="shared" ref="AG259:AG322" si="4">SUM(U259:W259,Y259)</f>
        <v>406.80000000000007</v>
      </c>
      <c r="AI259">
        <f>TYPE(All_India_Index_Upto_April23__1[[#This Row],[Sector]])</f>
        <v>2</v>
      </c>
      <c r="AJ259">
        <f>TYPE(All_India_Index_Upto_April23__1[[#This Row],[Year]])</f>
        <v>1</v>
      </c>
      <c r="AK259">
        <f>TYPE(All_India_Index_Upto_April23__1[[#This Row],[Month]])</f>
        <v>2</v>
      </c>
      <c r="AL259">
        <f>TYPE(All_India_Index_Upto_April23__1[[#This Row],[Cereals and products]])</f>
        <v>1</v>
      </c>
      <c r="AM259">
        <f>TYPE(All_India_Index_Upto_April23__1[[#This Row],[Meat and fish]])</f>
        <v>1</v>
      </c>
      <c r="AN259">
        <f>TYPE(All_India_Index_Upto_April23__1[[#This Row],[Egg]])</f>
        <v>1</v>
      </c>
      <c r="AO259">
        <f>TYPE(All_India_Index_Upto_April23__1[[#This Row],[Milk and products]])</f>
        <v>1</v>
      </c>
      <c r="AP259">
        <f>TYPE(All_India_Index_Upto_April23__1[[#This Row],[Oils and fats]])</f>
        <v>1</v>
      </c>
      <c r="AQ259">
        <f>TYPE(All_India_Index_Upto_April23__1[[#This Row],[Fruits]])</f>
        <v>1</v>
      </c>
      <c r="AR259">
        <f>TYPE(All_India_Index_Upto_April23__1[[#This Row],[Vegetables]])</f>
        <v>1</v>
      </c>
      <c r="AS259">
        <f>TYPE(All_India_Index_Upto_April23__1[[#This Row],[Pulses and products]])</f>
        <v>1</v>
      </c>
      <c r="AT259">
        <f>TYPE(All_India_Index_Upto_April23__1[[#This Row],[Sugar and Confectionery]])</f>
        <v>1</v>
      </c>
      <c r="AU259">
        <f>TYPE(All_India_Index_Upto_April23__1[[#This Row],[Spices]])</f>
        <v>1</v>
      </c>
      <c r="AV259">
        <f>TYPE(All_India_Index_Upto_April23__1[[#This Row],[Non-alcoholic beverages]])</f>
        <v>1</v>
      </c>
      <c r="AW259">
        <f>TYPE(All_India_Index_Upto_April23__1[[#This Row],[Prepared meals, snacks, sweets etc.]])</f>
        <v>1</v>
      </c>
      <c r="AX259">
        <f>TYPE(All_India_Index_Upto_April23__1[[#This Row],[Food and beverages]])</f>
        <v>1</v>
      </c>
      <c r="AY259">
        <f>TYPE(All_India_Index_Upto_April23__1[[#This Row],[Pan, tobacco and intoxicants]])</f>
        <v>1</v>
      </c>
      <c r="AZ259">
        <f>TYPE(All_India_Index_Upto_April23__1[[#This Row],[Clothing]])</f>
        <v>1</v>
      </c>
      <c r="BA259">
        <f>TYPE(All_India_Index_Upto_April23__1[[#This Row],[Footwear]])</f>
        <v>1</v>
      </c>
      <c r="BB259">
        <f>TYPE(All_India_Index_Upto_April23__1[[#This Row],[Clothing and footwear]])</f>
        <v>1</v>
      </c>
      <c r="BC259">
        <f>TYPE(All_India_Index_Upto_April23__1[[#This Row],[Housing]])</f>
        <v>2</v>
      </c>
      <c r="BD259">
        <f>TYPE(All_India_Index_Upto_April23__1[[#This Row],[Fuel and light]])</f>
        <v>1</v>
      </c>
      <c r="BE259">
        <f>TYPE(All_India_Index_Upto_April23__1[[#This Row],[Household goods and services]])</f>
        <v>1</v>
      </c>
      <c r="BF259">
        <f>TYPE(All_India_Index_Upto_April23__1[[#This Row],[Health]])</f>
        <v>1</v>
      </c>
      <c r="BG259">
        <f>TYPE(All_India_Index_Upto_April23__1[[#This Row],[Transport and communication]])</f>
        <v>1</v>
      </c>
      <c r="BH259">
        <f>TYPE(All_India_Index_Upto_April23__1[[#This Row],[Recreation and amusement]])</f>
        <v>1</v>
      </c>
      <c r="BI259">
        <f>TYPE(All_India_Index_Upto_April23__1[[#This Row],[Education]])</f>
        <v>1</v>
      </c>
      <c r="BJ259">
        <f>TYPE(All_India_Index_Upto_April23__1[[#This Row],[Personal care and effects]])</f>
        <v>1</v>
      </c>
      <c r="BK259">
        <f>TYPE(All_India_Index_Upto_April23__1[[#This Row],[Miscellaneous]])</f>
        <v>1</v>
      </c>
      <c r="BL259">
        <f>TYPE(All_India_Index_Upto_April23__1[[#This Row],[General index]])</f>
        <v>1</v>
      </c>
    </row>
    <row r="260" spans="1:64" x14ac:dyDescent="0.3">
      <c r="A260" t="s">
        <v>33</v>
      </c>
      <c r="B260">
        <v>2020</v>
      </c>
      <c r="C260" t="s">
        <v>35</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t="s">
        <v>173</v>
      </c>
      <c r="V260">
        <v>148.9</v>
      </c>
      <c r="W260">
        <v>146.4</v>
      </c>
      <c r="X260">
        <v>152.30000000000001</v>
      </c>
      <c r="Y260">
        <v>129.9</v>
      </c>
      <c r="Z260">
        <v>143.69999999999999</v>
      </c>
      <c r="AA260">
        <v>156.1</v>
      </c>
      <c r="AB260">
        <v>145.19999999999999</v>
      </c>
      <c r="AC260">
        <v>143.80000000000001</v>
      </c>
      <c r="AD260">
        <v>148.6</v>
      </c>
      <c r="AE260">
        <f>SUM(All_India_Index_Upto_April23__1[[#This Row],[Cereals and products]:[Food and beverages]])</f>
        <v>1895.4</v>
      </c>
      <c r="AF260">
        <f>SUM(All_India_Index_Upto_April23__1[[#This Row],[Clothing]:[Clothing and footwear]])</f>
        <v>442.90000000000003</v>
      </c>
      <c r="AG260">
        <f t="shared" si="4"/>
        <v>425.20000000000005</v>
      </c>
      <c r="AI260">
        <f>TYPE(All_India_Index_Upto_April23__1[[#This Row],[Sector]])</f>
        <v>2</v>
      </c>
      <c r="AJ260">
        <f>TYPE(All_India_Index_Upto_April23__1[[#This Row],[Year]])</f>
        <v>1</v>
      </c>
      <c r="AK260">
        <f>TYPE(All_India_Index_Upto_April23__1[[#This Row],[Month]])</f>
        <v>2</v>
      </c>
      <c r="AL260">
        <f>TYPE(All_India_Index_Upto_April23__1[[#This Row],[Cereals and products]])</f>
        <v>1</v>
      </c>
      <c r="AM260">
        <f>TYPE(All_India_Index_Upto_April23__1[[#This Row],[Meat and fish]])</f>
        <v>1</v>
      </c>
      <c r="AN260">
        <f>TYPE(All_India_Index_Upto_April23__1[[#This Row],[Egg]])</f>
        <v>1</v>
      </c>
      <c r="AO260">
        <f>TYPE(All_India_Index_Upto_April23__1[[#This Row],[Milk and products]])</f>
        <v>1</v>
      </c>
      <c r="AP260">
        <f>TYPE(All_India_Index_Upto_April23__1[[#This Row],[Oils and fats]])</f>
        <v>1</v>
      </c>
      <c r="AQ260">
        <f>TYPE(All_India_Index_Upto_April23__1[[#This Row],[Fruits]])</f>
        <v>1</v>
      </c>
      <c r="AR260">
        <f>TYPE(All_India_Index_Upto_April23__1[[#This Row],[Vegetables]])</f>
        <v>1</v>
      </c>
      <c r="AS260">
        <f>TYPE(All_India_Index_Upto_April23__1[[#This Row],[Pulses and products]])</f>
        <v>1</v>
      </c>
      <c r="AT260">
        <f>TYPE(All_India_Index_Upto_April23__1[[#This Row],[Sugar and Confectionery]])</f>
        <v>1</v>
      </c>
      <c r="AU260">
        <f>TYPE(All_India_Index_Upto_April23__1[[#This Row],[Spices]])</f>
        <v>1</v>
      </c>
      <c r="AV260">
        <f>TYPE(All_India_Index_Upto_April23__1[[#This Row],[Non-alcoholic beverages]])</f>
        <v>1</v>
      </c>
      <c r="AW260">
        <f>TYPE(All_India_Index_Upto_April23__1[[#This Row],[Prepared meals, snacks, sweets etc.]])</f>
        <v>1</v>
      </c>
      <c r="AX260">
        <f>TYPE(All_India_Index_Upto_April23__1[[#This Row],[Food and beverages]])</f>
        <v>1</v>
      </c>
      <c r="AY260">
        <f>TYPE(All_India_Index_Upto_April23__1[[#This Row],[Pan, tobacco and intoxicants]])</f>
        <v>1</v>
      </c>
      <c r="AZ260">
        <f>TYPE(All_India_Index_Upto_April23__1[[#This Row],[Clothing]])</f>
        <v>1</v>
      </c>
      <c r="BA260">
        <f>TYPE(All_India_Index_Upto_April23__1[[#This Row],[Footwear]])</f>
        <v>1</v>
      </c>
      <c r="BB260">
        <f>TYPE(All_India_Index_Upto_April23__1[[#This Row],[Clothing and footwear]])</f>
        <v>1</v>
      </c>
      <c r="BC260">
        <f>TYPE(All_India_Index_Upto_April23__1[[#This Row],[Housing]])</f>
        <v>2</v>
      </c>
      <c r="BD260">
        <f>TYPE(All_India_Index_Upto_April23__1[[#This Row],[Fuel and light]])</f>
        <v>1</v>
      </c>
      <c r="BE260">
        <f>TYPE(All_India_Index_Upto_April23__1[[#This Row],[Household goods and services]])</f>
        <v>1</v>
      </c>
      <c r="BF260">
        <f>TYPE(All_India_Index_Upto_April23__1[[#This Row],[Health]])</f>
        <v>1</v>
      </c>
      <c r="BG260">
        <f>TYPE(All_India_Index_Upto_April23__1[[#This Row],[Transport and communication]])</f>
        <v>1</v>
      </c>
      <c r="BH260">
        <f>TYPE(All_India_Index_Upto_April23__1[[#This Row],[Recreation and amusement]])</f>
        <v>1</v>
      </c>
      <c r="BI260">
        <f>TYPE(All_India_Index_Upto_April23__1[[#This Row],[Education]])</f>
        <v>1</v>
      </c>
      <c r="BJ260">
        <f>TYPE(All_India_Index_Upto_April23__1[[#This Row],[Personal care and effects]])</f>
        <v>1</v>
      </c>
      <c r="BK260">
        <f>TYPE(All_India_Index_Upto_April23__1[[#This Row],[Miscellaneous]])</f>
        <v>1</v>
      </c>
      <c r="BL260">
        <f>TYPE(All_India_Index_Upto_April23__1[[#This Row],[General index]])</f>
        <v>1</v>
      </c>
    </row>
    <row r="261" spans="1:64" hidden="1" x14ac:dyDescent="0.3">
      <c r="A261" t="s">
        <v>30</v>
      </c>
      <c r="B261">
        <v>2020</v>
      </c>
      <c r="C261" t="s">
        <v>36</v>
      </c>
      <c r="D261">
        <v>147.19999999999999</v>
      </c>
      <c r="E261" s="4"/>
      <c r="F261">
        <v>146.9</v>
      </c>
      <c r="G261">
        <v>155.6</v>
      </c>
      <c r="H261">
        <v>137.1</v>
      </c>
      <c r="I261">
        <v>147.30000000000001</v>
      </c>
      <c r="J261">
        <v>162.69999999999999</v>
      </c>
      <c r="K261">
        <v>150.19999999999999</v>
      </c>
      <c r="L261">
        <v>119.8</v>
      </c>
      <c r="M261">
        <v>158.69999999999999</v>
      </c>
      <c r="N261">
        <v>139.19999999999999</v>
      </c>
      <c r="O261" s="4"/>
      <c r="P261">
        <v>150.1</v>
      </c>
      <c r="Q261" s="4"/>
      <c r="R261" s="4"/>
      <c r="S261" s="4"/>
      <c r="T261" s="4"/>
      <c r="U261" t="s">
        <v>89</v>
      </c>
      <c r="V261">
        <v>148.4</v>
      </c>
      <c r="W261" s="4"/>
      <c r="X261">
        <v>154.30000000000001</v>
      </c>
      <c r="Y261" s="4"/>
      <c r="Z261" s="4"/>
      <c r="AA261" s="4"/>
      <c r="AB261" s="4"/>
      <c r="AC261" s="4"/>
      <c r="AD261" s="4"/>
      <c r="AE261" s="35">
        <f>SUM(All_India_Index_Upto_April23__1[[#This Row],[Cereals and products]:[Food and beverages]])</f>
        <v>1614.8000000000002</v>
      </c>
      <c r="AF261" s="35">
        <f>SUM(All_India_Index_Upto_April23__1[[#This Row],[Clothing]:[Clothing and footwear]])</f>
        <v>0</v>
      </c>
      <c r="AG261" s="35">
        <f t="shared" si="4"/>
        <v>148.4</v>
      </c>
      <c r="AI261">
        <f>TYPE(All_India_Index_Upto_April23__1[[#This Row],[Sector]])</f>
        <v>2</v>
      </c>
      <c r="AJ261">
        <f>TYPE(All_India_Index_Upto_April23__1[[#This Row],[Year]])</f>
        <v>1</v>
      </c>
      <c r="AK261">
        <f>TYPE(All_India_Index_Upto_April23__1[[#This Row],[Month]])</f>
        <v>2</v>
      </c>
      <c r="AL261">
        <f>TYPE(All_India_Index_Upto_April23__1[[#This Row],[Cereals and products]])</f>
        <v>1</v>
      </c>
      <c r="AM261">
        <f>TYPE(All_India_Index_Upto_April23__1[[#This Row],[Meat and fish]])</f>
        <v>1</v>
      </c>
      <c r="AN261">
        <f>TYPE(All_India_Index_Upto_April23__1[[#This Row],[Egg]])</f>
        <v>1</v>
      </c>
      <c r="AO261">
        <f>TYPE(All_India_Index_Upto_April23__1[[#This Row],[Milk and products]])</f>
        <v>1</v>
      </c>
      <c r="AP261">
        <f>TYPE(All_India_Index_Upto_April23__1[[#This Row],[Oils and fats]])</f>
        <v>1</v>
      </c>
      <c r="AQ261">
        <f>TYPE(All_India_Index_Upto_April23__1[[#This Row],[Fruits]])</f>
        <v>1</v>
      </c>
      <c r="AR261">
        <f>TYPE(All_India_Index_Upto_April23__1[[#This Row],[Vegetables]])</f>
        <v>1</v>
      </c>
      <c r="AS261">
        <f>TYPE(All_India_Index_Upto_April23__1[[#This Row],[Pulses and products]])</f>
        <v>1</v>
      </c>
      <c r="AT261">
        <f>TYPE(All_India_Index_Upto_April23__1[[#This Row],[Sugar and Confectionery]])</f>
        <v>1</v>
      </c>
      <c r="AU261">
        <f>TYPE(All_India_Index_Upto_April23__1[[#This Row],[Spices]])</f>
        <v>1</v>
      </c>
      <c r="AV261">
        <f>TYPE(All_India_Index_Upto_April23__1[[#This Row],[Non-alcoholic beverages]])</f>
        <v>1</v>
      </c>
      <c r="AW261">
        <f>TYPE(All_India_Index_Upto_April23__1[[#This Row],[Prepared meals, snacks, sweets etc.]])</f>
        <v>1</v>
      </c>
      <c r="AX261">
        <f>TYPE(All_India_Index_Upto_April23__1[[#This Row],[Food and beverages]])</f>
        <v>1</v>
      </c>
      <c r="AY261">
        <f>TYPE(All_India_Index_Upto_April23__1[[#This Row],[Pan, tobacco and intoxicants]])</f>
        <v>1</v>
      </c>
      <c r="AZ261">
        <f>TYPE(All_India_Index_Upto_April23__1[[#This Row],[Clothing]])</f>
        <v>1</v>
      </c>
      <c r="BA261">
        <f>TYPE(All_India_Index_Upto_April23__1[[#This Row],[Footwear]])</f>
        <v>1</v>
      </c>
      <c r="BB261">
        <f>TYPE(All_India_Index_Upto_April23__1[[#This Row],[Clothing and footwear]])</f>
        <v>1</v>
      </c>
      <c r="BC261">
        <f>TYPE(All_India_Index_Upto_April23__1[[#This Row],[Housing]])</f>
        <v>2</v>
      </c>
      <c r="BD261">
        <f>TYPE(All_India_Index_Upto_April23__1[[#This Row],[Fuel and light]])</f>
        <v>1</v>
      </c>
      <c r="BE261">
        <f>TYPE(All_India_Index_Upto_April23__1[[#This Row],[Household goods and services]])</f>
        <v>1</v>
      </c>
      <c r="BF261">
        <f>TYPE(All_India_Index_Upto_April23__1[[#This Row],[Health]])</f>
        <v>1</v>
      </c>
      <c r="BG261">
        <f>TYPE(All_India_Index_Upto_April23__1[[#This Row],[Transport and communication]])</f>
        <v>1</v>
      </c>
      <c r="BH261">
        <f>TYPE(All_India_Index_Upto_April23__1[[#This Row],[Recreation and amusement]])</f>
        <v>1</v>
      </c>
      <c r="BI261">
        <f>TYPE(All_India_Index_Upto_April23__1[[#This Row],[Education]])</f>
        <v>1</v>
      </c>
      <c r="BJ261">
        <f>TYPE(All_India_Index_Upto_April23__1[[#This Row],[Personal care and effects]])</f>
        <v>1</v>
      </c>
      <c r="BK261">
        <f>TYPE(All_India_Index_Upto_April23__1[[#This Row],[Miscellaneous]])</f>
        <v>1</v>
      </c>
      <c r="BL261">
        <f>TYPE(All_India_Index_Upto_April23__1[[#This Row],[General index]])</f>
        <v>1</v>
      </c>
    </row>
    <row r="262" spans="1:64" hidden="1" x14ac:dyDescent="0.3">
      <c r="A262" t="s">
        <v>32</v>
      </c>
      <c r="B262">
        <v>2020</v>
      </c>
      <c r="C262" t="s">
        <v>36</v>
      </c>
      <c r="D262">
        <v>151.80000000000001</v>
      </c>
      <c r="E262" s="4"/>
      <c r="F262">
        <v>151.9</v>
      </c>
      <c r="G262">
        <v>155.5</v>
      </c>
      <c r="H262">
        <v>131.6</v>
      </c>
      <c r="I262">
        <v>152.9</v>
      </c>
      <c r="J262">
        <v>180</v>
      </c>
      <c r="K262">
        <v>150.80000000000001</v>
      </c>
      <c r="L262">
        <v>121.2</v>
      </c>
      <c r="M262">
        <v>154</v>
      </c>
      <c r="N262">
        <v>133.5</v>
      </c>
      <c r="O262" s="4"/>
      <c r="P262">
        <v>153.5</v>
      </c>
      <c r="Q262" s="4"/>
      <c r="R262" s="4"/>
      <c r="S262" s="4"/>
      <c r="T262" s="4"/>
      <c r="U262" t="s">
        <v>174</v>
      </c>
      <c r="V262">
        <v>137.1</v>
      </c>
      <c r="W262" s="4"/>
      <c r="X262">
        <v>144.80000000000001</v>
      </c>
      <c r="Y262" s="4"/>
      <c r="Z262" s="4"/>
      <c r="AA262" s="4"/>
      <c r="AB262" s="4"/>
      <c r="AC262" s="4"/>
      <c r="AD262" s="4"/>
      <c r="AE262" s="35">
        <f>SUM(All_India_Index_Upto_April23__1[[#This Row],[Cereals and products]:[Food and beverages]])</f>
        <v>1636.7</v>
      </c>
      <c r="AF262" s="35">
        <f>SUM(All_India_Index_Upto_April23__1[[#This Row],[Clothing]:[Clothing and footwear]])</f>
        <v>0</v>
      </c>
      <c r="AG262" s="35">
        <f t="shared" si="4"/>
        <v>137.1</v>
      </c>
      <c r="AI262">
        <f>TYPE(All_India_Index_Upto_April23__1[[#This Row],[Sector]])</f>
        <v>2</v>
      </c>
      <c r="AJ262">
        <f>TYPE(All_India_Index_Upto_April23__1[[#This Row],[Year]])</f>
        <v>1</v>
      </c>
      <c r="AK262">
        <f>TYPE(All_India_Index_Upto_April23__1[[#This Row],[Month]])</f>
        <v>2</v>
      </c>
      <c r="AL262">
        <f>TYPE(All_India_Index_Upto_April23__1[[#This Row],[Cereals and products]])</f>
        <v>1</v>
      </c>
      <c r="AM262">
        <f>TYPE(All_India_Index_Upto_April23__1[[#This Row],[Meat and fish]])</f>
        <v>1</v>
      </c>
      <c r="AN262">
        <f>TYPE(All_India_Index_Upto_April23__1[[#This Row],[Egg]])</f>
        <v>1</v>
      </c>
      <c r="AO262">
        <f>TYPE(All_India_Index_Upto_April23__1[[#This Row],[Milk and products]])</f>
        <v>1</v>
      </c>
      <c r="AP262">
        <f>TYPE(All_India_Index_Upto_April23__1[[#This Row],[Oils and fats]])</f>
        <v>1</v>
      </c>
      <c r="AQ262">
        <f>TYPE(All_India_Index_Upto_April23__1[[#This Row],[Fruits]])</f>
        <v>1</v>
      </c>
      <c r="AR262">
        <f>TYPE(All_India_Index_Upto_April23__1[[#This Row],[Vegetables]])</f>
        <v>1</v>
      </c>
      <c r="AS262">
        <f>TYPE(All_India_Index_Upto_April23__1[[#This Row],[Pulses and products]])</f>
        <v>1</v>
      </c>
      <c r="AT262">
        <f>TYPE(All_India_Index_Upto_April23__1[[#This Row],[Sugar and Confectionery]])</f>
        <v>1</v>
      </c>
      <c r="AU262">
        <f>TYPE(All_India_Index_Upto_April23__1[[#This Row],[Spices]])</f>
        <v>1</v>
      </c>
      <c r="AV262">
        <f>TYPE(All_India_Index_Upto_April23__1[[#This Row],[Non-alcoholic beverages]])</f>
        <v>1</v>
      </c>
      <c r="AW262">
        <f>TYPE(All_India_Index_Upto_April23__1[[#This Row],[Prepared meals, snacks, sweets etc.]])</f>
        <v>1</v>
      </c>
      <c r="AX262">
        <f>TYPE(All_India_Index_Upto_April23__1[[#This Row],[Food and beverages]])</f>
        <v>1</v>
      </c>
      <c r="AY262">
        <f>TYPE(All_India_Index_Upto_April23__1[[#This Row],[Pan, tobacco and intoxicants]])</f>
        <v>1</v>
      </c>
      <c r="AZ262">
        <f>TYPE(All_India_Index_Upto_April23__1[[#This Row],[Clothing]])</f>
        <v>1</v>
      </c>
      <c r="BA262">
        <f>TYPE(All_India_Index_Upto_April23__1[[#This Row],[Footwear]])</f>
        <v>1</v>
      </c>
      <c r="BB262">
        <f>TYPE(All_India_Index_Upto_April23__1[[#This Row],[Clothing and footwear]])</f>
        <v>1</v>
      </c>
      <c r="BC262">
        <f>TYPE(All_India_Index_Upto_April23__1[[#This Row],[Housing]])</f>
        <v>2</v>
      </c>
      <c r="BD262">
        <f>TYPE(All_India_Index_Upto_April23__1[[#This Row],[Fuel and light]])</f>
        <v>1</v>
      </c>
      <c r="BE262">
        <f>TYPE(All_India_Index_Upto_April23__1[[#This Row],[Household goods and services]])</f>
        <v>1</v>
      </c>
      <c r="BF262">
        <f>TYPE(All_India_Index_Upto_April23__1[[#This Row],[Health]])</f>
        <v>1</v>
      </c>
      <c r="BG262">
        <f>TYPE(All_India_Index_Upto_April23__1[[#This Row],[Transport and communication]])</f>
        <v>1</v>
      </c>
      <c r="BH262">
        <f>TYPE(All_India_Index_Upto_April23__1[[#This Row],[Recreation and amusement]])</f>
        <v>1</v>
      </c>
      <c r="BI262">
        <f>TYPE(All_India_Index_Upto_April23__1[[#This Row],[Education]])</f>
        <v>1</v>
      </c>
      <c r="BJ262">
        <f>TYPE(All_India_Index_Upto_April23__1[[#This Row],[Personal care and effects]])</f>
        <v>1</v>
      </c>
      <c r="BK262">
        <f>TYPE(All_India_Index_Upto_April23__1[[#This Row],[Miscellaneous]])</f>
        <v>1</v>
      </c>
      <c r="BL262">
        <f>TYPE(All_India_Index_Upto_April23__1[[#This Row],[General index]])</f>
        <v>1</v>
      </c>
    </row>
    <row r="263" spans="1:64" x14ac:dyDescent="0.3">
      <c r="A263" t="s">
        <v>33</v>
      </c>
      <c r="B263">
        <v>2020</v>
      </c>
      <c r="C263" t="s">
        <v>36</v>
      </c>
      <c r="D263" s="4">
        <v>148.69999999999999</v>
      </c>
      <c r="E263" s="4"/>
      <c r="F263" s="4">
        <v>148.80000000000001</v>
      </c>
      <c r="G263" s="4">
        <v>155.6</v>
      </c>
      <c r="H263" s="4">
        <v>135.1</v>
      </c>
      <c r="I263" s="4">
        <v>149.9</v>
      </c>
      <c r="J263" s="4">
        <v>168.6</v>
      </c>
      <c r="K263" s="4">
        <v>150.4</v>
      </c>
      <c r="L263" s="4">
        <v>120.3</v>
      </c>
      <c r="M263" s="4">
        <v>157.1</v>
      </c>
      <c r="N263" s="4">
        <v>136.80000000000001</v>
      </c>
      <c r="O263" s="4"/>
      <c r="P263" s="4">
        <v>151.4</v>
      </c>
      <c r="Q263" s="4"/>
      <c r="R263" s="4"/>
      <c r="S263" s="4"/>
      <c r="T263" s="4"/>
      <c r="U263" s="4" t="s">
        <v>174</v>
      </c>
      <c r="V263" s="4">
        <v>144.1</v>
      </c>
      <c r="W263" s="4"/>
      <c r="X263" s="4">
        <v>150.69999999999999</v>
      </c>
      <c r="Y263" s="4"/>
      <c r="Z263" s="4"/>
      <c r="AA263" s="4"/>
      <c r="AB263" s="4"/>
      <c r="AC263" s="4"/>
      <c r="AD263" s="4"/>
      <c r="AE263" s="35">
        <f>SUM(All_India_Index_Upto_April23__1[[#This Row],[Cereals and products]:[Food and beverages]])</f>
        <v>1622.7</v>
      </c>
      <c r="AF263" s="35">
        <f>SUM(All_India_Index_Upto_April23__1[[#This Row],[Clothing]:[Clothing and footwear]])</f>
        <v>0</v>
      </c>
      <c r="AG263" s="35">
        <f t="shared" si="4"/>
        <v>144.1</v>
      </c>
      <c r="AI263">
        <f>TYPE(All_India_Index_Upto_April23__1[[#This Row],[Sector]])</f>
        <v>2</v>
      </c>
      <c r="AJ263">
        <f>TYPE(All_India_Index_Upto_April23__1[[#This Row],[Year]])</f>
        <v>1</v>
      </c>
      <c r="AK263">
        <f>TYPE(All_India_Index_Upto_April23__1[[#This Row],[Month]])</f>
        <v>2</v>
      </c>
      <c r="AL263">
        <f>TYPE(All_India_Index_Upto_April23__1[[#This Row],[Cereals and products]])</f>
        <v>1</v>
      </c>
      <c r="AM263">
        <f>TYPE(All_India_Index_Upto_April23__1[[#This Row],[Meat and fish]])</f>
        <v>1</v>
      </c>
      <c r="AN263">
        <f>TYPE(All_India_Index_Upto_April23__1[[#This Row],[Egg]])</f>
        <v>1</v>
      </c>
      <c r="AO263">
        <f>TYPE(All_India_Index_Upto_April23__1[[#This Row],[Milk and products]])</f>
        <v>1</v>
      </c>
      <c r="AP263">
        <f>TYPE(All_India_Index_Upto_April23__1[[#This Row],[Oils and fats]])</f>
        <v>1</v>
      </c>
      <c r="AQ263">
        <f>TYPE(All_India_Index_Upto_April23__1[[#This Row],[Fruits]])</f>
        <v>1</v>
      </c>
      <c r="AR263">
        <f>TYPE(All_India_Index_Upto_April23__1[[#This Row],[Vegetables]])</f>
        <v>1</v>
      </c>
      <c r="AS263">
        <f>TYPE(All_India_Index_Upto_April23__1[[#This Row],[Pulses and products]])</f>
        <v>1</v>
      </c>
      <c r="AT263">
        <f>TYPE(All_India_Index_Upto_April23__1[[#This Row],[Sugar and Confectionery]])</f>
        <v>1</v>
      </c>
      <c r="AU263">
        <f>TYPE(All_India_Index_Upto_April23__1[[#This Row],[Spices]])</f>
        <v>1</v>
      </c>
      <c r="AV263">
        <f>TYPE(All_India_Index_Upto_April23__1[[#This Row],[Non-alcoholic beverages]])</f>
        <v>1</v>
      </c>
      <c r="AW263">
        <f>TYPE(All_India_Index_Upto_April23__1[[#This Row],[Prepared meals, snacks, sweets etc.]])</f>
        <v>1</v>
      </c>
      <c r="AX263">
        <f>TYPE(All_India_Index_Upto_April23__1[[#This Row],[Food and beverages]])</f>
        <v>1</v>
      </c>
      <c r="AY263">
        <f>TYPE(All_India_Index_Upto_April23__1[[#This Row],[Pan, tobacco and intoxicants]])</f>
        <v>1</v>
      </c>
      <c r="AZ263">
        <f>TYPE(All_India_Index_Upto_April23__1[[#This Row],[Clothing]])</f>
        <v>1</v>
      </c>
      <c r="BA263">
        <f>TYPE(All_India_Index_Upto_April23__1[[#This Row],[Footwear]])</f>
        <v>1</v>
      </c>
      <c r="BB263">
        <f>TYPE(All_India_Index_Upto_April23__1[[#This Row],[Clothing and footwear]])</f>
        <v>1</v>
      </c>
      <c r="BC263">
        <f>TYPE(All_India_Index_Upto_April23__1[[#This Row],[Housing]])</f>
        <v>2</v>
      </c>
      <c r="BD263">
        <f>TYPE(All_India_Index_Upto_April23__1[[#This Row],[Fuel and light]])</f>
        <v>1</v>
      </c>
      <c r="BE263">
        <f>TYPE(All_India_Index_Upto_April23__1[[#This Row],[Household goods and services]])</f>
        <v>1</v>
      </c>
      <c r="BF263">
        <f>TYPE(All_India_Index_Upto_April23__1[[#This Row],[Health]])</f>
        <v>1</v>
      </c>
      <c r="BG263">
        <f>TYPE(All_India_Index_Upto_April23__1[[#This Row],[Transport and communication]])</f>
        <v>1</v>
      </c>
      <c r="BH263">
        <f>TYPE(All_India_Index_Upto_April23__1[[#This Row],[Recreation and amusement]])</f>
        <v>1</v>
      </c>
      <c r="BI263">
        <f>TYPE(All_India_Index_Upto_April23__1[[#This Row],[Education]])</f>
        <v>1</v>
      </c>
      <c r="BJ263">
        <f>TYPE(All_India_Index_Upto_April23__1[[#This Row],[Personal care and effects]])</f>
        <v>1</v>
      </c>
      <c r="BK263">
        <f>TYPE(All_India_Index_Upto_April23__1[[#This Row],[Miscellaneous]])</f>
        <v>1</v>
      </c>
      <c r="BL263">
        <f>TYPE(All_India_Index_Upto_April23__1[[#This Row],[General index]])</f>
        <v>1</v>
      </c>
    </row>
    <row r="264" spans="1:64" hidden="1" x14ac:dyDescent="0.3">
      <c r="A264" t="s">
        <v>30</v>
      </c>
      <c r="B264">
        <v>2020</v>
      </c>
      <c r="C264" t="s">
        <v>37</v>
      </c>
      <c r="D264" s="4"/>
      <c r="E264" s="4"/>
      <c r="F264" s="4"/>
      <c r="G264" s="4"/>
      <c r="H264" s="4"/>
      <c r="I264" s="4"/>
      <c r="J264" s="4"/>
      <c r="K264" s="4"/>
      <c r="L264" s="4"/>
      <c r="M264" s="4"/>
      <c r="N264" s="4"/>
      <c r="O264" s="4"/>
      <c r="P264" s="4"/>
      <c r="Q264" s="4"/>
      <c r="R264" s="4"/>
      <c r="S264" s="4"/>
      <c r="T264" s="4"/>
      <c r="U264" t="s">
        <v>89</v>
      </c>
      <c r="V264" s="4"/>
      <c r="W264" s="4"/>
      <c r="X264" s="4"/>
      <c r="Y264" s="4"/>
      <c r="Z264" s="4"/>
      <c r="AA264" s="4"/>
      <c r="AB264" s="4"/>
      <c r="AC264" s="4"/>
      <c r="AD264" s="4"/>
      <c r="AE264" s="35">
        <f>SUM(All_India_Index_Upto_April23__1[[#This Row],[Cereals and products]:[Food and beverages]])</f>
        <v>0</v>
      </c>
      <c r="AF264" s="35">
        <f>SUM(All_India_Index_Upto_April23__1[[#This Row],[Clothing]:[Clothing and footwear]])</f>
        <v>0</v>
      </c>
      <c r="AG264" s="35">
        <f t="shared" si="4"/>
        <v>0</v>
      </c>
      <c r="AI264">
        <f>TYPE(All_India_Index_Upto_April23__1[[#This Row],[Sector]])</f>
        <v>2</v>
      </c>
      <c r="AJ264">
        <f>TYPE(All_India_Index_Upto_April23__1[[#This Row],[Year]])</f>
        <v>1</v>
      </c>
      <c r="AK264">
        <f>TYPE(All_India_Index_Upto_April23__1[[#This Row],[Month]])</f>
        <v>2</v>
      </c>
      <c r="AL264">
        <f>TYPE(All_India_Index_Upto_April23__1[[#This Row],[Cereals and products]])</f>
        <v>1</v>
      </c>
      <c r="AM264">
        <f>TYPE(All_India_Index_Upto_April23__1[[#This Row],[Meat and fish]])</f>
        <v>1</v>
      </c>
      <c r="AN264">
        <f>TYPE(All_India_Index_Upto_April23__1[[#This Row],[Egg]])</f>
        <v>1</v>
      </c>
      <c r="AO264">
        <f>TYPE(All_India_Index_Upto_April23__1[[#This Row],[Milk and products]])</f>
        <v>1</v>
      </c>
      <c r="AP264">
        <f>TYPE(All_India_Index_Upto_April23__1[[#This Row],[Oils and fats]])</f>
        <v>1</v>
      </c>
      <c r="AQ264">
        <f>TYPE(All_India_Index_Upto_April23__1[[#This Row],[Fruits]])</f>
        <v>1</v>
      </c>
      <c r="AR264">
        <f>TYPE(All_India_Index_Upto_April23__1[[#This Row],[Vegetables]])</f>
        <v>1</v>
      </c>
      <c r="AS264">
        <f>TYPE(All_India_Index_Upto_April23__1[[#This Row],[Pulses and products]])</f>
        <v>1</v>
      </c>
      <c r="AT264">
        <f>TYPE(All_India_Index_Upto_April23__1[[#This Row],[Sugar and Confectionery]])</f>
        <v>1</v>
      </c>
      <c r="AU264">
        <f>TYPE(All_India_Index_Upto_April23__1[[#This Row],[Spices]])</f>
        <v>1</v>
      </c>
      <c r="AV264">
        <f>TYPE(All_India_Index_Upto_April23__1[[#This Row],[Non-alcoholic beverages]])</f>
        <v>1</v>
      </c>
      <c r="AW264">
        <f>TYPE(All_India_Index_Upto_April23__1[[#This Row],[Prepared meals, snacks, sweets etc.]])</f>
        <v>1</v>
      </c>
      <c r="AX264">
        <f>TYPE(All_India_Index_Upto_April23__1[[#This Row],[Food and beverages]])</f>
        <v>1</v>
      </c>
      <c r="AY264">
        <f>TYPE(All_India_Index_Upto_April23__1[[#This Row],[Pan, tobacco and intoxicants]])</f>
        <v>1</v>
      </c>
      <c r="AZ264">
        <f>TYPE(All_India_Index_Upto_April23__1[[#This Row],[Clothing]])</f>
        <v>1</v>
      </c>
      <c r="BA264">
        <f>TYPE(All_India_Index_Upto_April23__1[[#This Row],[Footwear]])</f>
        <v>1</v>
      </c>
      <c r="BB264">
        <f>TYPE(All_India_Index_Upto_April23__1[[#This Row],[Clothing and footwear]])</f>
        <v>1</v>
      </c>
      <c r="BC264">
        <f>TYPE(All_India_Index_Upto_April23__1[[#This Row],[Housing]])</f>
        <v>2</v>
      </c>
      <c r="BD264">
        <f>TYPE(All_India_Index_Upto_April23__1[[#This Row],[Fuel and light]])</f>
        <v>1</v>
      </c>
      <c r="BE264">
        <f>TYPE(All_India_Index_Upto_April23__1[[#This Row],[Household goods and services]])</f>
        <v>1</v>
      </c>
      <c r="BF264">
        <f>TYPE(All_India_Index_Upto_April23__1[[#This Row],[Health]])</f>
        <v>1</v>
      </c>
      <c r="BG264">
        <f>TYPE(All_India_Index_Upto_April23__1[[#This Row],[Transport and communication]])</f>
        <v>1</v>
      </c>
      <c r="BH264">
        <f>TYPE(All_India_Index_Upto_April23__1[[#This Row],[Recreation and amusement]])</f>
        <v>1</v>
      </c>
      <c r="BI264">
        <f>TYPE(All_India_Index_Upto_April23__1[[#This Row],[Education]])</f>
        <v>1</v>
      </c>
      <c r="BJ264">
        <f>TYPE(All_India_Index_Upto_April23__1[[#This Row],[Personal care and effects]])</f>
        <v>1</v>
      </c>
      <c r="BK264">
        <f>TYPE(All_India_Index_Upto_April23__1[[#This Row],[Miscellaneous]])</f>
        <v>1</v>
      </c>
      <c r="BL264">
        <f>TYPE(All_India_Index_Upto_April23__1[[#This Row],[General index]])</f>
        <v>1</v>
      </c>
    </row>
    <row r="265" spans="1:64" hidden="1" x14ac:dyDescent="0.3">
      <c r="A265" t="s">
        <v>32</v>
      </c>
      <c r="B265">
        <v>2020</v>
      </c>
      <c r="C265" t="s">
        <v>37</v>
      </c>
      <c r="D265" s="4"/>
      <c r="E265" s="4"/>
      <c r="F265" s="4"/>
      <c r="G265" s="4"/>
      <c r="H265" s="4"/>
      <c r="I265" s="4"/>
      <c r="J265" s="4"/>
      <c r="K265" s="4"/>
      <c r="L265" s="4"/>
      <c r="M265" s="4"/>
      <c r="N265" s="4"/>
      <c r="O265" s="4"/>
      <c r="P265" s="4"/>
      <c r="Q265" s="4"/>
      <c r="R265" s="4"/>
      <c r="S265" s="4"/>
      <c r="T265" s="4"/>
      <c r="U265" t="s">
        <v>89</v>
      </c>
      <c r="V265" s="4"/>
      <c r="W265" s="4"/>
      <c r="X265" s="4"/>
      <c r="Y265" s="4"/>
      <c r="Z265" s="4"/>
      <c r="AA265" s="4"/>
      <c r="AB265" s="4"/>
      <c r="AC265" s="4"/>
      <c r="AD265" s="4"/>
      <c r="AE265" s="35">
        <f>SUM(All_India_Index_Upto_April23__1[[#This Row],[Cereals and products]:[Food and beverages]])</f>
        <v>0</v>
      </c>
      <c r="AF265" s="35">
        <f>SUM(All_India_Index_Upto_April23__1[[#This Row],[Clothing]:[Clothing and footwear]])</f>
        <v>0</v>
      </c>
      <c r="AG265" s="35">
        <f t="shared" si="4"/>
        <v>0</v>
      </c>
      <c r="AI265">
        <f>TYPE(All_India_Index_Upto_April23__1[[#This Row],[Sector]])</f>
        <v>2</v>
      </c>
      <c r="AJ265">
        <f>TYPE(All_India_Index_Upto_April23__1[[#This Row],[Year]])</f>
        <v>1</v>
      </c>
      <c r="AK265">
        <f>TYPE(All_India_Index_Upto_April23__1[[#This Row],[Month]])</f>
        <v>2</v>
      </c>
      <c r="AL265">
        <f>TYPE(All_India_Index_Upto_April23__1[[#This Row],[Cereals and products]])</f>
        <v>1</v>
      </c>
      <c r="AM265">
        <f>TYPE(All_India_Index_Upto_April23__1[[#This Row],[Meat and fish]])</f>
        <v>1</v>
      </c>
      <c r="AN265">
        <f>TYPE(All_India_Index_Upto_April23__1[[#This Row],[Egg]])</f>
        <v>1</v>
      </c>
      <c r="AO265">
        <f>TYPE(All_India_Index_Upto_April23__1[[#This Row],[Milk and products]])</f>
        <v>1</v>
      </c>
      <c r="AP265">
        <f>TYPE(All_India_Index_Upto_April23__1[[#This Row],[Oils and fats]])</f>
        <v>1</v>
      </c>
      <c r="AQ265">
        <f>TYPE(All_India_Index_Upto_April23__1[[#This Row],[Fruits]])</f>
        <v>1</v>
      </c>
      <c r="AR265">
        <f>TYPE(All_India_Index_Upto_April23__1[[#This Row],[Vegetables]])</f>
        <v>1</v>
      </c>
      <c r="AS265">
        <f>TYPE(All_India_Index_Upto_April23__1[[#This Row],[Pulses and products]])</f>
        <v>1</v>
      </c>
      <c r="AT265">
        <f>TYPE(All_India_Index_Upto_April23__1[[#This Row],[Sugar and Confectionery]])</f>
        <v>1</v>
      </c>
      <c r="AU265">
        <f>TYPE(All_India_Index_Upto_April23__1[[#This Row],[Spices]])</f>
        <v>1</v>
      </c>
      <c r="AV265">
        <f>TYPE(All_India_Index_Upto_April23__1[[#This Row],[Non-alcoholic beverages]])</f>
        <v>1</v>
      </c>
      <c r="AW265">
        <f>TYPE(All_India_Index_Upto_April23__1[[#This Row],[Prepared meals, snacks, sweets etc.]])</f>
        <v>1</v>
      </c>
      <c r="AX265">
        <f>TYPE(All_India_Index_Upto_April23__1[[#This Row],[Food and beverages]])</f>
        <v>1</v>
      </c>
      <c r="AY265">
        <f>TYPE(All_India_Index_Upto_April23__1[[#This Row],[Pan, tobacco and intoxicants]])</f>
        <v>1</v>
      </c>
      <c r="AZ265">
        <f>TYPE(All_India_Index_Upto_April23__1[[#This Row],[Clothing]])</f>
        <v>1</v>
      </c>
      <c r="BA265">
        <f>TYPE(All_India_Index_Upto_April23__1[[#This Row],[Footwear]])</f>
        <v>1</v>
      </c>
      <c r="BB265">
        <f>TYPE(All_India_Index_Upto_April23__1[[#This Row],[Clothing and footwear]])</f>
        <v>1</v>
      </c>
      <c r="BC265">
        <f>TYPE(All_India_Index_Upto_April23__1[[#This Row],[Housing]])</f>
        <v>2</v>
      </c>
      <c r="BD265">
        <f>TYPE(All_India_Index_Upto_April23__1[[#This Row],[Fuel and light]])</f>
        <v>1</v>
      </c>
      <c r="BE265">
        <f>TYPE(All_India_Index_Upto_April23__1[[#This Row],[Household goods and services]])</f>
        <v>1</v>
      </c>
      <c r="BF265">
        <f>TYPE(All_India_Index_Upto_April23__1[[#This Row],[Health]])</f>
        <v>1</v>
      </c>
      <c r="BG265">
        <f>TYPE(All_India_Index_Upto_April23__1[[#This Row],[Transport and communication]])</f>
        <v>1</v>
      </c>
      <c r="BH265">
        <f>TYPE(All_India_Index_Upto_April23__1[[#This Row],[Recreation and amusement]])</f>
        <v>1</v>
      </c>
      <c r="BI265">
        <f>TYPE(All_India_Index_Upto_April23__1[[#This Row],[Education]])</f>
        <v>1</v>
      </c>
      <c r="BJ265">
        <f>TYPE(All_India_Index_Upto_April23__1[[#This Row],[Personal care and effects]])</f>
        <v>1</v>
      </c>
      <c r="BK265">
        <f>TYPE(All_India_Index_Upto_April23__1[[#This Row],[Miscellaneous]])</f>
        <v>1</v>
      </c>
      <c r="BL265">
        <f>TYPE(All_India_Index_Upto_April23__1[[#This Row],[General index]])</f>
        <v>1</v>
      </c>
    </row>
    <row r="266" spans="1:64" x14ac:dyDescent="0.3">
      <c r="A266" t="s">
        <v>33</v>
      </c>
      <c r="B266">
        <v>2020</v>
      </c>
      <c r="C266" t="s">
        <v>37</v>
      </c>
      <c r="D266" s="4"/>
      <c r="E266" s="4"/>
      <c r="F266" s="4"/>
      <c r="G266" s="4"/>
      <c r="H266" s="4"/>
      <c r="I266" s="4"/>
      <c r="J266" s="4"/>
      <c r="K266" s="4"/>
      <c r="L266" s="4"/>
      <c r="M266" s="4"/>
      <c r="N266" s="4"/>
      <c r="O266" s="4"/>
      <c r="P266" s="4"/>
      <c r="Q266" s="4"/>
      <c r="R266" s="4"/>
      <c r="S266" s="4"/>
      <c r="T266" s="4"/>
      <c r="U266" t="s">
        <v>89</v>
      </c>
      <c r="V266" s="4"/>
      <c r="W266" s="4"/>
      <c r="X266" s="4"/>
      <c r="Y266" s="4"/>
      <c r="Z266" s="4"/>
      <c r="AA266" s="4"/>
      <c r="AB266" s="4"/>
      <c r="AC266" s="4"/>
      <c r="AD266" s="4"/>
      <c r="AE266" s="35">
        <f>SUM(All_India_Index_Upto_April23__1[[#This Row],[Cereals and products]:[Food and beverages]])</f>
        <v>0</v>
      </c>
      <c r="AF266" s="35">
        <f>SUM(All_India_Index_Upto_April23__1[[#This Row],[Clothing]:[Clothing and footwear]])</f>
        <v>0</v>
      </c>
      <c r="AG266" s="35">
        <f t="shared" si="4"/>
        <v>0</v>
      </c>
      <c r="AI266">
        <f>TYPE(All_India_Index_Upto_April23__1[[#This Row],[Sector]])</f>
        <v>2</v>
      </c>
      <c r="AJ266">
        <f>TYPE(All_India_Index_Upto_April23__1[[#This Row],[Year]])</f>
        <v>1</v>
      </c>
      <c r="AK266">
        <f>TYPE(All_India_Index_Upto_April23__1[[#This Row],[Month]])</f>
        <v>2</v>
      </c>
      <c r="AL266">
        <f>TYPE(All_India_Index_Upto_April23__1[[#This Row],[Cereals and products]])</f>
        <v>1</v>
      </c>
      <c r="AM266">
        <f>TYPE(All_India_Index_Upto_April23__1[[#This Row],[Meat and fish]])</f>
        <v>1</v>
      </c>
      <c r="AN266">
        <f>TYPE(All_India_Index_Upto_April23__1[[#This Row],[Egg]])</f>
        <v>1</v>
      </c>
      <c r="AO266">
        <f>TYPE(All_India_Index_Upto_April23__1[[#This Row],[Milk and products]])</f>
        <v>1</v>
      </c>
      <c r="AP266">
        <f>TYPE(All_India_Index_Upto_April23__1[[#This Row],[Oils and fats]])</f>
        <v>1</v>
      </c>
      <c r="AQ266">
        <f>TYPE(All_India_Index_Upto_April23__1[[#This Row],[Fruits]])</f>
        <v>1</v>
      </c>
      <c r="AR266">
        <f>TYPE(All_India_Index_Upto_April23__1[[#This Row],[Vegetables]])</f>
        <v>1</v>
      </c>
      <c r="AS266">
        <f>TYPE(All_India_Index_Upto_April23__1[[#This Row],[Pulses and products]])</f>
        <v>1</v>
      </c>
      <c r="AT266">
        <f>TYPE(All_India_Index_Upto_April23__1[[#This Row],[Sugar and Confectionery]])</f>
        <v>1</v>
      </c>
      <c r="AU266">
        <f>TYPE(All_India_Index_Upto_April23__1[[#This Row],[Spices]])</f>
        <v>1</v>
      </c>
      <c r="AV266">
        <f>TYPE(All_India_Index_Upto_April23__1[[#This Row],[Non-alcoholic beverages]])</f>
        <v>1</v>
      </c>
      <c r="AW266">
        <f>TYPE(All_India_Index_Upto_April23__1[[#This Row],[Prepared meals, snacks, sweets etc.]])</f>
        <v>1</v>
      </c>
      <c r="AX266">
        <f>TYPE(All_India_Index_Upto_April23__1[[#This Row],[Food and beverages]])</f>
        <v>1</v>
      </c>
      <c r="AY266">
        <f>TYPE(All_India_Index_Upto_April23__1[[#This Row],[Pan, tobacco and intoxicants]])</f>
        <v>1</v>
      </c>
      <c r="AZ266">
        <f>TYPE(All_India_Index_Upto_April23__1[[#This Row],[Clothing]])</f>
        <v>1</v>
      </c>
      <c r="BA266">
        <f>TYPE(All_India_Index_Upto_April23__1[[#This Row],[Footwear]])</f>
        <v>1</v>
      </c>
      <c r="BB266">
        <f>TYPE(All_India_Index_Upto_April23__1[[#This Row],[Clothing and footwear]])</f>
        <v>1</v>
      </c>
      <c r="BC266">
        <f>TYPE(All_India_Index_Upto_April23__1[[#This Row],[Housing]])</f>
        <v>2</v>
      </c>
      <c r="BD266">
        <f>TYPE(All_India_Index_Upto_April23__1[[#This Row],[Fuel and light]])</f>
        <v>1</v>
      </c>
      <c r="BE266">
        <f>TYPE(All_India_Index_Upto_April23__1[[#This Row],[Household goods and services]])</f>
        <v>1</v>
      </c>
      <c r="BF266">
        <f>TYPE(All_India_Index_Upto_April23__1[[#This Row],[Health]])</f>
        <v>1</v>
      </c>
      <c r="BG266">
        <f>TYPE(All_India_Index_Upto_April23__1[[#This Row],[Transport and communication]])</f>
        <v>1</v>
      </c>
      <c r="BH266">
        <f>TYPE(All_India_Index_Upto_April23__1[[#This Row],[Recreation and amusement]])</f>
        <v>1</v>
      </c>
      <c r="BI266">
        <f>TYPE(All_India_Index_Upto_April23__1[[#This Row],[Education]])</f>
        <v>1</v>
      </c>
      <c r="BJ266">
        <f>TYPE(All_India_Index_Upto_April23__1[[#This Row],[Personal care and effects]])</f>
        <v>1</v>
      </c>
      <c r="BK266">
        <f>TYPE(All_India_Index_Upto_April23__1[[#This Row],[Miscellaneous]])</f>
        <v>1</v>
      </c>
      <c r="BL266">
        <f>TYPE(All_India_Index_Upto_April23__1[[#This Row],[General index]])</f>
        <v>1</v>
      </c>
    </row>
    <row r="267" spans="1:64" hidden="1" x14ac:dyDescent="0.3">
      <c r="A267" t="s">
        <v>30</v>
      </c>
      <c r="B267">
        <v>2020</v>
      </c>
      <c r="C267" t="s">
        <v>38</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U267" t="s">
        <v>89</v>
      </c>
      <c r="V267">
        <v>144.9</v>
      </c>
      <c r="W267">
        <v>151.69999999999999</v>
      </c>
      <c r="X267">
        <v>158.19999999999999</v>
      </c>
      <c r="Y267">
        <v>141.4</v>
      </c>
      <c r="Z267">
        <v>153.19999999999999</v>
      </c>
      <c r="AA267">
        <v>161.80000000000001</v>
      </c>
      <c r="AB267">
        <v>151.19999999999999</v>
      </c>
      <c r="AC267">
        <v>151.69999999999999</v>
      </c>
      <c r="AD267">
        <v>152.69999999999999</v>
      </c>
      <c r="AE267">
        <f>SUM(All_India_Index_Upto_April23__1[[#This Row],[Cereals and products]:[Food and beverages]])</f>
        <v>1951</v>
      </c>
      <c r="AF267">
        <f>SUM(All_India_Index_Upto_April23__1[[#This Row],[Clothing]:[Clothing and footwear]])</f>
        <v>458.79999999999995</v>
      </c>
      <c r="AG267">
        <f t="shared" si="4"/>
        <v>438</v>
      </c>
      <c r="AI267">
        <f>TYPE(All_India_Index_Upto_April23__1[[#This Row],[Sector]])</f>
        <v>2</v>
      </c>
      <c r="AJ267">
        <f>TYPE(All_India_Index_Upto_April23__1[[#This Row],[Year]])</f>
        <v>1</v>
      </c>
      <c r="AK267">
        <f>TYPE(All_India_Index_Upto_April23__1[[#This Row],[Month]])</f>
        <v>2</v>
      </c>
      <c r="AL267">
        <f>TYPE(All_India_Index_Upto_April23__1[[#This Row],[Cereals and products]])</f>
        <v>1</v>
      </c>
      <c r="AM267">
        <f>TYPE(All_India_Index_Upto_April23__1[[#This Row],[Meat and fish]])</f>
        <v>1</v>
      </c>
      <c r="AN267">
        <f>TYPE(All_India_Index_Upto_April23__1[[#This Row],[Egg]])</f>
        <v>1</v>
      </c>
      <c r="AO267">
        <f>TYPE(All_India_Index_Upto_April23__1[[#This Row],[Milk and products]])</f>
        <v>1</v>
      </c>
      <c r="AP267">
        <f>TYPE(All_India_Index_Upto_April23__1[[#This Row],[Oils and fats]])</f>
        <v>1</v>
      </c>
      <c r="AQ267">
        <f>TYPE(All_India_Index_Upto_April23__1[[#This Row],[Fruits]])</f>
        <v>1</v>
      </c>
      <c r="AR267">
        <f>TYPE(All_India_Index_Upto_April23__1[[#This Row],[Vegetables]])</f>
        <v>1</v>
      </c>
      <c r="AS267">
        <f>TYPE(All_India_Index_Upto_April23__1[[#This Row],[Pulses and products]])</f>
        <v>1</v>
      </c>
      <c r="AT267">
        <f>TYPE(All_India_Index_Upto_April23__1[[#This Row],[Sugar and Confectionery]])</f>
        <v>1</v>
      </c>
      <c r="AU267">
        <f>TYPE(All_India_Index_Upto_April23__1[[#This Row],[Spices]])</f>
        <v>1</v>
      </c>
      <c r="AV267">
        <f>TYPE(All_India_Index_Upto_April23__1[[#This Row],[Non-alcoholic beverages]])</f>
        <v>1</v>
      </c>
      <c r="AW267">
        <f>TYPE(All_India_Index_Upto_April23__1[[#This Row],[Prepared meals, snacks, sweets etc.]])</f>
        <v>1</v>
      </c>
      <c r="AX267">
        <f>TYPE(All_India_Index_Upto_April23__1[[#This Row],[Food and beverages]])</f>
        <v>1</v>
      </c>
      <c r="AY267">
        <f>TYPE(All_India_Index_Upto_April23__1[[#This Row],[Pan, tobacco and intoxicants]])</f>
        <v>1</v>
      </c>
      <c r="AZ267">
        <f>TYPE(All_India_Index_Upto_April23__1[[#This Row],[Clothing]])</f>
        <v>1</v>
      </c>
      <c r="BA267">
        <f>TYPE(All_India_Index_Upto_April23__1[[#This Row],[Footwear]])</f>
        <v>1</v>
      </c>
      <c r="BB267">
        <f>TYPE(All_India_Index_Upto_April23__1[[#This Row],[Clothing and footwear]])</f>
        <v>1</v>
      </c>
      <c r="BC267">
        <f>TYPE(All_India_Index_Upto_April23__1[[#This Row],[Housing]])</f>
        <v>2</v>
      </c>
      <c r="BD267">
        <f>TYPE(All_India_Index_Upto_April23__1[[#This Row],[Fuel and light]])</f>
        <v>1</v>
      </c>
      <c r="BE267">
        <f>TYPE(All_India_Index_Upto_April23__1[[#This Row],[Household goods and services]])</f>
        <v>1</v>
      </c>
      <c r="BF267">
        <f>TYPE(All_India_Index_Upto_April23__1[[#This Row],[Health]])</f>
        <v>1</v>
      </c>
      <c r="BG267">
        <f>TYPE(All_India_Index_Upto_April23__1[[#This Row],[Transport and communication]])</f>
        <v>1</v>
      </c>
      <c r="BH267">
        <f>TYPE(All_India_Index_Upto_April23__1[[#This Row],[Recreation and amusement]])</f>
        <v>1</v>
      </c>
      <c r="BI267">
        <f>TYPE(All_India_Index_Upto_April23__1[[#This Row],[Education]])</f>
        <v>1</v>
      </c>
      <c r="BJ267">
        <f>TYPE(All_India_Index_Upto_April23__1[[#This Row],[Personal care and effects]])</f>
        <v>1</v>
      </c>
      <c r="BK267">
        <f>TYPE(All_India_Index_Upto_April23__1[[#This Row],[Miscellaneous]])</f>
        <v>1</v>
      </c>
      <c r="BL267">
        <f>TYPE(All_India_Index_Upto_April23__1[[#This Row],[General index]])</f>
        <v>1</v>
      </c>
    </row>
    <row r="268" spans="1:64" hidden="1" x14ac:dyDescent="0.3">
      <c r="A268" t="s">
        <v>32</v>
      </c>
      <c r="B268">
        <v>2020</v>
      </c>
      <c r="C268" t="s">
        <v>38</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t="s">
        <v>175</v>
      </c>
      <c r="V268">
        <v>137.1</v>
      </c>
      <c r="W268">
        <v>140.4</v>
      </c>
      <c r="X268">
        <v>148.1</v>
      </c>
      <c r="Y268">
        <v>129.30000000000001</v>
      </c>
      <c r="Z268">
        <v>144.5</v>
      </c>
      <c r="AA268">
        <v>152.5</v>
      </c>
      <c r="AB268">
        <v>152.19999999999999</v>
      </c>
      <c r="AC268">
        <v>142</v>
      </c>
      <c r="AD268">
        <v>150.80000000000001</v>
      </c>
      <c r="AE268">
        <f>SUM(All_India_Index_Upto_April23__1[[#This Row],[Cereals and products]:[Food and beverages]])</f>
        <v>1994.9999999999998</v>
      </c>
      <c r="AF268">
        <f>SUM(All_India_Index_Upto_April23__1[[#This Row],[Clothing]:[Clothing and footwear]])</f>
        <v>432.9</v>
      </c>
      <c r="AG268">
        <f t="shared" si="4"/>
        <v>406.8</v>
      </c>
      <c r="AI268">
        <f>TYPE(All_India_Index_Upto_April23__1[[#This Row],[Sector]])</f>
        <v>2</v>
      </c>
      <c r="AJ268">
        <f>TYPE(All_India_Index_Upto_April23__1[[#This Row],[Year]])</f>
        <v>1</v>
      </c>
      <c r="AK268">
        <f>TYPE(All_India_Index_Upto_April23__1[[#This Row],[Month]])</f>
        <v>2</v>
      </c>
      <c r="AL268">
        <f>TYPE(All_India_Index_Upto_April23__1[[#This Row],[Cereals and products]])</f>
        <v>1</v>
      </c>
      <c r="AM268">
        <f>TYPE(All_India_Index_Upto_April23__1[[#This Row],[Meat and fish]])</f>
        <v>1</v>
      </c>
      <c r="AN268">
        <f>TYPE(All_India_Index_Upto_April23__1[[#This Row],[Egg]])</f>
        <v>1</v>
      </c>
      <c r="AO268">
        <f>TYPE(All_India_Index_Upto_April23__1[[#This Row],[Milk and products]])</f>
        <v>1</v>
      </c>
      <c r="AP268">
        <f>TYPE(All_India_Index_Upto_April23__1[[#This Row],[Oils and fats]])</f>
        <v>1</v>
      </c>
      <c r="AQ268">
        <f>TYPE(All_India_Index_Upto_April23__1[[#This Row],[Fruits]])</f>
        <v>1</v>
      </c>
      <c r="AR268">
        <f>TYPE(All_India_Index_Upto_April23__1[[#This Row],[Vegetables]])</f>
        <v>1</v>
      </c>
      <c r="AS268">
        <f>TYPE(All_India_Index_Upto_April23__1[[#This Row],[Pulses and products]])</f>
        <v>1</v>
      </c>
      <c r="AT268">
        <f>TYPE(All_India_Index_Upto_April23__1[[#This Row],[Sugar and Confectionery]])</f>
        <v>1</v>
      </c>
      <c r="AU268">
        <f>TYPE(All_India_Index_Upto_April23__1[[#This Row],[Spices]])</f>
        <v>1</v>
      </c>
      <c r="AV268">
        <f>TYPE(All_India_Index_Upto_April23__1[[#This Row],[Non-alcoholic beverages]])</f>
        <v>1</v>
      </c>
      <c r="AW268">
        <f>TYPE(All_India_Index_Upto_April23__1[[#This Row],[Prepared meals, snacks, sweets etc.]])</f>
        <v>1</v>
      </c>
      <c r="AX268">
        <f>TYPE(All_India_Index_Upto_April23__1[[#This Row],[Food and beverages]])</f>
        <v>1</v>
      </c>
      <c r="AY268">
        <f>TYPE(All_India_Index_Upto_April23__1[[#This Row],[Pan, tobacco and intoxicants]])</f>
        <v>1</v>
      </c>
      <c r="AZ268">
        <f>TYPE(All_India_Index_Upto_April23__1[[#This Row],[Clothing]])</f>
        <v>1</v>
      </c>
      <c r="BA268">
        <f>TYPE(All_India_Index_Upto_April23__1[[#This Row],[Footwear]])</f>
        <v>1</v>
      </c>
      <c r="BB268">
        <f>TYPE(All_India_Index_Upto_April23__1[[#This Row],[Clothing and footwear]])</f>
        <v>1</v>
      </c>
      <c r="BC268">
        <f>TYPE(All_India_Index_Upto_April23__1[[#This Row],[Housing]])</f>
        <v>2</v>
      </c>
      <c r="BD268">
        <f>TYPE(All_India_Index_Upto_April23__1[[#This Row],[Fuel and light]])</f>
        <v>1</v>
      </c>
      <c r="BE268">
        <f>TYPE(All_India_Index_Upto_April23__1[[#This Row],[Household goods and services]])</f>
        <v>1</v>
      </c>
      <c r="BF268">
        <f>TYPE(All_India_Index_Upto_April23__1[[#This Row],[Health]])</f>
        <v>1</v>
      </c>
      <c r="BG268">
        <f>TYPE(All_India_Index_Upto_April23__1[[#This Row],[Transport and communication]])</f>
        <v>1</v>
      </c>
      <c r="BH268">
        <f>TYPE(All_India_Index_Upto_April23__1[[#This Row],[Recreation and amusement]])</f>
        <v>1</v>
      </c>
      <c r="BI268">
        <f>TYPE(All_India_Index_Upto_April23__1[[#This Row],[Education]])</f>
        <v>1</v>
      </c>
      <c r="BJ268">
        <f>TYPE(All_India_Index_Upto_April23__1[[#This Row],[Personal care and effects]])</f>
        <v>1</v>
      </c>
      <c r="BK268">
        <f>TYPE(All_India_Index_Upto_April23__1[[#This Row],[Miscellaneous]])</f>
        <v>1</v>
      </c>
      <c r="BL268">
        <f>TYPE(All_India_Index_Upto_April23__1[[#This Row],[General index]])</f>
        <v>1</v>
      </c>
    </row>
    <row r="269" spans="1:64" x14ac:dyDescent="0.3">
      <c r="A269" t="s">
        <v>33</v>
      </c>
      <c r="B269">
        <v>2020</v>
      </c>
      <c r="C269" t="s">
        <v>38</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t="s">
        <v>175</v>
      </c>
      <c r="V269">
        <v>141.9</v>
      </c>
      <c r="W269">
        <v>146.4</v>
      </c>
      <c r="X269">
        <v>154.4</v>
      </c>
      <c r="Y269">
        <v>135</v>
      </c>
      <c r="Z269">
        <v>148.30000000000001</v>
      </c>
      <c r="AA269">
        <v>156.4</v>
      </c>
      <c r="AB269">
        <v>151.6</v>
      </c>
      <c r="AC269">
        <v>147</v>
      </c>
      <c r="AD269">
        <v>151.80000000000001</v>
      </c>
      <c r="AE269">
        <f>SUM(All_India_Index_Upto_April23__1[[#This Row],[Cereals and products]:[Food and beverages]])</f>
        <v>1966.8000000000002</v>
      </c>
      <c r="AF269">
        <f>SUM(All_India_Index_Upto_April23__1[[#This Row],[Clothing]:[Clothing and footwear]])</f>
        <v>448.29999999999995</v>
      </c>
      <c r="AG269">
        <f t="shared" si="4"/>
        <v>423.3</v>
      </c>
      <c r="AI269">
        <f>TYPE(All_India_Index_Upto_April23__1[[#This Row],[Sector]])</f>
        <v>2</v>
      </c>
      <c r="AJ269">
        <f>TYPE(All_India_Index_Upto_April23__1[[#This Row],[Year]])</f>
        <v>1</v>
      </c>
      <c r="AK269">
        <f>TYPE(All_India_Index_Upto_April23__1[[#This Row],[Month]])</f>
        <v>2</v>
      </c>
      <c r="AL269">
        <f>TYPE(All_India_Index_Upto_April23__1[[#This Row],[Cereals and products]])</f>
        <v>1</v>
      </c>
      <c r="AM269">
        <f>TYPE(All_India_Index_Upto_April23__1[[#This Row],[Meat and fish]])</f>
        <v>1</v>
      </c>
      <c r="AN269">
        <f>TYPE(All_India_Index_Upto_April23__1[[#This Row],[Egg]])</f>
        <v>1</v>
      </c>
      <c r="AO269">
        <f>TYPE(All_India_Index_Upto_April23__1[[#This Row],[Milk and products]])</f>
        <v>1</v>
      </c>
      <c r="AP269">
        <f>TYPE(All_India_Index_Upto_April23__1[[#This Row],[Oils and fats]])</f>
        <v>1</v>
      </c>
      <c r="AQ269">
        <f>TYPE(All_India_Index_Upto_April23__1[[#This Row],[Fruits]])</f>
        <v>1</v>
      </c>
      <c r="AR269">
        <f>TYPE(All_India_Index_Upto_April23__1[[#This Row],[Vegetables]])</f>
        <v>1</v>
      </c>
      <c r="AS269">
        <f>TYPE(All_India_Index_Upto_April23__1[[#This Row],[Pulses and products]])</f>
        <v>1</v>
      </c>
      <c r="AT269">
        <f>TYPE(All_India_Index_Upto_April23__1[[#This Row],[Sugar and Confectionery]])</f>
        <v>1</v>
      </c>
      <c r="AU269">
        <f>TYPE(All_India_Index_Upto_April23__1[[#This Row],[Spices]])</f>
        <v>1</v>
      </c>
      <c r="AV269">
        <f>TYPE(All_India_Index_Upto_April23__1[[#This Row],[Non-alcoholic beverages]])</f>
        <v>1</v>
      </c>
      <c r="AW269">
        <f>TYPE(All_India_Index_Upto_April23__1[[#This Row],[Prepared meals, snacks, sweets etc.]])</f>
        <v>1</v>
      </c>
      <c r="AX269">
        <f>TYPE(All_India_Index_Upto_April23__1[[#This Row],[Food and beverages]])</f>
        <v>1</v>
      </c>
      <c r="AY269">
        <f>TYPE(All_India_Index_Upto_April23__1[[#This Row],[Pan, tobacco and intoxicants]])</f>
        <v>1</v>
      </c>
      <c r="AZ269">
        <f>TYPE(All_India_Index_Upto_April23__1[[#This Row],[Clothing]])</f>
        <v>1</v>
      </c>
      <c r="BA269">
        <f>TYPE(All_India_Index_Upto_April23__1[[#This Row],[Footwear]])</f>
        <v>1</v>
      </c>
      <c r="BB269">
        <f>TYPE(All_India_Index_Upto_April23__1[[#This Row],[Clothing and footwear]])</f>
        <v>1</v>
      </c>
      <c r="BC269">
        <f>TYPE(All_India_Index_Upto_April23__1[[#This Row],[Housing]])</f>
        <v>2</v>
      </c>
      <c r="BD269">
        <f>TYPE(All_India_Index_Upto_April23__1[[#This Row],[Fuel and light]])</f>
        <v>1</v>
      </c>
      <c r="BE269">
        <f>TYPE(All_India_Index_Upto_April23__1[[#This Row],[Household goods and services]])</f>
        <v>1</v>
      </c>
      <c r="BF269">
        <f>TYPE(All_India_Index_Upto_April23__1[[#This Row],[Health]])</f>
        <v>1</v>
      </c>
      <c r="BG269">
        <f>TYPE(All_India_Index_Upto_April23__1[[#This Row],[Transport and communication]])</f>
        <v>1</v>
      </c>
      <c r="BH269">
        <f>TYPE(All_India_Index_Upto_April23__1[[#This Row],[Recreation and amusement]])</f>
        <v>1</v>
      </c>
      <c r="BI269">
        <f>TYPE(All_India_Index_Upto_April23__1[[#This Row],[Education]])</f>
        <v>1</v>
      </c>
      <c r="BJ269">
        <f>TYPE(All_India_Index_Upto_April23__1[[#This Row],[Personal care and effects]])</f>
        <v>1</v>
      </c>
      <c r="BK269">
        <f>TYPE(All_India_Index_Upto_April23__1[[#This Row],[Miscellaneous]])</f>
        <v>1</v>
      </c>
      <c r="BL269">
        <f>TYPE(All_India_Index_Upto_April23__1[[#This Row],[General index]])</f>
        <v>1</v>
      </c>
    </row>
    <row r="270" spans="1:64" hidden="1" x14ac:dyDescent="0.3">
      <c r="A270" t="s">
        <v>30</v>
      </c>
      <c r="B270">
        <v>2020</v>
      </c>
      <c r="C270" t="s">
        <v>39</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U270" t="s">
        <v>89</v>
      </c>
      <c r="V270">
        <v>144.9</v>
      </c>
      <c r="W270">
        <v>151.69999999999999</v>
      </c>
      <c r="X270">
        <v>158.19999999999999</v>
      </c>
      <c r="Y270">
        <v>141.4</v>
      </c>
      <c r="Z270">
        <v>153.19999999999999</v>
      </c>
      <c r="AA270">
        <v>161.80000000000001</v>
      </c>
      <c r="AB270">
        <v>151.19999999999999</v>
      </c>
      <c r="AC270">
        <v>151.69999999999999</v>
      </c>
      <c r="AD270">
        <v>152.69999999999999</v>
      </c>
      <c r="AE270">
        <f>SUM(All_India_Index_Upto_April23__1[[#This Row],[Cereals and products]:[Food and beverages]])</f>
        <v>1951</v>
      </c>
      <c r="AF270">
        <f>SUM(All_India_Index_Upto_April23__1[[#This Row],[Clothing]:[Clothing and footwear]])</f>
        <v>458.79999999999995</v>
      </c>
      <c r="AG270">
        <f t="shared" si="4"/>
        <v>438</v>
      </c>
      <c r="AI270">
        <f>TYPE(All_India_Index_Upto_April23__1[[#This Row],[Sector]])</f>
        <v>2</v>
      </c>
      <c r="AJ270">
        <f>TYPE(All_India_Index_Upto_April23__1[[#This Row],[Year]])</f>
        <v>1</v>
      </c>
      <c r="AK270">
        <f>TYPE(All_India_Index_Upto_April23__1[[#This Row],[Month]])</f>
        <v>2</v>
      </c>
      <c r="AL270">
        <f>TYPE(All_India_Index_Upto_April23__1[[#This Row],[Cereals and products]])</f>
        <v>1</v>
      </c>
      <c r="AM270">
        <f>TYPE(All_India_Index_Upto_April23__1[[#This Row],[Meat and fish]])</f>
        <v>1</v>
      </c>
      <c r="AN270">
        <f>TYPE(All_India_Index_Upto_April23__1[[#This Row],[Egg]])</f>
        <v>1</v>
      </c>
      <c r="AO270">
        <f>TYPE(All_India_Index_Upto_April23__1[[#This Row],[Milk and products]])</f>
        <v>1</v>
      </c>
      <c r="AP270">
        <f>TYPE(All_India_Index_Upto_April23__1[[#This Row],[Oils and fats]])</f>
        <v>1</v>
      </c>
      <c r="AQ270">
        <f>TYPE(All_India_Index_Upto_April23__1[[#This Row],[Fruits]])</f>
        <v>1</v>
      </c>
      <c r="AR270">
        <f>TYPE(All_India_Index_Upto_April23__1[[#This Row],[Vegetables]])</f>
        <v>1</v>
      </c>
      <c r="AS270">
        <f>TYPE(All_India_Index_Upto_April23__1[[#This Row],[Pulses and products]])</f>
        <v>1</v>
      </c>
      <c r="AT270">
        <f>TYPE(All_India_Index_Upto_April23__1[[#This Row],[Sugar and Confectionery]])</f>
        <v>1</v>
      </c>
      <c r="AU270">
        <f>TYPE(All_India_Index_Upto_April23__1[[#This Row],[Spices]])</f>
        <v>1</v>
      </c>
      <c r="AV270">
        <f>TYPE(All_India_Index_Upto_April23__1[[#This Row],[Non-alcoholic beverages]])</f>
        <v>1</v>
      </c>
      <c r="AW270">
        <f>TYPE(All_India_Index_Upto_April23__1[[#This Row],[Prepared meals, snacks, sweets etc.]])</f>
        <v>1</v>
      </c>
      <c r="AX270">
        <f>TYPE(All_India_Index_Upto_April23__1[[#This Row],[Food and beverages]])</f>
        <v>1</v>
      </c>
      <c r="AY270">
        <f>TYPE(All_India_Index_Upto_April23__1[[#This Row],[Pan, tobacco and intoxicants]])</f>
        <v>1</v>
      </c>
      <c r="AZ270">
        <f>TYPE(All_India_Index_Upto_April23__1[[#This Row],[Clothing]])</f>
        <v>1</v>
      </c>
      <c r="BA270">
        <f>TYPE(All_India_Index_Upto_April23__1[[#This Row],[Footwear]])</f>
        <v>1</v>
      </c>
      <c r="BB270">
        <f>TYPE(All_India_Index_Upto_April23__1[[#This Row],[Clothing and footwear]])</f>
        <v>1</v>
      </c>
      <c r="BC270">
        <f>TYPE(All_India_Index_Upto_April23__1[[#This Row],[Housing]])</f>
        <v>2</v>
      </c>
      <c r="BD270">
        <f>TYPE(All_India_Index_Upto_April23__1[[#This Row],[Fuel and light]])</f>
        <v>1</v>
      </c>
      <c r="BE270">
        <f>TYPE(All_India_Index_Upto_April23__1[[#This Row],[Household goods and services]])</f>
        <v>1</v>
      </c>
      <c r="BF270">
        <f>TYPE(All_India_Index_Upto_April23__1[[#This Row],[Health]])</f>
        <v>1</v>
      </c>
      <c r="BG270">
        <f>TYPE(All_India_Index_Upto_April23__1[[#This Row],[Transport and communication]])</f>
        <v>1</v>
      </c>
      <c r="BH270">
        <f>TYPE(All_India_Index_Upto_April23__1[[#This Row],[Recreation and amusement]])</f>
        <v>1</v>
      </c>
      <c r="BI270">
        <f>TYPE(All_India_Index_Upto_April23__1[[#This Row],[Education]])</f>
        <v>1</v>
      </c>
      <c r="BJ270">
        <f>TYPE(All_India_Index_Upto_April23__1[[#This Row],[Personal care and effects]])</f>
        <v>1</v>
      </c>
      <c r="BK270">
        <f>TYPE(All_India_Index_Upto_April23__1[[#This Row],[Miscellaneous]])</f>
        <v>1</v>
      </c>
      <c r="BL270">
        <f>TYPE(All_India_Index_Upto_April23__1[[#This Row],[General index]])</f>
        <v>1</v>
      </c>
    </row>
    <row r="271" spans="1:64" hidden="1" x14ac:dyDescent="0.3">
      <c r="A271" t="s">
        <v>32</v>
      </c>
      <c r="B271">
        <v>2020</v>
      </c>
      <c r="C271" t="s">
        <v>39</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t="s">
        <v>175</v>
      </c>
      <c r="V271">
        <v>137.1</v>
      </c>
      <c r="W271">
        <v>140.4</v>
      </c>
      <c r="X271">
        <v>148.1</v>
      </c>
      <c r="Y271">
        <v>129.30000000000001</v>
      </c>
      <c r="Z271">
        <v>144.5</v>
      </c>
      <c r="AA271">
        <v>152.5</v>
      </c>
      <c r="AB271">
        <v>152.19999999999999</v>
      </c>
      <c r="AC271">
        <v>142</v>
      </c>
      <c r="AD271">
        <v>150.80000000000001</v>
      </c>
      <c r="AE271">
        <f>SUM(All_India_Index_Upto_April23__1[[#This Row],[Cereals and products]:[Food and beverages]])</f>
        <v>1994.9999999999998</v>
      </c>
      <c r="AF271">
        <f>SUM(All_India_Index_Upto_April23__1[[#This Row],[Clothing]:[Clothing and footwear]])</f>
        <v>432.9</v>
      </c>
      <c r="AG271">
        <f t="shared" si="4"/>
        <v>406.8</v>
      </c>
      <c r="AI271">
        <f>TYPE(All_India_Index_Upto_April23__1[[#This Row],[Sector]])</f>
        <v>2</v>
      </c>
      <c r="AJ271">
        <f>TYPE(All_India_Index_Upto_April23__1[[#This Row],[Year]])</f>
        <v>1</v>
      </c>
      <c r="AK271">
        <f>TYPE(All_India_Index_Upto_April23__1[[#This Row],[Month]])</f>
        <v>2</v>
      </c>
      <c r="AL271">
        <f>TYPE(All_India_Index_Upto_April23__1[[#This Row],[Cereals and products]])</f>
        <v>1</v>
      </c>
      <c r="AM271">
        <f>TYPE(All_India_Index_Upto_April23__1[[#This Row],[Meat and fish]])</f>
        <v>1</v>
      </c>
      <c r="AN271">
        <f>TYPE(All_India_Index_Upto_April23__1[[#This Row],[Egg]])</f>
        <v>1</v>
      </c>
      <c r="AO271">
        <f>TYPE(All_India_Index_Upto_April23__1[[#This Row],[Milk and products]])</f>
        <v>1</v>
      </c>
      <c r="AP271">
        <f>TYPE(All_India_Index_Upto_April23__1[[#This Row],[Oils and fats]])</f>
        <v>1</v>
      </c>
      <c r="AQ271">
        <f>TYPE(All_India_Index_Upto_April23__1[[#This Row],[Fruits]])</f>
        <v>1</v>
      </c>
      <c r="AR271">
        <f>TYPE(All_India_Index_Upto_April23__1[[#This Row],[Vegetables]])</f>
        <v>1</v>
      </c>
      <c r="AS271">
        <f>TYPE(All_India_Index_Upto_April23__1[[#This Row],[Pulses and products]])</f>
        <v>1</v>
      </c>
      <c r="AT271">
        <f>TYPE(All_India_Index_Upto_April23__1[[#This Row],[Sugar and Confectionery]])</f>
        <v>1</v>
      </c>
      <c r="AU271">
        <f>TYPE(All_India_Index_Upto_April23__1[[#This Row],[Spices]])</f>
        <v>1</v>
      </c>
      <c r="AV271">
        <f>TYPE(All_India_Index_Upto_April23__1[[#This Row],[Non-alcoholic beverages]])</f>
        <v>1</v>
      </c>
      <c r="AW271">
        <f>TYPE(All_India_Index_Upto_April23__1[[#This Row],[Prepared meals, snacks, sweets etc.]])</f>
        <v>1</v>
      </c>
      <c r="AX271">
        <f>TYPE(All_India_Index_Upto_April23__1[[#This Row],[Food and beverages]])</f>
        <v>1</v>
      </c>
      <c r="AY271">
        <f>TYPE(All_India_Index_Upto_April23__1[[#This Row],[Pan, tobacco and intoxicants]])</f>
        <v>1</v>
      </c>
      <c r="AZ271">
        <f>TYPE(All_India_Index_Upto_April23__1[[#This Row],[Clothing]])</f>
        <v>1</v>
      </c>
      <c r="BA271">
        <f>TYPE(All_India_Index_Upto_April23__1[[#This Row],[Footwear]])</f>
        <v>1</v>
      </c>
      <c r="BB271">
        <f>TYPE(All_India_Index_Upto_April23__1[[#This Row],[Clothing and footwear]])</f>
        <v>1</v>
      </c>
      <c r="BC271">
        <f>TYPE(All_India_Index_Upto_April23__1[[#This Row],[Housing]])</f>
        <v>2</v>
      </c>
      <c r="BD271">
        <f>TYPE(All_India_Index_Upto_April23__1[[#This Row],[Fuel and light]])</f>
        <v>1</v>
      </c>
      <c r="BE271">
        <f>TYPE(All_India_Index_Upto_April23__1[[#This Row],[Household goods and services]])</f>
        <v>1</v>
      </c>
      <c r="BF271">
        <f>TYPE(All_India_Index_Upto_April23__1[[#This Row],[Health]])</f>
        <v>1</v>
      </c>
      <c r="BG271">
        <f>TYPE(All_India_Index_Upto_April23__1[[#This Row],[Transport and communication]])</f>
        <v>1</v>
      </c>
      <c r="BH271">
        <f>TYPE(All_India_Index_Upto_April23__1[[#This Row],[Recreation and amusement]])</f>
        <v>1</v>
      </c>
      <c r="BI271">
        <f>TYPE(All_India_Index_Upto_April23__1[[#This Row],[Education]])</f>
        <v>1</v>
      </c>
      <c r="BJ271">
        <f>TYPE(All_India_Index_Upto_April23__1[[#This Row],[Personal care and effects]])</f>
        <v>1</v>
      </c>
      <c r="BK271">
        <f>TYPE(All_India_Index_Upto_April23__1[[#This Row],[Miscellaneous]])</f>
        <v>1</v>
      </c>
      <c r="BL271">
        <f>TYPE(All_India_Index_Upto_April23__1[[#This Row],[General index]])</f>
        <v>1</v>
      </c>
    </row>
    <row r="272" spans="1:64" x14ac:dyDescent="0.3">
      <c r="A272" t="s">
        <v>33</v>
      </c>
      <c r="B272">
        <v>2020</v>
      </c>
      <c r="C272" t="s">
        <v>39</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t="s">
        <v>175</v>
      </c>
      <c r="V272">
        <v>141.9</v>
      </c>
      <c r="W272">
        <v>146.4</v>
      </c>
      <c r="X272">
        <v>154.4</v>
      </c>
      <c r="Y272">
        <v>135</v>
      </c>
      <c r="Z272">
        <v>148.30000000000001</v>
      </c>
      <c r="AA272">
        <v>156.4</v>
      </c>
      <c r="AB272">
        <v>151.6</v>
      </c>
      <c r="AC272">
        <v>147</v>
      </c>
      <c r="AD272">
        <v>151.80000000000001</v>
      </c>
      <c r="AE272">
        <f>SUM(All_India_Index_Upto_April23__1[[#This Row],[Cereals and products]:[Food and beverages]])</f>
        <v>1966.8000000000002</v>
      </c>
      <c r="AF272">
        <f>SUM(All_India_Index_Upto_April23__1[[#This Row],[Clothing]:[Clothing and footwear]])</f>
        <v>448.29999999999995</v>
      </c>
      <c r="AG272">
        <f t="shared" si="4"/>
        <v>423.3</v>
      </c>
      <c r="AI272">
        <f>TYPE(All_India_Index_Upto_April23__1[[#This Row],[Sector]])</f>
        <v>2</v>
      </c>
      <c r="AJ272">
        <f>TYPE(All_India_Index_Upto_April23__1[[#This Row],[Year]])</f>
        <v>1</v>
      </c>
      <c r="AK272">
        <f>TYPE(All_India_Index_Upto_April23__1[[#This Row],[Month]])</f>
        <v>2</v>
      </c>
      <c r="AL272">
        <f>TYPE(All_India_Index_Upto_April23__1[[#This Row],[Cereals and products]])</f>
        <v>1</v>
      </c>
      <c r="AM272">
        <f>TYPE(All_India_Index_Upto_April23__1[[#This Row],[Meat and fish]])</f>
        <v>1</v>
      </c>
      <c r="AN272">
        <f>TYPE(All_India_Index_Upto_April23__1[[#This Row],[Egg]])</f>
        <v>1</v>
      </c>
      <c r="AO272">
        <f>TYPE(All_India_Index_Upto_April23__1[[#This Row],[Milk and products]])</f>
        <v>1</v>
      </c>
      <c r="AP272">
        <f>TYPE(All_India_Index_Upto_April23__1[[#This Row],[Oils and fats]])</f>
        <v>1</v>
      </c>
      <c r="AQ272">
        <f>TYPE(All_India_Index_Upto_April23__1[[#This Row],[Fruits]])</f>
        <v>1</v>
      </c>
      <c r="AR272">
        <f>TYPE(All_India_Index_Upto_April23__1[[#This Row],[Vegetables]])</f>
        <v>1</v>
      </c>
      <c r="AS272">
        <f>TYPE(All_India_Index_Upto_April23__1[[#This Row],[Pulses and products]])</f>
        <v>1</v>
      </c>
      <c r="AT272">
        <f>TYPE(All_India_Index_Upto_April23__1[[#This Row],[Sugar and Confectionery]])</f>
        <v>1</v>
      </c>
      <c r="AU272">
        <f>TYPE(All_India_Index_Upto_April23__1[[#This Row],[Spices]])</f>
        <v>1</v>
      </c>
      <c r="AV272">
        <f>TYPE(All_India_Index_Upto_April23__1[[#This Row],[Non-alcoholic beverages]])</f>
        <v>1</v>
      </c>
      <c r="AW272">
        <f>TYPE(All_India_Index_Upto_April23__1[[#This Row],[Prepared meals, snacks, sweets etc.]])</f>
        <v>1</v>
      </c>
      <c r="AX272">
        <f>TYPE(All_India_Index_Upto_April23__1[[#This Row],[Food and beverages]])</f>
        <v>1</v>
      </c>
      <c r="AY272">
        <f>TYPE(All_India_Index_Upto_April23__1[[#This Row],[Pan, tobacco and intoxicants]])</f>
        <v>1</v>
      </c>
      <c r="AZ272">
        <f>TYPE(All_India_Index_Upto_April23__1[[#This Row],[Clothing]])</f>
        <v>1</v>
      </c>
      <c r="BA272">
        <f>TYPE(All_India_Index_Upto_April23__1[[#This Row],[Footwear]])</f>
        <v>1</v>
      </c>
      <c r="BB272">
        <f>TYPE(All_India_Index_Upto_April23__1[[#This Row],[Clothing and footwear]])</f>
        <v>1</v>
      </c>
      <c r="BC272">
        <f>TYPE(All_India_Index_Upto_April23__1[[#This Row],[Housing]])</f>
        <v>2</v>
      </c>
      <c r="BD272">
        <f>TYPE(All_India_Index_Upto_April23__1[[#This Row],[Fuel and light]])</f>
        <v>1</v>
      </c>
      <c r="BE272">
        <f>TYPE(All_India_Index_Upto_April23__1[[#This Row],[Household goods and services]])</f>
        <v>1</v>
      </c>
      <c r="BF272">
        <f>TYPE(All_India_Index_Upto_April23__1[[#This Row],[Health]])</f>
        <v>1</v>
      </c>
      <c r="BG272">
        <f>TYPE(All_India_Index_Upto_April23__1[[#This Row],[Transport and communication]])</f>
        <v>1</v>
      </c>
      <c r="BH272">
        <f>TYPE(All_India_Index_Upto_April23__1[[#This Row],[Recreation and amusement]])</f>
        <v>1</v>
      </c>
      <c r="BI272">
        <f>TYPE(All_India_Index_Upto_April23__1[[#This Row],[Education]])</f>
        <v>1</v>
      </c>
      <c r="BJ272">
        <f>TYPE(All_India_Index_Upto_April23__1[[#This Row],[Personal care and effects]])</f>
        <v>1</v>
      </c>
      <c r="BK272">
        <f>TYPE(All_India_Index_Upto_April23__1[[#This Row],[Miscellaneous]])</f>
        <v>1</v>
      </c>
      <c r="BL272">
        <f>TYPE(All_India_Index_Upto_April23__1[[#This Row],[General index]])</f>
        <v>1</v>
      </c>
    </row>
    <row r="273" spans="1:64" hidden="1" x14ac:dyDescent="0.3">
      <c r="A273" t="s">
        <v>30</v>
      </c>
      <c r="B273">
        <v>2020</v>
      </c>
      <c r="C273" t="s">
        <v>40</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U273" t="s">
        <v>89</v>
      </c>
      <c r="V273">
        <v>145.80000000000001</v>
      </c>
      <c r="W273">
        <v>151.9</v>
      </c>
      <c r="X273">
        <v>158.80000000000001</v>
      </c>
      <c r="Y273">
        <v>143.6</v>
      </c>
      <c r="Z273">
        <v>152.19999999999999</v>
      </c>
      <c r="AA273">
        <v>162.69999999999999</v>
      </c>
      <c r="AB273">
        <v>153.6</v>
      </c>
      <c r="AC273">
        <v>153</v>
      </c>
      <c r="AD273">
        <v>154.69999999999999</v>
      </c>
      <c r="AE273">
        <f>SUM(All_India_Index_Upto_April23__1[[#This Row],[Cereals and products]:[Food and beverages]])</f>
        <v>1978.6</v>
      </c>
      <c r="AF273">
        <f>SUM(All_India_Index_Upto_April23__1[[#This Row],[Clothing]:[Clothing and footwear]])</f>
        <v>458.7</v>
      </c>
      <c r="AG273">
        <f t="shared" si="4"/>
        <v>441.30000000000007</v>
      </c>
      <c r="AI273">
        <f>TYPE(All_India_Index_Upto_April23__1[[#This Row],[Sector]])</f>
        <v>2</v>
      </c>
      <c r="AJ273">
        <f>TYPE(All_India_Index_Upto_April23__1[[#This Row],[Year]])</f>
        <v>1</v>
      </c>
      <c r="AK273">
        <f>TYPE(All_India_Index_Upto_April23__1[[#This Row],[Month]])</f>
        <v>2</v>
      </c>
      <c r="AL273">
        <f>TYPE(All_India_Index_Upto_April23__1[[#This Row],[Cereals and products]])</f>
        <v>1</v>
      </c>
      <c r="AM273">
        <f>TYPE(All_India_Index_Upto_April23__1[[#This Row],[Meat and fish]])</f>
        <v>1</v>
      </c>
      <c r="AN273">
        <f>TYPE(All_India_Index_Upto_April23__1[[#This Row],[Egg]])</f>
        <v>1</v>
      </c>
      <c r="AO273">
        <f>TYPE(All_India_Index_Upto_April23__1[[#This Row],[Milk and products]])</f>
        <v>1</v>
      </c>
      <c r="AP273">
        <f>TYPE(All_India_Index_Upto_April23__1[[#This Row],[Oils and fats]])</f>
        <v>1</v>
      </c>
      <c r="AQ273">
        <f>TYPE(All_India_Index_Upto_April23__1[[#This Row],[Fruits]])</f>
        <v>1</v>
      </c>
      <c r="AR273">
        <f>TYPE(All_India_Index_Upto_April23__1[[#This Row],[Vegetables]])</f>
        <v>1</v>
      </c>
      <c r="AS273">
        <f>TYPE(All_India_Index_Upto_April23__1[[#This Row],[Pulses and products]])</f>
        <v>1</v>
      </c>
      <c r="AT273">
        <f>TYPE(All_India_Index_Upto_April23__1[[#This Row],[Sugar and Confectionery]])</f>
        <v>1</v>
      </c>
      <c r="AU273">
        <f>TYPE(All_India_Index_Upto_April23__1[[#This Row],[Spices]])</f>
        <v>1</v>
      </c>
      <c r="AV273">
        <f>TYPE(All_India_Index_Upto_April23__1[[#This Row],[Non-alcoholic beverages]])</f>
        <v>1</v>
      </c>
      <c r="AW273">
        <f>TYPE(All_India_Index_Upto_April23__1[[#This Row],[Prepared meals, snacks, sweets etc.]])</f>
        <v>1</v>
      </c>
      <c r="AX273">
        <f>TYPE(All_India_Index_Upto_April23__1[[#This Row],[Food and beverages]])</f>
        <v>1</v>
      </c>
      <c r="AY273">
        <f>TYPE(All_India_Index_Upto_April23__1[[#This Row],[Pan, tobacco and intoxicants]])</f>
        <v>1</v>
      </c>
      <c r="AZ273">
        <f>TYPE(All_India_Index_Upto_April23__1[[#This Row],[Clothing]])</f>
        <v>1</v>
      </c>
      <c r="BA273">
        <f>TYPE(All_India_Index_Upto_April23__1[[#This Row],[Footwear]])</f>
        <v>1</v>
      </c>
      <c r="BB273">
        <f>TYPE(All_India_Index_Upto_April23__1[[#This Row],[Clothing and footwear]])</f>
        <v>1</v>
      </c>
      <c r="BC273">
        <f>TYPE(All_India_Index_Upto_April23__1[[#This Row],[Housing]])</f>
        <v>2</v>
      </c>
      <c r="BD273">
        <f>TYPE(All_India_Index_Upto_April23__1[[#This Row],[Fuel and light]])</f>
        <v>1</v>
      </c>
      <c r="BE273">
        <f>TYPE(All_India_Index_Upto_April23__1[[#This Row],[Household goods and services]])</f>
        <v>1</v>
      </c>
      <c r="BF273">
        <f>TYPE(All_India_Index_Upto_April23__1[[#This Row],[Health]])</f>
        <v>1</v>
      </c>
      <c r="BG273">
        <f>TYPE(All_India_Index_Upto_April23__1[[#This Row],[Transport and communication]])</f>
        <v>1</v>
      </c>
      <c r="BH273">
        <f>TYPE(All_India_Index_Upto_April23__1[[#This Row],[Recreation and amusement]])</f>
        <v>1</v>
      </c>
      <c r="BI273">
        <f>TYPE(All_India_Index_Upto_April23__1[[#This Row],[Education]])</f>
        <v>1</v>
      </c>
      <c r="BJ273">
        <f>TYPE(All_India_Index_Upto_April23__1[[#This Row],[Personal care and effects]])</f>
        <v>1</v>
      </c>
      <c r="BK273">
        <f>TYPE(All_India_Index_Upto_April23__1[[#This Row],[Miscellaneous]])</f>
        <v>1</v>
      </c>
      <c r="BL273">
        <f>TYPE(All_India_Index_Upto_April23__1[[#This Row],[General index]])</f>
        <v>1</v>
      </c>
    </row>
    <row r="274" spans="1:64" hidden="1" x14ac:dyDescent="0.3">
      <c r="A274" t="s">
        <v>32</v>
      </c>
      <c r="B274">
        <v>2020</v>
      </c>
      <c r="C274" t="s">
        <v>40</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t="s">
        <v>176</v>
      </c>
      <c r="V274">
        <v>138.30000000000001</v>
      </c>
      <c r="W274">
        <v>144.5</v>
      </c>
      <c r="X274">
        <v>148.69999999999999</v>
      </c>
      <c r="Y274">
        <v>133.9</v>
      </c>
      <c r="Z274">
        <v>141.19999999999999</v>
      </c>
      <c r="AA274">
        <v>155.5</v>
      </c>
      <c r="AB274">
        <v>155.19999999999999</v>
      </c>
      <c r="AC274">
        <v>144.80000000000001</v>
      </c>
      <c r="AD274">
        <v>152.9</v>
      </c>
      <c r="AE274">
        <f>SUM(All_India_Index_Upto_April23__1[[#This Row],[Cereals and products]:[Food and beverages]])</f>
        <v>2024.8999999999999</v>
      </c>
      <c r="AF274">
        <f>SUM(All_India_Index_Upto_April23__1[[#This Row],[Clothing]:[Clothing and footwear]])</f>
        <v>433</v>
      </c>
      <c r="AG274">
        <f t="shared" si="4"/>
        <v>416.70000000000005</v>
      </c>
      <c r="AI274">
        <f>TYPE(All_India_Index_Upto_April23__1[[#This Row],[Sector]])</f>
        <v>2</v>
      </c>
      <c r="AJ274">
        <f>TYPE(All_India_Index_Upto_April23__1[[#This Row],[Year]])</f>
        <v>1</v>
      </c>
      <c r="AK274">
        <f>TYPE(All_India_Index_Upto_April23__1[[#This Row],[Month]])</f>
        <v>2</v>
      </c>
      <c r="AL274">
        <f>TYPE(All_India_Index_Upto_April23__1[[#This Row],[Cereals and products]])</f>
        <v>1</v>
      </c>
      <c r="AM274">
        <f>TYPE(All_India_Index_Upto_April23__1[[#This Row],[Meat and fish]])</f>
        <v>1</v>
      </c>
      <c r="AN274">
        <f>TYPE(All_India_Index_Upto_April23__1[[#This Row],[Egg]])</f>
        <v>1</v>
      </c>
      <c r="AO274">
        <f>TYPE(All_India_Index_Upto_April23__1[[#This Row],[Milk and products]])</f>
        <v>1</v>
      </c>
      <c r="AP274">
        <f>TYPE(All_India_Index_Upto_April23__1[[#This Row],[Oils and fats]])</f>
        <v>1</v>
      </c>
      <c r="AQ274">
        <f>TYPE(All_India_Index_Upto_April23__1[[#This Row],[Fruits]])</f>
        <v>1</v>
      </c>
      <c r="AR274">
        <f>TYPE(All_India_Index_Upto_April23__1[[#This Row],[Vegetables]])</f>
        <v>1</v>
      </c>
      <c r="AS274">
        <f>TYPE(All_India_Index_Upto_April23__1[[#This Row],[Pulses and products]])</f>
        <v>1</v>
      </c>
      <c r="AT274">
        <f>TYPE(All_India_Index_Upto_April23__1[[#This Row],[Sugar and Confectionery]])</f>
        <v>1</v>
      </c>
      <c r="AU274">
        <f>TYPE(All_India_Index_Upto_April23__1[[#This Row],[Spices]])</f>
        <v>1</v>
      </c>
      <c r="AV274">
        <f>TYPE(All_India_Index_Upto_April23__1[[#This Row],[Non-alcoholic beverages]])</f>
        <v>1</v>
      </c>
      <c r="AW274">
        <f>TYPE(All_India_Index_Upto_April23__1[[#This Row],[Prepared meals, snacks, sweets etc.]])</f>
        <v>1</v>
      </c>
      <c r="AX274">
        <f>TYPE(All_India_Index_Upto_April23__1[[#This Row],[Food and beverages]])</f>
        <v>1</v>
      </c>
      <c r="AY274">
        <f>TYPE(All_India_Index_Upto_April23__1[[#This Row],[Pan, tobacco and intoxicants]])</f>
        <v>1</v>
      </c>
      <c r="AZ274">
        <f>TYPE(All_India_Index_Upto_April23__1[[#This Row],[Clothing]])</f>
        <v>1</v>
      </c>
      <c r="BA274">
        <f>TYPE(All_India_Index_Upto_April23__1[[#This Row],[Footwear]])</f>
        <v>1</v>
      </c>
      <c r="BB274">
        <f>TYPE(All_India_Index_Upto_April23__1[[#This Row],[Clothing and footwear]])</f>
        <v>1</v>
      </c>
      <c r="BC274">
        <f>TYPE(All_India_Index_Upto_April23__1[[#This Row],[Housing]])</f>
        <v>2</v>
      </c>
      <c r="BD274">
        <f>TYPE(All_India_Index_Upto_April23__1[[#This Row],[Fuel and light]])</f>
        <v>1</v>
      </c>
      <c r="BE274">
        <f>TYPE(All_India_Index_Upto_April23__1[[#This Row],[Household goods and services]])</f>
        <v>1</v>
      </c>
      <c r="BF274">
        <f>TYPE(All_India_Index_Upto_April23__1[[#This Row],[Health]])</f>
        <v>1</v>
      </c>
      <c r="BG274">
        <f>TYPE(All_India_Index_Upto_April23__1[[#This Row],[Transport and communication]])</f>
        <v>1</v>
      </c>
      <c r="BH274">
        <f>TYPE(All_India_Index_Upto_April23__1[[#This Row],[Recreation and amusement]])</f>
        <v>1</v>
      </c>
      <c r="BI274">
        <f>TYPE(All_India_Index_Upto_April23__1[[#This Row],[Education]])</f>
        <v>1</v>
      </c>
      <c r="BJ274">
        <f>TYPE(All_India_Index_Upto_April23__1[[#This Row],[Personal care and effects]])</f>
        <v>1</v>
      </c>
      <c r="BK274">
        <f>TYPE(All_India_Index_Upto_April23__1[[#This Row],[Miscellaneous]])</f>
        <v>1</v>
      </c>
      <c r="BL274">
        <f>TYPE(All_India_Index_Upto_April23__1[[#This Row],[General index]])</f>
        <v>1</v>
      </c>
    </row>
    <row r="275" spans="1:64" x14ac:dyDescent="0.3">
      <c r="A275" t="s">
        <v>33</v>
      </c>
      <c r="B275">
        <v>2020</v>
      </c>
      <c r="C275" t="s">
        <v>40</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t="s">
        <v>176</v>
      </c>
      <c r="V275">
        <v>143</v>
      </c>
      <c r="W275">
        <v>148.4</v>
      </c>
      <c r="X275">
        <v>155</v>
      </c>
      <c r="Y275">
        <v>138.5</v>
      </c>
      <c r="Z275">
        <v>146</v>
      </c>
      <c r="AA275">
        <v>158.5</v>
      </c>
      <c r="AB275">
        <v>154.30000000000001</v>
      </c>
      <c r="AC275">
        <v>149</v>
      </c>
      <c r="AD275">
        <v>153.9</v>
      </c>
      <c r="AE275">
        <f>SUM(All_India_Index_Upto_April23__1[[#This Row],[Cereals and products]:[Food and beverages]])</f>
        <v>1995.1999999999998</v>
      </c>
      <c r="AF275">
        <f>SUM(All_India_Index_Upto_April23__1[[#This Row],[Clothing]:[Clothing and footwear]])</f>
        <v>448.2</v>
      </c>
      <c r="AG275">
        <f t="shared" si="4"/>
        <v>429.9</v>
      </c>
      <c r="AI275">
        <f>TYPE(All_India_Index_Upto_April23__1[[#This Row],[Sector]])</f>
        <v>2</v>
      </c>
      <c r="AJ275">
        <f>TYPE(All_India_Index_Upto_April23__1[[#This Row],[Year]])</f>
        <v>1</v>
      </c>
      <c r="AK275">
        <f>TYPE(All_India_Index_Upto_April23__1[[#This Row],[Month]])</f>
        <v>2</v>
      </c>
      <c r="AL275">
        <f>TYPE(All_India_Index_Upto_April23__1[[#This Row],[Cereals and products]])</f>
        <v>1</v>
      </c>
      <c r="AM275">
        <f>TYPE(All_India_Index_Upto_April23__1[[#This Row],[Meat and fish]])</f>
        <v>1</v>
      </c>
      <c r="AN275">
        <f>TYPE(All_India_Index_Upto_April23__1[[#This Row],[Egg]])</f>
        <v>1</v>
      </c>
      <c r="AO275">
        <f>TYPE(All_India_Index_Upto_April23__1[[#This Row],[Milk and products]])</f>
        <v>1</v>
      </c>
      <c r="AP275">
        <f>TYPE(All_India_Index_Upto_April23__1[[#This Row],[Oils and fats]])</f>
        <v>1</v>
      </c>
      <c r="AQ275">
        <f>TYPE(All_India_Index_Upto_April23__1[[#This Row],[Fruits]])</f>
        <v>1</v>
      </c>
      <c r="AR275">
        <f>TYPE(All_India_Index_Upto_April23__1[[#This Row],[Vegetables]])</f>
        <v>1</v>
      </c>
      <c r="AS275">
        <f>TYPE(All_India_Index_Upto_April23__1[[#This Row],[Pulses and products]])</f>
        <v>1</v>
      </c>
      <c r="AT275">
        <f>TYPE(All_India_Index_Upto_April23__1[[#This Row],[Sugar and Confectionery]])</f>
        <v>1</v>
      </c>
      <c r="AU275">
        <f>TYPE(All_India_Index_Upto_April23__1[[#This Row],[Spices]])</f>
        <v>1</v>
      </c>
      <c r="AV275">
        <f>TYPE(All_India_Index_Upto_April23__1[[#This Row],[Non-alcoholic beverages]])</f>
        <v>1</v>
      </c>
      <c r="AW275">
        <f>TYPE(All_India_Index_Upto_April23__1[[#This Row],[Prepared meals, snacks, sweets etc.]])</f>
        <v>1</v>
      </c>
      <c r="AX275">
        <f>TYPE(All_India_Index_Upto_April23__1[[#This Row],[Food and beverages]])</f>
        <v>1</v>
      </c>
      <c r="AY275">
        <f>TYPE(All_India_Index_Upto_April23__1[[#This Row],[Pan, tobacco and intoxicants]])</f>
        <v>1</v>
      </c>
      <c r="AZ275">
        <f>TYPE(All_India_Index_Upto_April23__1[[#This Row],[Clothing]])</f>
        <v>1</v>
      </c>
      <c r="BA275">
        <f>TYPE(All_India_Index_Upto_April23__1[[#This Row],[Footwear]])</f>
        <v>1</v>
      </c>
      <c r="BB275">
        <f>TYPE(All_India_Index_Upto_April23__1[[#This Row],[Clothing and footwear]])</f>
        <v>1</v>
      </c>
      <c r="BC275">
        <f>TYPE(All_India_Index_Upto_April23__1[[#This Row],[Housing]])</f>
        <v>2</v>
      </c>
      <c r="BD275">
        <f>TYPE(All_India_Index_Upto_April23__1[[#This Row],[Fuel and light]])</f>
        <v>1</v>
      </c>
      <c r="BE275">
        <f>TYPE(All_India_Index_Upto_April23__1[[#This Row],[Household goods and services]])</f>
        <v>1</v>
      </c>
      <c r="BF275">
        <f>TYPE(All_India_Index_Upto_April23__1[[#This Row],[Health]])</f>
        <v>1</v>
      </c>
      <c r="BG275">
        <f>TYPE(All_India_Index_Upto_April23__1[[#This Row],[Transport and communication]])</f>
        <v>1</v>
      </c>
      <c r="BH275">
        <f>TYPE(All_India_Index_Upto_April23__1[[#This Row],[Recreation and amusement]])</f>
        <v>1</v>
      </c>
      <c r="BI275">
        <f>TYPE(All_India_Index_Upto_April23__1[[#This Row],[Education]])</f>
        <v>1</v>
      </c>
      <c r="BJ275">
        <f>TYPE(All_India_Index_Upto_April23__1[[#This Row],[Personal care and effects]])</f>
        <v>1</v>
      </c>
      <c r="BK275">
        <f>TYPE(All_India_Index_Upto_April23__1[[#This Row],[Miscellaneous]])</f>
        <v>1</v>
      </c>
      <c r="BL275">
        <f>TYPE(All_India_Index_Upto_April23__1[[#This Row],[General index]])</f>
        <v>1</v>
      </c>
    </row>
    <row r="276" spans="1:64" hidden="1" x14ac:dyDescent="0.3">
      <c r="A276" t="s">
        <v>30</v>
      </c>
      <c r="B276">
        <v>2020</v>
      </c>
      <c r="C276" t="s">
        <v>41</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U276" t="s">
        <v>89</v>
      </c>
      <c r="V276">
        <v>146.4</v>
      </c>
      <c r="W276">
        <v>151.6</v>
      </c>
      <c r="X276">
        <v>159.1</v>
      </c>
      <c r="Y276">
        <v>144.6</v>
      </c>
      <c r="Z276">
        <v>152.80000000000001</v>
      </c>
      <c r="AA276">
        <v>161.1</v>
      </c>
      <c r="AB276">
        <v>157.4</v>
      </c>
      <c r="AC276">
        <v>153.69999999999999</v>
      </c>
      <c r="AD276">
        <v>155.4</v>
      </c>
      <c r="AE276">
        <f>SUM(All_India_Index_Upto_April23__1[[#This Row],[Cereals and products]:[Food and beverages]])</f>
        <v>1987.3999999999999</v>
      </c>
      <c r="AF276">
        <f>SUM(All_India_Index_Upto_April23__1[[#This Row],[Clothing]:[Clothing and footwear]])</f>
        <v>459.9</v>
      </c>
      <c r="AG276">
        <f t="shared" si="4"/>
        <v>442.6</v>
      </c>
      <c r="AI276">
        <f>TYPE(All_India_Index_Upto_April23__1[[#This Row],[Sector]])</f>
        <v>2</v>
      </c>
      <c r="AJ276">
        <f>TYPE(All_India_Index_Upto_April23__1[[#This Row],[Year]])</f>
        <v>1</v>
      </c>
      <c r="AK276">
        <f>TYPE(All_India_Index_Upto_April23__1[[#This Row],[Month]])</f>
        <v>2</v>
      </c>
      <c r="AL276">
        <f>TYPE(All_India_Index_Upto_April23__1[[#This Row],[Cereals and products]])</f>
        <v>1</v>
      </c>
      <c r="AM276">
        <f>TYPE(All_India_Index_Upto_April23__1[[#This Row],[Meat and fish]])</f>
        <v>1</v>
      </c>
      <c r="AN276">
        <f>TYPE(All_India_Index_Upto_April23__1[[#This Row],[Egg]])</f>
        <v>1</v>
      </c>
      <c r="AO276">
        <f>TYPE(All_India_Index_Upto_April23__1[[#This Row],[Milk and products]])</f>
        <v>1</v>
      </c>
      <c r="AP276">
        <f>TYPE(All_India_Index_Upto_April23__1[[#This Row],[Oils and fats]])</f>
        <v>1</v>
      </c>
      <c r="AQ276">
        <f>TYPE(All_India_Index_Upto_April23__1[[#This Row],[Fruits]])</f>
        <v>1</v>
      </c>
      <c r="AR276">
        <f>TYPE(All_India_Index_Upto_April23__1[[#This Row],[Vegetables]])</f>
        <v>1</v>
      </c>
      <c r="AS276">
        <f>TYPE(All_India_Index_Upto_April23__1[[#This Row],[Pulses and products]])</f>
        <v>1</v>
      </c>
      <c r="AT276">
        <f>TYPE(All_India_Index_Upto_April23__1[[#This Row],[Sugar and Confectionery]])</f>
        <v>1</v>
      </c>
      <c r="AU276">
        <f>TYPE(All_India_Index_Upto_April23__1[[#This Row],[Spices]])</f>
        <v>1</v>
      </c>
      <c r="AV276">
        <f>TYPE(All_India_Index_Upto_April23__1[[#This Row],[Non-alcoholic beverages]])</f>
        <v>1</v>
      </c>
      <c r="AW276">
        <f>TYPE(All_India_Index_Upto_April23__1[[#This Row],[Prepared meals, snacks, sweets etc.]])</f>
        <v>1</v>
      </c>
      <c r="AX276">
        <f>TYPE(All_India_Index_Upto_April23__1[[#This Row],[Food and beverages]])</f>
        <v>1</v>
      </c>
      <c r="AY276">
        <f>TYPE(All_India_Index_Upto_April23__1[[#This Row],[Pan, tobacco and intoxicants]])</f>
        <v>1</v>
      </c>
      <c r="AZ276">
        <f>TYPE(All_India_Index_Upto_April23__1[[#This Row],[Clothing]])</f>
        <v>1</v>
      </c>
      <c r="BA276">
        <f>TYPE(All_India_Index_Upto_April23__1[[#This Row],[Footwear]])</f>
        <v>1</v>
      </c>
      <c r="BB276">
        <f>TYPE(All_India_Index_Upto_April23__1[[#This Row],[Clothing and footwear]])</f>
        <v>1</v>
      </c>
      <c r="BC276">
        <f>TYPE(All_India_Index_Upto_April23__1[[#This Row],[Housing]])</f>
        <v>2</v>
      </c>
      <c r="BD276">
        <f>TYPE(All_India_Index_Upto_April23__1[[#This Row],[Fuel and light]])</f>
        <v>1</v>
      </c>
      <c r="BE276">
        <f>TYPE(All_India_Index_Upto_April23__1[[#This Row],[Household goods and services]])</f>
        <v>1</v>
      </c>
      <c r="BF276">
        <f>TYPE(All_India_Index_Upto_April23__1[[#This Row],[Health]])</f>
        <v>1</v>
      </c>
      <c r="BG276">
        <f>TYPE(All_India_Index_Upto_April23__1[[#This Row],[Transport and communication]])</f>
        <v>1</v>
      </c>
      <c r="BH276">
        <f>TYPE(All_India_Index_Upto_April23__1[[#This Row],[Recreation and amusement]])</f>
        <v>1</v>
      </c>
      <c r="BI276">
        <f>TYPE(All_India_Index_Upto_April23__1[[#This Row],[Education]])</f>
        <v>1</v>
      </c>
      <c r="BJ276">
        <f>TYPE(All_India_Index_Upto_April23__1[[#This Row],[Personal care and effects]])</f>
        <v>1</v>
      </c>
      <c r="BK276">
        <f>TYPE(All_India_Index_Upto_April23__1[[#This Row],[Miscellaneous]])</f>
        <v>1</v>
      </c>
      <c r="BL276">
        <f>TYPE(All_India_Index_Upto_April23__1[[#This Row],[General index]])</f>
        <v>1</v>
      </c>
    </row>
    <row r="277" spans="1:64" hidden="1" x14ac:dyDescent="0.3">
      <c r="A277" t="s">
        <v>32</v>
      </c>
      <c r="B277">
        <v>2020</v>
      </c>
      <c r="C277" t="s">
        <v>41</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t="s">
        <v>177</v>
      </c>
      <c r="V277">
        <v>137.19999999999999</v>
      </c>
      <c r="W277">
        <v>145.4</v>
      </c>
      <c r="X277">
        <v>150</v>
      </c>
      <c r="Y277">
        <v>135.1</v>
      </c>
      <c r="Z277">
        <v>141.80000000000001</v>
      </c>
      <c r="AA277">
        <v>154.9</v>
      </c>
      <c r="AB277">
        <v>159.80000000000001</v>
      </c>
      <c r="AC277">
        <v>146</v>
      </c>
      <c r="AD277">
        <v>154</v>
      </c>
      <c r="AE277">
        <f>SUM(All_India_Index_Upto_April23__1[[#This Row],[Cereals and products]:[Food and beverages]])</f>
        <v>2041.6000000000001</v>
      </c>
      <c r="AF277">
        <f>SUM(All_India_Index_Upto_April23__1[[#This Row],[Clothing]:[Clothing and footwear]])</f>
        <v>434.6</v>
      </c>
      <c r="AG277">
        <f t="shared" si="4"/>
        <v>417.70000000000005</v>
      </c>
      <c r="AI277">
        <f>TYPE(All_India_Index_Upto_April23__1[[#This Row],[Sector]])</f>
        <v>2</v>
      </c>
      <c r="AJ277">
        <f>TYPE(All_India_Index_Upto_April23__1[[#This Row],[Year]])</f>
        <v>1</v>
      </c>
      <c r="AK277">
        <f>TYPE(All_India_Index_Upto_April23__1[[#This Row],[Month]])</f>
        <v>2</v>
      </c>
      <c r="AL277">
        <f>TYPE(All_India_Index_Upto_April23__1[[#This Row],[Cereals and products]])</f>
        <v>1</v>
      </c>
      <c r="AM277">
        <f>TYPE(All_India_Index_Upto_April23__1[[#This Row],[Meat and fish]])</f>
        <v>1</v>
      </c>
      <c r="AN277">
        <f>TYPE(All_India_Index_Upto_April23__1[[#This Row],[Egg]])</f>
        <v>1</v>
      </c>
      <c r="AO277">
        <f>TYPE(All_India_Index_Upto_April23__1[[#This Row],[Milk and products]])</f>
        <v>1</v>
      </c>
      <c r="AP277">
        <f>TYPE(All_India_Index_Upto_April23__1[[#This Row],[Oils and fats]])</f>
        <v>1</v>
      </c>
      <c r="AQ277">
        <f>TYPE(All_India_Index_Upto_April23__1[[#This Row],[Fruits]])</f>
        <v>1</v>
      </c>
      <c r="AR277">
        <f>TYPE(All_India_Index_Upto_April23__1[[#This Row],[Vegetables]])</f>
        <v>1</v>
      </c>
      <c r="AS277">
        <f>TYPE(All_India_Index_Upto_April23__1[[#This Row],[Pulses and products]])</f>
        <v>1</v>
      </c>
      <c r="AT277">
        <f>TYPE(All_India_Index_Upto_April23__1[[#This Row],[Sugar and Confectionery]])</f>
        <v>1</v>
      </c>
      <c r="AU277">
        <f>TYPE(All_India_Index_Upto_April23__1[[#This Row],[Spices]])</f>
        <v>1</v>
      </c>
      <c r="AV277">
        <f>TYPE(All_India_Index_Upto_April23__1[[#This Row],[Non-alcoholic beverages]])</f>
        <v>1</v>
      </c>
      <c r="AW277">
        <f>TYPE(All_India_Index_Upto_April23__1[[#This Row],[Prepared meals, snacks, sweets etc.]])</f>
        <v>1</v>
      </c>
      <c r="AX277">
        <f>TYPE(All_India_Index_Upto_April23__1[[#This Row],[Food and beverages]])</f>
        <v>1</v>
      </c>
      <c r="AY277">
        <f>TYPE(All_India_Index_Upto_April23__1[[#This Row],[Pan, tobacco and intoxicants]])</f>
        <v>1</v>
      </c>
      <c r="AZ277">
        <f>TYPE(All_India_Index_Upto_April23__1[[#This Row],[Clothing]])</f>
        <v>1</v>
      </c>
      <c r="BA277">
        <f>TYPE(All_India_Index_Upto_April23__1[[#This Row],[Footwear]])</f>
        <v>1</v>
      </c>
      <c r="BB277">
        <f>TYPE(All_India_Index_Upto_April23__1[[#This Row],[Clothing and footwear]])</f>
        <v>1</v>
      </c>
      <c r="BC277">
        <f>TYPE(All_India_Index_Upto_April23__1[[#This Row],[Housing]])</f>
        <v>2</v>
      </c>
      <c r="BD277">
        <f>TYPE(All_India_Index_Upto_April23__1[[#This Row],[Fuel and light]])</f>
        <v>1</v>
      </c>
      <c r="BE277">
        <f>TYPE(All_India_Index_Upto_April23__1[[#This Row],[Household goods and services]])</f>
        <v>1</v>
      </c>
      <c r="BF277">
        <f>TYPE(All_India_Index_Upto_April23__1[[#This Row],[Health]])</f>
        <v>1</v>
      </c>
      <c r="BG277">
        <f>TYPE(All_India_Index_Upto_April23__1[[#This Row],[Transport and communication]])</f>
        <v>1</v>
      </c>
      <c r="BH277">
        <f>TYPE(All_India_Index_Upto_April23__1[[#This Row],[Recreation and amusement]])</f>
        <v>1</v>
      </c>
      <c r="BI277">
        <f>TYPE(All_India_Index_Upto_April23__1[[#This Row],[Education]])</f>
        <v>1</v>
      </c>
      <c r="BJ277">
        <f>TYPE(All_India_Index_Upto_April23__1[[#This Row],[Personal care and effects]])</f>
        <v>1</v>
      </c>
      <c r="BK277">
        <f>TYPE(All_India_Index_Upto_April23__1[[#This Row],[Miscellaneous]])</f>
        <v>1</v>
      </c>
      <c r="BL277">
        <f>TYPE(All_India_Index_Upto_April23__1[[#This Row],[General index]])</f>
        <v>1</v>
      </c>
    </row>
    <row r="278" spans="1:64" x14ac:dyDescent="0.3">
      <c r="A278" t="s">
        <v>33</v>
      </c>
      <c r="B278">
        <v>2020</v>
      </c>
      <c r="C278" t="s">
        <v>41</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t="s">
        <v>177</v>
      </c>
      <c r="V278">
        <v>142.9</v>
      </c>
      <c r="W278">
        <v>148.69999999999999</v>
      </c>
      <c r="X278">
        <v>155.6</v>
      </c>
      <c r="Y278">
        <v>139.6</v>
      </c>
      <c r="Z278">
        <v>146.6</v>
      </c>
      <c r="AA278">
        <v>157.5</v>
      </c>
      <c r="AB278">
        <v>158.4</v>
      </c>
      <c r="AC278">
        <v>150</v>
      </c>
      <c r="AD278">
        <v>154.69999999999999</v>
      </c>
      <c r="AE278">
        <f>SUM(All_India_Index_Upto_April23__1[[#This Row],[Cereals and products]:[Food and beverages]])</f>
        <v>2007</v>
      </c>
      <c r="AF278">
        <f>SUM(All_India_Index_Upto_April23__1[[#This Row],[Clothing]:[Clothing and footwear]])</f>
        <v>449.70000000000005</v>
      </c>
      <c r="AG278">
        <f t="shared" si="4"/>
        <v>431.20000000000005</v>
      </c>
      <c r="AI278">
        <f>TYPE(All_India_Index_Upto_April23__1[[#This Row],[Sector]])</f>
        <v>2</v>
      </c>
      <c r="AJ278">
        <f>TYPE(All_India_Index_Upto_April23__1[[#This Row],[Year]])</f>
        <v>1</v>
      </c>
      <c r="AK278">
        <f>TYPE(All_India_Index_Upto_April23__1[[#This Row],[Month]])</f>
        <v>2</v>
      </c>
      <c r="AL278">
        <f>TYPE(All_India_Index_Upto_April23__1[[#This Row],[Cereals and products]])</f>
        <v>1</v>
      </c>
      <c r="AM278">
        <f>TYPE(All_India_Index_Upto_April23__1[[#This Row],[Meat and fish]])</f>
        <v>1</v>
      </c>
      <c r="AN278">
        <f>TYPE(All_India_Index_Upto_April23__1[[#This Row],[Egg]])</f>
        <v>1</v>
      </c>
      <c r="AO278">
        <f>TYPE(All_India_Index_Upto_April23__1[[#This Row],[Milk and products]])</f>
        <v>1</v>
      </c>
      <c r="AP278">
        <f>TYPE(All_India_Index_Upto_April23__1[[#This Row],[Oils and fats]])</f>
        <v>1</v>
      </c>
      <c r="AQ278">
        <f>TYPE(All_India_Index_Upto_April23__1[[#This Row],[Fruits]])</f>
        <v>1</v>
      </c>
      <c r="AR278">
        <f>TYPE(All_India_Index_Upto_April23__1[[#This Row],[Vegetables]])</f>
        <v>1</v>
      </c>
      <c r="AS278">
        <f>TYPE(All_India_Index_Upto_April23__1[[#This Row],[Pulses and products]])</f>
        <v>1</v>
      </c>
      <c r="AT278">
        <f>TYPE(All_India_Index_Upto_April23__1[[#This Row],[Sugar and Confectionery]])</f>
        <v>1</v>
      </c>
      <c r="AU278">
        <f>TYPE(All_India_Index_Upto_April23__1[[#This Row],[Spices]])</f>
        <v>1</v>
      </c>
      <c r="AV278">
        <f>TYPE(All_India_Index_Upto_April23__1[[#This Row],[Non-alcoholic beverages]])</f>
        <v>1</v>
      </c>
      <c r="AW278">
        <f>TYPE(All_India_Index_Upto_April23__1[[#This Row],[Prepared meals, snacks, sweets etc.]])</f>
        <v>1</v>
      </c>
      <c r="AX278">
        <f>TYPE(All_India_Index_Upto_April23__1[[#This Row],[Food and beverages]])</f>
        <v>1</v>
      </c>
      <c r="AY278">
        <f>TYPE(All_India_Index_Upto_April23__1[[#This Row],[Pan, tobacco and intoxicants]])</f>
        <v>1</v>
      </c>
      <c r="AZ278">
        <f>TYPE(All_India_Index_Upto_April23__1[[#This Row],[Clothing]])</f>
        <v>1</v>
      </c>
      <c r="BA278">
        <f>TYPE(All_India_Index_Upto_April23__1[[#This Row],[Footwear]])</f>
        <v>1</v>
      </c>
      <c r="BB278">
        <f>TYPE(All_India_Index_Upto_April23__1[[#This Row],[Clothing and footwear]])</f>
        <v>1</v>
      </c>
      <c r="BC278">
        <f>TYPE(All_India_Index_Upto_April23__1[[#This Row],[Housing]])</f>
        <v>2</v>
      </c>
      <c r="BD278">
        <f>TYPE(All_India_Index_Upto_April23__1[[#This Row],[Fuel and light]])</f>
        <v>1</v>
      </c>
      <c r="BE278">
        <f>TYPE(All_India_Index_Upto_April23__1[[#This Row],[Household goods and services]])</f>
        <v>1</v>
      </c>
      <c r="BF278">
        <f>TYPE(All_India_Index_Upto_April23__1[[#This Row],[Health]])</f>
        <v>1</v>
      </c>
      <c r="BG278">
        <f>TYPE(All_India_Index_Upto_April23__1[[#This Row],[Transport and communication]])</f>
        <v>1</v>
      </c>
      <c r="BH278">
        <f>TYPE(All_India_Index_Upto_April23__1[[#This Row],[Recreation and amusement]])</f>
        <v>1</v>
      </c>
      <c r="BI278">
        <f>TYPE(All_India_Index_Upto_April23__1[[#This Row],[Education]])</f>
        <v>1</v>
      </c>
      <c r="BJ278">
        <f>TYPE(All_India_Index_Upto_April23__1[[#This Row],[Personal care and effects]])</f>
        <v>1</v>
      </c>
      <c r="BK278">
        <f>TYPE(All_India_Index_Upto_April23__1[[#This Row],[Miscellaneous]])</f>
        <v>1</v>
      </c>
      <c r="BL278">
        <f>TYPE(All_India_Index_Upto_April23__1[[#This Row],[General index]])</f>
        <v>1</v>
      </c>
    </row>
    <row r="279" spans="1:64" hidden="1" x14ac:dyDescent="0.3">
      <c r="A279" t="s">
        <v>30</v>
      </c>
      <c r="B279">
        <v>2020</v>
      </c>
      <c r="C279" t="s">
        <v>42</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U279" t="s">
        <v>89</v>
      </c>
      <c r="V279">
        <v>146.80000000000001</v>
      </c>
      <c r="W279">
        <v>152</v>
      </c>
      <c r="X279">
        <v>159.5</v>
      </c>
      <c r="Y279">
        <v>146.4</v>
      </c>
      <c r="Z279">
        <v>152.4</v>
      </c>
      <c r="AA279">
        <v>162.5</v>
      </c>
      <c r="AB279">
        <v>156.19999999999999</v>
      </c>
      <c r="AC279">
        <v>154.30000000000001</v>
      </c>
      <c r="AD279">
        <v>157.5</v>
      </c>
      <c r="AE279">
        <f>SUM(All_India_Index_Upto_April23__1[[#This Row],[Cereals and products]:[Food and beverages]])</f>
        <v>2030.9</v>
      </c>
      <c r="AF279">
        <f>SUM(All_India_Index_Upto_April23__1[[#This Row],[Clothing]:[Clothing and footwear]])</f>
        <v>461.29999999999995</v>
      </c>
      <c r="AG279">
        <f t="shared" si="4"/>
        <v>445.20000000000005</v>
      </c>
      <c r="AI279">
        <f>TYPE(All_India_Index_Upto_April23__1[[#This Row],[Sector]])</f>
        <v>2</v>
      </c>
      <c r="AJ279">
        <f>TYPE(All_India_Index_Upto_April23__1[[#This Row],[Year]])</f>
        <v>1</v>
      </c>
      <c r="AK279">
        <f>TYPE(All_India_Index_Upto_April23__1[[#This Row],[Month]])</f>
        <v>2</v>
      </c>
      <c r="AL279">
        <f>TYPE(All_India_Index_Upto_April23__1[[#This Row],[Cereals and products]])</f>
        <v>1</v>
      </c>
      <c r="AM279">
        <f>TYPE(All_India_Index_Upto_April23__1[[#This Row],[Meat and fish]])</f>
        <v>1</v>
      </c>
      <c r="AN279">
        <f>TYPE(All_India_Index_Upto_April23__1[[#This Row],[Egg]])</f>
        <v>1</v>
      </c>
      <c r="AO279">
        <f>TYPE(All_India_Index_Upto_April23__1[[#This Row],[Milk and products]])</f>
        <v>1</v>
      </c>
      <c r="AP279">
        <f>TYPE(All_India_Index_Upto_April23__1[[#This Row],[Oils and fats]])</f>
        <v>1</v>
      </c>
      <c r="AQ279">
        <f>TYPE(All_India_Index_Upto_April23__1[[#This Row],[Fruits]])</f>
        <v>1</v>
      </c>
      <c r="AR279">
        <f>TYPE(All_India_Index_Upto_April23__1[[#This Row],[Vegetables]])</f>
        <v>1</v>
      </c>
      <c r="AS279">
        <f>TYPE(All_India_Index_Upto_April23__1[[#This Row],[Pulses and products]])</f>
        <v>1</v>
      </c>
      <c r="AT279">
        <f>TYPE(All_India_Index_Upto_April23__1[[#This Row],[Sugar and Confectionery]])</f>
        <v>1</v>
      </c>
      <c r="AU279">
        <f>TYPE(All_India_Index_Upto_April23__1[[#This Row],[Spices]])</f>
        <v>1</v>
      </c>
      <c r="AV279">
        <f>TYPE(All_India_Index_Upto_April23__1[[#This Row],[Non-alcoholic beverages]])</f>
        <v>1</v>
      </c>
      <c r="AW279">
        <f>TYPE(All_India_Index_Upto_April23__1[[#This Row],[Prepared meals, snacks, sweets etc.]])</f>
        <v>1</v>
      </c>
      <c r="AX279">
        <f>TYPE(All_India_Index_Upto_April23__1[[#This Row],[Food and beverages]])</f>
        <v>1</v>
      </c>
      <c r="AY279">
        <f>TYPE(All_India_Index_Upto_April23__1[[#This Row],[Pan, tobacco and intoxicants]])</f>
        <v>1</v>
      </c>
      <c r="AZ279">
        <f>TYPE(All_India_Index_Upto_April23__1[[#This Row],[Clothing]])</f>
        <v>1</v>
      </c>
      <c r="BA279">
        <f>TYPE(All_India_Index_Upto_April23__1[[#This Row],[Footwear]])</f>
        <v>1</v>
      </c>
      <c r="BB279">
        <f>TYPE(All_India_Index_Upto_April23__1[[#This Row],[Clothing and footwear]])</f>
        <v>1</v>
      </c>
      <c r="BC279">
        <f>TYPE(All_India_Index_Upto_April23__1[[#This Row],[Housing]])</f>
        <v>2</v>
      </c>
      <c r="BD279">
        <f>TYPE(All_India_Index_Upto_April23__1[[#This Row],[Fuel and light]])</f>
        <v>1</v>
      </c>
      <c r="BE279">
        <f>TYPE(All_India_Index_Upto_April23__1[[#This Row],[Household goods and services]])</f>
        <v>1</v>
      </c>
      <c r="BF279">
        <f>TYPE(All_India_Index_Upto_April23__1[[#This Row],[Health]])</f>
        <v>1</v>
      </c>
      <c r="BG279">
        <f>TYPE(All_India_Index_Upto_April23__1[[#This Row],[Transport and communication]])</f>
        <v>1</v>
      </c>
      <c r="BH279">
        <f>TYPE(All_India_Index_Upto_April23__1[[#This Row],[Recreation and amusement]])</f>
        <v>1</v>
      </c>
      <c r="BI279">
        <f>TYPE(All_India_Index_Upto_April23__1[[#This Row],[Education]])</f>
        <v>1</v>
      </c>
      <c r="BJ279">
        <f>TYPE(All_India_Index_Upto_April23__1[[#This Row],[Personal care and effects]])</f>
        <v>1</v>
      </c>
      <c r="BK279">
        <f>TYPE(All_India_Index_Upto_April23__1[[#This Row],[Miscellaneous]])</f>
        <v>1</v>
      </c>
      <c r="BL279">
        <f>TYPE(All_India_Index_Upto_April23__1[[#This Row],[General index]])</f>
        <v>1</v>
      </c>
    </row>
    <row r="280" spans="1:64" hidden="1" x14ac:dyDescent="0.3">
      <c r="A280" t="s">
        <v>32</v>
      </c>
      <c r="B280">
        <v>2020</v>
      </c>
      <c r="C280" t="s">
        <v>42</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t="s">
        <v>178</v>
      </c>
      <c r="V280">
        <v>137.1</v>
      </c>
      <c r="W280">
        <v>145.1</v>
      </c>
      <c r="X280">
        <v>151</v>
      </c>
      <c r="Y280">
        <v>135.4</v>
      </c>
      <c r="Z280">
        <v>142</v>
      </c>
      <c r="AA280">
        <v>155.69999999999999</v>
      </c>
      <c r="AB280">
        <v>158.1</v>
      </c>
      <c r="AC280">
        <v>146.19999999999999</v>
      </c>
      <c r="AD280">
        <v>155.19999999999999</v>
      </c>
      <c r="AE280">
        <f>SUM(All_India_Index_Upto_April23__1[[#This Row],[Cereals and products]:[Food and beverages]])</f>
        <v>2080.1999999999998</v>
      </c>
      <c r="AF280">
        <f>SUM(All_India_Index_Upto_April23__1[[#This Row],[Clothing]:[Clothing and footwear]])</f>
        <v>434.90000000000003</v>
      </c>
      <c r="AG280">
        <f t="shared" si="4"/>
        <v>417.6</v>
      </c>
      <c r="AI280">
        <f>TYPE(All_India_Index_Upto_April23__1[[#This Row],[Sector]])</f>
        <v>2</v>
      </c>
      <c r="AJ280">
        <f>TYPE(All_India_Index_Upto_April23__1[[#This Row],[Year]])</f>
        <v>1</v>
      </c>
      <c r="AK280">
        <f>TYPE(All_India_Index_Upto_April23__1[[#This Row],[Month]])</f>
        <v>2</v>
      </c>
      <c r="AL280">
        <f>TYPE(All_India_Index_Upto_April23__1[[#This Row],[Cereals and products]])</f>
        <v>1</v>
      </c>
      <c r="AM280">
        <f>TYPE(All_India_Index_Upto_April23__1[[#This Row],[Meat and fish]])</f>
        <v>1</v>
      </c>
      <c r="AN280">
        <f>TYPE(All_India_Index_Upto_April23__1[[#This Row],[Egg]])</f>
        <v>1</v>
      </c>
      <c r="AO280">
        <f>TYPE(All_India_Index_Upto_April23__1[[#This Row],[Milk and products]])</f>
        <v>1</v>
      </c>
      <c r="AP280">
        <f>TYPE(All_India_Index_Upto_April23__1[[#This Row],[Oils and fats]])</f>
        <v>1</v>
      </c>
      <c r="AQ280">
        <f>TYPE(All_India_Index_Upto_April23__1[[#This Row],[Fruits]])</f>
        <v>1</v>
      </c>
      <c r="AR280">
        <f>TYPE(All_India_Index_Upto_April23__1[[#This Row],[Vegetables]])</f>
        <v>1</v>
      </c>
      <c r="AS280">
        <f>TYPE(All_India_Index_Upto_April23__1[[#This Row],[Pulses and products]])</f>
        <v>1</v>
      </c>
      <c r="AT280">
        <f>TYPE(All_India_Index_Upto_April23__1[[#This Row],[Sugar and Confectionery]])</f>
        <v>1</v>
      </c>
      <c r="AU280">
        <f>TYPE(All_India_Index_Upto_April23__1[[#This Row],[Spices]])</f>
        <v>1</v>
      </c>
      <c r="AV280">
        <f>TYPE(All_India_Index_Upto_April23__1[[#This Row],[Non-alcoholic beverages]])</f>
        <v>1</v>
      </c>
      <c r="AW280">
        <f>TYPE(All_India_Index_Upto_April23__1[[#This Row],[Prepared meals, snacks, sweets etc.]])</f>
        <v>1</v>
      </c>
      <c r="AX280">
        <f>TYPE(All_India_Index_Upto_April23__1[[#This Row],[Food and beverages]])</f>
        <v>1</v>
      </c>
      <c r="AY280">
        <f>TYPE(All_India_Index_Upto_April23__1[[#This Row],[Pan, tobacco and intoxicants]])</f>
        <v>1</v>
      </c>
      <c r="AZ280">
        <f>TYPE(All_India_Index_Upto_April23__1[[#This Row],[Clothing]])</f>
        <v>1</v>
      </c>
      <c r="BA280">
        <f>TYPE(All_India_Index_Upto_April23__1[[#This Row],[Footwear]])</f>
        <v>1</v>
      </c>
      <c r="BB280">
        <f>TYPE(All_India_Index_Upto_April23__1[[#This Row],[Clothing and footwear]])</f>
        <v>1</v>
      </c>
      <c r="BC280">
        <f>TYPE(All_India_Index_Upto_April23__1[[#This Row],[Housing]])</f>
        <v>2</v>
      </c>
      <c r="BD280">
        <f>TYPE(All_India_Index_Upto_April23__1[[#This Row],[Fuel and light]])</f>
        <v>1</v>
      </c>
      <c r="BE280">
        <f>TYPE(All_India_Index_Upto_April23__1[[#This Row],[Household goods and services]])</f>
        <v>1</v>
      </c>
      <c r="BF280">
        <f>TYPE(All_India_Index_Upto_April23__1[[#This Row],[Health]])</f>
        <v>1</v>
      </c>
      <c r="BG280">
        <f>TYPE(All_India_Index_Upto_April23__1[[#This Row],[Transport and communication]])</f>
        <v>1</v>
      </c>
      <c r="BH280">
        <f>TYPE(All_India_Index_Upto_April23__1[[#This Row],[Recreation and amusement]])</f>
        <v>1</v>
      </c>
      <c r="BI280">
        <f>TYPE(All_India_Index_Upto_April23__1[[#This Row],[Education]])</f>
        <v>1</v>
      </c>
      <c r="BJ280">
        <f>TYPE(All_India_Index_Upto_April23__1[[#This Row],[Personal care and effects]])</f>
        <v>1</v>
      </c>
      <c r="BK280">
        <f>TYPE(All_India_Index_Upto_April23__1[[#This Row],[Miscellaneous]])</f>
        <v>1</v>
      </c>
      <c r="BL280">
        <f>TYPE(All_India_Index_Upto_April23__1[[#This Row],[General index]])</f>
        <v>1</v>
      </c>
    </row>
    <row r="281" spans="1:64" x14ac:dyDescent="0.3">
      <c r="A281" t="s">
        <v>33</v>
      </c>
      <c r="B281">
        <v>2020</v>
      </c>
      <c r="C281" t="s">
        <v>42</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t="s">
        <v>178</v>
      </c>
      <c r="V281">
        <v>143.1</v>
      </c>
      <c r="W281">
        <v>148.69999999999999</v>
      </c>
      <c r="X281">
        <v>156.30000000000001</v>
      </c>
      <c r="Y281">
        <v>140.6</v>
      </c>
      <c r="Z281">
        <v>146.5</v>
      </c>
      <c r="AA281">
        <v>158.5</v>
      </c>
      <c r="AB281">
        <v>157</v>
      </c>
      <c r="AC281">
        <v>150.4</v>
      </c>
      <c r="AD281">
        <v>156.4</v>
      </c>
      <c r="AE281">
        <f>SUM(All_India_Index_Upto_April23__1[[#This Row],[Cereals and products]:[Food and beverages]])</f>
        <v>2048.6000000000004</v>
      </c>
      <c r="AF281">
        <f>SUM(All_India_Index_Upto_April23__1[[#This Row],[Clothing]:[Clothing and footwear]])</f>
        <v>450.59999999999997</v>
      </c>
      <c r="AG281">
        <f t="shared" si="4"/>
        <v>432.4</v>
      </c>
      <c r="AI281">
        <f>TYPE(All_India_Index_Upto_April23__1[[#This Row],[Sector]])</f>
        <v>2</v>
      </c>
      <c r="AJ281">
        <f>TYPE(All_India_Index_Upto_April23__1[[#This Row],[Year]])</f>
        <v>1</v>
      </c>
      <c r="AK281">
        <f>TYPE(All_India_Index_Upto_April23__1[[#This Row],[Month]])</f>
        <v>2</v>
      </c>
      <c r="AL281">
        <f>TYPE(All_India_Index_Upto_April23__1[[#This Row],[Cereals and products]])</f>
        <v>1</v>
      </c>
      <c r="AM281">
        <f>TYPE(All_India_Index_Upto_April23__1[[#This Row],[Meat and fish]])</f>
        <v>1</v>
      </c>
      <c r="AN281">
        <f>TYPE(All_India_Index_Upto_April23__1[[#This Row],[Egg]])</f>
        <v>1</v>
      </c>
      <c r="AO281">
        <f>TYPE(All_India_Index_Upto_April23__1[[#This Row],[Milk and products]])</f>
        <v>1</v>
      </c>
      <c r="AP281">
        <f>TYPE(All_India_Index_Upto_April23__1[[#This Row],[Oils and fats]])</f>
        <v>1</v>
      </c>
      <c r="AQ281">
        <f>TYPE(All_India_Index_Upto_April23__1[[#This Row],[Fruits]])</f>
        <v>1</v>
      </c>
      <c r="AR281">
        <f>TYPE(All_India_Index_Upto_April23__1[[#This Row],[Vegetables]])</f>
        <v>1</v>
      </c>
      <c r="AS281">
        <f>TYPE(All_India_Index_Upto_April23__1[[#This Row],[Pulses and products]])</f>
        <v>1</v>
      </c>
      <c r="AT281">
        <f>TYPE(All_India_Index_Upto_April23__1[[#This Row],[Sugar and Confectionery]])</f>
        <v>1</v>
      </c>
      <c r="AU281">
        <f>TYPE(All_India_Index_Upto_April23__1[[#This Row],[Spices]])</f>
        <v>1</v>
      </c>
      <c r="AV281">
        <f>TYPE(All_India_Index_Upto_April23__1[[#This Row],[Non-alcoholic beverages]])</f>
        <v>1</v>
      </c>
      <c r="AW281">
        <f>TYPE(All_India_Index_Upto_April23__1[[#This Row],[Prepared meals, snacks, sweets etc.]])</f>
        <v>1</v>
      </c>
      <c r="AX281">
        <f>TYPE(All_India_Index_Upto_April23__1[[#This Row],[Food and beverages]])</f>
        <v>1</v>
      </c>
      <c r="AY281">
        <f>TYPE(All_India_Index_Upto_April23__1[[#This Row],[Pan, tobacco and intoxicants]])</f>
        <v>1</v>
      </c>
      <c r="AZ281">
        <f>TYPE(All_India_Index_Upto_April23__1[[#This Row],[Clothing]])</f>
        <v>1</v>
      </c>
      <c r="BA281">
        <f>TYPE(All_India_Index_Upto_April23__1[[#This Row],[Footwear]])</f>
        <v>1</v>
      </c>
      <c r="BB281">
        <f>TYPE(All_India_Index_Upto_April23__1[[#This Row],[Clothing and footwear]])</f>
        <v>1</v>
      </c>
      <c r="BC281">
        <f>TYPE(All_India_Index_Upto_April23__1[[#This Row],[Housing]])</f>
        <v>2</v>
      </c>
      <c r="BD281">
        <f>TYPE(All_India_Index_Upto_April23__1[[#This Row],[Fuel and light]])</f>
        <v>1</v>
      </c>
      <c r="BE281">
        <f>TYPE(All_India_Index_Upto_April23__1[[#This Row],[Household goods and services]])</f>
        <v>1</v>
      </c>
      <c r="BF281">
        <f>TYPE(All_India_Index_Upto_April23__1[[#This Row],[Health]])</f>
        <v>1</v>
      </c>
      <c r="BG281">
        <f>TYPE(All_India_Index_Upto_April23__1[[#This Row],[Transport and communication]])</f>
        <v>1</v>
      </c>
      <c r="BH281">
        <f>TYPE(All_India_Index_Upto_April23__1[[#This Row],[Recreation and amusement]])</f>
        <v>1</v>
      </c>
      <c r="BI281">
        <f>TYPE(All_India_Index_Upto_April23__1[[#This Row],[Education]])</f>
        <v>1</v>
      </c>
      <c r="BJ281">
        <f>TYPE(All_India_Index_Upto_April23__1[[#This Row],[Personal care and effects]])</f>
        <v>1</v>
      </c>
      <c r="BK281">
        <f>TYPE(All_India_Index_Upto_April23__1[[#This Row],[Miscellaneous]])</f>
        <v>1</v>
      </c>
      <c r="BL281">
        <f>TYPE(All_India_Index_Upto_April23__1[[#This Row],[General index]])</f>
        <v>1</v>
      </c>
    </row>
    <row r="282" spans="1:64" hidden="1" x14ac:dyDescent="0.3">
      <c r="A282" t="s">
        <v>30</v>
      </c>
      <c r="B282">
        <v>2020</v>
      </c>
      <c r="C282" t="s">
        <v>43</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U282" t="s">
        <v>89</v>
      </c>
      <c r="V282">
        <v>147.5</v>
      </c>
      <c r="W282">
        <v>152.80000000000001</v>
      </c>
      <c r="X282">
        <v>160.4</v>
      </c>
      <c r="Y282">
        <v>146.1</v>
      </c>
      <c r="Z282">
        <v>153.6</v>
      </c>
      <c r="AA282">
        <v>161.6</v>
      </c>
      <c r="AB282">
        <v>156.19999999999999</v>
      </c>
      <c r="AC282">
        <v>154.5</v>
      </c>
      <c r="AD282">
        <v>159.80000000000001</v>
      </c>
      <c r="AE282">
        <f>SUM(All_India_Index_Upto_April23__1[[#This Row],[Cereals and products]:[Food and beverages]])</f>
        <v>2082.4</v>
      </c>
      <c r="AF282">
        <f>SUM(All_India_Index_Upto_April23__1[[#This Row],[Clothing]:[Clothing and footwear]])</f>
        <v>462.8</v>
      </c>
      <c r="AG282">
        <f t="shared" si="4"/>
        <v>446.4</v>
      </c>
      <c r="AI282">
        <f>TYPE(All_India_Index_Upto_April23__1[[#This Row],[Sector]])</f>
        <v>2</v>
      </c>
      <c r="AJ282">
        <f>TYPE(All_India_Index_Upto_April23__1[[#This Row],[Year]])</f>
        <v>1</v>
      </c>
      <c r="AK282">
        <f>TYPE(All_India_Index_Upto_April23__1[[#This Row],[Month]])</f>
        <v>2</v>
      </c>
      <c r="AL282">
        <f>TYPE(All_India_Index_Upto_April23__1[[#This Row],[Cereals and products]])</f>
        <v>1</v>
      </c>
      <c r="AM282">
        <f>TYPE(All_India_Index_Upto_April23__1[[#This Row],[Meat and fish]])</f>
        <v>1</v>
      </c>
      <c r="AN282">
        <f>TYPE(All_India_Index_Upto_April23__1[[#This Row],[Egg]])</f>
        <v>1</v>
      </c>
      <c r="AO282">
        <f>TYPE(All_India_Index_Upto_April23__1[[#This Row],[Milk and products]])</f>
        <v>1</v>
      </c>
      <c r="AP282">
        <f>TYPE(All_India_Index_Upto_April23__1[[#This Row],[Oils and fats]])</f>
        <v>1</v>
      </c>
      <c r="AQ282">
        <f>TYPE(All_India_Index_Upto_April23__1[[#This Row],[Fruits]])</f>
        <v>1</v>
      </c>
      <c r="AR282">
        <f>TYPE(All_India_Index_Upto_April23__1[[#This Row],[Vegetables]])</f>
        <v>1</v>
      </c>
      <c r="AS282">
        <f>TYPE(All_India_Index_Upto_April23__1[[#This Row],[Pulses and products]])</f>
        <v>1</v>
      </c>
      <c r="AT282">
        <f>TYPE(All_India_Index_Upto_April23__1[[#This Row],[Sugar and Confectionery]])</f>
        <v>1</v>
      </c>
      <c r="AU282">
        <f>TYPE(All_India_Index_Upto_April23__1[[#This Row],[Spices]])</f>
        <v>1</v>
      </c>
      <c r="AV282">
        <f>TYPE(All_India_Index_Upto_April23__1[[#This Row],[Non-alcoholic beverages]])</f>
        <v>1</v>
      </c>
      <c r="AW282">
        <f>TYPE(All_India_Index_Upto_April23__1[[#This Row],[Prepared meals, snacks, sweets etc.]])</f>
        <v>1</v>
      </c>
      <c r="AX282">
        <f>TYPE(All_India_Index_Upto_April23__1[[#This Row],[Food and beverages]])</f>
        <v>1</v>
      </c>
      <c r="AY282">
        <f>TYPE(All_India_Index_Upto_April23__1[[#This Row],[Pan, tobacco and intoxicants]])</f>
        <v>1</v>
      </c>
      <c r="AZ282">
        <f>TYPE(All_India_Index_Upto_April23__1[[#This Row],[Clothing]])</f>
        <v>1</v>
      </c>
      <c r="BA282">
        <f>TYPE(All_India_Index_Upto_April23__1[[#This Row],[Footwear]])</f>
        <v>1</v>
      </c>
      <c r="BB282">
        <f>TYPE(All_India_Index_Upto_April23__1[[#This Row],[Clothing and footwear]])</f>
        <v>1</v>
      </c>
      <c r="BC282">
        <f>TYPE(All_India_Index_Upto_April23__1[[#This Row],[Housing]])</f>
        <v>2</v>
      </c>
      <c r="BD282">
        <f>TYPE(All_India_Index_Upto_April23__1[[#This Row],[Fuel and light]])</f>
        <v>1</v>
      </c>
      <c r="BE282">
        <f>TYPE(All_India_Index_Upto_April23__1[[#This Row],[Household goods and services]])</f>
        <v>1</v>
      </c>
      <c r="BF282">
        <f>TYPE(All_India_Index_Upto_April23__1[[#This Row],[Health]])</f>
        <v>1</v>
      </c>
      <c r="BG282">
        <f>TYPE(All_India_Index_Upto_April23__1[[#This Row],[Transport and communication]])</f>
        <v>1</v>
      </c>
      <c r="BH282">
        <f>TYPE(All_India_Index_Upto_April23__1[[#This Row],[Recreation and amusement]])</f>
        <v>1</v>
      </c>
      <c r="BI282">
        <f>TYPE(All_India_Index_Upto_April23__1[[#This Row],[Education]])</f>
        <v>1</v>
      </c>
      <c r="BJ282">
        <f>TYPE(All_India_Index_Upto_April23__1[[#This Row],[Personal care and effects]])</f>
        <v>1</v>
      </c>
      <c r="BK282">
        <f>TYPE(All_India_Index_Upto_April23__1[[#This Row],[Miscellaneous]])</f>
        <v>1</v>
      </c>
      <c r="BL282">
        <f>TYPE(All_India_Index_Upto_April23__1[[#This Row],[General index]])</f>
        <v>1</v>
      </c>
    </row>
    <row r="283" spans="1:64" hidden="1" x14ac:dyDescent="0.3">
      <c r="A283" t="s">
        <v>32</v>
      </c>
      <c r="B283">
        <v>2020</v>
      </c>
      <c r="C283" t="s">
        <v>43</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t="s">
        <v>179</v>
      </c>
      <c r="V283">
        <v>137.30000000000001</v>
      </c>
      <c r="W283">
        <v>145.1</v>
      </c>
      <c r="X283">
        <v>152</v>
      </c>
      <c r="Y283">
        <v>135.19999999999999</v>
      </c>
      <c r="Z283">
        <v>144.4</v>
      </c>
      <c r="AA283">
        <v>156.4</v>
      </c>
      <c r="AB283">
        <v>157.9</v>
      </c>
      <c r="AC283">
        <v>146.6</v>
      </c>
      <c r="AD283">
        <v>156.69999999999999</v>
      </c>
      <c r="AE283">
        <f>SUM(All_India_Index_Upto_April23__1[[#This Row],[Cereals and products]:[Food and beverages]])</f>
        <v>2120.6999999999998</v>
      </c>
      <c r="AF283">
        <f>SUM(All_India_Index_Upto_April23__1[[#This Row],[Clothing]:[Clothing and footwear]])</f>
        <v>436.3</v>
      </c>
      <c r="AG283">
        <f t="shared" si="4"/>
        <v>417.59999999999997</v>
      </c>
      <c r="AI283">
        <f>TYPE(All_India_Index_Upto_April23__1[[#This Row],[Sector]])</f>
        <v>2</v>
      </c>
      <c r="AJ283">
        <f>TYPE(All_India_Index_Upto_April23__1[[#This Row],[Year]])</f>
        <v>1</v>
      </c>
      <c r="AK283">
        <f>TYPE(All_India_Index_Upto_April23__1[[#This Row],[Month]])</f>
        <v>2</v>
      </c>
      <c r="AL283">
        <f>TYPE(All_India_Index_Upto_April23__1[[#This Row],[Cereals and products]])</f>
        <v>1</v>
      </c>
      <c r="AM283">
        <f>TYPE(All_India_Index_Upto_April23__1[[#This Row],[Meat and fish]])</f>
        <v>1</v>
      </c>
      <c r="AN283">
        <f>TYPE(All_India_Index_Upto_April23__1[[#This Row],[Egg]])</f>
        <v>1</v>
      </c>
      <c r="AO283">
        <f>TYPE(All_India_Index_Upto_April23__1[[#This Row],[Milk and products]])</f>
        <v>1</v>
      </c>
      <c r="AP283">
        <f>TYPE(All_India_Index_Upto_April23__1[[#This Row],[Oils and fats]])</f>
        <v>1</v>
      </c>
      <c r="AQ283">
        <f>TYPE(All_India_Index_Upto_April23__1[[#This Row],[Fruits]])</f>
        <v>1</v>
      </c>
      <c r="AR283">
        <f>TYPE(All_India_Index_Upto_April23__1[[#This Row],[Vegetables]])</f>
        <v>1</v>
      </c>
      <c r="AS283">
        <f>TYPE(All_India_Index_Upto_April23__1[[#This Row],[Pulses and products]])</f>
        <v>1</v>
      </c>
      <c r="AT283">
        <f>TYPE(All_India_Index_Upto_April23__1[[#This Row],[Sugar and Confectionery]])</f>
        <v>1</v>
      </c>
      <c r="AU283">
        <f>TYPE(All_India_Index_Upto_April23__1[[#This Row],[Spices]])</f>
        <v>1</v>
      </c>
      <c r="AV283">
        <f>TYPE(All_India_Index_Upto_April23__1[[#This Row],[Non-alcoholic beverages]])</f>
        <v>1</v>
      </c>
      <c r="AW283">
        <f>TYPE(All_India_Index_Upto_April23__1[[#This Row],[Prepared meals, snacks, sweets etc.]])</f>
        <v>1</v>
      </c>
      <c r="AX283">
        <f>TYPE(All_India_Index_Upto_April23__1[[#This Row],[Food and beverages]])</f>
        <v>1</v>
      </c>
      <c r="AY283">
        <f>TYPE(All_India_Index_Upto_April23__1[[#This Row],[Pan, tobacco and intoxicants]])</f>
        <v>1</v>
      </c>
      <c r="AZ283">
        <f>TYPE(All_India_Index_Upto_April23__1[[#This Row],[Clothing]])</f>
        <v>1</v>
      </c>
      <c r="BA283">
        <f>TYPE(All_India_Index_Upto_April23__1[[#This Row],[Footwear]])</f>
        <v>1</v>
      </c>
      <c r="BB283">
        <f>TYPE(All_India_Index_Upto_April23__1[[#This Row],[Clothing and footwear]])</f>
        <v>1</v>
      </c>
      <c r="BC283">
        <f>TYPE(All_India_Index_Upto_April23__1[[#This Row],[Housing]])</f>
        <v>2</v>
      </c>
      <c r="BD283">
        <f>TYPE(All_India_Index_Upto_April23__1[[#This Row],[Fuel and light]])</f>
        <v>1</v>
      </c>
      <c r="BE283">
        <f>TYPE(All_India_Index_Upto_April23__1[[#This Row],[Household goods and services]])</f>
        <v>1</v>
      </c>
      <c r="BF283">
        <f>TYPE(All_India_Index_Upto_April23__1[[#This Row],[Health]])</f>
        <v>1</v>
      </c>
      <c r="BG283">
        <f>TYPE(All_India_Index_Upto_April23__1[[#This Row],[Transport and communication]])</f>
        <v>1</v>
      </c>
      <c r="BH283">
        <f>TYPE(All_India_Index_Upto_April23__1[[#This Row],[Recreation and amusement]])</f>
        <v>1</v>
      </c>
      <c r="BI283">
        <f>TYPE(All_India_Index_Upto_April23__1[[#This Row],[Education]])</f>
        <v>1</v>
      </c>
      <c r="BJ283">
        <f>TYPE(All_India_Index_Upto_April23__1[[#This Row],[Personal care and effects]])</f>
        <v>1</v>
      </c>
      <c r="BK283">
        <f>TYPE(All_India_Index_Upto_April23__1[[#This Row],[Miscellaneous]])</f>
        <v>1</v>
      </c>
      <c r="BL283">
        <f>TYPE(All_India_Index_Upto_April23__1[[#This Row],[General index]])</f>
        <v>1</v>
      </c>
    </row>
    <row r="284" spans="1:64" x14ac:dyDescent="0.3">
      <c r="A284" t="s">
        <v>33</v>
      </c>
      <c r="B284">
        <v>2020</v>
      </c>
      <c r="C284" t="s">
        <v>43</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t="s">
        <v>179</v>
      </c>
      <c r="V284">
        <v>143.6</v>
      </c>
      <c r="W284">
        <v>149.19999999999999</v>
      </c>
      <c r="X284">
        <v>157.19999999999999</v>
      </c>
      <c r="Y284">
        <v>140.4</v>
      </c>
      <c r="Z284">
        <v>148.4</v>
      </c>
      <c r="AA284">
        <v>158.6</v>
      </c>
      <c r="AB284">
        <v>156.9</v>
      </c>
      <c r="AC284">
        <v>150.69999999999999</v>
      </c>
      <c r="AD284">
        <v>158.4</v>
      </c>
      <c r="AE284">
        <f>SUM(All_India_Index_Upto_April23__1[[#This Row],[Cereals and products]:[Food and beverages]])</f>
        <v>2095.6</v>
      </c>
      <c r="AF284">
        <f>SUM(All_India_Index_Upto_April23__1[[#This Row],[Clothing]:[Clothing and footwear]])</f>
        <v>452.00000000000006</v>
      </c>
      <c r="AG284">
        <f t="shared" si="4"/>
        <v>433.19999999999993</v>
      </c>
      <c r="AI284">
        <f>TYPE(All_India_Index_Upto_April23__1[[#This Row],[Sector]])</f>
        <v>2</v>
      </c>
      <c r="AJ284">
        <f>TYPE(All_India_Index_Upto_April23__1[[#This Row],[Year]])</f>
        <v>1</v>
      </c>
      <c r="AK284">
        <f>TYPE(All_India_Index_Upto_April23__1[[#This Row],[Month]])</f>
        <v>2</v>
      </c>
      <c r="AL284">
        <f>TYPE(All_India_Index_Upto_April23__1[[#This Row],[Cereals and products]])</f>
        <v>1</v>
      </c>
      <c r="AM284">
        <f>TYPE(All_India_Index_Upto_April23__1[[#This Row],[Meat and fish]])</f>
        <v>1</v>
      </c>
      <c r="AN284">
        <f>TYPE(All_India_Index_Upto_April23__1[[#This Row],[Egg]])</f>
        <v>1</v>
      </c>
      <c r="AO284">
        <f>TYPE(All_India_Index_Upto_April23__1[[#This Row],[Milk and products]])</f>
        <v>1</v>
      </c>
      <c r="AP284">
        <f>TYPE(All_India_Index_Upto_April23__1[[#This Row],[Oils and fats]])</f>
        <v>1</v>
      </c>
      <c r="AQ284">
        <f>TYPE(All_India_Index_Upto_April23__1[[#This Row],[Fruits]])</f>
        <v>1</v>
      </c>
      <c r="AR284">
        <f>TYPE(All_India_Index_Upto_April23__1[[#This Row],[Vegetables]])</f>
        <v>1</v>
      </c>
      <c r="AS284">
        <f>TYPE(All_India_Index_Upto_April23__1[[#This Row],[Pulses and products]])</f>
        <v>1</v>
      </c>
      <c r="AT284">
        <f>TYPE(All_India_Index_Upto_April23__1[[#This Row],[Sugar and Confectionery]])</f>
        <v>1</v>
      </c>
      <c r="AU284">
        <f>TYPE(All_India_Index_Upto_April23__1[[#This Row],[Spices]])</f>
        <v>1</v>
      </c>
      <c r="AV284">
        <f>TYPE(All_India_Index_Upto_April23__1[[#This Row],[Non-alcoholic beverages]])</f>
        <v>1</v>
      </c>
      <c r="AW284">
        <f>TYPE(All_India_Index_Upto_April23__1[[#This Row],[Prepared meals, snacks, sweets etc.]])</f>
        <v>1</v>
      </c>
      <c r="AX284">
        <f>TYPE(All_India_Index_Upto_April23__1[[#This Row],[Food and beverages]])</f>
        <v>1</v>
      </c>
      <c r="AY284">
        <f>TYPE(All_India_Index_Upto_April23__1[[#This Row],[Pan, tobacco and intoxicants]])</f>
        <v>1</v>
      </c>
      <c r="AZ284">
        <f>TYPE(All_India_Index_Upto_April23__1[[#This Row],[Clothing]])</f>
        <v>1</v>
      </c>
      <c r="BA284">
        <f>TYPE(All_India_Index_Upto_April23__1[[#This Row],[Footwear]])</f>
        <v>1</v>
      </c>
      <c r="BB284">
        <f>TYPE(All_India_Index_Upto_April23__1[[#This Row],[Clothing and footwear]])</f>
        <v>1</v>
      </c>
      <c r="BC284">
        <f>TYPE(All_India_Index_Upto_April23__1[[#This Row],[Housing]])</f>
        <v>2</v>
      </c>
      <c r="BD284">
        <f>TYPE(All_India_Index_Upto_April23__1[[#This Row],[Fuel and light]])</f>
        <v>1</v>
      </c>
      <c r="BE284">
        <f>TYPE(All_India_Index_Upto_April23__1[[#This Row],[Household goods and services]])</f>
        <v>1</v>
      </c>
      <c r="BF284">
        <f>TYPE(All_India_Index_Upto_April23__1[[#This Row],[Health]])</f>
        <v>1</v>
      </c>
      <c r="BG284">
        <f>TYPE(All_India_Index_Upto_April23__1[[#This Row],[Transport and communication]])</f>
        <v>1</v>
      </c>
      <c r="BH284">
        <f>TYPE(All_India_Index_Upto_April23__1[[#This Row],[Recreation and amusement]])</f>
        <v>1</v>
      </c>
      <c r="BI284">
        <f>TYPE(All_India_Index_Upto_April23__1[[#This Row],[Education]])</f>
        <v>1</v>
      </c>
      <c r="BJ284">
        <f>TYPE(All_India_Index_Upto_April23__1[[#This Row],[Personal care and effects]])</f>
        <v>1</v>
      </c>
      <c r="BK284">
        <f>TYPE(All_India_Index_Upto_April23__1[[#This Row],[Miscellaneous]])</f>
        <v>1</v>
      </c>
      <c r="BL284">
        <f>TYPE(All_India_Index_Upto_April23__1[[#This Row],[General index]])</f>
        <v>1</v>
      </c>
    </row>
    <row r="285" spans="1:64" hidden="1" x14ac:dyDescent="0.3">
      <c r="A285" t="s">
        <v>30</v>
      </c>
      <c r="B285">
        <v>2020</v>
      </c>
      <c r="C285" t="s">
        <v>44</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U285" t="s">
        <v>89</v>
      </c>
      <c r="V285">
        <v>148.69999999999999</v>
      </c>
      <c r="W285">
        <v>153.4</v>
      </c>
      <c r="X285">
        <v>161.6</v>
      </c>
      <c r="Y285">
        <v>146.4</v>
      </c>
      <c r="Z285">
        <v>153.9</v>
      </c>
      <c r="AA285">
        <v>162.9</v>
      </c>
      <c r="AB285">
        <v>156.6</v>
      </c>
      <c r="AC285">
        <v>155.19999999999999</v>
      </c>
      <c r="AD285">
        <v>160.69999999999999</v>
      </c>
      <c r="AE285">
        <f>SUM(All_India_Index_Upto_April23__1[[#This Row],[Cereals and products]:[Food and beverages]])</f>
        <v>2100.5</v>
      </c>
      <c r="AF285">
        <f>SUM(All_India_Index_Upto_April23__1[[#This Row],[Clothing]:[Clothing and footwear]])</f>
        <v>464.90000000000003</v>
      </c>
      <c r="AG285">
        <f t="shared" si="4"/>
        <v>448.5</v>
      </c>
      <c r="AI285">
        <f>TYPE(All_India_Index_Upto_April23__1[[#This Row],[Sector]])</f>
        <v>2</v>
      </c>
      <c r="AJ285">
        <f>TYPE(All_India_Index_Upto_April23__1[[#This Row],[Year]])</f>
        <v>1</v>
      </c>
      <c r="AK285">
        <f>TYPE(All_India_Index_Upto_April23__1[[#This Row],[Month]])</f>
        <v>2</v>
      </c>
      <c r="AL285">
        <f>TYPE(All_India_Index_Upto_April23__1[[#This Row],[Cereals and products]])</f>
        <v>1</v>
      </c>
      <c r="AM285">
        <f>TYPE(All_India_Index_Upto_April23__1[[#This Row],[Meat and fish]])</f>
        <v>1</v>
      </c>
      <c r="AN285">
        <f>TYPE(All_India_Index_Upto_April23__1[[#This Row],[Egg]])</f>
        <v>1</v>
      </c>
      <c r="AO285">
        <f>TYPE(All_India_Index_Upto_April23__1[[#This Row],[Milk and products]])</f>
        <v>1</v>
      </c>
      <c r="AP285">
        <f>TYPE(All_India_Index_Upto_April23__1[[#This Row],[Oils and fats]])</f>
        <v>1</v>
      </c>
      <c r="AQ285">
        <f>TYPE(All_India_Index_Upto_April23__1[[#This Row],[Fruits]])</f>
        <v>1</v>
      </c>
      <c r="AR285">
        <f>TYPE(All_India_Index_Upto_April23__1[[#This Row],[Vegetables]])</f>
        <v>1</v>
      </c>
      <c r="AS285">
        <f>TYPE(All_India_Index_Upto_April23__1[[#This Row],[Pulses and products]])</f>
        <v>1</v>
      </c>
      <c r="AT285">
        <f>TYPE(All_India_Index_Upto_April23__1[[#This Row],[Sugar and Confectionery]])</f>
        <v>1</v>
      </c>
      <c r="AU285">
        <f>TYPE(All_India_Index_Upto_April23__1[[#This Row],[Spices]])</f>
        <v>1</v>
      </c>
      <c r="AV285">
        <f>TYPE(All_India_Index_Upto_April23__1[[#This Row],[Non-alcoholic beverages]])</f>
        <v>1</v>
      </c>
      <c r="AW285">
        <f>TYPE(All_India_Index_Upto_April23__1[[#This Row],[Prepared meals, snacks, sweets etc.]])</f>
        <v>1</v>
      </c>
      <c r="AX285">
        <f>TYPE(All_India_Index_Upto_April23__1[[#This Row],[Food and beverages]])</f>
        <v>1</v>
      </c>
      <c r="AY285">
        <f>TYPE(All_India_Index_Upto_April23__1[[#This Row],[Pan, tobacco and intoxicants]])</f>
        <v>1</v>
      </c>
      <c r="AZ285">
        <f>TYPE(All_India_Index_Upto_April23__1[[#This Row],[Clothing]])</f>
        <v>1</v>
      </c>
      <c r="BA285">
        <f>TYPE(All_India_Index_Upto_April23__1[[#This Row],[Footwear]])</f>
        <v>1</v>
      </c>
      <c r="BB285">
        <f>TYPE(All_India_Index_Upto_April23__1[[#This Row],[Clothing and footwear]])</f>
        <v>1</v>
      </c>
      <c r="BC285">
        <f>TYPE(All_India_Index_Upto_April23__1[[#This Row],[Housing]])</f>
        <v>2</v>
      </c>
      <c r="BD285">
        <f>TYPE(All_India_Index_Upto_April23__1[[#This Row],[Fuel and light]])</f>
        <v>1</v>
      </c>
      <c r="BE285">
        <f>TYPE(All_India_Index_Upto_April23__1[[#This Row],[Household goods and services]])</f>
        <v>1</v>
      </c>
      <c r="BF285">
        <f>TYPE(All_India_Index_Upto_April23__1[[#This Row],[Health]])</f>
        <v>1</v>
      </c>
      <c r="BG285">
        <f>TYPE(All_India_Index_Upto_April23__1[[#This Row],[Transport and communication]])</f>
        <v>1</v>
      </c>
      <c r="BH285">
        <f>TYPE(All_India_Index_Upto_April23__1[[#This Row],[Recreation and amusement]])</f>
        <v>1</v>
      </c>
      <c r="BI285">
        <f>TYPE(All_India_Index_Upto_April23__1[[#This Row],[Education]])</f>
        <v>1</v>
      </c>
      <c r="BJ285">
        <f>TYPE(All_India_Index_Upto_April23__1[[#This Row],[Personal care and effects]])</f>
        <v>1</v>
      </c>
      <c r="BK285">
        <f>TYPE(All_India_Index_Upto_April23__1[[#This Row],[Miscellaneous]])</f>
        <v>1</v>
      </c>
      <c r="BL285">
        <f>TYPE(All_India_Index_Upto_April23__1[[#This Row],[General index]])</f>
        <v>1</v>
      </c>
    </row>
    <row r="286" spans="1:64" hidden="1" x14ac:dyDescent="0.3">
      <c r="A286" t="s">
        <v>32</v>
      </c>
      <c r="B286">
        <v>2020</v>
      </c>
      <c r="C286" t="s">
        <v>44</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t="s">
        <v>180</v>
      </c>
      <c r="V286">
        <v>137.9</v>
      </c>
      <c r="W286">
        <v>145.5</v>
      </c>
      <c r="X286">
        <v>152.9</v>
      </c>
      <c r="Y286">
        <v>135.5</v>
      </c>
      <c r="Z286">
        <v>144.30000000000001</v>
      </c>
      <c r="AA286">
        <v>156.9</v>
      </c>
      <c r="AB286">
        <v>157.9</v>
      </c>
      <c r="AC286">
        <v>146.9</v>
      </c>
      <c r="AD286">
        <v>156.9</v>
      </c>
      <c r="AE286">
        <f>SUM(All_India_Index_Upto_April23__1[[#This Row],[Cereals and products]:[Food and beverages]])</f>
        <v>2125.4</v>
      </c>
      <c r="AF286">
        <f>SUM(All_India_Index_Upto_April23__1[[#This Row],[Clothing]:[Clothing and footwear]])</f>
        <v>438.20000000000005</v>
      </c>
      <c r="AG286">
        <f t="shared" si="4"/>
        <v>418.9</v>
      </c>
      <c r="AI286">
        <f>TYPE(All_India_Index_Upto_April23__1[[#This Row],[Sector]])</f>
        <v>2</v>
      </c>
      <c r="AJ286">
        <f>TYPE(All_India_Index_Upto_April23__1[[#This Row],[Year]])</f>
        <v>1</v>
      </c>
      <c r="AK286">
        <f>TYPE(All_India_Index_Upto_April23__1[[#This Row],[Month]])</f>
        <v>2</v>
      </c>
      <c r="AL286">
        <f>TYPE(All_India_Index_Upto_April23__1[[#This Row],[Cereals and products]])</f>
        <v>1</v>
      </c>
      <c r="AM286">
        <f>TYPE(All_India_Index_Upto_April23__1[[#This Row],[Meat and fish]])</f>
        <v>1</v>
      </c>
      <c r="AN286">
        <f>TYPE(All_India_Index_Upto_April23__1[[#This Row],[Egg]])</f>
        <v>1</v>
      </c>
      <c r="AO286">
        <f>TYPE(All_India_Index_Upto_April23__1[[#This Row],[Milk and products]])</f>
        <v>1</v>
      </c>
      <c r="AP286">
        <f>TYPE(All_India_Index_Upto_April23__1[[#This Row],[Oils and fats]])</f>
        <v>1</v>
      </c>
      <c r="AQ286">
        <f>TYPE(All_India_Index_Upto_April23__1[[#This Row],[Fruits]])</f>
        <v>1</v>
      </c>
      <c r="AR286">
        <f>TYPE(All_India_Index_Upto_April23__1[[#This Row],[Vegetables]])</f>
        <v>1</v>
      </c>
      <c r="AS286">
        <f>TYPE(All_India_Index_Upto_April23__1[[#This Row],[Pulses and products]])</f>
        <v>1</v>
      </c>
      <c r="AT286">
        <f>TYPE(All_India_Index_Upto_April23__1[[#This Row],[Sugar and Confectionery]])</f>
        <v>1</v>
      </c>
      <c r="AU286">
        <f>TYPE(All_India_Index_Upto_April23__1[[#This Row],[Spices]])</f>
        <v>1</v>
      </c>
      <c r="AV286">
        <f>TYPE(All_India_Index_Upto_April23__1[[#This Row],[Non-alcoholic beverages]])</f>
        <v>1</v>
      </c>
      <c r="AW286">
        <f>TYPE(All_India_Index_Upto_April23__1[[#This Row],[Prepared meals, snacks, sweets etc.]])</f>
        <v>1</v>
      </c>
      <c r="AX286">
        <f>TYPE(All_India_Index_Upto_April23__1[[#This Row],[Food and beverages]])</f>
        <v>1</v>
      </c>
      <c r="AY286">
        <f>TYPE(All_India_Index_Upto_April23__1[[#This Row],[Pan, tobacco and intoxicants]])</f>
        <v>1</v>
      </c>
      <c r="AZ286">
        <f>TYPE(All_India_Index_Upto_April23__1[[#This Row],[Clothing]])</f>
        <v>1</v>
      </c>
      <c r="BA286">
        <f>TYPE(All_India_Index_Upto_April23__1[[#This Row],[Footwear]])</f>
        <v>1</v>
      </c>
      <c r="BB286">
        <f>TYPE(All_India_Index_Upto_April23__1[[#This Row],[Clothing and footwear]])</f>
        <v>1</v>
      </c>
      <c r="BC286">
        <f>TYPE(All_India_Index_Upto_April23__1[[#This Row],[Housing]])</f>
        <v>2</v>
      </c>
      <c r="BD286">
        <f>TYPE(All_India_Index_Upto_April23__1[[#This Row],[Fuel and light]])</f>
        <v>1</v>
      </c>
      <c r="BE286">
        <f>TYPE(All_India_Index_Upto_April23__1[[#This Row],[Household goods and services]])</f>
        <v>1</v>
      </c>
      <c r="BF286">
        <f>TYPE(All_India_Index_Upto_April23__1[[#This Row],[Health]])</f>
        <v>1</v>
      </c>
      <c r="BG286">
        <f>TYPE(All_India_Index_Upto_April23__1[[#This Row],[Transport and communication]])</f>
        <v>1</v>
      </c>
      <c r="BH286">
        <f>TYPE(All_India_Index_Upto_April23__1[[#This Row],[Recreation and amusement]])</f>
        <v>1</v>
      </c>
      <c r="BI286">
        <f>TYPE(All_India_Index_Upto_April23__1[[#This Row],[Education]])</f>
        <v>1</v>
      </c>
      <c r="BJ286">
        <f>TYPE(All_India_Index_Upto_April23__1[[#This Row],[Personal care and effects]])</f>
        <v>1</v>
      </c>
      <c r="BK286">
        <f>TYPE(All_India_Index_Upto_April23__1[[#This Row],[Miscellaneous]])</f>
        <v>1</v>
      </c>
      <c r="BL286">
        <f>TYPE(All_India_Index_Upto_April23__1[[#This Row],[General index]])</f>
        <v>1</v>
      </c>
    </row>
    <row r="287" spans="1:64" x14ac:dyDescent="0.3">
      <c r="A287" t="s">
        <v>33</v>
      </c>
      <c r="B287">
        <v>2020</v>
      </c>
      <c r="C287" t="s">
        <v>44</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t="s">
        <v>180</v>
      </c>
      <c r="V287">
        <v>144.6</v>
      </c>
      <c r="W287">
        <v>149.69999999999999</v>
      </c>
      <c r="X287">
        <v>158.30000000000001</v>
      </c>
      <c r="Y287">
        <v>140.69999999999999</v>
      </c>
      <c r="Z287">
        <v>148.5</v>
      </c>
      <c r="AA287">
        <v>159.4</v>
      </c>
      <c r="AB287">
        <v>157.1</v>
      </c>
      <c r="AC287">
        <v>151.19999999999999</v>
      </c>
      <c r="AD287">
        <v>158.9</v>
      </c>
      <c r="AE287">
        <f>SUM(All_India_Index_Upto_April23__1[[#This Row],[Cereals and products]:[Food and beverages]])</f>
        <v>2109.1</v>
      </c>
      <c r="AF287">
        <f>SUM(All_India_Index_Upto_April23__1[[#This Row],[Clothing]:[Clothing and footwear]])</f>
        <v>454</v>
      </c>
      <c r="AG287">
        <f t="shared" si="4"/>
        <v>434.99999999999994</v>
      </c>
      <c r="AI287">
        <f>TYPE(All_India_Index_Upto_April23__1[[#This Row],[Sector]])</f>
        <v>2</v>
      </c>
      <c r="AJ287">
        <f>TYPE(All_India_Index_Upto_April23__1[[#This Row],[Year]])</f>
        <v>1</v>
      </c>
      <c r="AK287">
        <f>TYPE(All_India_Index_Upto_April23__1[[#This Row],[Month]])</f>
        <v>2</v>
      </c>
      <c r="AL287">
        <f>TYPE(All_India_Index_Upto_April23__1[[#This Row],[Cereals and products]])</f>
        <v>1</v>
      </c>
      <c r="AM287">
        <f>TYPE(All_India_Index_Upto_April23__1[[#This Row],[Meat and fish]])</f>
        <v>1</v>
      </c>
      <c r="AN287">
        <f>TYPE(All_India_Index_Upto_April23__1[[#This Row],[Egg]])</f>
        <v>1</v>
      </c>
      <c r="AO287">
        <f>TYPE(All_India_Index_Upto_April23__1[[#This Row],[Milk and products]])</f>
        <v>1</v>
      </c>
      <c r="AP287">
        <f>TYPE(All_India_Index_Upto_April23__1[[#This Row],[Oils and fats]])</f>
        <v>1</v>
      </c>
      <c r="AQ287">
        <f>TYPE(All_India_Index_Upto_April23__1[[#This Row],[Fruits]])</f>
        <v>1</v>
      </c>
      <c r="AR287">
        <f>TYPE(All_India_Index_Upto_April23__1[[#This Row],[Vegetables]])</f>
        <v>1</v>
      </c>
      <c r="AS287">
        <f>TYPE(All_India_Index_Upto_April23__1[[#This Row],[Pulses and products]])</f>
        <v>1</v>
      </c>
      <c r="AT287">
        <f>TYPE(All_India_Index_Upto_April23__1[[#This Row],[Sugar and Confectionery]])</f>
        <v>1</v>
      </c>
      <c r="AU287">
        <f>TYPE(All_India_Index_Upto_April23__1[[#This Row],[Spices]])</f>
        <v>1</v>
      </c>
      <c r="AV287">
        <f>TYPE(All_India_Index_Upto_April23__1[[#This Row],[Non-alcoholic beverages]])</f>
        <v>1</v>
      </c>
      <c r="AW287">
        <f>TYPE(All_India_Index_Upto_April23__1[[#This Row],[Prepared meals, snacks, sweets etc.]])</f>
        <v>1</v>
      </c>
      <c r="AX287">
        <f>TYPE(All_India_Index_Upto_April23__1[[#This Row],[Food and beverages]])</f>
        <v>1</v>
      </c>
      <c r="AY287">
        <f>TYPE(All_India_Index_Upto_April23__1[[#This Row],[Pan, tobacco and intoxicants]])</f>
        <v>1</v>
      </c>
      <c r="AZ287">
        <f>TYPE(All_India_Index_Upto_April23__1[[#This Row],[Clothing]])</f>
        <v>1</v>
      </c>
      <c r="BA287">
        <f>TYPE(All_India_Index_Upto_April23__1[[#This Row],[Footwear]])</f>
        <v>1</v>
      </c>
      <c r="BB287">
        <f>TYPE(All_India_Index_Upto_April23__1[[#This Row],[Clothing and footwear]])</f>
        <v>1</v>
      </c>
      <c r="BC287">
        <f>TYPE(All_India_Index_Upto_April23__1[[#This Row],[Housing]])</f>
        <v>2</v>
      </c>
      <c r="BD287">
        <f>TYPE(All_India_Index_Upto_April23__1[[#This Row],[Fuel and light]])</f>
        <v>1</v>
      </c>
      <c r="BE287">
        <f>TYPE(All_India_Index_Upto_April23__1[[#This Row],[Household goods and services]])</f>
        <v>1</v>
      </c>
      <c r="BF287">
        <f>TYPE(All_India_Index_Upto_April23__1[[#This Row],[Health]])</f>
        <v>1</v>
      </c>
      <c r="BG287">
        <f>TYPE(All_India_Index_Upto_April23__1[[#This Row],[Transport and communication]])</f>
        <v>1</v>
      </c>
      <c r="BH287">
        <f>TYPE(All_India_Index_Upto_April23__1[[#This Row],[Recreation and amusement]])</f>
        <v>1</v>
      </c>
      <c r="BI287">
        <f>TYPE(All_India_Index_Upto_April23__1[[#This Row],[Education]])</f>
        <v>1</v>
      </c>
      <c r="BJ287">
        <f>TYPE(All_India_Index_Upto_April23__1[[#This Row],[Personal care and effects]])</f>
        <v>1</v>
      </c>
      <c r="BK287">
        <f>TYPE(All_India_Index_Upto_April23__1[[#This Row],[Miscellaneous]])</f>
        <v>1</v>
      </c>
      <c r="BL287">
        <f>TYPE(All_India_Index_Upto_April23__1[[#This Row],[General index]])</f>
        <v>1</v>
      </c>
    </row>
    <row r="288" spans="1:64" hidden="1" x14ac:dyDescent="0.3">
      <c r="A288" t="s">
        <v>30</v>
      </c>
      <c r="B288">
        <v>2021</v>
      </c>
      <c r="C288" t="s">
        <v>31</v>
      </c>
      <c r="D288">
        <v>143.4</v>
      </c>
      <c r="E288">
        <v>187.5</v>
      </c>
      <c r="F288">
        <v>173.4</v>
      </c>
      <c r="G288">
        <v>154</v>
      </c>
      <c r="H288">
        <v>154.80000000000001</v>
      </c>
      <c r="I288">
        <v>147</v>
      </c>
      <c r="J288">
        <v>187.8</v>
      </c>
      <c r="K288">
        <v>159.5</v>
      </c>
      <c r="L288">
        <v>113.8</v>
      </c>
      <c r="M288">
        <v>164.5</v>
      </c>
      <c r="N288">
        <v>156.1</v>
      </c>
      <c r="O288">
        <v>164.3</v>
      </c>
      <c r="P288">
        <v>159.6</v>
      </c>
      <c r="Q288">
        <v>184.6</v>
      </c>
      <c r="R288">
        <v>157.5</v>
      </c>
      <c r="S288">
        <v>152.4</v>
      </c>
      <c r="T288">
        <v>156.80000000000001</v>
      </c>
      <c r="U288" t="s">
        <v>89</v>
      </c>
      <c r="V288">
        <v>150.9</v>
      </c>
      <c r="W288">
        <v>153.9</v>
      </c>
      <c r="X288">
        <v>162.5</v>
      </c>
      <c r="Y288">
        <v>147.5</v>
      </c>
      <c r="Z288">
        <v>155.1</v>
      </c>
      <c r="AA288">
        <v>163.5</v>
      </c>
      <c r="AB288">
        <v>156.19999999999999</v>
      </c>
      <c r="AC288">
        <v>155.9</v>
      </c>
      <c r="AD288">
        <v>158.5</v>
      </c>
      <c r="AE288">
        <f>SUM(All_India_Index_Upto_April23__1[[#This Row],[Cereals and products]:[Food and beverages]])</f>
        <v>2065.6999999999998</v>
      </c>
      <c r="AF288">
        <f>SUM(All_India_Index_Upto_April23__1[[#This Row],[Clothing]:[Clothing and footwear]])</f>
        <v>466.7</v>
      </c>
      <c r="AG288">
        <f t="shared" si="4"/>
        <v>452.3</v>
      </c>
      <c r="AI288">
        <f>TYPE(All_India_Index_Upto_April23__1[[#This Row],[Sector]])</f>
        <v>2</v>
      </c>
      <c r="AJ288">
        <f>TYPE(All_India_Index_Upto_April23__1[[#This Row],[Year]])</f>
        <v>1</v>
      </c>
      <c r="AK288">
        <f>TYPE(All_India_Index_Upto_April23__1[[#This Row],[Month]])</f>
        <v>2</v>
      </c>
      <c r="AL288">
        <f>TYPE(All_India_Index_Upto_April23__1[[#This Row],[Cereals and products]])</f>
        <v>1</v>
      </c>
      <c r="AM288">
        <f>TYPE(All_India_Index_Upto_April23__1[[#This Row],[Meat and fish]])</f>
        <v>1</v>
      </c>
      <c r="AN288">
        <f>TYPE(All_India_Index_Upto_April23__1[[#This Row],[Egg]])</f>
        <v>1</v>
      </c>
      <c r="AO288">
        <f>TYPE(All_India_Index_Upto_April23__1[[#This Row],[Milk and products]])</f>
        <v>1</v>
      </c>
      <c r="AP288">
        <f>TYPE(All_India_Index_Upto_April23__1[[#This Row],[Oils and fats]])</f>
        <v>1</v>
      </c>
      <c r="AQ288">
        <f>TYPE(All_India_Index_Upto_April23__1[[#This Row],[Fruits]])</f>
        <v>1</v>
      </c>
      <c r="AR288">
        <f>TYPE(All_India_Index_Upto_April23__1[[#This Row],[Vegetables]])</f>
        <v>1</v>
      </c>
      <c r="AS288">
        <f>TYPE(All_India_Index_Upto_April23__1[[#This Row],[Pulses and products]])</f>
        <v>1</v>
      </c>
      <c r="AT288">
        <f>TYPE(All_India_Index_Upto_April23__1[[#This Row],[Sugar and Confectionery]])</f>
        <v>1</v>
      </c>
      <c r="AU288">
        <f>TYPE(All_India_Index_Upto_April23__1[[#This Row],[Spices]])</f>
        <v>1</v>
      </c>
      <c r="AV288">
        <f>TYPE(All_India_Index_Upto_April23__1[[#This Row],[Non-alcoholic beverages]])</f>
        <v>1</v>
      </c>
      <c r="AW288">
        <f>TYPE(All_India_Index_Upto_April23__1[[#This Row],[Prepared meals, snacks, sweets etc.]])</f>
        <v>1</v>
      </c>
      <c r="AX288">
        <f>TYPE(All_India_Index_Upto_April23__1[[#This Row],[Food and beverages]])</f>
        <v>1</v>
      </c>
      <c r="AY288">
        <f>TYPE(All_India_Index_Upto_April23__1[[#This Row],[Pan, tobacco and intoxicants]])</f>
        <v>1</v>
      </c>
      <c r="AZ288">
        <f>TYPE(All_India_Index_Upto_April23__1[[#This Row],[Clothing]])</f>
        <v>1</v>
      </c>
      <c r="BA288">
        <f>TYPE(All_India_Index_Upto_April23__1[[#This Row],[Footwear]])</f>
        <v>1</v>
      </c>
      <c r="BB288">
        <f>TYPE(All_India_Index_Upto_April23__1[[#This Row],[Clothing and footwear]])</f>
        <v>1</v>
      </c>
      <c r="BC288">
        <f>TYPE(All_India_Index_Upto_April23__1[[#This Row],[Housing]])</f>
        <v>2</v>
      </c>
      <c r="BD288">
        <f>TYPE(All_India_Index_Upto_April23__1[[#This Row],[Fuel and light]])</f>
        <v>1</v>
      </c>
      <c r="BE288">
        <f>TYPE(All_India_Index_Upto_April23__1[[#This Row],[Household goods and services]])</f>
        <v>1</v>
      </c>
      <c r="BF288">
        <f>TYPE(All_India_Index_Upto_April23__1[[#This Row],[Health]])</f>
        <v>1</v>
      </c>
      <c r="BG288">
        <f>TYPE(All_India_Index_Upto_April23__1[[#This Row],[Transport and communication]])</f>
        <v>1</v>
      </c>
      <c r="BH288">
        <f>TYPE(All_India_Index_Upto_April23__1[[#This Row],[Recreation and amusement]])</f>
        <v>1</v>
      </c>
      <c r="BI288">
        <f>TYPE(All_India_Index_Upto_April23__1[[#This Row],[Education]])</f>
        <v>1</v>
      </c>
      <c r="BJ288">
        <f>TYPE(All_India_Index_Upto_April23__1[[#This Row],[Personal care and effects]])</f>
        <v>1</v>
      </c>
      <c r="BK288">
        <f>TYPE(All_India_Index_Upto_April23__1[[#This Row],[Miscellaneous]])</f>
        <v>1</v>
      </c>
      <c r="BL288">
        <f>TYPE(All_India_Index_Upto_April23__1[[#This Row],[General index]])</f>
        <v>1</v>
      </c>
    </row>
    <row r="289" spans="1:64" hidden="1" x14ac:dyDescent="0.3">
      <c r="A289" t="s">
        <v>32</v>
      </c>
      <c r="B289">
        <v>2021</v>
      </c>
      <c r="C289" t="s">
        <v>31</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t="s">
        <v>181</v>
      </c>
      <c r="V289">
        <v>142.9</v>
      </c>
      <c r="W289">
        <v>145.69999999999999</v>
      </c>
      <c r="X289">
        <v>154.1</v>
      </c>
      <c r="Y289">
        <v>136.9</v>
      </c>
      <c r="Z289">
        <v>145.4</v>
      </c>
      <c r="AA289">
        <v>156.1</v>
      </c>
      <c r="AB289">
        <v>157.69999999999999</v>
      </c>
      <c r="AC289">
        <v>147.6</v>
      </c>
      <c r="AD289">
        <v>156</v>
      </c>
      <c r="AE289">
        <f>SUM(All_India_Index_Upto_April23__1[[#This Row],[Cereals and products]:[Food and beverages]])</f>
        <v>2097</v>
      </c>
      <c r="AF289">
        <f>SUM(All_India_Index_Upto_April23__1[[#This Row],[Clothing]:[Clothing and footwear]])</f>
        <v>440</v>
      </c>
      <c r="AG289">
        <f t="shared" si="4"/>
        <v>425.5</v>
      </c>
      <c r="AI289">
        <f>TYPE(All_India_Index_Upto_April23__1[[#This Row],[Sector]])</f>
        <v>2</v>
      </c>
      <c r="AJ289">
        <f>TYPE(All_India_Index_Upto_April23__1[[#This Row],[Year]])</f>
        <v>1</v>
      </c>
      <c r="AK289">
        <f>TYPE(All_India_Index_Upto_April23__1[[#This Row],[Month]])</f>
        <v>2</v>
      </c>
      <c r="AL289">
        <f>TYPE(All_India_Index_Upto_April23__1[[#This Row],[Cereals and products]])</f>
        <v>1</v>
      </c>
      <c r="AM289">
        <f>TYPE(All_India_Index_Upto_April23__1[[#This Row],[Meat and fish]])</f>
        <v>1</v>
      </c>
      <c r="AN289">
        <f>TYPE(All_India_Index_Upto_April23__1[[#This Row],[Egg]])</f>
        <v>1</v>
      </c>
      <c r="AO289">
        <f>TYPE(All_India_Index_Upto_April23__1[[#This Row],[Milk and products]])</f>
        <v>1</v>
      </c>
      <c r="AP289">
        <f>TYPE(All_India_Index_Upto_April23__1[[#This Row],[Oils and fats]])</f>
        <v>1</v>
      </c>
      <c r="AQ289">
        <f>TYPE(All_India_Index_Upto_April23__1[[#This Row],[Fruits]])</f>
        <v>1</v>
      </c>
      <c r="AR289">
        <f>TYPE(All_India_Index_Upto_April23__1[[#This Row],[Vegetables]])</f>
        <v>1</v>
      </c>
      <c r="AS289">
        <f>TYPE(All_India_Index_Upto_April23__1[[#This Row],[Pulses and products]])</f>
        <v>1</v>
      </c>
      <c r="AT289">
        <f>TYPE(All_India_Index_Upto_April23__1[[#This Row],[Sugar and Confectionery]])</f>
        <v>1</v>
      </c>
      <c r="AU289">
        <f>TYPE(All_India_Index_Upto_April23__1[[#This Row],[Spices]])</f>
        <v>1</v>
      </c>
      <c r="AV289">
        <f>TYPE(All_India_Index_Upto_April23__1[[#This Row],[Non-alcoholic beverages]])</f>
        <v>1</v>
      </c>
      <c r="AW289">
        <f>TYPE(All_India_Index_Upto_April23__1[[#This Row],[Prepared meals, snacks, sweets etc.]])</f>
        <v>1</v>
      </c>
      <c r="AX289">
        <f>TYPE(All_India_Index_Upto_April23__1[[#This Row],[Food and beverages]])</f>
        <v>1</v>
      </c>
      <c r="AY289">
        <f>TYPE(All_India_Index_Upto_April23__1[[#This Row],[Pan, tobacco and intoxicants]])</f>
        <v>1</v>
      </c>
      <c r="AZ289">
        <f>TYPE(All_India_Index_Upto_April23__1[[#This Row],[Clothing]])</f>
        <v>1</v>
      </c>
      <c r="BA289">
        <f>TYPE(All_India_Index_Upto_April23__1[[#This Row],[Footwear]])</f>
        <v>1</v>
      </c>
      <c r="BB289">
        <f>TYPE(All_India_Index_Upto_April23__1[[#This Row],[Clothing and footwear]])</f>
        <v>1</v>
      </c>
      <c r="BC289">
        <f>TYPE(All_India_Index_Upto_April23__1[[#This Row],[Housing]])</f>
        <v>2</v>
      </c>
      <c r="BD289">
        <f>TYPE(All_India_Index_Upto_April23__1[[#This Row],[Fuel and light]])</f>
        <v>1</v>
      </c>
      <c r="BE289">
        <f>TYPE(All_India_Index_Upto_April23__1[[#This Row],[Household goods and services]])</f>
        <v>1</v>
      </c>
      <c r="BF289">
        <f>TYPE(All_India_Index_Upto_April23__1[[#This Row],[Health]])</f>
        <v>1</v>
      </c>
      <c r="BG289">
        <f>TYPE(All_India_Index_Upto_April23__1[[#This Row],[Transport and communication]])</f>
        <v>1</v>
      </c>
      <c r="BH289">
        <f>TYPE(All_India_Index_Upto_April23__1[[#This Row],[Recreation and amusement]])</f>
        <v>1</v>
      </c>
      <c r="BI289">
        <f>TYPE(All_India_Index_Upto_April23__1[[#This Row],[Education]])</f>
        <v>1</v>
      </c>
      <c r="BJ289">
        <f>TYPE(All_India_Index_Upto_April23__1[[#This Row],[Personal care and effects]])</f>
        <v>1</v>
      </c>
      <c r="BK289">
        <f>TYPE(All_India_Index_Upto_April23__1[[#This Row],[Miscellaneous]])</f>
        <v>1</v>
      </c>
      <c r="BL289">
        <f>TYPE(All_India_Index_Upto_April23__1[[#This Row],[General index]])</f>
        <v>1</v>
      </c>
    </row>
    <row r="290" spans="1:64" hidden="1" x14ac:dyDescent="0.3">
      <c r="A290" t="s">
        <v>33</v>
      </c>
      <c r="B290">
        <v>2021</v>
      </c>
      <c r="C290" t="s">
        <v>31</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t="s">
        <v>181</v>
      </c>
      <c r="V290">
        <v>147.9</v>
      </c>
      <c r="W290">
        <v>150</v>
      </c>
      <c r="X290">
        <v>159.30000000000001</v>
      </c>
      <c r="Y290">
        <v>141.9</v>
      </c>
      <c r="Z290">
        <v>149.6</v>
      </c>
      <c r="AA290">
        <v>159.19999999999999</v>
      </c>
      <c r="AB290">
        <v>156.80000000000001</v>
      </c>
      <c r="AC290">
        <v>151.9</v>
      </c>
      <c r="AD290">
        <v>157.30000000000001</v>
      </c>
      <c r="AE290">
        <f>SUM(All_India_Index_Upto_April23__1[[#This Row],[Cereals and products]:[Food and beverages]])</f>
        <v>2076.5</v>
      </c>
      <c r="AF290">
        <f>SUM(All_India_Index_Upto_April23__1[[#This Row],[Clothing]:[Clothing and footwear]])</f>
        <v>455.8</v>
      </c>
      <c r="AG290">
        <f t="shared" si="4"/>
        <v>439.79999999999995</v>
      </c>
      <c r="AI290">
        <f>TYPE(All_India_Index_Upto_April23__1[[#This Row],[Sector]])</f>
        <v>2</v>
      </c>
      <c r="AJ290">
        <f>TYPE(All_India_Index_Upto_April23__1[[#This Row],[Year]])</f>
        <v>1</v>
      </c>
      <c r="AK290">
        <f>TYPE(All_India_Index_Upto_April23__1[[#This Row],[Month]])</f>
        <v>2</v>
      </c>
      <c r="AL290">
        <f>TYPE(All_India_Index_Upto_April23__1[[#This Row],[Cereals and products]])</f>
        <v>1</v>
      </c>
      <c r="AM290">
        <f>TYPE(All_India_Index_Upto_April23__1[[#This Row],[Meat and fish]])</f>
        <v>1</v>
      </c>
      <c r="AN290">
        <f>TYPE(All_India_Index_Upto_April23__1[[#This Row],[Egg]])</f>
        <v>1</v>
      </c>
      <c r="AO290">
        <f>TYPE(All_India_Index_Upto_April23__1[[#This Row],[Milk and products]])</f>
        <v>1</v>
      </c>
      <c r="AP290">
        <f>TYPE(All_India_Index_Upto_April23__1[[#This Row],[Oils and fats]])</f>
        <v>1</v>
      </c>
      <c r="AQ290">
        <f>TYPE(All_India_Index_Upto_April23__1[[#This Row],[Fruits]])</f>
        <v>1</v>
      </c>
      <c r="AR290">
        <f>TYPE(All_India_Index_Upto_April23__1[[#This Row],[Vegetables]])</f>
        <v>1</v>
      </c>
      <c r="AS290">
        <f>TYPE(All_India_Index_Upto_April23__1[[#This Row],[Pulses and products]])</f>
        <v>1</v>
      </c>
      <c r="AT290">
        <f>TYPE(All_India_Index_Upto_April23__1[[#This Row],[Sugar and Confectionery]])</f>
        <v>1</v>
      </c>
      <c r="AU290">
        <f>TYPE(All_India_Index_Upto_April23__1[[#This Row],[Spices]])</f>
        <v>1</v>
      </c>
      <c r="AV290">
        <f>TYPE(All_India_Index_Upto_April23__1[[#This Row],[Non-alcoholic beverages]])</f>
        <v>1</v>
      </c>
      <c r="AW290">
        <f>TYPE(All_India_Index_Upto_April23__1[[#This Row],[Prepared meals, snacks, sweets etc.]])</f>
        <v>1</v>
      </c>
      <c r="AX290">
        <f>TYPE(All_India_Index_Upto_April23__1[[#This Row],[Food and beverages]])</f>
        <v>1</v>
      </c>
      <c r="AY290">
        <f>TYPE(All_India_Index_Upto_April23__1[[#This Row],[Pan, tobacco and intoxicants]])</f>
        <v>1</v>
      </c>
      <c r="AZ290">
        <f>TYPE(All_India_Index_Upto_April23__1[[#This Row],[Clothing]])</f>
        <v>1</v>
      </c>
      <c r="BA290">
        <f>TYPE(All_India_Index_Upto_April23__1[[#This Row],[Footwear]])</f>
        <v>1</v>
      </c>
      <c r="BB290">
        <f>TYPE(All_India_Index_Upto_April23__1[[#This Row],[Clothing and footwear]])</f>
        <v>1</v>
      </c>
      <c r="BC290">
        <f>TYPE(All_India_Index_Upto_April23__1[[#This Row],[Housing]])</f>
        <v>2</v>
      </c>
      <c r="BD290">
        <f>TYPE(All_India_Index_Upto_April23__1[[#This Row],[Fuel and light]])</f>
        <v>1</v>
      </c>
      <c r="BE290">
        <f>TYPE(All_India_Index_Upto_April23__1[[#This Row],[Household goods and services]])</f>
        <v>1</v>
      </c>
      <c r="BF290">
        <f>TYPE(All_India_Index_Upto_April23__1[[#This Row],[Health]])</f>
        <v>1</v>
      </c>
      <c r="BG290">
        <f>TYPE(All_India_Index_Upto_April23__1[[#This Row],[Transport and communication]])</f>
        <v>1</v>
      </c>
      <c r="BH290">
        <f>TYPE(All_India_Index_Upto_April23__1[[#This Row],[Recreation and amusement]])</f>
        <v>1</v>
      </c>
      <c r="BI290">
        <f>TYPE(All_India_Index_Upto_April23__1[[#This Row],[Education]])</f>
        <v>1</v>
      </c>
      <c r="BJ290">
        <f>TYPE(All_India_Index_Upto_April23__1[[#This Row],[Personal care and effects]])</f>
        <v>1</v>
      </c>
      <c r="BK290">
        <f>TYPE(All_India_Index_Upto_April23__1[[#This Row],[Miscellaneous]])</f>
        <v>1</v>
      </c>
      <c r="BL290">
        <f>TYPE(All_India_Index_Upto_April23__1[[#This Row],[General index]])</f>
        <v>1</v>
      </c>
    </row>
    <row r="291" spans="1:64" hidden="1" x14ac:dyDescent="0.3">
      <c r="A291" t="s">
        <v>30</v>
      </c>
      <c r="B291">
        <v>2021</v>
      </c>
      <c r="C291" t="s">
        <v>34</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U291" t="s">
        <v>89</v>
      </c>
      <c r="V291">
        <v>154.4</v>
      </c>
      <c r="W291">
        <v>154.80000000000001</v>
      </c>
      <c r="X291">
        <v>164.3</v>
      </c>
      <c r="Y291">
        <v>150.19999999999999</v>
      </c>
      <c r="Z291">
        <v>157</v>
      </c>
      <c r="AA291">
        <v>163.6</v>
      </c>
      <c r="AB291">
        <v>155.19999999999999</v>
      </c>
      <c r="AC291">
        <v>157.19999999999999</v>
      </c>
      <c r="AD291">
        <v>156.69999999999999</v>
      </c>
      <c r="AE291">
        <f>SUM(All_India_Index_Upto_April23__1[[#This Row],[Cereals and products]:[Food and beverages]])</f>
        <v>2025.3</v>
      </c>
      <c r="AF291">
        <f>SUM(All_India_Index_Upto_April23__1[[#This Row],[Clothing]:[Clothing and footwear]])</f>
        <v>471.4</v>
      </c>
      <c r="AG291">
        <f t="shared" si="4"/>
        <v>459.40000000000003</v>
      </c>
      <c r="AI291">
        <f>TYPE(All_India_Index_Upto_April23__1[[#This Row],[Sector]])</f>
        <v>2</v>
      </c>
      <c r="AJ291">
        <f>TYPE(All_India_Index_Upto_April23__1[[#This Row],[Year]])</f>
        <v>1</v>
      </c>
      <c r="AK291">
        <f>TYPE(All_India_Index_Upto_April23__1[[#This Row],[Month]])</f>
        <v>2</v>
      </c>
      <c r="AL291">
        <f>TYPE(All_India_Index_Upto_April23__1[[#This Row],[Cereals and products]])</f>
        <v>1</v>
      </c>
      <c r="AM291">
        <f>TYPE(All_India_Index_Upto_April23__1[[#This Row],[Meat and fish]])</f>
        <v>1</v>
      </c>
      <c r="AN291">
        <f>TYPE(All_India_Index_Upto_April23__1[[#This Row],[Egg]])</f>
        <v>1</v>
      </c>
      <c r="AO291">
        <f>TYPE(All_India_Index_Upto_April23__1[[#This Row],[Milk and products]])</f>
        <v>1</v>
      </c>
      <c r="AP291">
        <f>TYPE(All_India_Index_Upto_April23__1[[#This Row],[Oils and fats]])</f>
        <v>1</v>
      </c>
      <c r="AQ291">
        <f>TYPE(All_India_Index_Upto_April23__1[[#This Row],[Fruits]])</f>
        <v>1</v>
      </c>
      <c r="AR291">
        <f>TYPE(All_India_Index_Upto_April23__1[[#This Row],[Vegetables]])</f>
        <v>1</v>
      </c>
      <c r="AS291">
        <f>TYPE(All_India_Index_Upto_April23__1[[#This Row],[Pulses and products]])</f>
        <v>1</v>
      </c>
      <c r="AT291">
        <f>TYPE(All_India_Index_Upto_April23__1[[#This Row],[Sugar and Confectionery]])</f>
        <v>1</v>
      </c>
      <c r="AU291">
        <f>TYPE(All_India_Index_Upto_April23__1[[#This Row],[Spices]])</f>
        <v>1</v>
      </c>
      <c r="AV291">
        <f>TYPE(All_India_Index_Upto_April23__1[[#This Row],[Non-alcoholic beverages]])</f>
        <v>1</v>
      </c>
      <c r="AW291">
        <f>TYPE(All_India_Index_Upto_April23__1[[#This Row],[Prepared meals, snacks, sweets etc.]])</f>
        <v>1</v>
      </c>
      <c r="AX291">
        <f>TYPE(All_India_Index_Upto_April23__1[[#This Row],[Food and beverages]])</f>
        <v>1</v>
      </c>
      <c r="AY291">
        <f>TYPE(All_India_Index_Upto_April23__1[[#This Row],[Pan, tobacco and intoxicants]])</f>
        <v>1</v>
      </c>
      <c r="AZ291">
        <f>TYPE(All_India_Index_Upto_April23__1[[#This Row],[Clothing]])</f>
        <v>1</v>
      </c>
      <c r="BA291">
        <f>TYPE(All_India_Index_Upto_April23__1[[#This Row],[Footwear]])</f>
        <v>1</v>
      </c>
      <c r="BB291">
        <f>TYPE(All_India_Index_Upto_April23__1[[#This Row],[Clothing and footwear]])</f>
        <v>1</v>
      </c>
      <c r="BC291">
        <f>TYPE(All_India_Index_Upto_April23__1[[#This Row],[Housing]])</f>
        <v>2</v>
      </c>
      <c r="BD291">
        <f>TYPE(All_India_Index_Upto_April23__1[[#This Row],[Fuel and light]])</f>
        <v>1</v>
      </c>
      <c r="BE291">
        <f>TYPE(All_India_Index_Upto_April23__1[[#This Row],[Household goods and services]])</f>
        <v>1</v>
      </c>
      <c r="BF291">
        <f>TYPE(All_India_Index_Upto_April23__1[[#This Row],[Health]])</f>
        <v>1</v>
      </c>
      <c r="BG291">
        <f>TYPE(All_India_Index_Upto_April23__1[[#This Row],[Transport and communication]])</f>
        <v>1</v>
      </c>
      <c r="BH291">
        <f>TYPE(All_India_Index_Upto_April23__1[[#This Row],[Recreation and amusement]])</f>
        <v>1</v>
      </c>
      <c r="BI291">
        <f>TYPE(All_India_Index_Upto_April23__1[[#This Row],[Education]])</f>
        <v>1</v>
      </c>
      <c r="BJ291">
        <f>TYPE(All_India_Index_Upto_April23__1[[#This Row],[Personal care and effects]])</f>
        <v>1</v>
      </c>
      <c r="BK291">
        <f>TYPE(All_India_Index_Upto_April23__1[[#This Row],[Miscellaneous]])</f>
        <v>1</v>
      </c>
      <c r="BL291">
        <f>TYPE(All_India_Index_Upto_April23__1[[#This Row],[General index]])</f>
        <v>1</v>
      </c>
    </row>
    <row r="292" spans="1:64" hidden="1" x14ac:dyDescent="0.3">
      <c r="A292" t="s">
        <v>32</v>
      </c>
      <c r="B292">
        <v>2021</v>
      </c>
      <c r="C292" t="s">
        <v>34</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t="s">
        <v>182</v>
      </c>
      <c r="V292">
        <v>149.1</v>
      </c>
      <c r="W292">
        <v>146.5</v>
      </c>
      <c r="X292">
        <v>156.30000000000001</v>
      </c>
      <c r="Y292">
        <v>140.5</v>
      </c>
      <c r="Z292">
        <v>147.30000000000001</v>
      </c>
      <c r="AA292">
        <v>156.6</v>
      </c>
      <c r="AB292">
        <v>156.69999999999999</v>
      </c>
      <c r="AC292">
        <v>149.30000000000001</v>
      </c>
      <c r="AD292">
        <v>156.5</v>
      </c>
      <c r="AE292">
        <f>SUM(All_India_Index_Upto_April23__1[[#This Row],[Cereals and products]:[Food and beverages]])</f>
        <v>2066</v>
      </c>
      <c r="AF292">
        <f>SUM(All_India_Index_Upto_April23__1[[#This Row],[Clothing]:[Clothing and footwear]])</f>
        <v>444.2</v>
      </c>
      <c r="AG292">
        <f t="shared" si="4"/>
        <v>436.1</v>
      </c>
      <c r="AI292">
        <f>TYPE(All_India_Index_Upto_April23__1[[#This Row],[Sector]])</f>
        <v>2</v>
      </c>
      <c r="AJ292">
        <f>TYPE(All_India_Index_Upto_April23__1[[#This Row],[Year]])</f>
        <v>1</v>
      </c>
      <c r="AK292">
        <f>TYPE(All_India_Index_Upto_April23__1[[#This Row],[Month]])</f>
        <v>2</v>
      </c>
      <c r="AL292">
        <f>TYPE(All_India_Index_Upto_April23__1[[#This Row],[Cereals and products]])</f>
        <v>1</v>
      </c>
      <c r="AM292">
        <f>TYPE(All_India_Index_Upto_April23__1[[#This Row],[Meat and fish]])</f>
        <v>1</v>
      </c>
      <c r="AN292">
        <f>TYPE(All_India_Index_Upto_April23__1[[#This Row],[Egg]])</f>
        <v>1</v>
      </c>
      <c r="AO292">
        <f>TYPE(All_India_Index_Upto_April23__1[[#This Row],[Milk and products]])</f>
        <v>1</v>
      </c>
      <c r="AP292">
        <f>TYPE(All_India_Index_Upto_April23__1[[#This Row],[Oils and fats]])</f>
        <v>1</v>
      </c>
      <c r="AQ292">
        <f>TYPE(All_India_Index_Upto_April23__1[[#This Row],[Fruits]])</f>
        <v>1</v>
      </c>
      <c r="AR292">
        <f>TYPE(All_India_Index_Upto_April23__1[[#This Row],[Vegetables]])</f>
        <v>1</v>
      </c>
      <c r="AS292">
        <f>TYPE(All_India_Index_Upto_April23__1[[#This Row],[Pulses and products]])</f>
        <v>1</v>
      </c>
      <c r="AT292">
        <f>TYPE(All_India_Index_Upto_April23__1[[#This Row],[Sugar and Confectionery]])</f>
        <v>1</v>
      </c>
      <c r="AU292">
        <f>TYPE(All_India_Index_Upto_April23__1[[#This Row],[Spices]])</f>
        <v>1</v>
      </c>
      <c r="AV292">
        <f>TYPE(All_India_Index_Upto_April23__1[[#This Row],[Non-alcoholic beverages]])</f>
        <v>1</v>
      </c>
      <c r="AW292">
        <f>TYPE(All_India_Index_Upto_April23__1[[#This Row],[Prepared meals, snacks, sweets etc.]])</f>
        <v>1</v>
      </c>
      <c r="AX292">
        <f>TYPE(All_India_Index_Upto_April23__1[[#This Row],[Food and beverages]])</f>
        <v>1</v>
      </c>
      <c r="AY292">
        <f>TYPE(All_India_Index_Upto_April23__1[[#This Row],[Pan, tobacco and intoxicants]])</f>
        <v>1</v>
      </c>
      <c r="AZ292">
        <f>TYPE(All_India_Index_Upto_April23__1[[#This Row],[Clothing]])</f>
        <v>1</v>
      </c>
      <c r="BA292">
        <f>TYPE(All_India_Index_Upto_April23__1[[#This Row],[Footwear]])</f>
        <v>1</v>
      </c>
      <c r="BB292">
        <f>TYPE(All_India_Index_Upto_April23__1[[#This Row],[Clothing and footwear]])</f>
        <v>1</v>
      </c>
      <c r="BC292">
        <f>TYPE(All_India_Index_Upto_April23__1[[#This Row],[Housing]])</f>
        <v>2</v>
      </c>
      <c r="BD292">
        <f>TYPE(All_India_Index_Upto_April23__1[[#This Row],[Fuel and light]])</f>
        <v>1</v>
      </c>
      <c r="BE292">
        <f>TYPE(All_India_Index_Upto_April23__1[[#This Row],[Household goods and services]])</f>
        <v>1</v>
      </c>
      <c r="BF292">
        <f>TYPE(All_India_Index_Upto_April23__1[[#This Row],[Health]])</f>
        <v>1</v>
      </c>
      <c r="BG292">
        <f>TYPE(All_India_Index_Upto_April23__1[[#This Row],[Transport and communication]])</f>
        <v>1</v>
      </c>
      <c r="BH292">
        <f>TYPE(All_India_Index_Upto_April23__1[[#This Row],[Recreation and amusement]])</f>
        <v>1</v>
      </c>
      <c r="BI292">
        <f>TYPE(All_India_Index_Upto_April23__1[[#This Row],[Education]])</f>
        <v>1</v>
      </c>
      <c r="BJ292">
        <f>TYPE(All_India_Index_Upto_April23__1[[#This Row],[Personal care and effects]])</f>
        <v>1</v>
      </c>
      <c r="BK292">
        <f>TYPE(All_India_Index_Upto_April23__1[[#This Row],[Miscellaneous]])</f>
        <v>1</v>
      </c>
      <c r="BL292">
        <f>TYPE(All_India_Index_Upto_April23__1[[#This Row],[General index]])</f>
        <v>1</v>
      </c>
    </row>
    <row r="293" spans="1:64" hidden="1" x14ac:dyDescent="0.3">
      <c r="A293" t="s">
        <v>33</v>
      </c>
      <c r="B293">
        <v>2021</v>
      </c>
      <c r="C293" t="s">
        <v>34</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t="s">
        <v>182</v>
      </c>
      <c r="V293">
        <v>152.4</v>
      </c>
      <c r="W293">
        <v>150.9</v>
      </c>
      <c r="X293">
        <v>161.30000000000001</v>
      </c>
      <c r="Y293">
        <v>145.1</v>
      </c>
      <c r="Z293">
        <v>151.5</v>
      </c>
      <c r="AA293">
        <v>159.5</v>
      </c>
      <c r="AB293">
        <v>155.80000000000001</v>
      </c>
      <c r="AC293">
        <v>153.4</v>
      </c>
      <c r="AD293">
        <v>156.6</v>
      </c>
      <c r="AE293">
        <f>SUM(All_India_Index_Upto_April23__1[[#This Row],[Cereals and products]:[Food and beverages]])</f>
        <v>2039.3000000000002</v>
      </c>
      <c r="AF293">
        <f>SUM(All_India_Index_Upto_April23__1[[#This Row],[Clothing]:[Clothing and footwear]])</f>
        <v>460.40000000000003</v>
      </c>
      <c r="AG293">
        <f t="shared" si="4"/>
        <v>448.4</v>
      </c>
      <c r="AI293">
        <f>TYPE(All_India_Index_Upto_April23__1[[#This Row],[Sector]])</f>
        <v>2</v>
      </c>
      <c r="AJ293">
        <f>TYPE(All_India_Index_Upto_April23__1[[#This Row],[Year]])</f>
        <v>1</v>
      </c>
      <c r="AK293">
        <f>TYPE(All_India_Index_Upto_April23__1[[#This Row],[Month]])</f>
        <v>2</v>
      </c>
      <c r="AL293">
        <f>TYPE(All_India_Index_Upto_April23__1[[#This Row],[Cereals and products]])</f>
        <v>1</v>
      </c>
      <c r="AM293">
        <f>TYPE(All_India_Index_Upto_April23__1[[#This Row],[Meat and fish]])</f>
        <v>1</v>
      </c>
      <c r="AN293">
        <f>TYPE(All_India_Index_Upto_April23__1[[#This Row],[Egg]])</f>
        <v>1</v>
      </c>
      <c r="AO293">
        <f>TYPE(All_India_Index_Upto_April23__1[[#This Row],[Milk and products]])</f>
        <v>1</v>
      </c>
      <c r="AP293">
        <f>TYPE(All_India_Index_Upto_April23__1[[#This Row],[Oils and fats]])</f>
        <v>1</v>
      </c>
      <c r="AQ293">
        <f>TYPE(All_India_Index_Upto_April23__1[[#This Row],[Fruits]])</f>
        <v>1</v>
      </c>
      <c r="AR293">
        <f>TYPE(All_India_Index_Upto_April23__1[[#This Row],[Vegetables]])</f>
        <v>1</v>
      </c>
      <c r="AS293">
        <f>TYPE(All_India_Index_Upto_April23__1[[#This Row],[Pulses and products]])</f>
        <v>1</v>
      </c>
      <c r="AT293">
        <f>TYPE(All_India_Index_Upto_April23__1[[#This Row],[Sugar and Confectionery]])</f>
        <v>1</v>
      </c>
      <c r="AU293">
        <f>TYPE(All_India_Index_Upto_April23__1[[#This Row],[Spices]])</f>
        <v>1</v>
      </c>
      <c r="AV293">
        <f>TYPE(All_India_Index_Upto_April23__1[[#This Row],[Non-alcoholic beverages]])</f>
        <v>1</v>
      </c>
      <c r="AW293">
        <f>TYPE(All_India_Index_Upto_April23__1[[#This Row],[Prepared meals, snacks, sweets etc.]])</f>
        <v>1</v>
      </c>
      <c r="AX293">
        <f>TYPE(All_India_Index_Upto_April23__1[[#This Row],[Food and beverages]])</f>
        <v>1</v>
      </c>
      <c r="AY293">
        <f>TYPE(All_India_Index_Upto_April23__1[[#This Row],[Pan, tobacco and intoxicants]])</f>
        <v>1</v>
      </c>
      <c r="AZ293">
        <f>TYPE(All_India_Index_Upto_April23__1[[#This Row],[Clothing]])</f>
        <v>1</v>
      </c>
      <c r="BA293">
        <f>TYPE(All_India_Index_Upto_April23__1[[#This Row],[Footwear]])</f>
        <v>1</v>
      </c>
      <c r="BB293">
        <f>TYPE(All_India_Index_Upto_April23__1[[#This Row],[Clothing and footwear]])</f>
        <v>1</v>
      </c>
      <c r="BC293">
        <f>TYPE(All_India_Index_Upto_April23__1[[#This Row],[Housing]])</f>
        <v>2</v>
      </c>
      <c r="BD293">
        <f>TYPE(All_India_Index_Upto_April23__1[[#This Row],[Fuel and light]])</f>
        <v>1</v>
      </c>
      <c r="BE293">
        <f>TYPE(All_India_Index_Upto_April23__1[[#This Row],[Household goods and services]])</f>
        <v>1</v>
      </c>
      <c r="BF293">
        <f>TYPE(All_India_Index_Upto_April23__1[[#This Row],[Health]])</f>
        <v>1</v>
      </c>
      <c r="BG293">
        <f>TYPE(All_India_Index_Upto_April23__1[[#This Row],[Transport and communication]])</f>
        <v>1</v>
      </c>
      <c r="BH293">
        <f>TYPE(All_India_Index_Upto_April23__1[[#This Row],[Recreation and amusement]])</f>
        <v>1</v>
      </c>
      <c r="BI293">
        <f>TYPE(All_India_Index_Upto_April23__1[[#This Row],[Education]])</f>
        <v>1</v>
      </c>
      <c r="BJ293">
        <f>TYPE(All_India_Index_Upto_April23__1[[#This Row],[Personal care and effects]])</f>
        <v>1</v>
      </c>
      <c r="BK293">
        <f>TYPE(All_India_Index_Upto_April23__1[[#This Row],[Miscellaneous]])</f>
        <v>1</v>
      </c>
      <c r="BL293">
        <f>TYPE(All_India_Index_Upto_April23__1[[#This Row],[General index]])</f>
        <v>1</v>
      </c>
    </row>
    <row r="294" spans="1:64" hidden="1" x14ac:dyDescent="0.3">
      <c r="A294" t="s">
        <v>30</v>
      </c>
      <c r="B294">
        <v>2021</v>
      </c>
      <c r="C294" t="s">
        <v>35</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U294" t="s">
        <v>183</v>
      </c>
      <c r="V294">
        <v>156</v>
      </c>
      <c r="W294">
        <v>154.80000000000001</v>
      </c>
      <c r="X294">
        <v>164.6</v>
      </c>
      <c r="Y294">
        <v>151.30000000000001</v>
      </c>
      <c r="Z294">
        <v>157.80000000000001</v>
      </c>
      <c r="AA294">
        <v>163.80000000000001</v>
      </c>
      <c r="AB294">
        <v>153.1</v>
      </c>
      <c r="AC294">
        <v>157.30000000000001</v>
      </c>
      <c r="AD294">
        <v>156.69999999999999</v>
      </c>
      <c r="AE294">
        <f>SUM(All_India_Index_Upto_April23__1[[#This Row],[Cereals and products]:[Food and beverages]])</f>
        <v>2025.7</v>
      </c>
      <c r="AF294">
        <f>SUM(All_India_Index_Upto_April23__1[[#This Row],[Clothing]:[Clothing and footwear]])</f>
        <v>472.9</v>
      </c>
      <c r="AG294">
        <f t="shared" si="4"/>
        <v>462.1</v>
      </c>
      <c r="AI294">
        <f>TYPE(All_India_Index_Upto_April23__1[[#This Row],[Sector]])</f>
        <v>2</v>
      </c>
      <c r="AJ294">
        <f>TYPE(All_India_Index_Upto_April23__1[[#This Row],[Year]])</f>
        <v>1</v>
      </c>
      <c r="AK294">
        <f>TYPE(All_India_Index_Upto_April23__1[[#This Row],[Month]])</f>
        <v>2</v>
      </c>
      <c r="AL294">
        <f>TYPE(All_India_Index_Upto_April23__1[[#This Row],[Cereals and products]])</f>
        <v>1</v>
      </c>
      <c r="AM294">
        <f>TYPE(All_India_Index_Upto_April23__1[[#This Row],[Meat and fish]])</f>
        <v>1</v>
      </c>
      <c r="AN294">
        <f>TYPE(All_India_Index_Upto_April23__1[[#This Row],[Egg]])</f>
        <v>1</v>
      </c>
      <c r="AO294">
        <f>TYPE(All_India_Index_Upto_April23__1[[#This Row],[Milk and products]])</f>
        <v>1</v>
      </c>
      <c r="AP294">
        <f>TYPE(All_India_Index_Upto_April23__1[[#This Row],[Oils and fats]])</f>
        <v>1</v>
      </c>
      <c r="AQ294">
        <f>TYPE(All_India_Index_Upto_April23__1[[#This Row],[Fruits]])</f>
        <v>1</v>
      </c>
      <c r="AR294">
        <f>TYPE(All_India_Index_Upto_April23__1[[#This Row],[Vegetables]])</f>
        <v>1</v>
      </c>
      <c r="AS294">
        <f>TYPE(All_India_Index_Upto_April23__1[[#This Row],[Pulses and products]])</f>
        <v>1</v>
      </c>
      <c r="AT294">
        <f>TYPE(All_India_Index_Upto_April23__1[[#This Row],[Sugar and Confectionery]])</f>
        <v>1</v>
      </c>
      <c r="AU294">
        <f>TYPE(All_India_Index_Upto_April23__1[[#This Row],[Spices]])</f>
        <v>1</v>
      </c>
      <c r="AV294">
        <f>TYPE(All_India_Index_Upto_April23__1[[#This Row],[Non-alcoholic beverages]])</f>
        <v>1</v>
      </c>
      <c r="AW294">
        <f>TYPE(All_India_Index_Upto_April23__1[[#This Row],[Prepared meals, snacks, sweets etc.]])</f>
        <v>1</v>
      </c>
      <c r="AX294">
        <f>TYPE(All_India_Index_Upto_April23__1[[#This Row],[Food and beverages]])</f>
        <v>1</v>
      </c>
      <c r="AY294">
        <f>TYPE(All_India_Index_Upto_April23__1[[#This Row],[Pan, tobacco and intoxicants]])</f>
        <v>1</v>
      </c>
      <c r="AZ294">
        <f>TYPE(All_India_Index_Upto_April23__1[[#This Row],[Clothing]])</f>
        <v>1</v>
      </c>
      <c r="BA294">
        <f>TYPE(All_India_Index_Upto_April23__1[[#This Row],[Footwear]])</f>
        <v>1</v>
      </c>
      <c r="BB294">
        <f>TYPE(All_India_Index_Upto_April23__1[[#This Row],[Clothing and footwear]])</f>
        <v>1</v>
      </c>
      <c r="BC294">
        <f>TYPE(All_India_Index_Upto_April23__1[[#This Row],[Housing]])</f>
        <v>2</v>
      </c>
      <c r="BD294">
        <f>TYPE(All_India_Index_Upto_April23__1[[#This Row],[Fuel and light]])</f>
        <v>1</v>
      </c>
      <c r="BE294">
        <f>TYPE(All_India_Index_Upto_April23__1[[#This Row],[Household goods and services]])</f>
        <v>1</v>
      </c>
      <c r="BF294">
        <f>TYPE(All_India_Index_Upto_April23__1[[#This Row],[Health]])</f>
        <v>1</v>
      </c>
      <c r="BG294">
        <f>TYPE(All_India_Index_Upto_April23__1[[#This Row],[Transport and communication]])</f>
        <v>1</v>
      </c>
      <c r="BH294">
        <f>TYPE(All_India_Index_Upto_April23__1[[#This Row],[Recreation and amusement]])</f>
        <v>1</v>
      </c>
      <c r="BI294">
        <f>TYPE(All_India_Index_Upto_April23__1[[#This Row],[Education]])</f>
        <v>1</v>
      </c>
      <c r="BJ294">
        <f>TYPE(All_India_Index_Upto_April23__1[[#This Row],[Personal care and effects]])</f>
        <v>1</v>
      </c>
      <c r="BK294">
        <f>TYPE(All_India_Index_Upto_April23__1[[#This Row],[Miscellaneous]])</f>
        <v>1</v>
      </c>
      <c r="BL294">
        <f>TYPE(All_India_Index_Upto_April23__1[[#This Row],[General index]])</f>
        <v>1</v>
      </c>
    </row>
    <row r="295" spans="1:64" hidden="1" x14ac:dyDescent="0.3">
      <c r="A295" t="s">
        <v>32</v>
      </c>
      <c r="B295">
        <v>2021</v>
      </c>
      <c r="C295" t="s">
        <v>35</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t="s">
        <v>184</v>
      </c>
      <c r="V295">
        <v>154.80000000000001</v>
      </c>
      <c r="W295">
        <v>147.19999999999999</v>
      </c>
      <c r="X295">
        <v>156.9</v>
      </c>
      <c r="Y295">
        <v>141.69999999999999</v>
      </c>
      <c r="Z295">
        <v>148.6</v>
      </c>
      <c r="AA295">
        <v>157.6</v>
      </c>
      <c r="AB295">
        <v>154.9</v>
      </c>
      <c r="AC295">
        <v>150</v>
      </c>
      <c r="AD295">
        <v>156.9</v>
      </c>
      <c r="AE295">
        <f>SUM(All_India_Index_Upto_April23__1[[#This Row],[Cereals and products]:[Food and beverages]])</f>
        <v>2064.4999999999995</v>
      </c>
      <c r="AF295">
        <f>SUM(All_India_Index_Upto_April23__1[[#This Row],[Clothing]:[Clothing and footwear]])</f>
        <v>446.4</v>
      </c>
      <c r="AG295">
        <f t="shared" si="4"/>
        <v>443.7</v>
      </c>
      <c r="AI295">
        <f>TYPE(All_India_Index_Upto_April23__1[[#This Row],[Sector]])</f>
        <v>2</v>
      </c>
      <c r="AJ295">
        <f>TYPE(All_India_Index_Upto_April23__1[[#This Row],[Year]])</f>
        <v>1</v>
      </c>
      <c r="AK295">
        <f>TYPE(All_India_Index_Upto_April23__1[[#This Row],[Month]])</f>
        <v>2</v>
      </c>
      <c r="AL295">
        <f>TYPE(All_India_Index_Upto_April23__1[[#This Row],[Cereals and products]])</f>
        <v>1</v>
      </c>
      <c r="AM295">
        <f>TYPE(All_India_Index_Upto_April23__1[[#This Row],[Meat and fish]])</f>
        <v>1</v>
      </c>
      <c r="AN295">
        <f>TYPE(All_India_Index_Upto_April23__1[[#This Row],[Egg]])</f>
        <v>1</v>
      </c>
      <c r="AO295">
        <f>TYPE(All_India_Index_Upto_April23__1[[#This Row],[Milk and products]])</f>
        <v>1</v>
      </c>
      <c r="AP295">
        <f>TYPE(All_India_Index_Upto_April23__1[[#This Row],[Oils and fats]])</f>
        <v>1</v>
      </c>
      <c r="AQ295">
        <f>TYPE(All_India_Index_Upto_April23__1[[#This Row],[Fruits]])</f>
        <v>1</v>
      </c>
      <c r="AR295">
        <f>TYPE(All_India_Index_Upto_April23__1[[#This Row],[Vegetables]])</f>
        <v>1</v>
      </c>
      <c r="AS295">
        <f>TYPE(All_India_Index_Upto_April23__1[[#This Row],[Pulses and products]])</f>
        <v>1</v>
      </c>
      <c r="AT295">
        <f>TYPE(All_India_Index_Upto_April23__1[[#This Row],[Sugar and Confectionery]])</f>
        <v>1</v>
      </c>
      <c r="AU295">
        <f>TYPE(All_India_Index_Upto_April23__1[[#This Row],[Spices]])</f>
        <v>1</v>
      </c>
      <c r="AV295">
        <f>TYPE(All_India_Index_Upto_April23__1[[#This Row],[Non-alcoholic beverages]])</f>
        <v>1</v>
      </c>
      <c r="AW295">
        <f>TYPE(All_India_Index_Upto_April23__1[[#This Row],[Prepared meals, snacks, sweets etc.]])</f>
        <v>1</v>
      </c>
      <c r="AX295">
        <f>TYPE(All_India_Index_Upto_April23__1[[#This Row],[Food and beverages]])</f>
        <v>1</v>
      </c>
      <c r="AY295">
        <f>TYPE(All_India_Index_Upto_April23__1[[#This Row],[Pan, tobacco and intoxicants]])</f>
        <v>1</v>
      </c>
      <c r="AZ295">
        <f>TYPE(All_India_Index_Upto_April23__1[[#This Row],[Clothing]])</f>
        <v>1</v>
      </c>
      <c r="BA295">
        <f>TYPE(All_India_Index_Upto_April23__1[[#This Row],[Footwear]])</f>
        <v>1</v>
      </c>
      <c r="BB295">
        <f>TYPE(All_India_Index_Upto_April23__1[[#This Row],[Clothing and footwear]])</f>
        <v>1</v>
      </c>
      <c r="BC295">
        <f>TYPE(All_India_Index_Upto_April23__1[[#This Row],[Housing]])</f>
        <v>2</v>
      </c>
      <c r="BD295">
        <f>TYPE(All_India_Index_Upto_April23__1[[#This Row],[Fuel and light]])</f>
        <v>1</v>
      </c>
      <c r="BE295">
        <f>TYPE(All_India_Index_Upto_April23__1[[#This Row],[Household goods and services]])</f>
        <v>1</v>
      </c>
      <c r="BF295">
        <f>TYPE(All_India_Index_Upto_April23__1[[#This Row],[Health]])</f>
        <v>1</v>
      </c>
      <c r="BG295">
        <f>TYPE(All_India_Index_Upto_April23__1[[#This Row],[Transport and communication]])</f>
        <v>1</v>
      </c>
      <c r="BH295">
        <f>TYPE(All_India_Index_Upto_April23__1[[#This Row],[Recreation and amusement]])</f>
        <v>1</v>
      </c>
      <c r="BI295">
        <f>TYPE(All_India_Index_Upto_April23__1[[#This Row],[Education]])</f>
        <v>1</v>
      </c>
      <c r="BJ295">
        <f>TYPE(All_India_Index_Upto_April23__1[[#This Row],[Personal care and effects]])</f>
        <v>1</v>
      </c>
      <c r="BK295">
        <f>TYPE(All_India_Index_Upto_April23__1[[#This Row],[Miscellaneous]])</f>
        <v>1</v>
      </c>
      <c r="BL295">
        <f>TYPE(All_India_Index_Upto_April23__1[[#This Row],[General index]])</f>
        <v>1</v>
      </c>
    </row>
    <row r="296" spans="1:64" hidden="1" x14ac:dyDescent="0.3">
      <c r="A296" t="s">
        <v>33</v>
      </c>
      <c r="B296">
        <v>2021</v>
      </c>
      <c r="C296" t="s">
        <v>35</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t="s">
        <v>184</v>
      </c>
      <c r="V296">
        <v>155.5</v>
      </c>
      <c r="W296">
        <v>151.19999999999999</v>
      </c>
      <c r="X296">
        <v>161.69999999999999</v>
      </c>
      <c r="Y296">
        <v>146.19999999999999</v>
      </c>
      <c r="Z296">
        <v>152.6</v>
      </c>
      <c r="AA296">
        <v>160.19999999999999</v>
      </c>
      <c r="AB296">
        <v>153.80000000000001</v>
      </c>
      <c r="AC296">
        <v>153.80000000000001</v>
      </c>
      <c r="AD296">
        <v>156.80000000000001</v>
      </c>
      <c r="AE296">
        <f>SUM(All_India_Index_Upto_April23__1[[#This Row],[Cereals and products]:[Food and beverages]])</f>
        <v>2039.3999999999999</v>
      </c>
      <c r="AF296">
        <f>SUM(All_India_Index_Upto_April23__1[[#This Row],[Clothing]:[Clothing and footwear]])</f>
        <v>462.1</v>
      </c>
      <c r="AG296">
        <f t="shared" si="4"/>
        <v>452.9</v>
      </c>
      <c r="AI296">
        <f>TYPE(All_India_Index_Upto_April23__1[[#This Row],[Sector]])</f>
        <v>2</v>
      </c>
      <c r="AJ296">
        <f>TYPE(All_India_Index_Upto_April23__1[[#This Row],[Year]])</f>
        <v>1</v>
      </c>
      <c r="AK296">
        <f>TYPE(All_India_Index_Upto_April23__1[[#This Row],[Month]])</f>
        <v>2</v>
      </c>
      <c r="AL296">
        <f>TYPE(All_India_Index_Upto_April23__1[[#This Row],[Cereals and products]])</f>
        <v>1</v>
      </c>
      <c r="AM296">
        <f>TYPE(All_India_Index_Upto_April23__1[[#This Row],[Meat and fish]])</f>
        <v>1</v>
      </c>
      <c r="AN296">
        <f>TYPE(All_India_Index_Upto_April23__1[[#This Row],[Egg]])</f>
        <v>1</v>
      </c>
      <c r="AO296">
        <f>TYPE(All_India_Index_Upto_April23__1[[#This Row],[Milk and products]])</f>
        <v>1</v>
      </c>
      <c r="AP296">
        <f>TYPE(All_India_Index_Upto_April23__1[[#This Row],[Oils and fats]])</f>
        <v>1</v>
      </c>
      <c r="AQ296">
        <f>TYPE(All_India_Index_Upto_April23__1[[#This Row],[Fruits]])</f>
        <v>1</v>
      </c>
      <c r="AR296">
        <f>TYPE(All_India_Index_Upto_April23__1[[#This Row],[Vegetables]])</f>
        <v>1</v>
      </c>
      <c r="AS296">
        <f>TYPE(All_India_Index_Upto_April23__1[[#This Row],[Pulses and products]])</f>
        <v>1</v>
      </c>
      <c r="AT296">
        <f>TYPE(All_India_Index_Upto_April23__1[[#This Row],[Sugar and Confectionery]])</f>
        <v>1</v>
      </c>
      <c r="AU296">
        <f>TYPE(All_India_Index_Upto_April23__1[[#This Row],[Spices]])</f>
        <v>1</v>
      </c>
      <c r="AV296">
        <f>TYPE(All_India_Index_Upto_April23__1[[#This Row],[Non-alcoholic beverages]])</f>
        <v>1</v>
      </c>
      <c r="AW296">
        <f>TYPE(All_India_Index_Upto_April23__1[[#This Row],[Prepared meals, snacks, sweets etc.]])</f>
        <v>1</v>
      </c>
      <c r="AX296">
        <f>TYPE(All_India_Index_Upto_April23__1[[#This Row],[Food and beverages]])</f>
        <v>1</v>
      </c>
      <c r="AY296">
        <f>TYPE(All_India_Index_Upto_April23__1[[#This Row],[Pan, tobacco and intoxicants]])</f>
        <v>1</v>
      </c>
      <c r="AZ296">
        <f>TYPE(All_India_Index_Upto_April23__1[[#This Row],[Clothing]])</f>
        <v>1</v>
      </c>
      <c r="BA296">
        <f>TYPE(All_India_Index_Upto_April23__1[[#This Row],[Footwear]])</f>
        <v>1</v>
      </c>
      <c r="BB296">
        <f>TYPE(All_India_Index_Upto_April23__1[[#This Row],[Clothing and footwear]])</f>
        <v>1</v>
      </c>
      <c r="BC296">
        <f>TYPE(All_India_Index_Upto_April23__1[[#This Row],[Housing]])</f>
        <v>2</v>
      </c>
      <c r="BD296">
        <f>TYPE(All_India_Index_Upto_April23__1[[#This Row],[Fuel and light]])</f>
        <v>1</v>
      </c>
      <c r="BE296">
        <f>TYPE(All_India_Index_Upto_April23__1[[#This Row],[Household goods and services]])</f>
        <v>1</v>
      </c>
      <c r="BF296">
        <f>TYPE(All_India_Index_Upto_April23__1[[#This Row],[Health]])</f>
        <v>1</v>
      </c>
      <c r="BG296">
        <f>TYPE(All_India_Index_Upto_April23__1[[#This Row],[Transport and communication]])</f>
        <v>1</v>
      </c>
      <c r="BH296">
        <f>TYPE(All_India_Index_Upto_April23__1[[#This Row],[Recreation and amusement]])</f>
        <v>1</v>
      </c>
      <c r="BI296">
        <f>TYPE(All_India_Index_Upto_April23__1[[#This Row],[Education]])</f>
        <v>1</v>
      </c>
      <c r="BJ296">
        <f>TYPE(All_India_Index_Upto_April23__1[[#This Row],[Personal care and effects]])</f>
        <v>1</v>
      </c>
      <c r="BK296">
        <f>TYPE(All_India_Index_Upto_April23__1[[#This Row],[Miscellaneous]])</f>
        <v>1</v>
      </c>
      <c r="BL296">
        <f>TYPE(All_India_Index_Upto_April23__1[[#This Row],[General index]])</f>
        <v>1</v>
      </c>
    </row>
    <row r="297" spans="1:64" hidden="1" x14ac:dyDescent="0.3">
      <c r="A297" t="s">
        <v>30</v>
      </c>
      <c r="B297">
        <v>2021</v>
      </c>
      <c r="C297" t="s">
        <v>36</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U297" t="s">
        <v>183</v>
      </c>
      <c r="V297">
        <v>156</v>
      </c>
      <c r="W297">
        <v>155.5</v>
      </c>
      <c r="X297">
        <v>165.3</v>
      </c>
      <c r="Y297">
        <v>151.69999999999999</v>
      </c>
      <c r="Z297">
        <v>158.6</v>
      </c>
      <c r="AA297">
        <v>164.1</v>
      </c>
      <c r="AB297">
        <v>154.6</v>
      </c>
      <c r="AC297">
        <v>158</v>
      </c>
      <c r="AD297">
        <v>157.6</v>
      </c>
      <c r="AE297">
        <f>SUM(All_India_Index_Upto_April23__1[[#This Row],[Cereals and products]:[Food and beverages]])</f>
        <v>2049.5</v>
      </c>
      <c r="AF297">
        <f>SUM(All_India_Index_Upto_April23__1[[#This Row],[Clothing]:[Clothing and footwear]])</f>
        <v>475.69999999999993</v>
      </c>
      <c r="AG297">
        <f t="shared" si="4"/>
        <v>463.2</v>
      </c>
      <c r="AI297">
        <f>TYPE(All_India_Index_Upto_April23__1[[#This Row],[Sector]])</f>
        <v>2</v>
      </c>
      <c r="AJ297">
        <f>TYPE(All_India_Index_Upto_April23__1[[#This Row],[Year]])</f>
        <v>1</v>
      </c>
      <c r="AK297">
        <f>TYPE(All_India_Index_Upto_April23__1[[#This Row],[Month]])</f>
        <v>2</v>
      </c>
      <c r="AL297">
        <f>TYPE(All_India_Index_Upto_April23__1[[#This Row],[Cereals and products]])</f>
        <v>1</v>
      </c>
      <c r="AM297">
        <f>TYPE(All_India_Index_Upto_April23__1[[#This Row],[Meat and fish]])</f>
        <v>1</v>
      </c>
      <c r="AN297">
        <f>TYPE(All_India_Index_Upto_April23__1[[#This Row],[Egg]])</f>
        <v>1</v>
      </c>
      <c r="AO297">
        <f>TYPE(All_India_Index_Upto_April23__1[[#This Row],[Milk and products]])</f>
        <v>1</v>
      </c>
      <c r="AP297">
        <f>TYPE(All_India_Index_Upto_April23__1[[#This Row],[Oils and fats]])</f>
        <v>1</v>
      </c>
      <c r="AQ297">
        <f>TYPE(All_India_Index_Upto_April23__1[[#This Row],[Fruits]])</f>
        <v>1</v>
      </c>
      <c r="AR297">
        <f>TYPE(All_India_Index_Upto_April23__1[[#This Row],[Vegetables]])</f>
        <v>1</v>
      </c>
      <c r="AS297">
        <f>TYPE(All_India_Index_Upto_April23__1[[#This Row],[Pulses and products]])</f>
        <v>1</v>
      </c>
      <c r="AT297">
        <f>TYPE(All_India_Index_Upto_April23__1[[#This Row],[Sugar and Confectionery]])</f>
        <v>1</v>
      </c>
      <c r="AU297">
        <f>TYPE(All_India_Index_Upto_April23__1[[#This Row],[Spices]])</f>
        <v>1</v>
      </c>
      <c r="AV297">
        <f>TYPE(All_India_Index_Upto_April23__1[[#This Row],[Non-alcoholic beverages]])</f>
        <v>1</v>
      </c>
      <c r="AW297">
        <f>TYPE(All_India_Index_Upto_April23__1[[#This Row],[Prepared meals, snacks, sweets etc.]])</f>
        <v>1</v>
      </c>
      <c r="AX297">
        <f>TYPE(All_India_Index_Upto_April23__1[[#This Row],[Food and beverages]])</f>
        <v>1</v>
      </c>
      <c r="AY297">
        <f>TYPE(All_India_Index_Upto_April23__1[[#This Row],[Pan, tobacco and intoxicants]])</f>
        <v>1</v>
      </c>
      <c r="AZ297">
        <f>TYPE(All_India_Index_Upto_April23__1[[#This Row],[Clothing]])</f>
        <v>1</v>
      </c>
      <c r="BA297">
        <f>TYPE(All_India_Index_Upto_April23__1[[#This Row],[Footwear]])</f>
        <v>1</v>
      </c>
      <c r="BB297">
        <f>TYPE(All_India_Index_Upto_April23__1[[#This Row],[Clothing and footwear]])</f>
        <v>1</v>
      </c>
      <c r="BC297">
        <f>TYPE(All_India_Index_Upto_April23__1[[#This Row],[Housing]])</f>
        <v>2</v>
      </c>
      <c r="BD297">
        <f>TYPE(All_India_Index_Upto_April23__1[[#This Row],[Fuel and light]])</f>
        <v>1</v>
      </c>
      <c r="BE297">
        <f>TYPE(All_India_Index_Upto_April23__1[[#This Row],[Household goods and services]])</f>
        <v>1</v>
      </c>
      <c r="BF297">
        <f>TYPE(All_India_Index_Upto_April23__1[[#This Row],[Health]])</f>
        <v>1</v>
      </c>
      <c r="BG297">
        <f>TYPE(All_India_Index_Upto_April23__1[[#This Row],[Transport and communication]])</f>
        <v>1</v>
      </c>
      <c r="BH297">
        <f>TYPE(All_India_Index_Upto_April23__1[[#This Row],[Recreation and amusement]])</f>
        <v>1</v>
      </c>
      <c r="BI297">
        <f>TYPE(All_India_Index_Upto_April23__1[[#This Row],[Education]])</f>
        <v>1</v>
      </c>
      <c r="BJ297">
        <f>TYPE(All_India_Index_Upto_April23__1[[#This Row],[Personal care and effects]])</f>
        <v>1</v>
      </c>
      <c r="BK297">
        <f>TYPE(All_India_Index_Upto_April23__1[[#This Row],[Miscellaneous]])</f>
        <v>1</v>
      </c>
      <c r="BL297">
        <f>TYPE(All_India_Index_Upto_April23__1[[#This Row],[General index]])</f>
        <v>1</v>
      </c>
    </row>
    <row r="298" spans="1:64" hidden="1" x14ac:dyDescent="0.3">
      <c r="A298" t="s">
        <v>32</v>
      </c>
      <c r="B298">
        <v>2021</v>
      </c>
      <c r="C298" t="s">
        <v>36</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t="s">
        <v>185</v>
      </c>
      <c r="V298">
        <v>154.9</v>
      </c>
      <c r="W298">
        <v>147.6</v>
      </c>
      <c r="X298">
        <v>157.5</v>
      </c>
      <c r="Y298">
        <v>142.1</v>
      </c>
      <c r="Z298">
        <v>149.1</v>
      </c>
      <c r="AA298">
        <v>157.6</v>
      </c>
      <c r="AB298">
        <v>156.6</v>
      </c>
      <c r="AC298">
        <v>150.5</v>
      </c>
      <c r="AD298">
        <v>158</v>
      </c>
      <c r="AE298">
        <f>SUM(All_India_Index_Upto_April23__1[[#This Row],[Cereals and products]:[Food and beverages]])</f>
        <v>2089.6</v>
      </c>
      <c r="AF298">
        <f>SUM(All_India_Index_Upto_April23__1[[#This Row],[Clothing]:[Clothing and footwear]])</f>
        <v>448.6</v>
      </c>
      <c r="AG298">
        <f t="shared" si="4"/>
        <v>444.6</v>
      </c>
      <c r="AI298">
        <f>TYPE(All_India_Index_Upto_April23__1[[#This Row],[Sector]])</f>
        <v>2</v>
      </c>
      <c r="AJ298">
        <f>TYPE(All_India_Index_Upto_April23__1[[#This Row],[Year]])</f>
        <v>1</v>
      </c>
      <c r="AK298">
        <f>TYPE(All_India_Index_Upto_April23__1[[#This Row],[Month]])</f>
        <v>2</v>
      </c>
      <c r="AL298">
        <f>TYPE(All_India_Index_Upto_April23__1[[#This Row],[Cereals and products]])</f>
        <v>1</v>
      </c>
      <c r="AM298">
        <f>TYPE(All_India_Index_Upto_April23__1[[#This Row],[Meat and fish]])</f>
        <v>1</v>
      </c>
      <c r="AN298">
        <f>TYPE(All_India_Index_Upto_April23__1[[#This Row],[Egg]])</f>
        <v>1</v>
      </c>
      <c r="AO298">
        <f>TYPE(All_India_Index_Upto_April23__1[[#This Row],[Milk and products]])</f>
        <v>1</v>
      </c>
      <c r="AP298">
        <f>TYPE(All_India_Index_Upto_April23__1[[#This Row],[Oils and fats]])</f>
        <v>1</v>
      </c>
      <c r="AQ298">
        <f>TYPE(All_India_Index_Upto_April23__1[[#This Row],[Fruits]])</f>
        <v>1</v>
      </c>
      <c r="AR298">
        <f>TYPE(All_India_Index_Upto_April23__1[[#This Row],[Vegetables]])</f>
        <v>1</v>
      </c>
      <c r="AS298">
        <f>TYPE(All_India_Index_Upto_April23__1[[#This Row],[Pulses and products]])</f>
        <v>1</v>
      </c>
      <c r="AT298">
        <f>TYPE(All_India_Index_Upto_April23__1[[#This Row],[Sugar and Confectionery]])</f>
        <v>1</v>
      </c>
      <c r="AU298">
        <f>TYPE(All_India_Index_Upto_April23__1[[#This Row],[Spices]])</f>
        <v>1</v>
      </c>
      <c r="AV298">
        <f>TYPE(All_India_Index_Upto_April23__1[[#This Row],[Non-alcoholic beverages]])</f>
        <v>1</v>
      </c>
      <c r="AW298">
        <f>TYPE(All_India_Index_Upto_April23__1[[#This Row],[Prepared meals, snacks, sweets etc.]])</f>
        <v>1</v>
      </c>
      <c r="AX298">
        <f>TYPE(All_India_Index_Upto_April23__1[[#This Row],[Food and beverages]])</f>
        <v>1</v>
      </c>
      <c r="AY298">
        <f>TYPE(All_India_Index_Upto_April23__1[[#This Row],[Pan, tobacco and intoxicants]])</f>
        <v>1</v>
      </c>
      <c r="AZ298">
        <f>TYPE(All_India_Index_Upto_April23__1[[#This Row],[Clothing]])</f>
        <v>1</v>
      </c>
      <c r="BA298">
        <f>TYPE(All_India_Index_Upto_April23__1[[#This Row],[Footwear]])</f>
        <v>1</v>
      </c>
      <c r="BB298">
        <f>TYPE(All_India_Index_Upto_April23__1[[#This Row],[Clothing and footwear]])</f>
        <v>1</v>
      </c>
      <c r="BC298">
        <f>TYPE(All_India_Index_Upto_April23__1[[#This Row],[Housing]])</f>
        <v>2</v>
      </c>
      <c r="BD298">
        <f>TYPE(All_India_Index_Upto_April23__1[[#This Row],[Fuel and light]])</f>
        <v>1</v>
      </c>
      <c r="BE298">
        <f>TYPE(All_India_Index_Upto_April23__1[[#This Row],[Household goods and services]])</f>
        <v>1</v>
      </c>
      <c r="BF298">
        <f>TYPE(All_India_Index_Upto_April23__1[[#This Row],[Health]])</f>
        <v>1</v>
      </c>
      <c r="BG298">
        <f>TYPE(All_India_Index_Upto_April23__1[[#This Row],[Transport and communication]])</f>
        <v>1</v>
      </c>
      <c r="BH298">
        <f>TYPE(All_India_Index_Upto_April23__1[[#This Row],[Recreation and amusement]])</f>
        <v>1</v>
      </c>
      <c r="BI298">
        <f>TYPE(All_India_Index_Upto_April23__1[[#This Row],[Education]])</f>
        <v>1</v>
      </c>
      <c r="BJ298">
        <f>TYPE(All_India_Index_Upto_April23__1[[#This Row],[Personal care and effects]])</f>
        <v>1</v>
      </c>
      <c r="BK298">
        <f>TYPE(All_India_Index_Upto_April23__1[[#This Row],[Miscellaneous]])</f>
        <v>1</v>
      </c>
      <c r="BL298">
        <f>TYPE(All_India_Index_Upto_April23__1[[#This Row],[General index]])</f>
        <v>1</v>
      </c>
    </row>
    <row r="299" spans="1:64" hidden="1" x14ac:dyDescent="0.3">
      <c r="A299" t="s">
        <v>33</v>
      </c>
      <c r="B299">
        <v>2021</v>
      </c>
      <c r="C299" t="s">
        <v>36</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t="s">
        <v>185</v>
      </c>
      <c r="V299">
        <v>155.6</v>
      </c>
      <c r="W299">
        <v>151.80000000000001</v>
      </c>
      <c r="X299">
        <v>162.30000000000001</v>
      </c>
      <c r="Y299">
        <v>146.6</v>
      </c>
      <c r="Z299">
        <v>153.19999999999999</v>
      </c>
      <c r="AA299">
        <v>160.30000000000001</v>
      </c>
      <c r="AB299">
        <v>155.4</v>
      </c>
      <c r="AC299">
        <v>154.4</v>
      </c>
      <c r="AD299">
        <v>157.80000000000001</v>
      </c>
      <c r="AE299">
        <f>SUM(All_India_Index_Upto_April23__1[[#This Row],[Cereals and products]:[Food and beverages]])</f>
        <v>2064.1</v>
      </c>
      <c r="AF299">
        <f>SUM(All_India_Index_Upto_April23__1[[#This Row],[Clothing]:[Clothing and footwear]])</f>
        <v>464.6</v>
      </c>
      <c r="AG299">
        <f t="shared" si="4"/>
        <v>454</v>
      </c>
      <c r="AI299">
        <f>TYPE(All_India_Index_Upto_April23__1[[#This Row],[Sector]])</f>
        <v>2</v>
      </c>
      <c r="AJ299">
        <f>TYPE(All_India_Index_Upto_April23__1[[#This Row],[Year]])</f>
        <v>1</v>
      </c>
      <c r="AK299">
        <f>TYPE(All_India_Index_Upto_April23__1[[#This Row],[Month]])</f>
        <v>2</v>
      </c>
      <c r="AL299">
        <f>TYPE(All_India_Index_Upto_April23__1[[#This Row],[Cereals and products]])</f>
        <v>1</v>
      </c>
      <c r="AM299">
        <f>TYPE(All_India_Index_Upto_April23__1[[#This Row],[Meat and fish]])</f>
        <v>1</v>
      </c>
      <c r="AN299">
        <f>TYPE(All_India_Index_Upto_April23__1[[#This Row],[Egg]])</f>
        <v>1</v>
      </c>
      <c r="AO299">
        <f>TYPE(All_India_Index_Upto_April23__1[[#This Row],[Milk and products]])</f>
        <v>1</v>
      </c>
      <c r="AP299">
        <f>TYPE(All_India_Index_Upto_April23__1[[#This Row],[Oils and fats]])</f>
        <v>1</v>
      </c>
      <c r="AQ299">
        <f>TYPE(All_India_Index_Upto_April23__1[[#This Row],[Fruits]])</f>
        <v>1</v>
      </c>
      <c r="AR299">
        <f>TYPE(All_India_Index_Upto_April23__1[[#This Row],[Vegetables]])</f>
        <v>1</v>
      </c>
      <c r="AS299">
        <f>TYPE(All_India_Index_Upto_April23__1[[#This Row],[Pulses and products]])</f>
        <v>1</v>
      </c>
      <c r="AT299">
        <f>TYPE(All_India_Index_Upto_April23__1[[#This Row],[Sugar and Confectionery]])</f>
        <v>1</v>
      </c>
      <c r="AU299">
        <f>TYPE(All_India_Index_Upto_April23__1[[#This Row],[Spices]])</f>
        <v>1</v>
      </c>
      <c r="AV299">
        <f>TYPE(All_India_Index_Upto_April23__1[[#This Row],[Non-alcoholic beverages]])</f>
        <v>1</v>
      </c>
      <c r="AW299">
        <f>TYPE(All_India_Index_Upto_April23__1[[#This Row],[Prepared meals, snacks, sweets etc.]])</f>
        <v>1</v>
      </c>
      <c r="AX299">
        <f>TYPE(All_India_Index_Upto_April23__1[[#This Row],[Food and beverages]])</f>
        <v>1</v>
      </c>
      <c r="AY299">
        <f>TYPE(All_India_Index_Upto_April23__1[[#This Row],[Pan, tobacco and intoxicants]])</f>
        <v>1</v>
      </c>
      <c r="AZ299">
        <f>TYPE(All_India_Index_Upto_April23__1[[#This Row],[Clothing]])</f>
        <v>1</v>
      </c>
      <c r="BA299">
        <f>TYPE(All_India_Index_Upto_April23__1[[#This Row],[Footwear]])</f>
        <v>1</v>
      </c>
      <c r="BB299">
        <f>TYPE(All_India_Index_Upto_April23__1[[#This Row],[Clothing and footwear]])</f>
        <v>1</v>
      </c>
      <c r="BC299">
        <f>TYPE(All_India_Index_Upto_April23__1[[#This Row],[Housing]])</f>
        <v>2</v>
      </c>
      <c r="BD299">
        <f>TYPE(All_India_Index_Upto_April23__1[[#This Row],[Fuel and light]])</f>
        <v>1</v>
      </c>
      <c r="BE299">
        <f>TYPE(All_India_Index_Upto_April23__1[[#This Row],[Household goods and services]])</f>
        <v>1</v>
      </c>
      <c r="BF299">
        <f>TYPE(All_India_Index_Upto_April23__1[[#This Row],[Health]])</f>
        <v>1</v>
      </c>
      <c r="BG299">
        <f>TYPE(All_India_Index_Upto_April23__1[[#This Row],[Transport and communication]])</f>
        <v>1</v>
      </c>
      <c r="BH299">
        <f>TYPE(All_India_Index_Upto_April23__1[[#This Row],[Recreation and amusement]])</f>
        <v>1</v>
      </c>
      <c r="BI299">
        <f>TYPE(All_India_Index_Upto_April23__1[[#This Row],[Education]])</f>
        <v>1</v>
      </c>
      <c r="BJ299">
        <f>TYPE(All_India_Index_Upto_April23__1[[#This Row],[Personal care and effects]])</f>
        <v>1</v>
      </c>
      <c r="BK299">
        <f>TYPE(All_India_Index_Upto_April23__1[[#This Row],[Miscellaneous]])</f>
        <v>1</v>
      </c>
      <c r="BL299">
        <f>TYPE(All_India_Index_Upto_April23__1[[#This Row],[General index]])</f>
        <v>1</v>
      </c>
    </row>
    <row r="300" spans="1:64" hidden="1" x14ac:dyDescent="0.3">
      <c r="A300" t="s">
        <v>30</v>
      </c>
      <c r="B300">
        <v>2021</v>
      </c>
      <c r="C300" t="s">
        <v>37</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U300" t="s">
        <v>89</v>
      </c>
      <c r="V300">
        <v>161.69999999999999</v>
      </c>
      <c r="W300">
        <v>158.80000000000001</v>
      </c>
      <c r="X300">
        <v>169.1</v>
      </c>
      <c r="Y300">
        <v>153.19999999999999</v>
      </c>
      <c r="Z300">
        <v>160</v>
      </c>
      <c r="AA300">
        <v>167.6</v>
      </c>
      <c r="AB300">
        <v>159.30000000000001</v>
      </c>
      <c r="AC300">
        <v>161.1</v>
      </c>
      <c r="AD300">
        <v>161.1</v>
      </c>
      <c r="AE300">
        <f>SUM(All_India_Index_Upto_April23__1[[#This Row],[Cereals and products]:[Food and beverages]])</f>
        <v>2095.2999999999997</v>
      </c>
      <c r="AF300">
        <f>SUM(All_India_Index_Upto_April23__1[[#This Row],[Clothing]:[Clothing and footwear]])</f>
        <v>490.4</v>
      </c>
      <c r="AG300">
        <f t="shared" si="4"/>
        <v>473.7</v>
      </c>
      <c r="AI300">
        <f>TYPE(All_India_Index_Upto_April23__1[[#This Row],[Sector]])</f>
        <v>2</v>
      </c>
      <c r="AJ300">
        <f>TYPE(All_India_Index_Upto_April23__1[[#This Row],[Year]])</f>
        <v>1</v>
      </c>
      <c r="AK300">
        <f>TYPE(All_India_Index_Upto_April23__1[[#This Row],[Month]])</f>
        <v>2</v>
      </c>
      <c r="AL300">
        <f>TYPE(All_India_Index_Upto_April23__1[[#This Row],[Cereals and products]])</f>
        <v>1</v>
      </c>
      <c r="AM300">
        <f>TYPE(All_India_Index_Upto_April23__1[[#This Row],[Meat and fish]])</f>
        <v>1</v>
      </c>
      <c r="AN300">
        <f>TYPE(All_India_Index_Upto_April23__1[[#This Row],[Egg]])</f>
        <v>1</v>
      </c>
      <c r="AO300">
        <f>TYPE(All_India_Index_Upto_April23__1[[#This Row],[Milk and products]])</f>
        <v>1</v>
      </c>
      <c r="AP300">
        <f>TYPE(All_India_Index_Upto_April23__1[[#This Row],[Oils and fats]])</f>
        <v>1</v>
      </c>
      <c r="AQ300">
        <f>TYPE(All_India_Index_Upto_April23__1[[#This Row],[Fruits]])</f>
        <v>1</v>
      </c>
      <c r="AR300">
        <f>TYPE(All_India_Index_Upto_April23__1[[#This Row],[Vegetables]])</f>
        <v>1</v>
      </c>
      <c r="AS300">
        <f>TYPE(All_India_Index_Upto_April23__1[[#This Row],[Pulses and products]])</f>
        <v>1</v>
      </c>
      <c r="AT300">
        <f>TYPE(All_India_Index_Upto_April23__1[[#This Row],[Sugar and Confectionery]])</f>
        <v>1</v>
      </c>
      <c r="AU300">
        <f>TYPE(All_India_Index_Upto_April23__1[[#This Row],[Spices]])</f>
        <v>1</v>
      </c>
      <c r="AV300">
        <f>TYPE(All_India_Index_Upto_April23__1[[#This Row],[Non-alcoholic beverages]])</f>
        <v>1</v>
      </c>
      <c r="AW300">
        <f>TYPE(All_India_Index_Upto_April23__1[[#This Row],[Prepared meals, snacks, sweets etc.]])</f>
        <v>1</v>
      </c>
      <c r="AX300">
        <f>TYPE(All_India_Index_Upto_April23__1[[#This Row],[Food and beverages]])</f>
        <v>1</v>
      </c>
      <c r="AY300">
        <f>TYPE(All_India_Index_Upto_April23__1[[#This Row],[Pan, tobacco and intoxicants]])</f>
        <v>1</v>
      </c>
      <c r="AZ300">
        <f>TYPE(All_India_Index_Upto_April23__1[[#This Row],[Clothing]])</f>
        <v>1</v>
      </c>
      <c r="BA300">
        <f>TYPE(All_India_Index_Upto_April23__1[[#This Row],[Footwear]])</f>
        <v>1</v>
      </c>
      <c r="BB300">
        <f>TYPE(All_India_Index_Upto_April23__1[[#This Row],[Clothing and footwear]])</f>
        <v>1</v>
      </c>
      <c r="BC300">
        <f>TYPE(All_India_Index_Upto_April23__1[[#This Row],[Housing]])</f>
        <v>2</v>
      </c>
      <c r="BD300">
        <f>TYPE(All_India_Index_Upto_April23__1[[#This Row],[Fuel and light]])</f>
        <v>1</v>
      </c>
      <c r="BE300">
        <f>TYPE(All_India_Index_Upto_April23__1[[#This Row],[Household goods and services]])</f>
        <v>1</v>
      </c>
      <c r="BF300">
        <f>TYPE(All_India_Index_Upto_April23__1[[#This Row],[Health]])</f>
        <v>1</v>
      </c>
      <c r="BG300">
        <f>TYPE(All_India_Index_Upto_April23__1[[#This Row],[Transport and communication]])</f>
        <v>1</v>
      </c>
      <c r="BH300">
        <f>TYPE(All_India_Index_Upto_April23__1[[#This Row],[Recreation and amusement]])</f>
        <v>1</v>
      </c>
      <c r="BI300">
        <f>TYPE(All_India_Index_Upto_April23__1[[#This Row],[Education]])</f>
        <v>1</v>
      </c>
      <c r="BJ300">
        <f>TYPE(All_India_Index_Upto_April23__1[[#This Row],[Personal care and effects]])</f>
        <v>1</v>
      </c>
      <c r="BK300">
        <f>TYPE(All_India_Index_Upto_April23__1[[#This Row],[Miscellaneous]])</f>
        <v>1</v>
      </c>
      <c r="BL300">
        <f>TYPE(All_India_Index_Upto_April23__1[[#This Row],[General index]])</f>
        <v>1</v>
      </c>
    </row>
    <row r="301" spans="1:64" hidden="1" x14ac:dyDescent="0.3">
      <c r="A301" t="s">
        <v>32</v>
      </c>
      <c r="B301">
        <v>2021</v>
      </c>
      <c r="C301" t="s">
        <v>37</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t="s">
        <v>186</v>
      </c>
      <c r="V301">
        <v>155.5</v>
      </c>
      <c r="W301">
        <v>150.1</v>
      </c>
      <c r="X301">
        <v>160.4</v>
      </c>
      <c r="Y301">
        <v>145</v>
      </c>
      <c r="Z301">
        <v>152.6</v>
      </c>
      <c r="AA301">
        <v>156.6</v>
      </c>
      <c r="AB301">
        <v>157.5</v>
      </c>
      <c r="AC301">
        <v>152.30000000000001</v>
      </c>
      <c r="AD301">
        <v>159.5</v>
      </c>
      <c r="AE301">
        <f>SUM(All_India_Index_Upto_April23__1[[#This Row],[Cereals and products]:[Food and beverages]])</f>
        <v>2124.7000000000003</v>
      </c>
      <c r="AF301">
        <f>SUM(All_India_Index_Upto_April23__1[[#This Row],[Clothing]:[Clothing and footwear]])</f>
        <v>450.79999999999995</v>
      </c>
      <c r="AG301">
        <f t="shared" si="4"/>
        <v>450.6</v>
      </c>
      <c r="AI301">
        <f>TYPE(All_India_Index_Upto_April23__1[[#This Row],[Sector]])</f>
        <v>2</v>
      </c>
      <c r="AJ301">
        <f>TYPE(All_India_Index_Upto_April23__1[[#This Row],[Year]])</f>
        <v>1</v>
      </c>
      <c r="AK301">
        <f>TYPE(All_India_Index_Upto_April23__1[[#This Row],[Month]])</f>
        <v>2</v>
      </c>
      <c r="AL301">
        <f>TYPE(All_India_Index_Upto_April23__1[[#This Row],[Cereals and products]])</f>
        <v>1</v>
      </c>
      <c r="AM301">
        <f>TYPE(All_India_Index_Upto_April23__1[[#This Row],[Meat and fish]])</f>
        <v>1</v>
      </c>
      <c r="AN301">
        <f>TYPE(All_India_Index_Upto_April23__1[[#This Row],[Egg]])</f>
        <v>1</v>
      </c>
      <c r="AO301">
        <f>TYPE(All_India_Index_Upto_April23__1[[#This Row],[Milk and products]])</f>
        <v>1</v>
      </c>
      <c r="AP301">
        <f>TYPE(All_India_Index_Upto_April23__1[[#This Row],[Oils and fats]])</f>
        <v>1</v>
      </c>
      <c r="AQ301">
        <f>TYPE(All_India_Index_Upto_April23__1[[#This Row],[Fruits]])</f>
        <v>1</v>
      </c>
      <c r="AR301">
        <f>TYPE(All_India_Index_Upto_April23__1[[#This Row],[Vegetables]])</f>
        <v>1</v>
      </c>
      <c r="AS301">
        <f>TYPE(All_India_Index_Upto_April23__1[[#This Row],[Pulses and products]])</f>
        <v>1</v>
      </c>
      <c r="AT301">
        <f>TYPE(All_India_Index_Upto_April23__1[[#This Row],[Sugar and Confectionery]])</f>
        <v>1</v>
      </c>
      <c r="AU301">
        <f>TYPE(All_India_Index_Upto_April23__1[[#This Row],[Spices]])</f>
        <v>1</v>
      </c>
      <c r="AV301">
        <f>TYPE(All_India_Index_Upto_April23__1[[#This Row],[Non-alcoholic beverages]])</f>
        <v>1</v>
      </c>
      <c r="AW301">
        <f>TYPE(All_India_Index_Upto_April23__1[[#This Row],[Prepared meals, snacks, sweets etc.]])</f>
        <v>1</v>
      </c>
      <c r="AX301">
        <f>TYPE(All_India_Index_Upto_April23__1[[#This Row],[Food and beverages]])</f>
        <v>1</v>
      </c>
      <c r="AY301">
        <f>TYPE(All_India_Index_Upto_April23__1[[#This Row],[Pan, tobacco and intoxicants]])</f>
        <v>1</v>
      </c>
      <c r="AZ301">
        <f>TYPE(All_India_Index_Upto_April23__1[[#This Row],[Clothing]])</f>
        <v>1</v>
      </c>
      <c r="BA301">
        <f>TYPE(All_India_Index_Upto_April23__1[[#This Row],[Footwear]])</f>
        <v>1</v>
      </c>
      <c r="BB301">
        <f>TYPE(All_India_Index_Upto_April23__1[[#This Row],[Clothing and footwear]])</f>
        <v>1</v>
      </c>
      <c r="BC301">
        <f>TYPE(All_India_Index_Upto_April23__1[[#This Row],[Housing]])</f>
        <v>2</v>
      </c>
      <c r="BD301">
        <f>TYPE(All_India_Index_Upto_April23__1[[#This Row],[Fuel and light]])</f>
        <v>1</v>
      </c>
      <c r="BE301">
        <f>TYPE(All_India_Index_Upto_April23__1[[#This Row],[Household goods and services]])</f>
        <v>1</v>
      </c>
      <c r="BF301">
        <f>TYPE(All_India_Index_Upto_April23__1[[#This Row],[Health]])</f>
        <v>1</v>
      </c>
      <c r="BG301">
        <f>TYPE(All_India_Index_Upto_April23__1[[#This Row],[Transport and communication]])</f>
        <v>1</v>
      </c>
      <c r="BH301">
        <f>TYPE(All_India_Index_Upto_April23__1[[#This Row],[Recreation and amusement]])</f>
        <v>1</v>
      </c>
      <c r="BI301">
        <f>TYPE(All_India_Index_Upto_April23__1[[#This Row],[Education]])</f>
        <v>1</v>
      </c>
      <c r="BJ301">
        <f>TYPE(All_India_Index_Upto_April23__1[[#This Row],[Personal care and effects]])</f>
        <v>1</v>
      </c>
      <c r="BK301">
        <f>TYPE(All_India_Index_Upto_April23__1[[#This Row],[Miscellaneous]])</f>
        <v>1</v>
      </c>
      <c r="BL301">
        <f>TYPE(All_India_Index_Upto_April23__1[[#This Row],[General index]])</f>
        <v>1</v>
      </c>
    </row>
    <row r="302" spans="1:64" hidden="1" x14ac:dyDescent="0.3">
      <c r="A302" t="s">
        <v>33</v>
      </c>
      <c r="B302">
        <v>2021</v>
      </c>
      <c r="C302" t="s">
        <v>37</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t="s">
        <v>186</v>
      </c>
      <c r="V302">
        <v>159.4</v>
      </c>
      <c r="W302">
        <v>154.69999999999999</v>
      </c>
      <c r="X302">
        <v>165.8</v>
      </c>
      <c r="Y302">
        <v>148.9</v>
      </c>
      <c r="Z302">
        <v>155.80000000000001</v>
      </c>
      <c r="AA302">
        <v>161.19999999999999</v>
      </c>
      <c r="AB302">
        <v>158.6</v>
      </c>
      <c r="AC302">
        <v>156.80000000000001</v>
      </c>
      <c r="AD302">
        <v>160.4</v>
      </c>
      <c r="AE302">
        <f>SUM(All_India_Index_Upto_April23__1[[#This Row],[Cereals and products]:[Food and beverages]])</f>
        <v>2105.7000000000003</v>
      </c>
      <c r="AF302">
        <f>SUM(All_India_Index_Upto_April23__1[[#This Row],[Clothing]:[Clothing and footwear]])</f>
        <v>474.29999999999995</v>
      </c>
      <c r="AG302">
        <f t="shared" si="4"/>
        <v>463</v>
      </c>
      <c r="AI302">
        <f>TYPE(All_India_Index_Upto_April23__1[[#This Row],[Sector]])</f>
        <v>2</v>
      </c>
      <c r="AJ302">
        <f>TYPE(All_India_Index_Upto_April23__1[[#This Row],[Year]])</f>
        <v>1</v>
      </c>
      <c r="AK302">
        <f>TYPE(All_India_Index_Upto_April23__1[[#This Row],[Month]])</f>
        <v>2</v>
      </c>
      <c r="AL302">
        <f>TYPE(All_India_Index_Upto_April23__1[[#This Row],[Cereals and products]])</f>
        <v>1</v>
      </c>
      <c r="AM302">
        <f>TYPE(All_India_Index_Upto_April23__1[[#This Row],[Meat and fish]])</f>
        <v>1</v>
      </c>
      <c r="AN302">
        <f>TYPE(All_India_Index_Upto_April23__1[[#This Row],[Egg]])</f>
        <v>1</v>
      </c>
      <c r="AO302">
        <f>TYPE(All_India_Index_Upto_April23__1[[#This Row],[Milk and products]])</f>
        <v>1</v>
      </c>
      <c r="AP302">
        <f>TYPE(All_India_Index_Upto_April23__1[[#This Row],[Oils and fats]])</f>
        <v>1</v>
      </c>
      <c r="AQ302">
        <f>TYPE(All_India_Index_Upto_April23__1[[#This Row],[Fruits]])</f>
        <v>1</v>
      </c>
      <c r="AR302">
        <f>TYPE(All_India_Index_Upto_April23__1[[#This Row],[Vegetables]])</f>
        <v>1</v>
      </c>
      <c r="AS302">
        <f>TYPE(All_India_Index_Upto_April23__1[[#This Row],[Pulses and products]])</f>
        <v>1</v>
      </c>
      <c r="AT302">
        <f>TYPE(All_India_Index_Upto_April23__1[[#This Row],[Sugar and Confectionery]])</f>
        <v>1</v>
      </c>
      <c r="AU302">
        <f>TYPE(All_India_Index_Upto_April23__1[[#This Row],[Spices]])</f>
        <v>1</v>
      </c>
      <c r="AV302">
        <f>TYPE(All_India_Index_Upto_April23__1[[#This Row],[Non-alcoholic beverages]])</f>
        <v>1</v>
      </c>
      <c r="AW302">
        <f>TYPE(All_India_Index_Upto_April23__1[[#This Row],[Prepared meals, snacks, sweets etc.]])</f>
        <v>1</v>
      </c>
      <c r="AX302">
        <f>TYPE(All_India_Index_Upto_April23__1[[#This Row],[Food and beverages]])</f>
        <v>1</v>
      </c>
      <c r="AY302">
        <f>TYPE(All_India_Index_Upto_April23__1[[#This Row],[Pan, tobacco and intoxicants]])</f>
        <v>1</v>
      </c>
      <c r="AZ302">
        <f>TYPE(All_India_Index_Upto_April23__1[[#This Row],[Clothing]])</f>
        <v>1</v>
      </c>
      <c r="BA302">
        <f>TYPE(All_India_Index_Upto_April23__1[[#This Row],[Footwear]])</f>
        <v>1</v>
      </c>
      <c r="BB302">
        <f>TYPE(All_India_Index_Upto_April23__1[[#This Row],[Clothing and footwear]])</f>
        <v>1</v>
      </c>
      <c r="BC302">
        <f>TYPE(All_India_Index_Upto_April23__1[[#This Row],[Housing]])</f>
        <v>2</v>
      </c>
      <c r="BD302">
        <f>TYPE(All_India_Index_Upto_April23__1[[#This Row],[Fuel and light]])</f>
        <v>1</v>
      </c>
      <c r="BE302">
        <f>TYPE(All_India_Index_Upto_April23__1[[#This Row],[Household goods and services]])</f>
        <v>1</v>
      </c>
      <c r="BF302">
        <f>TYPE(All_India_Index_Upto_April23__1[[#This Row],[Health]])</f>
        <v>1</v>
      </c>
      <c r="BG302">
        <f>TYPE(All_India_Index_Upto_April23__1[[#This Row],[Transport and communication]])</f>
        <v>1</v>
      </c>
      <c r="BH302">
        <f>TYPE(All_India_Index_Upto_April23__1[[#This Row],[Recreation and amusement]])</f>
        <v>1</v>
      </c>
      <c r="BI302">
        <f>TYPE(All_India_Index_Upto_April23__1[[#This Row],[Education]])</f>
        <v>1</v>
      </c>
      <c r="BJ302">
        <f>TYPE(All_India_Index_Upto_April23__1[[#This Row],[Personal care and effects]])</f>
        <v>1</v>
      </c>
      <c r="BK302">
        <f>TYPE(All_India_Index_Upto_April23__1[[#This Row],[Miscellaneous]])</f>
        <v>1</v>
      </c>
      <c r="BL302">
        <f>TYPE(All_India_Index_Upto_April23__1[[#This Row],[General index]])</f>
        <v>1</v>
      </c>
    </row>
    <row r="303" spans="1:64" hidden="1" x14ac:dyDescent="0.3">
      <c r="A303" t="s">
        <v>30</v>
      </c>
      <c r="B303">
        <v>2021</v>
      </c>
      <c r="C303" t="s">
        <v>38</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U303" t="s">
        <v>89</v>
      </c>
      <c r="V303">
        <v>162.1</v>
      </c>
      <c r="W303">
        <v>159.19999999999999</v>
      </c>
      <c r="X303">
        <v>169.7</v>
      </c>
      <c r="Y303">
        <v>154.19999999999999</v>
      </c>
      <c r="Z303">
        <v>160.4</v>
      </c>
      <c r="AA303">
        <v>166.8</v>
      </c>
      <c r="AB303">
        <v>159.4</v>
      </c>
      <c r="AC303">
        <v>161.5</v>
      </c>
      <c r="AD303">
        <v>162.1</v>
      </c>
      <c r="AE303">
        <f>SUM(All_India_Index_Upto_April23__1[[#This Row],[Cereals and products]:[Food and beverages]])</f>
        <v>2122.6</v>
      </c>
      <c r="AF303">
        <f>SUM(All_India_Index_Upto_April23__1[[#This Row],[Clothing]:[Clothing and footwear]])</f>
        <v>489.80000000000007</v>
      </c>
      <c r="AG303">
        <f t="shared" si="4"/>
        <v>475.49999999999994</v>
      </c>
      <c r="AI303">
        <f>TYPE(All_India_Index_Upto_April23__1[[#This Row],[Sector]])</f>
        <v>2</v>
      </c>
      <c r="AJ303">
        <f>TYPE(All_India_Index_Upto_April23__1[[#This Row],[Year]])</f>
        <v>1</v>
      </c>
      <c r="AK303">
        <f>TYPE(All_India_Index_Upto_April23__1[[#This Row],[Month]])</f>
        <v>2</v>
      </c>
      <c r="AL303">
        <f>TYPE(All_India_Index_Upto_April23__1[[#This Row],[Cereals and products]])</f>
        <v>1</v>
      </c>
      <c r="AM303">
        <f>TYPE(All_India_Index_Upto_April23__1[[#This Row],[Meat and fish]])</f>
        <v>1</v>
      </c>
      <c r="AN303">
        <f>TYPE(All_India_Index_Upto_April23__1[[#This Row],[Egg]])</f>
        <v>1</v>
      </c>
      <c r="AO303">
        <f>TYPE(All_India_Index_Upto_April23__1[[#This Row],[Milk and products]])</f>
        <v>1</v>
      </c>
      <c r="AP303">
        <f>TYPE(All_India_Index_Upto_April23__1[[#This Row],[Oils and fats]])</f>
        <v>1</v>
      </c>
      <c r="AQ303">
        <f>TYPE(All_India_Index_Upto_April23__1[[#This Row],[Fruits]])</f>
        <v>1</v>
      </c>
      <c r="AR303">
        <f>TYPE(All_India_Index_Upto_April23__1[[#This Row],[Vegetables]])</f>
        <v>1</v>
      </c>
      <c r="AS303">
        <f>TYPE(All_India_Index_Upto_April23__1[[#This Row],[Pulses and products]])</f>
        <v>1</v>
      </c>
      <c r="AT303">
        <f>TYPE(All_India_Index_Upto_April23__1[[#This Row],[Sugar and Confectionery]])</f>
        <v>1</v>
      </c>
      <c r="AU303">
        <f>TYPE(All_India_Index_Upto_April23__1[[#This Row],[Spices]])</f>
        <v>1</v>
      </c>
      <c r="AV303">
        <f>TYPE(All_India_Index_Upto_April23__1[[#This Row],[Non-alcoholic beverages]])</f>
        <v>1</v>
      </c>
      <c r="AW303">
        <f>TYPE(All_India_Index_Upto_April23__1[[#This Row],[Prepared meals, snacks, sweets etc.]])</f>
        <v>1</v>
      </c>
      <c r="AX303">
        <f>TYPE(All_India_Index_Upto_April23__1[[#This Row],[Food and beverages]])</f>
        <v>1</v>
      </c>
      <c r="AY303">
        <f>TYPE(All_India_Index_Upto_April23__1[[#This Row],[Pan, tobacco and intoxicants]])</f>
        <v>1</v>
      </c>
      <c r="AZ303">
        <f>TYPE(All_India_Index_Upto_April23__1[[#This Row],[Clothing]])</f>
        <v>1</v>
      </c>
      <c r="BA303">
        <f>TYPE(All_India_Index_Upto_April23__1[[#This Row],[Footwear]])</f>
        <v>1</v>
      </c>
      <c r="BB303">
        <f>TYPE(All_India_Index_Upto_April23__1[[#This Row],[Clothing and footwear]])</f>
        <v>1</v>
      </c>
      <c r="BC303">
        <f>TYPE(All_India_Index_Upto_April23__1[[#This Row],[Housing]])</f>
        <v>2</v>
      </c>
      <c r="BD303">
        <f>TYPE(All_India_Index_Upto_April23__1[[#This Row],[Fuel and light]])</f>
        <v>1</v>
      </c>
      <c r="BE303">
        <f>TYPE(All_India_Index_Upto_April23__1[[#This Row],[Household goods and services]])</f>
        <v>1</v>
      </c>
      <c r="BF303">
        <f>TYPE(All_India_Index_Upto_April23__1[[#This Row],[Health]])</f>
        <v>1</v>
      </c>
      <c r="BG303">
        <f>TYPE(All_India_Index_Upto_April23__1[[#This Row],[Transport and communication]])</f>
        <v>1</v>
      </c>
      <c r="BH303">
        <f>TYPE(All_India_Index_Upto_April23__1[[#This Row],[Recreation and amusement]])</f>
        <v>1</v>
      </c>
      <c r="BI303">
        <f>TYPE(All_India_Index_Upto_April23__1[[#This Row],[Education]])</f>
        <v>1</v>
      </c>
      <c r="BJ303">
        <f>TYPE(All_India_Index_Upto_April23__1[[#This Row],[Personal care and effects]])</f>
        <v>1</v>
      </c>
      <c r="BK303">
        <f>TYPE(All_India_Index_Upto_April23__1[[#This Row],[Miscellaneous]])</f>
        <v>1</v>
      </c>
      <c r="BL303">
        <f>TYPE(All_India_Index_Upto_April23__1[[#This Row],[General index]])</f>
        <v>1</v>
      </c>
    </row>
    <row r="304" spans="1:64" hidden="1" x14ac:dyDescent="0.3">
      <c r="A304" t="s">
        <v>32</v>
      </c>
      <c r="B304">
        <v>2021</v>
      </c>
      <c r="C304" t="s">
        <v>38</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t="s">
        <v>187</v>
      </c>
      <c r="V304">
        <v>156.1</v>
      </c>
      <c r="W304">
        <v>149.80000000000001</v>
      </c>
      <c r="X304">
        <v>160.80000000000001</v>
      </c>
      <c r="Y304">
        <v>147.5</v>
      </c>
      <c r="Z304">
        <v>150.69999999999999</v>
      </c>
      <c r="AA304">
        <v>158.1</v>
      </c>
      <c r="AB304">
        <v>158</v>
      </c>
      <c r="AC304">
        <v>153.4</v>
      </c>
      <c r="AD304">
        <v>160.4</v>
      </c>
      <c r="AE304">
        <f>SUM(All_India_Index_Upto_April23__1[[#This Row],[Cereals and products]:[Food and beverages]])</f>
        <v>2154.1999999999998</v>
      </c>
      <c r="AF304">
        <f>SUM(All_India_Index_Upto_April23__1[[#This Row],[Clothing]:[Clothing and footwear]])</f>
        <v>452.6</v>
      </c>
      <c r="AG304">
        <f t="shared" si="4"/>
        <v>453.4</v>
      </c>
      <c r="AI304">
        <f>TYPE(All_India_Index_Upto_April23__1[[#This Row],[Sector]])</f>
        <v>2</v>
      </c>
      <c r="AJ304">
        <f>TYPE(All_India_Index_Upto_April23__1[[#This Row],[Year]])</f>
        <v>1</v>
      </c>
      <c r="AK304">
        <f>TYPE(All_India_Index_Upto_April23__1[[#This Row],[Month]])</f>
        <v>2</v>
      </c>
      <c r="AL304">
        <f>TYPE(All_India_Index_Upto_April23__1[[#This Row],[Cereals and products]])</f>
        <v>1</v>
      </c>
      <c r="AM304">
        <f>TYPE(All_India_Index_Upto_April23__1[[#This Row],[Meat and fish]])</f>
        <v>1</v>
      </c>
      <c r="AN304">
        <f>TYPE(All_India_Index_Upto_April23__1[[#This Row],[Egg]])</f>
        <v>1</v>
      </c>
      <c r="AO304">
        <f>TYPE(All_India_Index_Upto_April23__1[[#This Row],[Milk and products]])</f>
        <v>1</v>
      </c>
      <c r="AP304">
        <f>TYPE(All_India_Index_Upto_April23__1[[#This Row],[Oils and fats]])</f>
        <v>1</v>
      </c>
      <c r="AQ304">
        <f>TYPE(All_India_Index_Upto_April23__1[[#This Row],[Fruits]])</f>
        <v>1</v>
      </c>
      <c r="AR304">
        <f>TYPE(All_India_Index_Upto_April23__1[[#This Row],[Vegetables]])</f>
        <v>1</v>
      </c>
      <c r="AS304">
        <f>TYPE(All_India_Index_Upto_April23__1[[#This Row],[Pulses and products]])</f>
        <v>1</v>
      </c>
      <c r="AT304">
        <f>TYPE(All_India_Index_Upto_April23__1[[#This Row],[Sugar and Confectionery]])</f>
        <v>1</v>
      </c>
      <c r="AU304">
        <f>TYPE(All_India_Index_Upto_April23__1[[#This Row],[Spices]])</f>
        <v>1</v>
      </c>
      <c r="AV304">
        <f>TYPE(All_India_Index_Upto_April23__1[[#This Row],[Non-alcoholic beverages]])</f>
        <v>1</v>
      </c>
      <c r="AW304">
        <f>TYPE(All_India_Index_Upto_April23__1[[#This Row],[Prepared meals, snacks, sweets etc.]])</f>
        <v>1</v>
      </c>
      <c r="AX304">
        <f>TYPE(All_India_Index_Upto_April23__1[[#This Row],[Food and beverages]])</f>
        <v>1</v>
      </c>
      <c r="AY304">
        <f>TYPE(All_India_Index_Upto_April23__1[[#This Row],[Pan, tobacco and intoxicants]])</f>
        <v>1</v>
      </c>
      <c r="AZ304">
        <f>TYPE(All_India_Index_Upto_April23__1[[#This Row],[Clothing]])</f>
        <v>1</v>
      </c>
      <c r="BA304">
        <f>TYPE(All_India_Index_Upto_April23__1[[#This Row],[Footwear]])</f>
        <v>1</v>
      </c>
      <c r="BB304">
        <f>TYPE(All_India_Index_Upto_April23__1[[#This Row],[Clothing and footwear]])</f>
        <v>1</v>
      </c>
      <c r="BC304">
        <f>TYPE(All_India_Index_Upto_April23__1[[#This Row],[Housing]])</f>
        <v>2</v>
      </c>
      <c r="BD304">
        <f>TYPE(All_India_Index_Upto_April23__1[[#This Row],[Fuel and light]])</f>
        <v>1</v>
      </c>
      <c r="BE304">
        <f>TYPE(All_India_Index_Upto_April23__1[[#This Row],[Household goods and services]])</f>
        <v>1</v>
      </c>
      <c r="BF304">
        <f>TYPE(All_India_Index_Upto_April23__1[[#This Row],[Health]])</f>
        <v>1</v>
      </c>
      <c r="BG304">
        <f>TYPE(All_India_Index_Upto_April23__1[[#This Row],[Transport and communication]])</f>
        <v>1</v>
      </c>
      <c r="BH304">
        <f>TYPE(All_India_Index_Upto_April23__1[[#This Row],[Recreation and amusement]])</f>
        <v>1</v>
      </c>
      <c r="BI304">
        <f>TYPE(All_India_Index_Upto_April23__1[[#This Row],[Education]])</f>
        <v>1</v>
      </c>
      <c r="BJ304">
        <f>TYPE(All_India_Index_Upto_April23__1[[#This Row],[Personal care and effects]])</f>
        <v>1</v>
      </c>
      <c r="BK304">
        <f>TYPE(All_India_Index_Upto_April23__1[[#This Row],[Miscellaneous]])</f>
        <v>1</v>
      </c>
      <c r="BL304">
        <f>TYPE(All_India_Index_Upto_April23__1[[#This Row],[General index]])</f>
        <v>1</v>
      </c>
    </row>
    <row r="305" spans="1:64" hidden="1" x14ac:dyDescent="0.3">
      <c r="A305" t="s">
        <v>33</v>
      </c>
      <c r="B305">
        <v>2021</v>
      </c>
      <c r="C305" t="s">
        <v>38</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t="s">
        <v>187</v>
      </c>
      <c r="V305">
        <v>159.80000000000001</v>
      </c>
      <c r="W305">
        <v>154.80000000000001</v>
      </c>
      <c r="X305">
        <v>166.3</v>
      </c>
      <c r="Y305">
        <v>150.69999999999999</v>
      </c>
      <c r="Z305">
        <v>154.9</v>
      </c>
      <c r="AA305">
        <v>161.69999999999999</v>
      </c>
      <c r="AB305">
        <v>158.80000000000001</v>
      </c>
      <c r="AC305">
        <v>157.6</v>
      </c>
      <c r="AD305">
        <v>161.30000000000001</v>
      </c>
      <c r="AE305">
        <f>SUM(All_India_Index_Upto_April23__1[[#This Row],[Cereals and products]:[Food and beverages]])</f>
        <v>2133.9</v>
      </c>
      <c r="AF305">
        <f>SUM(All_India_Index_Upto_April23__1[[#This Row],[Clothing]:[Clothing and footwear]])</f>
        <v>474.7</v>
      </c>
      <c r="AG305">
        <f t="shared" si="4"/>
        <v>465.3</v>
      </c>
      <c r="AI305">
        <f>TYPE(All_India_Index_Upto_April23__1[[#This Row],[Sector]])</f>
        <v>2</v>
      </c>
      <c r="AJ305">
        <f>TYPE(All_India_Index_Upto_April23__1[[#This Row],[Year]])</f>
        <v>1</v>
      </c>
      <c r="AK305">
        <f>TYPE(All_India_Index_Upto_April23__1[[#This Row],[Month]])</f>
        <v>2</v>
      </c>
      <c r="AL305">
        <f>TYPE(All_India_Index_Upto_April23__1[[#This Row],[Cereals and products]])</f>
        <v>1</v>
      </c>
      <c r="AM305">
        <f>TYPE(All_India_Index_Upto_April23__1[[#This Row],[Meat and fish]])</f>
        <v>1</v>
      </c>
      <c r="AN305">
        <f>TYPE(All_India_Index_Upto_April23__1[[#This Row],[Egg]])</f>
        <v>1</v>
      </c>
      <c r="AO305">
        <f>TYPE(All_India_Index_Upto_April23__1[[#This Row],[Milk and products]])</f>
        <v>1</v>
      </c>
      <c r="AP305">
        <f>TYPE(All_India_Index_Upto_April23__1[[#This Row],[Oils and fats]])</f>
        <v>1</v>
      </c>
      <c r="AQ305">
        <f>TYPE(All_India_Index_Upto_April23__1[[#This Row],[Fruits]])</f>
        <v>1</v>
      </c>
      <c r="AR305">
        <f>TYPE(All_India_Index_Upto_April23__1[[#This Row],[Vegetables]])</f>
        <v>1</v>
      </c>
      <c r="AS305">
        <f>TYPE(All_India_Index_Upto_April23__1[[#This Row],[Pulses and products]])</f>
        <v>1</v>
      </c>
      <c r="AT305">
        <f>TYPE(All_India_Index_Upto_April23__1[[#This Row],[Sugar and Confectionery]])</f>
        <v>1</v>
      </c>
      <c r="AU305">
        <f>TYPE(All_India_Index_Upto_April23__1[[#This Row],[Spices]])</f>
        <v>1</v>
      </c>
      <c r="AV305">
        <f>TYPE(All_India_Index_Upto_April23__1[[#This Row],[Non-alcoholic beverages]])</f>
        <v>1</v>
      </c>
      <c r="AW305">
        <f>TYPE(All_India_Index_Upto_April23__1[[#This Row],[Prepared meals, snacks, sweets etc.]])</f>
        <v>1</v>
      </c>
      <c r="AX305">
        <f>TYPE(All_India_Index_Upto_April23__1[[#This Row],[Food and beverages]])</f>
        <v>1</v>
      </c>
      <c r="AY305">
        <f>TYPE(All_India_Index_Upto_April23__1[[#This Row],[Pan, tobacco and intoxicants]])</f>
        <v>1</v>
      </c>
      <c r="AZ305">
        <f>TYPE(All_India_Index_Upto_April23__1[[#This Row],[Clothing]])</f>
        <v>1</v>
      </c>
      <c r="BA305">
        <f>TYPE(All_India_Index_Upto_April23__1[[#This Row],[Footwear]])</f>
        <v>1</v>
      </c>
      <c r="BB305">
        <f>TYPE(All_India_Index_Upto_April23__1[[#This Row],[Clothing and footwear]])</f>
        <v>1</v>
      </c>
      <c r="BC305">
        <f>TYPE(All_India_Index_Upto_April23__1[[#This Row],[Housing]])</f>
        <v>2</v>
      </c>
      <c r="BD305">
        <f>TYPE(All_India_Index_Upto_April23__1[[#This Row],[Fuel and light]])</f>
        <v>1</v>
      </c>
      <c r="BE305">
        <f>TYPE(All_India_Index_Upto_April23__1[[#This Row],[Household goods and services]])</f>
        <v>1</v>
      </c>
      <c r="BF305">
        <f>TYPE(All_India_Index_Upto_April23__1[[#This Row],[Health]])</f>
        <v>1</v>
      </c>
      <c r="BG305">
        <f>TYPE(All_India_Index_Upto_April23__1[[#This Row],[Transport and communication]])</f>
        <v>1</v>
      </c>
      <c r="BH305">
        <f>TYPE(All_India_Index_Upto_April23__1[[#This Row],[Recreation and amusement]])</f>
        <v>1</v>
      </c>
      <c r="BI305">
        <f>TYPE(All_India_Index_Upto_April23__1[[#This Row],[Education]])</f>
        <v>1</v>
      </c>
      <c r="BJ305">
        <f>TYPE(All_India_Index_Upto_April23__1[[#This Row],[Personal care and effects]])</f>
        <v>1</v>
      </c>
      <c r="BK305">
        <f>TYPE(All_India_Index_Upto_April23__1[[#This Row],[Miscellaneous]])</f>
        <v>1</v>
      </c>
      <c r="BL305">
        <f>TYPE(All_India_Index_Upto_April23__1[[#This Row],[General index]])</f>
        <v>1</v>
      </c>
    </row>
    <row r="306" spans="1:64" hidden="1" x14ac:dyDescent="0.3">
      <c r="A306" t="s">
        <v>30</v>
      </c>
      <c r="B306">
        <v>2021</v>
      </c>
      <c r="C306" t="s">
        <v>39</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U306" t="s">
        <v>89</v>
      </c>
      <c r="V306">
        <v>162.5</v>
      </c>
      <c r="W306">
        <v>160.30000000000001</v>
      </c>
      <c r="X306">
        <v>170.4</v>
      </c>
      <c r="Y306">
        <v>157.1</v>
      </c>
      <c r="Z306">
        <v>160.69999999999999</v>
      </c>
      <c r="AA306">
        <v>167.2</v>
      </c>
      <c r="AB306">
        <v>160.4</v>
      </c>
      <c r="AC306">
        <v>162.80000000000001</v>
      </c>
      <c r="AD306">
        <v>163.19999999999999</v>
      </c>
      <c r="AE306">
        <f>SUM(All_India_Index_Upto_April23__1[[#This Row],[Cereals and products]:[Food and beverages]])</f>
        <v>2132.4</v>
      </c>
      <c r="AF306">
        <f>SUM(All_India_Index_Upto_April23__1[[#This Row],[Clothing]:[Clothing and footwear]])</f>
        <v>492.40000000000003</v>
      </c>
      <c r="AG306">
        <f t="shared" si="4"/>
        <v>479.9</v>
      </c>
      <c r="AI306">
        <f>TYPE(All_India_Index_Upto_April23__1[[#This Row],[Sector]])</f>
        <v>2</v>
      </c>
      <c r="AJ306">
        <f>TYPE(All_India_Index_Upto_April23__1[[#This Row],[Year]])</f>
        <v>1</v>
      </c>
      <c r="AK306">
        <f>TYPE(All_India_Index_Upto_April23__1[[#This Row],[Month]])</f>
        <v>2</v>
      </c>
      <c r="AL306">
        <f>TYPE(All_India_Index_Upto_April23__1[[#This Row],[Cereals and products]])</f>
        <v>1</v>
      </c>
      <c r="AM306">
        <f>TYPE(All_India_Index_Upto_April23__1[[#This Row],[Meat and fish]])</f>
        <v>1</v>
      </c>
      <c r="AN306">
        <f>TYPE(All_India_Index_Upto_April23__1[[#This Row],[Egg]])</f>
        <v>1</v>
      </c>
      <c r="AO306">
        <f>TYPE(All_India_Index_Upto_April23__1[[#This Row],[Milk and products]])</f>
        <v>1</v>
      </c>
      <c r="AP306">
        <f>TYPE(All_India_Index_Upto_April23__1[[#This Row],[Oils and fats]])</f>
        <v>1</v>
      </c>
      <c r="AQ306">
        <f>TYPE(All_India_Index_Upto_April23__1[[#This Row],[Fruits]])</f>
        <v>1</v>
      </c>
      <c r="AR306">
        <f>TYPE(All_India_Index_Upto_April23__1[[#This Row],[Vegetables]])</f>
        <v>1</v>
      </c>
      <c r="AS306">
        <f>TYPE(All_India_Index_Upto_April23__1[[#This Row],[Pulses and products]])</f>
        <v>1</v>
      </c>
      <c r="AT306">
        <f>TYPE(All_India_Index_Upto_April23__1[[#This Row],[Sugar and Confectionery]])</f>
        <v>1</v>
      </c>
      <c r="AU306">
        <f>TYPE(All_India_Index_Upto_April23__1[[#This Row],[Spices]])</f>
        <v>1</v>
      </c>
      <c r="AV306">
        <f>TYPE(All_India_Index_Upto_April23__1[[#This Row],[Non-alcoholic beverages]])</f>
        <v>1</v>
      </c>
      <c r="AW306">
        <f>TYPE(All_India_Index_Upto_April23__1[[#This Row],[Prepared meals, snacks, sweets etc.]])</f>
        <v>1</v>
      </c>
      <c r="AX306">
        <f>TYPE(All_India_Index_Upto_April23__1[[#This Row],[Food and beverages]])</f>
        <v>1</v>
      </c>
      <c r="AY306">
        <f>TYPE(All_India_Index_Upto_April23__1[[#This Row],[Pan, tobacco and intoxicants]])</f>
        <v>1</v>
      </c>
      <c r="AZ306">
        <f>TYPE(All_India_Index_Upto_April23__1[[#This Row],[Clothing]])</f>
        <v>1</v>
      </c>
      <c r="BA306">
        <f>TYPE(All_India_Index_Upto_April23__1[[#This Row],[Footwear]])</f>
        <v>1</v>
      </c>
      <c r="BB306">
        <f>TYPE(All_India_Index_Upto_April23__1[[#This Row],[Clothing and footwear]])</f>
        <v>1</v>
      </c>
      <c r="BC306">
        <f>TYPE(All_India_Index_Upto_April23__1[[#This Row],[Housing]])</f>
        <v>2</v>
      </c>
      <c r="BD306">
        <f>TYPE(All_India_Index_Upto_April23__1[[#This Row],[Fuel and light]])</f>
        <v>1</v>
      </c>
      <c r="BE306">
        <f>TYPE(All_India_Index_Upto_April23__1[[#This Row],[Household goods and services]])</f>
        <v>1</v>
      </c>
      <c r="BF306">
        <f>TYPE(All_India_Index_Upto_April23__1[[#This Row],[Health]])</f>
        <v>1</v>
      </c>
      <c r="BG306">
        <f>TYPE(All_India_Index_Upto_April23__1[[#This Row],[Transport and communication]])</f>
        <v>1</v>
      </c>
      <c r="BH306">
        <f>TYPE(All_India_Index_Upto_April23__1[[#This Row],[Recreation and amusement]])</f>
        <v>1</v>
      </c>
      <c r="BI306">
        <f>TYPE(All_India_Index_Upto_April23__1[[#This Row],[Education]])</f>
        <v>1</v>
      </c>
      <c r="BJ306">
        <f>TYPE(All_India_Index_Upto_April23__1[[#This Row],[Personal care and effects]])</f>
        <v>1</v>
      </c>
      <c r="BK306">
        <f>TYPE(All_India_Index_Upto_April23__1[[#This Row],[Miscellaneous]])</f>
        <v>1</v>
      </c>
      <c r="BL306">
        <f>TYPE(All_India_Index_Upto_April23__1[[#This Row],[General index]])</f>
        <v>1</v>
      </c>
    </row>
    <row r="307" spans="1:64" hidden="1" x14ac:dyDescent="0.3">
      <c r="A307" t="s">
        <v>32</v>
      </c>
      <c r="B307">
        <v>2021</v>
      </c>
      <c r="C307" t="s">
        <v>39</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t="s">
        <v>188</v>
      </c>
      <c r="V307">
        <v>157.69999999999999</v>
      </c>
      <c r="W307">
        <v>150.69999999999999</v>
      </c>
      <c r="X307">
        <v>161.5</v>
      </c>
      <c r="Y307">
        <v>149.5</v>
      </c>
      <c r="Z307">
        <v>151.19999999999999</v>
      </c>
      <c r="AA307">
        <v>160.30000000000001</v>
      </c>
      <c r="AB307">
        <v>159.6</v>
      </c>
      <c r="AC307">
        <v>155</v>
      </c>
      <c r="AD307">
        <v>161.80000000000001</v>
      </c>
      <c r="AE307">
        <f>SUM(All_India_Index_Upto_April23__1[[#This Row],[Cereals and products]:[Food and beverages]])</f>
        <v>2171.8000000000002</v>
      </c>
      <c r="AF307">
        <f>SUM(All_India_Index_Upto_April23__1[[#This Row],[Clothing]:[Clothing and footwear]])</f>
        <v>455.3</v>
      </c>
      <c r="AG307">
        <f t="shared" si="4"/>
        <v>457.9</v>
      </c>
      <c r="AI307">
        <f>TYPE(All_India_Index_Upto_April23__1[[#This Row],[Sector]])</f>
        <v>2</v>
      </c>
      <c r="AJ307">
        <f>TYPE(All_India_Index_Upto_April23__1[[#This Row],[Year]])</f>
        <v>1</v>
      </c>
      <c r="AK307">
        <f>TYPE(All_India_Index_Upto_April23__1[[#This Row],[Month]])</f>
        <v>2</v>
      </c>
      <c r="AL307">
        <f>TYPE(All_India_Index_Upto_April23__1[[#This Row],[Cereals and products]])</f>
        <v>1</v>
      </c>
      <c r="AM307">
        <f>TYPE(All_India_Index_Upto_April23__1[[#This Row],[Meat and fish]])</f>
        <v>1</v>
      </c>
      <c r="AN307">
        <f>TYPE(All_India_Index_Upto_April23__1[[#This Row],[Egg]])</f>
        <v>1</v>
      </c>
      <c r="AO307">
        <f>TYPE(All_India_Index_Upto_April23__1[[#This Row],[Milk and products]])</f>
        <v>1</v>
      </c>
      <c r="AP307">
        <f>TYPE(All_India_Index_Upto_April23__1[[#This Row],[Oils and fats]])</f>
        <v>1</v>
      </c>
      <c r="AQ307">
        <f>TYPE(All_India_Index_Upto_April23__1[[#This Row],[Fruits]])</f>
        <v>1</v>
      </c>
      <c r="AR307">
        <f>TYPE(All_India_Index_Upto_April23__1[[#This Row],[Vegetables]])</f>
        <v>1</v>
      </c>
      <c r="AS307">
        <f>TYPE(All_India_Index_Upto_April23__1[[#This Row],[Pulses and products]])</f>
        <v>1</v>
      </c>
      <c r="AT307">
        <f>TYPE(All_India_Index_Upto_April23__1[[#This Row],[Sugar and Confectionery]])</f>
        <v>1</v>
      </c>
      <c r="AU307">
        <f>TYPE(All_India_Index_Upto_April23__1[[#This Row],[Spices]])</f>
        <v>1</v>
      </c>
      <c r="AV307">
        <f>TYPE(All_India_Index_Upto_April23__1[[#This Row],[Non-alcoholic beverages]])</f>
        <v>1</v>
      </c>
      <c r="AW307">
        <f>TYPE(All_India_Index_Upto_April23__1[[#This Row],[Prepared meals, snacks, sweets etc.]])</f>
        <v>1</v>
      </c>
      <c r="AX307">
        <f>TYPE(All_India_Index_Upto_April23__1[[#This Row],[Food and beverages]])</f>
        <v>1</v>
      </c>
      <c r="AY307">
        <f>TYPE(All_India_Index_Upto_April23__1[[#This Row],[Pan, tobacco and intoxicants]])</f>
        <v>1</v>
      </c>
      <c r="AZ307">
        <f>TYPE(All_India_Index_Upto_April23__1[[#This Row],[Clothing]])</f>
        <v>1</v>
      </c>
      <c r="BA307">
        <f>TYPE(All_India_Index_Upto_April23__1[[#This Row],[Footwear]])</f>
        <v>1</v>
      </c>
      <c r="BB307">
        <f>TYPE(All_India_Index_Upto_April23__1[[#This Row],[Clothing and footwear]])</f>
        <v>1</v>
      </c>
      <c r="BC307">
        <f>TYPE(All_India_Index_Upto_April23__1[[#This Row],[Housing]])</f>
        <v>2</v>
      </c>
      <c r="BD307">
        <f>TYPE(All_India_Index_Upto_April23__1[[#This Row],[Fuel and light]])</f>
        <v>1</v>
      </c>
      <c r="BE307">
        <f>TYPE(All_India_Index_Upto_April23__1[[#This Row],[Household goods and services]])</f>
        <v>1</v>
      </c>
      <c r="BF307">
        <f>TYPE(All_India_Index_Upto_April23__1[[#This Row],[Health]])</f>
        <v>1</v>
      </c>
      <c r="BG307">
        <f>TYPE(All_India_Index_Upto_April23__1[[#This Row],[Transport and communication]])</f>
        <v>1</v>
      </c>
      <c r="BH307">
        <f>TYPE(All_India_Index_Upto_April23__1[[#This Row],[Recreation and amusement]])</f>
        <v>1</v>
      </c>
      <c r="BI307">
        <f>TYPE(All_India_Index_Upto_April23__1[[#This Row],[Education]])</f>
        <v>1</v>
      </c>
      <c r="BJ307">
        <f>TYPE(All_India_Index_Upto_April23__1[[#This Row],[Personal care and effects]])</f>
        <v>1</v>
      </c>
      <c r="BK307">
        <f>TYPE(All_India_Index_Upto_April23__1[[#This Row],[Miscellaneous]])</f>
        <v>1</v>
      </c>
      <c r="BL307">
        <f>TYPE(All_India_Index_Upto_April23__1[[#This Row],[General index]])</f>
        <v>1</v>
      </c>
    </row>
    <row r="308" spans="1:64" hidden="1" x14ac:dyDescent="0.3">
      <c r="A308" t="s">
        <v>33</v>
      </c>
      <c r="B308">
        <v>2021</v>
      </c>
      <c r="C308" t="s">
        <v>39</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t="s">
        <v>188</v>
      </c>
      <c r="V308">
        <v>160.69999999999999</v>
      </c>
      <c r="W308">
        <v>155.80000000000001</v>
      </c>
      <c r="X308">
        <v>167</v>
      </c>
      <c r="Y308">
        <v>153.1</v>
      </c>
      <c r="Z308">
        <v>155.30000000000001</v>
      </c>
      <c r="AA308">
        <v>163.19999999999999</v>
      </c>
      <c r="AB308">
        <v>160.1</v>
      </c>
      <c r="AC308">
        <v>159</v>
      </c>
      <c r="AD308">
        <v>162.5</v>
      </c>
      <c r="AE308">
        <f>SUM(All_India_Index_Upto_April23__1[[#This Row],[Cereals and products]:[Food and beverages]])</f>
        <v>2147</v>
      </c>
      <c r="AF308">
        <f>SUM(All_India_Index_Upto_April23__1[[#This Row],[Clothing]:[Clothing and footwear]])</f>
        <v>477.29999999999995</v>
      </c>
      <c r="AG308">
        <f t="shared" si="4"/>
        <v>469.6</v>
      </c>
      <c r="AI308">
        <f>TYPE(All_India_Index_Upto_April23__1[[#This Row],[Sector]])</f>
        <v>2</v>
      </c>
      <c r="AJ308">
        <f>TYPE(All_India_Index_Upto_April23__1[[#This Row],[Year]])</f>
        <v>1</v>
      </c>
      <c r="AK308">
        <f>TYPE(All_India_Index_Upto_April23__1[[#This Row],[Month]])</f>
        <v>2</v>
      </c>
      <c r="AL308">
        <f>TYPE(All_India_Index_Upto_April23__1[[#This Row],[Cereals and products]])</f>
        <v>1</v>
      </c>
      <c r="AM308">
        <f>TYPE(All_India_Index_Upto_April23__1[[#This Row],[Meat and fish]])</f>
        <v>1</v>
      </c>
      <c r="AN308">
        <f>TYPE(All_India_Index_Upto_April23__1[[#This Row],[Egg]])</f>
        <v>1</v>
      </c>
      <c r="AO308">
        <f>TYPE(All_India_Index_Upto_April23__1[[#This Row],[Milk and products]])</f>
        <v>1</v>
      </c>
      <c r="AP308">
        <f>TYPE(All_India_Index_Upto_April23__1[[#This Row],[Oils and fats]])</f>
        <v>1</v>
      </c>
      <c r="AQ308">
        <f>TYPE(All_India_Index_Upto_April23__1[[#This Row],[Fruits]])</f>
        <v>1</v>
      </c>
      <c r="AR308">
        <f>TYPE(All_India_Index_Upto_April23__1[[#This Row],[Vegetables]])</f>
        <v>1</v>
      </c>
      <c r="AS308">
        <f>TYPE(All_India_Index_Upto_April23__1[[#This Row],[Pulses and products]])</f>
        <v>1</v>
      </c>
      <c r="AT308">
        <f>TYPE(All_India_Index_Upto_April23__1[[#This Row],[Sugar and Confectionery]])</f>
        <v>1</v>
      </c>
      <c r="AU308">
        <f>TYPE(All_India_Index_Upto_April23__1[[#This Row],[Spices]])</f>
        <v>1</v>
      </c>
      <c r="AV308">
        <f>TYPE(All_India_Index_Upto_April23__1[[#This Row],[Non-alcoholic beverages]])</f>
        <v>1</v>
      </c>
      <c r="AW308">
        <f>TYPE(All_India_Index_Upto_April23__1[[#This Row],[Prepared meals, snacks, sweets etc.]])</f>
        <v>1</v>
      </c>
      <c r="AX308">
        <f>TYPE(All_India_Index_Upto_April23__1[[#This Row],[Food and beverages]])</f>
        <v>1</v>
      </c>
      <c r="AY308">
        <f>TYPE(All_India_Index_Upto_April23__1[[#This Row],[Pan, tobacco and intoxicants]])</f>
        <v>1</v>
      </c>
      <c r="AZ308">
        <f>TYPE(All_India_Index_Upto_April23__1[[#This Row],[Clothing]])</f>
        <v>1</v>
      </c>
      <c r="BA308">
        <f>TYPE(All_India_Index_Upto_April23__1[[#This Row],[Footwear]])</f>
        <v>1</v>
      </c>
      <c r="BB308">
        <f>TYPE(All_India_Index_Upto_April23__1[[#This Row],[Clothing and footwear]])</f>
        <v>1</v>
      </c>
      <c r="BC308">
        <f>TYPE(All_India_Index_Upto_April23__1[[#This Row],[Housing]])</f>
        <v>2</v>
      </c>
      <c r="BD308">
        <f>TYPE(All_India_Index_Upto_April23__1[[#This Row],[Fuel and light]])</f>
        <v>1</v>
      </c>
      <c r="BE308">
        <f>TYPE(All_India_Index_Upto_April23__1[[#This Row],[Household goods and services]])</f>
        <v>1</v>
      </c>
      <c r="BF308">
        <f>TYPE(All_India_Index_Upto_April23__1[[#This Row],[Health]])</f>
        <v>1</v>
      </c>
      <c r="BG308">
        <f>TYPE(All_India_Index_Upto_April23__1[[#This Row],[Transport and communication]])</f>
        <v>1</v>
      </c>
      <c r="BH308">
        <f>TYPE(All_India_Index_Upto_April23__1[[#This Row],[Recreation and amusement]])</f>
        <v>1</v>
      </c>
      <c r="BI308">
        <f>TYPE(All_India_Index_Upto_April23__1[[#This Row],[Education]])</f>
        <v>1</v>
      </c>
      <c r="BJ308">
        <f>TYPE(All_India_Index_Upto_April23__1[[#This Row],[Personal care and effects]])</f>
        <v>1</v>
      </c>
      <c r="BK308">
        <f>TYPE(All_India_Index_Upto_April23__1[[#This Row],[Miscellaneous]])</f>
        <v>1</v>
      </c>
      <c r="BL308">
        <f>TYPE(All_India_Index_Upto_April23__1[[#This Row],[General index]])</f>
        <v>1</v>
      </c>
    </row>
    <row r="309" spans="1:64" hidden="1" x14ac:dyDescent="0.3">
      <c r="A309" t="s">
        <v>30</v>
      </c>
      <c r="B309">
        <v>2021</v>
      </c>
      <c r="C309" t="s">
        <v>40</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U309" t="s">
        <v>89</v>
      </c>
      <c r="V309">
        <v>163.1</v>
      </c>
      <c r="W309">
        <v>160.9</v>
      </c>
      <c r="X309">
        <v>171.1</v>
      </c>
      <c r="Y309">
        <v>157.69999999999999</v>
      </c>
      <c r="Z309">
        <v>161.1</v>
      </c>
      <c r="AA309">
        <v>167.5</v>
      </c>
      <c r="AB309">
        <v>160.30000000000001</v>
      </c>
      <c r="AC309">
        <v>163.30000000000001</v>
      </c>
      <c r="AD309">
        <v>163.6</v>
      </c>
      <c r="AE309">
        <f>SUM(All_India_Index_Upto_April23__1[[#This Row],[Cereals and products]:[Food and beverages]])</f>
        <v>2130.8000000000002</v>
      </c>
      <c r="AF309">
        <f>SUM(All_India_Index_Upto_April23__1[[#This Row],[Clothing]:[Clothing and footwear]])</f>
        <v>495.90000000000003</v>
      </c>
      <c r="AG309">
        <f t="shared" si="4"/>
        <v>481.7</v>
      </c>
      <c r="AI309">
        <f>TYPE(All_India_Index_Upto_April23__1[[#This Row],[Sector]])</f>
        <v>2</v>
      </c>
      <c r="AJ309">
        <f>TYPE(All_India_Index_Upto_April23__1[[#This Row],[Year]])</f>
        <v>1</v>
      </c>
      <c r="AK309">
        <f>TYPE(All_India_Index_Upto_April23__1[[#This Row],[Month]])</f>
        <v>2</v>
      </c>
      <c r="AL309">
        <f>TYPE(All_India_Index_Upto_April23__1[[#This Row],[Cereals and products]])</f>
        <v>1</v>
      </c>
      <c r="AM309">
        <f>TYPE(All_India_Index_Upto_April23__1[[#This Row],[Meat and fish]])</f>
        <v>1</v>
      </c>
      <c r="AN309">
        <f>TYPE(All_India_Index_Upto_April23__1[[#This Row],[Egg]])</f>
        <v>1</v>
      </c>
      <c r="AO309">
        <f>TYPE(All_India_Index_Upto_April23__1[[#This Row],[Milk and products]])</f>
        <v>1</v>
      </c>
      <c r="AP309">
        <f>TYPE(All_India_Index_Upto_April23__1[[#This Row],[Oils and fats]])</f>
        <v>1</v>
      </c>
      <c r="AQ309">
        <f>TYPE(All_India_Index_Upto_April23__1[[#This Row],[Fruits]])</f>
        <v>1</v>
      </c>
      <c r="AR309">
        <f>TYPE(All_India_Index_Upto_April23__1[[#This Row],[Vegetables]])</f>
        <v>1</v>
      </c>
      <c r="AS309">
        <f>TYPE(All_India_Index_Upto_April23__1[[#This Row],[Pulses and products]])</f>
        <v>1</v>
      </c>
      <c r="AT309">
        <f>TYPE(All_India_Index_Upto_April23__1[[#This Row],[Sugar and Confectionery]])</f>
        <v>1</v>
      </c>
      <c r="AU309">
        <f>TYPE(All_India_Index_Upto_April23__1[[#This Row],[Spices]])</f>
        <v>1</v>
      </c>
      <c r="AV309">
        <f>TYPE(All_India_Index_Upto_April23__1[[#This Row],[Non-alcoholic beverages]])</f>
        <v>1</v>
      </c>
      <c r="AW309">
        <f>TYPE(All_India_Index_Upto_April23__1[[#This Row],[Prepared meals, snacks, sweets etc.]])</f>
        <v>1</v>
      </c>
      <c r="AX309">
        <f>TYPE(All_India_Index_Upto_April23__1[[#This Row],[Food and beverages]])</f>
        <v>1</v>
      </c>
      <c r="AY309">
        <f>TYPE(All_India_Index_Upto_April23__1[[#This Row],[Pan, tobacco and intoxicants]])</f>
        <v>1</v>
      </c>
      <c r="AZ309">
        <f>TYPE(All_India_Index_Upto_April23__1[[#This Row],[Clothing]])</f>
        <v>1</v>
      </c>
      <c r="BA309">
        <f>TYPE(All_India_Index_Upto_April23__1[[#This Row],[Footwear]])</f>
        <v>1</v>
      </c>
      <c r="BB309">
        <f>TYPE(All_India_Index_Upto_April23__1[[#This Row],[Clothing and footwear]])</f>
        <v>1</v>
      </c>
      <c r="BC309">
        <f>TYPE(All_India_Index_Upto_April23__1[[#This Row],[Housing]])</f>
        <v>2</v>
      </c>
      <c r="BD309">
        <f>TYPE(All_India_Index_Upto_April23__1[[#This Row],[Fuel and light]])</f>
        <v>1</v>
      </c>
      <c r="BE309">
        <f>TYPE(All_India_Index_Upto_April23__1[[#This Row],[Household goods and services]])</f>
        <v>1</v>
      </c>
      <c r="BF309">
        <f>TYPE(All_India_Index_Upto_April23__1[[#This Row],[Health]])</f>
        <v>1</v>
      </c>
      <c r="BG309">
        <f>TYPE(All_India_Index_Upto_April23__1[[#This Row],[Transport and communication]])</f>
        <v>1</v>
      </c>
      <c r="BH309">
        <f>TYPE(All_India_Index_Upto_April23__1[[#This Row],[Recreation and amusement]])</f>
        <v>1</v>
      </c>
      <c r="BI309">
        <f>TYPE(All_India_Index_Upto_April23__1[[#This Row],[Education]])</f>
        <v>1</v>
      </c>
      <c r="BJ309">
        <f>TYPE(All_India_Index_Upto_April23__1[[#This Row],[Personal care and effects]])</f>
        <v>1</v>
      </c>
      <c r="BK309">
        <f>TYPE(All_India_Index_Upto_April23__1[[#This Row],[Miscellaneous]])</f>
        <v>1</v>
      </c>
      <c r="BL309">
        <f>TYPE(All_India_Index_Upto_April23__1[[#This Row],[General index]])</f>
        <v>1</v>
      </c>
    </row>
    <row r="310" spans="1:64" hidden="1" x14ac:dyDescent="0.3">
      <c r="A310" t="s">
        <v>32</v>
      </c>
      <c r="B310">
        <v>2021</v>
      </c>
      <c r="C310" t="s">
        <v>40</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t="s">
        <v>189</v>
      </c>
      <c r="V310">
        <v>160.69999999999999</v>
      </c>
      <c r="W310">
        <v>153.19999999999999</v>
      </c>
      <c r="X310">
        <v>162.80000000000001</v>
      </c>
      <c r="Y310">
        <v>150.4</v>
      </c>
      <c r="Z310">
        <v>153.69999999999999</v>
      </c>
      <c r="AA310">
        <v>160.4</v>
      </c>
      <c r="AB310">
        <v>159.6</v>
      </c>
      <c r="AC310">
        <v>156</v>
      </c>
      <c r="AD310">
        <v>162.30000000000001</v>
      </c>
      <c r="AE310">
        <f>SUM(All_India_Index_Upto_April23__1[[#This Row],[Cereals and products]:[Food and beverages]])</f>
        <v>2157.9</v>
      </c>
      <c r="AF310">
        <f>SUM(All_India_Index_Upto_April23__1[[#This Row],[Clothing]:[Clothing and footwear]])</f>
        <v>460.7</v>
      </c>
      <c r="AG310">
        <f t="shared" si="4"/>
        <v>464.29999999999995</v>
      </c>
      <c r="AI310">
        <f>TYPE(All_India_Index_Upto_April23__1[[#This Row],[Sector]])</f>
        <v>2</v>
      </c>
      <c r="AJ310">
        <f>TYPE(All_India_Index_Upto_April23__1[[#This Row],[Year]])</f>
        <v>1</v>
      </c>
      <c r="AK310">
        <f>TYPE(All_India_Index_Upto_April23__1[[#This Row],[Month]])</f>
        <v>2</v>
      </c>
      <c r="AL310">
        <f>TYPE(All_India_Index_Upto_April23__1[[#This Row],[Cereals and products]])</f>
        <v>1</v>
      </c>
      <c r="AM310">
        <f>TYPE(All_India_Index_Upto_April23__1[[#This Row],[Meat and fish]])</f>
        <v>1</v>
      </c>
      <c r="AN310">
        <f>TYPE(All_India_Index_Upto_April23__1[[#This Row],[Egg]])</f>
        <v>1</v>
      </c>
      <c r="AO310">
        <f>TYPE(All_India_Index_Upto_April23__1[[#This Row],[Milk and products]])</f>
        <v>1</v>
      </c>
      <c r="AP310">
        <f>TYPE(All_India_Index_Upto_April23__1[[#This Row],[Oils and fats]])</f>
        <v>1</v>
      </c>
      <c r="AQ310">
        <f>TYPE(All_India_Index_Upto_April23__1[[#This Row],[Fruits]])</f>
        <v>1</v>
      </c>
      <c r="AR310">
        <f>TYPE(All_India_Index_Upto_April23__1[[#This Row],[Vegetables]])</f>
        <v>1</v>
      </c>
      <c r="AS310">
        <f>TYPE(All_India_Index_Upto_April23__1[[#This Row],[Pulses and products]])</f>
        <v>1</v>
      </c>
      <c r="AT310">
        <f>TYPE(All_India_Index_Upto_April23__1[[#This Row],[Sugar and Confectionery]])</f>
        <v>1</v>
      </c>
      <c r="AU310">
        <f>TYPE(All_India_Index_Upto_April23__1[[#This Row],[Spices]])</f>
        <v>1</v>
      </c>
      <c r="AV310">
        <f>TYPE(All_India_Index_Upto_April23__1[[#This Row],[Non-alcoholic beverages]])</f>
        <v>1</v>
      </c>
      <c r="AW310">
        <f>TYPE(All_India_Index_Upto_April23__1[[#This Row],[Prepared meals, snacks, sweets etc.]])</f>
        <v>1</v>
      </c>
      <c r="AX310">
        <f>TYPE(All_India_Index_Upto_April23__1[[#This Row],[Food and beverages]])</f>
        <v>1</v>
      </c>
      <c r="AY310">
        <f>TYPE(All_India_Index_Upto_April23__1[[#This Row],[Pan, tobacco and intoxicants]])</f>
        <v>1</v>
      </c>
      <c r="AZ310">
        <f>TYPE(All_India_Index_Upto_April23__1[[#This Row],[Clothing]])</f>
        <v>1</v>
      </c>
      <c r="BA310">
        <f>TYPE(All_India_Index_Upto_April23__1[[#This Row],[Footwear]])</f>
        <v>1</v>
      </c>
      <c r="BB310">
        <f>TYPE(All_India_Index_Upto_April23__1[[#This Row],[Clothing and footwear]])</f>
        <v>1</v>
      </c>
      <c r="BC310">
        <f>TYPE(All_India_Index_Upto_April23__1[[#This Row],[Housing]])</f>
        <v>2</v>
      </c>
      <c r="BD310">
        <f>TYPE(All_India_Index_Upto_April23__1[[#This Row],[Fuel and light]])</f>
        <v>1</v>
      </c>
      <c r="BE310">
        <f>TYPE(All_India_Index_Upto_April23__1[[#This Row],[Household goods and services]])</f>
        <v>1</v>
      </c>
      <c r="BF310">
        <f>TYPE(All_India_Index_Upto_April23__1[[#This Row],[Health]])</f>
        <v>1</v>
      </c>
      <c r="BG310">
        <f>TYPE(All_India_Index_Upto_April23__1[[#This Row],[Transport and communication]])</f>
        <v>1</v>
      </c>
      <c r="BH310">
        <f>TYPE(All_India_Index_Upto_April23__1[[#This Row],[Recreation and amusement]])</f>
        <v>1</v>
      </c>
      <c r="BI310">
        <f>TYPE(All_India_Index_Upto_April23__1[[#This Row],[Education]])</f>
        <v>1</v>
      </c>
      <c r="BJ310">
        <f>TYPE(All_India_Index_Upto_April23__1[[#This Row],[Personal care and effects]])</f>
        <v>1</v>
      </c>
      <c r="BK310">
        <f>TYPE(All_India_Index_Upto_April23__1[[#This Row],[Miscellaneous]])</f>
        <v>1</v>
      </c>
      <c r="BL310">
        <f>TYPE(All_India_Index_Upto_April23__1[[#This Row],[General index]])</f>
        <v>1</v>
      </c>
    </row>
    <row r="311" spans="1:64" hidden="1" x14ac:dyDescent="0.3">
      <c r="A311" t="s">
        <v>33</v>
      </c>
      <c r="B311">
        <v>2021</v>
      </c>
      <c r="C311" t="s">
        <v>40</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t="s">
        <v>189</v>
      </c>
      <c r="V311">
        <v>162.6</v>
      </c>
      <c r="W311">
        <v>157.5</v>
      </c>
      <c r="X311">
        <v>168.4</v>
      </c>
      <c r="Y311">
        <v>154</v>
      </c>
      <c r="Z311">
        <v>157.6</v>
      </c>
      <c r="AA311">
        <v>163.80000000000001</v>
      </c>
      <c r="AB311">
        <v>160</v>
      </c>
      <c r="AC311">
        <v>160</v>
      </c>
      <c r="AD311">
        <v>163.19999999999999</v>
      </c>
      <c r="AE311">
        <f>SUM(All_India_Index_Upto_April23__1[[#This Row],[Cereals and products]:[Food and beverages]])</f>
        <v>2142</v>
      </c>
      <c r="AF311">
        <f>SUM(All_India_Index_Upto_April23__1[[#This Row],[Clothing]:[Clothing and footwear]])</f>
        <v>483</v>
      </c>
      <c r="AG311">
        <f t="shared" si="4"/>
        <v>474.1</v>
      </c>
      <c r="AI311">
        <f>TYPE(All_India_Index_Upto_April23__1[[#This Row],[Sector]])</f>
        <v>2</v>
      </c>
      <c r="AJ311">
        <f>TYPE(All_India_Index_Upto_April23__1[[#This Row],[Year]])</f>
        <v>1</v>
      </c>
      <c r="AK311">
        <f>TYPE(All_India_Index_Upto_April23__1[[#This Row],[Month]])</f>
        <v>2</v>
      </c>
      <c r="AL311">
        <f>TYPE(All_India_Index_Upto_April23__1[[#This Row],[Cereals and products]])</f>
        <v>1</v>
      </c>
      <c r="AM311">
        <f>TYPE(All_India_Index_Upto_April23__1[[#This Row],[Meat and fish]])</f>
        <v>1</v>
      </c>
      <c r="AN311">
        <f>TYPE(All_India_Index_Upto_April23__1[[#This Row],[Egg]])</f>
        <v>1</v>
      </c>
      <c r="AO311">
        <f>TYPE(All_India_Index_Upto_April23__1[[#This Row],[Milk and products]])</f>
        <v>1</v>
      </c>
      <c r="AP311">
        <f>TYPE(All_India_Index_Upto_April23__1[[#This Row],[Oils and fats]])</f>
        <v>1</v>
      </c>
      <c r="AQ311">
        <f>TYPE(All_India_Index_Upto_April23__1[[#This Row],[Fruits]])</f>
        <v>1</v>
      </c>
      <c r="AR311">
        <f>TYPE(All_India_Index_Upto_April23__1[[#This Row],[Vegetables]])</f>
        <v>1</v>
      </c>
      <c r="AS311">
        <f>TYPE(All_India_Index_Upto_April23__1[[#This Row],[Pulses and products]])</f>
        <v>1</v>
      </c>
      <c r="AT311">
        <f>TYPE(All_India_Index_Upto_April23__1[[#This Row],[Sugar and Confectionery]])</f>
        <v>1</v>
      </c>
      <c r="AU311">
        <f>TYPE(All_India_Index_Upto_April23__1[[#This Row],[Spices]])</f>
        <v>1</v>
      </c>
      <c r="AV311">
        <f>TYPE(All_India_Index_Upto_April23__1[[#This Row],[Non-alcoholic beverages]])</f>
        <v>1</v>
      </c>
      <c r="AW311">
        <f>TYPE(All_India_Index_Upto_April23__1[[#This Row],[Prepared meals, snacks, sweets etc.]])</f>
        <v>1</v>
      </c>
      <c r="AX311">
        <f>TYPE(All_India_Index_Upto_April23__1[[#This Row],[Food and beverages]])</f>
        <v>1</v>
      </c>
      <c r="AY311">
        <f>TYPE(All_India_Index_Upto_April23__1[[#This Row],[Pan, tobacco and intoxicants]])</f>
        <v>1</v>
      </c>
      <c r="AZ311">
        <f>TYPE(All_India_Index_Upto_April23__1[[#This Row],[Clothing]])</f>
        <v>1</v>
      </c>
      <c r="BA311">
        <f>TYPE(All_India_Index_Upto_April23__1[[#This Row],[Footwear]])</f>
        <v>1</v>
      </c>
      <c r="BB311">
        <f>TYPE(All_India_Index_Upto_April23__1[[#This Row],[Clothing and footwear]])</f>
        <v>1</v>
      </c>
      <c r="BC311">
        <f>TYPE(All_India_Index_Upto_April23__1[[#This Row],[Housing]])</f>
        <v>2</v>
      </c>
      <c r="BD311">
        <f>TYPE(All_India_Index_Upto_April23__1[[#This Row],[Fuel and light]])</f>
        <v>1</v>
      </c>
      <c r="BE311">
        <f>TYPE(All_India_Index_Upto_April23__1[[#This Row],[Household goods and services]])</f>
        <v>1</v>
      </c>
      <c r="BF311">
        <f>TYPE(All_India_Index_Upto_April23__1[[#This Row],[Health]])</f>
        <v>1</v>
      </c>
      <c r="BG311">
        <f>TYPE(All_India_Index_Upto_April23__1[[#This Row],[Transport and communication]])</f>
        <v>1</v>
      </c>
      <c r="BH311">
        <f>TYPE(All_India_Index_Upto_April23__1[[#This Row],[Recreation and amusement]])</f>
        <v>1</v>
      </c>
      <c r="BI311">
        <f>TYPE(All_India_Index_Upto_April23__1[[#This Row],[Education]])</f>
        <v>1</v>
      </c>
      <c r="BJ311">
        <f>TYPE(All_India_Index_Upto_April23__1[[#This Row],[Personal care and effects]])</f>
        <v>1</v>
      </c>
      <c r="BK311">
        <f>TYPE(All_India_Index_Upto_April23__1[[#This Row],[Miscellaneous]])</f>
        <v>1</v>
      </c>
      <c r="BL311">
        <f>TYPE(All_India_Index_Upto_April23__1[[#This Row],[General index]])</f>
        <v>1</v>
      </c>
    </row>
    <row r="312" spans="1:64" hidden="1" x14ac:dyDescent="0.3">
      <c r="A312" t="s">
        <v>30</v>
      </c>
      <c r="B312">
        <v>2021</v>
      </c>
      <c r="C312" t="s">
        <v>41</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U312" t="s">
        <v>89</v>
      </c>
      <c r="V312">
        <v>163.69999999999999</v>
      </c>
      <c r="W312">
        <v>161.30000000000001</v>
      </c>
      <c r="X312">
        <v>171.9</v>
      </c>
      <c r="Y312">
        <v>157.80000000000001</v>
      </c>
      <c r="Z312">
        <v>162.69999999999999</v>
      </c>
      <c r="AA312">
        <v>168.5</v>
      </c>
      <c r="AB312">
        <v>160.19999999999999</v>
      </c>
      <c r="AC312">
        <v>163.80000000000001</v>
      </c>
      <c r="AD312">
        <v>164</v>
      </c>
      <c r="AE312">
        <f>SUM(All_India_Index_Upto_April23__1[[#This Row],[Cereals and products]:[Food and beverages]])</f>
        <v>2133.6</v>
      </c>
      <c r="AF312">
        <f>SUM(All_India_Index_Upto_April23__1[[#This Row],[Clothing]:[Clothing and footwear]])</f>
        <v>498.4</v>
      </c>
      <c r="AG312">
        <f t="shared" si="4"/>
        <v>482.8</v>
      </c>
      <c r="AI312">
        <f>TYPE(All_India_Index_Upto_April23__1[[#This Row],[Sector]])</f>
        <v>2</v>
      </c>
      <c r="AJ312">
        <f>TYPE(All_India_Index_Upto_April23__1[[#This Row],[Year]])</f>
        <v>1</v>
      </c>
      <c r="AK312">
        <f>TYPE(All_India_Index_Upto_April23__1[[#This Row],[Month]])</f>
        <v>2</v>
      </c>
      <c r="AL312">
        <f>TYPE(All_India_Index_Upto_April23__1[[#This Row],[Cereals and products]])</f>
        <v>1</v>
      </c>
      <c r="AM312">
        <f>TYPE(All_India_Index_Upto_April23__1[[#This Row],[Meat and fish]])</f>
        <v>1</v>
      </c>
      <c r="AN312">
        <f>TYPE(All_India_Index_Upto_April23__1[[#This Row],[Egg]])</f>
        <v>1</v>
      </c>
      <c r="AO312">
        <f>TYPE(All_India_Index_Upto_April23__1[[#This Row],[Milk and products]])</f>
        <v>1</v>
      </c>
      <c r="AP312">
        <f>TYPE(All_India_Index_Upto_April23__1[[#This Row],[Oils and fats]])</f>
        <v>1</v>
      </c>
      <c r="AQ312">
        <f>TYPE(All_India_Index_Upto_April23__1[[#This Row],[Fruits]])</f>
        <v>1</v>
      </c>
      <c r="AR312">
        <f>TYPE(All_India_Index_Upto_April23__1[[#This Row],[Vegetables]])</f>
        <v>1</v>
      </c>
      <c r="AS312">
        <f>TYPE(All_India_Index_Upto_April23__1[[#This Row],[Pulses and products]])</f>
        <v>1</v>
      </c>
      <c r="AT312">
        <f>TYPE(All_India_Index_Upto_April23__1[[#This Row],[Sugar and Confectionery]])</f>
        <v>1</v>
      </c>
      <c r="AU312">
        <f>TYPE(All_India_Index_Upto_April23__1[[#This Row],[Spices]])</f>
        <v>1</v>
      </c>
      <c r="AV312">
        <f>TYPE(All_India_Index_Upto_April23__1[[#This Row],[Non-alcoholic beverages]])</f>
        <v>1</v>
      </c>
      <c r="AW312">
        <f>TYPE(All_India_Index_Upto_April23__1[[#This Row],[Prepared meals, snacks, sweets etc.]])</f>
        <v>1</v>
      </c>
      <c r="AX312">
        <f>TYPE(All_India_Index_Upto_April23__1[[#This Row],[Food and beverages]])</f>
        <v>1</v>
      </c>
      <c r="AY312">
        <f>TYPE(All_India_Index_Upto_April23__1[[#This Row],[Pan, tobacco and intoxicants]])</f>
        <v>1</v>
      </c>
      <c r="AZ312">
        <f>TYPE(All_India_Index_Upto_April23__1[[#This Row],[Clothing]])</f>
        <v>1</v>
      </c>
      <c r="BA312">
        <f>TYPE(All_India_Index_Upto_April23__1[[#This Row],[Footwear]])</f>
        <v>1</v>
      </c>
      <c r="BB312">
        <f>TYPE(All_India_Index_Upto_April23__1[[#This Row],[Clothing and footwear]])</f>
        <v>1</v>
      </c>
      <c r="BC312">
        <f>TYPE(All_India_Index_Upto_April23__1[[#This Row],[Housing]])</f>
        <v>2</v>
      </c>
      <c r="BD312">
        <f>TYPE(All_India_Index_Upto_April23__1[[#This Row],[Fuel and light]])</f>
        <v>1</v>
      </c>
      <c r="BE312">
        <f>TYPE(All_India_Index_Upto_April23__1[[#This Row],[Household goods and services]])</f>
        <v>1</v>
      </c>
      <c r="BF312">
        <f>TYPE(All_India_Index_Upto_April23__1[[#This Row],[Health]])</f>
        <v>1</v>
      </c>
      <c r="BG312">
        <f>TYPE(All_India_Index_Upto_April23__1[[#This Row],[Transport and communication]])</f>
        <v>1</v>
      </c>
      <c r="BH312">
        <f>TYPE(All_India_Index_Upto_April23__1[[#This Row],[Recreation and amusement]])</f>
        <v>1</v>
      </c>
      <c r="BI312">
        <f>TYPE(All_India_Index_Upto_April23__1[[#This Row],[Education]])</f>
        <v>1</v>
      </c>
      <c r="BJ312">
        <f>TYPE(All_India_Index_Upto_April23__1[[#This Row],[Personal care and effects]])</f>
        <v>1</v>
      </c>
      <c r="BK312">
        <f>TYPE(All_India_Index_Upto_April23__1[[#This Row],[Miscellaneous]])</f>
        <v>1</v>
      </c>
      <c r="BL312">
        <f>TYPE(All_India_Index_Upto_April23__1[[#This Row],[General index]])</f>
        <v>1</v>
      </c>
    </row>
    <row r="313" spans="1:64" hidden="1" x14ac:dyDescent="0.3">
      <c r="A313" t="s">
        <v>32</v>
      </c>
      <c r="B313">
        <v>2021</v>
      </c>
      <c r="C313" t="s">
        <v>41</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t="s">
        <v>189</v>
      </c>
      <c r="V313">
        <v>160.80000000000001</v>
      </c>
      <c r="W313">
        <v>153.30000000000001</v>
      </c>
      <c r="X313">
        <v>162.80000000000001</v>
      </c>
      <c r="Y313">
        <v>150.5</v>
      </c>
      <c r="Z313">
        <v>153.9</v>
      </c>
      <c r="AA313">
        <v>160.30000000000001</v>
      </c>
      <c r="AB313">
        <v>159.6</v>
      </c>
      <c r="AC313">
        <v>156</v>
      </c>
      <c r="AD313">
        <v>162.30000000000001</v>
      </c>
      <c r="AE313">
        <f>SUM(All_India_Index_Upto_April23__1[[#This Row],[Cereals and products]:[Food and beverages]])</f>
        <v>2157.9</v>
      </c>
      <c r="AF313">
        <f>SUM(All_India_Index_Upto_April23__1[[#This Row],[Clothing]:[Clothing and footwear]])</f>
        <v>460.79999999999995</v>
      </c>
      <c r="AG313">
        <f t="shared" si="4"/>
        <v>464.6</v>
      </c>
      <c r="AI313">
        <f>TYPE(All_India_Index_Upto_April23__1[[#This Row],[Sector]])</f>
        <v>2</v>
      </c>
      <c r="AJ313">
        <f>TYPE(All_India_Index_Upto_April23__1[[#This Row],[Year]])</f>
        <v>1</v>
      </c>
      <c r="AK313">
        <f>TYPE(All_India_Index_Upto_April23__1[[#This Row],[Month]])</f>
        <v>2</v>
      </c>
      <c r="AL313">
        <f>TYPE(All_India_Index_Upto_April23__1[[#This Row],[Cereals and products]])</f>
        <v>1</v>
      </c>
      <c r="AM313">
        <f>TYPE(All_India_Index_Upto_April23__1[[#This Row],[Meat and fish]])</f>
        <v>1</v>
      </c>
      <c r="AN313">
        <f>TYPE(All_India_Index_Upto_April23__1[[#This Row],[Egg]])</f>
        <v>1</v>
      </c>
      <c r="AO313">
        <f>TYPE(All_India_Index_Upto_April23__1[[#This Row],[Milk and products]])</f>
        <v>1</v>
      </c>
      <c r="AP313">
        <f>TYPE(All_India_Index_Upto_April23__1[[#This Row],[Oils and fats]])</f>
        <v>1</v>
      </c>
      <c r="AQ313">
        <f>TYPE(All_India_Index_Upto_April23__1[[#This Row],[Fruits]])</f>
        <v>1</v>
      </c>
      <c r="AR313">
        <f>TYPE(All_India_Index_Upto_April23__1[[#This Row],[Vegetables]])</f>
        <v>1</v>
      </c>
      <c r="AS313">
        <f>TYPE(All_India_Index_Upto_April23__1[[#This Row],[Pulses and products]])</f>
        <v>1</v>
      </c>
      <c r="AT313">
        <f>TYPE(All_India_Index_Upto_April23__1[[#This Row],[Sugar and Confectionery]])</f>
        <v>1</v>
      </c>
      <c r="AU313">
        <f>TYPE(All_India_Index_Upto_April23__1[[#This Row],[Spices]])</f>
        <v>1</v>
      </c>
      <c r="AV313">
        <f>TYPE(All_India_Index_Upto_April23__1[[#This Row],[Non-alcoholic beverages]])</f>
        <v>1</v>
      </c>
      <c r="AW313">
        <f>TYPE(All_India_Index_Upto_April23__1[[#This Row],[Prepared meals, snacks, sweets etc.]])</f>
        <v>1</v>
      </c>
      <c r="AX313">
        <f>TYPE(All_India_Index_Upto_April23__1[[#This Row],[Food and beverages]])</f>
        <v>1</v>
      </c>
      <c r="AY313">
        <f>TYPE(All_India_Index_Upto_April23__1[[#This Row],[Pan, tobacco and intoxicants]])</f>
        <v>1</v>
      </c>
      <c r="AZ313">
        <f>TYPE(All_India_Index_Upto_April23__1[[#This Row],[Clothing]])</f>
        <v>1</v>
      </c>
      <c r="BA313">
        <f>TYPE(All_India_Index_Upto_April23__1[[#This Row],[Footwear]])</f>
        <v>1</v>
      </c>
      <c r="BB313">
        <f>TYPE(All_India_Index_Upto_April23__1[[#This Row],[Clothing and footwear]])</f>
        <v>1</v>
      </c>
      <c r="BC313">
        <f>TYPE(All_India_Index_Upto_April23__1[[#This Row],[Housing]])</f>
        <v>2</v>
      </c>
      <c r="BD313">
        <f>TYPE(All_India_Index_Upto_April23__1[[#This Row],[Fuel and light]])</f>
        <v>1</v>
      </c>
      <c r="BE313">
        <f>TYPE(All_India_Index_Upto_April23__1[[#This Row],[Household goods and services]])</f>
        <v>1</v>
      </c>
      <c r="BF313">
        <f>TYPE(All_India_Index_Upto_April23__1[[#This Row],[Health]])</f>
        <v>1</v>
      </c>
      <c r="BG313">
        <f>TYPE(All_India_Index_Upto_April23__1[[#This Row],[Transport and communication]])</f>
        <v>1</v>
      </c>
      <c r="BH313">
        <f>TYPE(All_India_Index_Upto_April23__1[[#This Row],[Recreation and amusement]])</f>
        <v>1</v>
      </c>
      <c r="BI313">
        <f>TYPE(All_India_Index_Upto_April23__1[[#This Row],[Education]])</f>
        <v>1</v>
      </c>
      <c r="BJ313">
        <f>TYPE(All_India_Index_Upto_April23__1[[#This Row],[Personal care and effects]])</f>
        <v>1</v>
      </c>
      <c r="BK313">
        <f>TYPE(All_India_Index_Upto_April23__1[[#This Row],[Miscellaneous]])</f>
        <v>1</v>
      </c>
      <c r="BL313">
        <f>TYPE(All_India_Index_Upto_April23__1[[#This Row],[General index]])</f>
        <v>1</v>
      </c>
    </row>
    <row r="314" spans="1:64" hidden="1" x14ac:dyDescent="0.3">
      <c r="A314" t="s">
        <v>33</v>
      </c>
      <c r="B314">
        <v>2021</v>
      </c>
      <c r="C314" t="s">
        <v>41</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t="s">
        <v>189</v>
      </c>
      <c r="V314">
        <v>162.6</v>
      </c>
      <c r="W314">
        <v>157.5</v>
      </c>
      <c r="X314">
        <v>168.4</v>
      </c>
      <c r="Y314">
        <v>154</v>
      </c>
      <c r="Z314">
        <v>157.69999999999999</v>
      </c>
      <c r="AA314">
        <v>163.69999999999999</v>
      </c>
      <c r="AB314">
        <v>160</v>
      </c>
      <c r="AC314">
        <v>160</v>
      </c>
      <c r="AD314">
        <v>163.19999999999999</v>
      </c>
      <c r="AE314">
        <f>SUM(All_India_Index_Upto_April23__1[[#This Row],[Cereals and products]:[Food and beverages]])</f>
        <v>2142</v>
      </c>
      <c r="AF314">
        <f>SUM(All_India_Index_Upto_April23__1[[#This Row],[Clothing]:[Clothing and footwear]])</f>
        <v>483.2</v>
      </c>
      <c r="AG314">
        <f t="shared" si="4"/>
        <v>474.1</v>
      </c>
      <c r="AI314">
        <f>TYPE(All_India_Index_Upto_April23__1[[#This Row],[Sector]])</f>
        <v>2</v>
      </c>
      <c r="AJ314">
        <f>TYPE(All_India_Index_Upto_April23__1[[#This Row],[Year]])</f>
        <v>1</v>
      </c>
      <c r="AK314">
        <f>TYPE(All_India_Index_Upto_April23__1[[#This Row],[Month]])</f>
        <v>2</v>
      </c>
      <c r="AL314">
        <f>TYPE(All_India_Index_Upto_April23__1[[#This Row],[Cereals and products]])</f>
        <v>1</v>
      </c>
      <c r="AM314">
        <f>TYPE(All_India_Index_Upto_April23__1[[#This Row],[Meat and fish]])</f>
        <v>1</v>
      </c>
      <c r="AN314">
        <f>TYPE(All_India_Index_Upto_April23__1[[#This Row],[Egg]])</f>
        <v>1</v>
      </c>
      <c r="AO314">
        <f>TYPE(All_India_Index_Upto_April23__1[[#This Row],[Milk and products]])</f>
        <v>1</v>
      </c>
      <c r="AP314">
        <f>TYPE(All_India_Index_Upto_April23__1[[#This Row],[Oils and fats]])</f>
        <v>1</v>
      </c>
      <c r="AQ314">
        <f>TYPE(All_India_Index_Upto_April23__1[[#This Row],[Fruits]])</f>
        <v>1</v>
      </c>
      <c r="AR314">
        <f>TYPE(All_India_Index_Upto_April23__1[[#This Row],[Vegetables]])</f>
        <v>1</v>
      </c>
      <c r="AS314">
        <f>TYPE(All_India_Index_Upto_April23__1[[#This Row],[Pulses and products]])</f>
        <v>1</v>
      </c>
      <c r="AT314">
        <f>TYPE(All_India_Index_Upto_April23__1[[#This Row],[Sugar and Confectionery]])</f>
        <v>1</v>
      </c>
      <c r="AU314">
        <f>TYPE(All_India_Index_Upto_April23__1[[#This Row],[Spices]])</f>
        <v>1</v>
      </c>
      <c r="AV314">
        <f>TYPE(All_India_Index_Upto_April23__1[[#This Row],[Non-alcoholic beverages]])</f>
        <v>1</v>
      </c>
      <c r="AW314">
        <f>TYPE(All_India_Index_Upto_April23__1[[#This Row],[Prepared meals, snacks, sweets etc.]])</f>
        <v>1</v>
      </c>
      <c r="AX314">
        <f>TYPE(All_India_Index_Upto_April23__1[[#This Row],[Food and beverages]])</f>
        <v>1</v>
      </c>
      <c r="AY314">
        <f>TYPE(All_India_Index_Upto_April23__1[[#This Row],[Pan, tobacco and intoxicants]])</f>
        <v>1</v>
      </c>
      <c r="AZ314">
        <f>TYPE(All_India_Index_Upto_April23__1[[#This Row],[Clothing]])</f>
        <v>1</v>
      </c>
      <c r="BA314">
        <f>TYPE(All_India_Index_Upto_April23__1[[#This Row],[Footwear]])</f>
        <v>1</v>
      </c>
      <c r="BB314">
        <f>TYPE(All_India_Index_Upto_April23__1[[#This Row],[Clothing and footwear]])</f>
        <v>1</v>
      </c>
      <c r="BC314">
        <f>TYPE(All_India_Index_Upto_April23__1[[#This Row],[Housing]])</f>
        <v>2</v>
      </c>
      <c r="BD314">
        <f>TYPE(All_India_Index_Upto_April23__1[[#This Row],[Fuel and light]])</f>
        <v>1</v>
      </c>
      <c r="BE314">
        <f>TYPE(All_India_Index_Upto_April23__1[[#This Row],[Household goods and services]])</f>
        <v>1</v>
      </c>
      <c r="BF314">
        <f>TYPE(All_India_Index_Upto_April23__1[[#This Row],[Health]])</f>
        <v>1</v>
      </c>
      <c r="BG314">
        <f>TYPE(All_India_Index_Upto_April23__1[[#This Row],[Transport and communication]])</f>
        <v>1</v>
      </c>
      <c r="BH314">
        <f>TYPE(All_India_Index_Upto_April23__1[[#This Row],[Recreation and amusement]])</f>
        <v>1</v>
      </c>
      <c r="BI314">
        <f>TYPE(All_India_Index_Upto_April23__1[[#This Row],[Education]])</f>
        <v>1</v>
      </c>
      <c r="BJ314">
        <f>TYPE(All_India_Index_Upto_April23__1[[#This Row],[Personal care and effects]])</f>
        <v>1</v>
      </c>
      <c r="BK314">
        <f>TYPE(All_India_Index_Upto_April23__1[[#This Row],[Miscellaneous]])</f>
        <v>1</v>
      </c>
      <c r="BL314">
        <f>TYPE(All_India_Index_Upto_April23__1[[#This Row],[General index]])</f>
        <v>1</v>
      </c>
    </row>
    <row r="315" spans="1:64" hidden="1" x14ac:dyDescent="0.3">
      <c r="A315" t="s">
        <v>30</v>
      </c>
      <c r="B315">
        <v>2021</v>
      </c>
      <c r="C315" t="s">
        <v>42</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U315" t="s">
        <v>89</v>
      </c>
      <c r="V315">
        <v>165.5</v>
      </c>
      <c r="W315">
        <v>162</v>
      </c>
      <c r="X315">
        <v>172.5</v>
      </c>
      <c r="Y315">
        <v>159.5</v>
      </c>
      <c r="Z315">
        <v>163.19999999999999</v>
      </c>
      <c r="AA315">
        <v>169</v>
      </c>
      <c r="AB315">
        <v>161.1</v>
      </c>
      <c r="AC315">
        <v>164.7</v>
      </c>
      <c r="AD315">
        <v>166.3</v>
      </c>
      <c r="AE315">
        <f>SUM(All_India_Index_Upto_April23__1[[#This Row],[Cereals and products]:[Food and beverages]])</f>
        <v>2164.1999999999998</v>
      </c>
      <c r="AF315">
        <f>SUM(All_India_Index_Upto_April23__1[[#This Row],[Clothing]:[Clothing and footwear]])</f>
        <v>502.00000000000006</v>
      </c>
      <c r="AG315">
        <f t="shared" si="4"/>
        <v>487</v>
      </c>
      <c r="AI315">
        <f>TYPE(All_India_Index_Upto_April23__1[[#This Row],[Sector]])</f>
        <v>2</v>
      </c>
      <c r="AJ315">
        <f>TYPE(All_India_Index_Upto_April23__1[[#This Row],[Year]])</f>
        <v>1</v>
      </c>
      <c r="AK315">
        <f>TYPE(All_India_Index_Upto_April23__1[[#This Row],[Month]])</f>
        <v>2</v>
      </c>
      <c r="AL315">
        <f>TYPE(All_India_Index_Upto_April23__1[[#This Row],[Cereals and products]])</f>
        <v>1</v>
      </c>
      <c r="AM315">
        <f>TYPE(All_India_Index_Upto_April23__1[[#This Row],[Meat and fish]])</f>
        <v>1</v>
      </c>
      <c r="AN315">
        <f>TYPE(All_India_Index_Upto_April23__1[[#This Row],[Egg]])</f>
        <v>1</v>
      </c>
      <c r="AO315">
        <f>TYPE(All_India_Index_Upto_April23__1[[#This Row],[Milk and products]])</f>
        <v>1</v>
      </c>
      <c r="AP315">
        <f>TYPE(All_India_Index_Upto_April23__1[[#This Row],[Oils and fats]])</f>
        <v>1</v>
      </c>
      <c r="AQ315">
        <f>TYPE(All_India_Index_Upto_April23__1[[#This Row],[Fruits]])</f>
        <v>1</v>
      </c>
      <c r="AR315">
        <f>TYPE(All_India_Index_Upto_April23__1[[#This Row],[Vegetables]])</f>
        <v>1</v>
      </c>
      <c r="AS315">
        <f>TYPE(All_India_Index_Upto_April23__1[[#This Row],[Pulses and products]])</f>
        <v>1</v>
      </c>
      <c r="AT315">
        <f>TYPE(All_India_Index_Upto_April23__1[[#This Row],[Sugar and Confectionery]])</f>
        <v>1</v>
      </c>
      <c r="AU315">
        <f>TYPE(All_India_Index_Upto_April23__1[[#This Row],[Spices]])</f>
        <v>1</v>
      </c>
      <c r="AV315">
        <f>TYPE(All_India_Index_Upto_April23__1[[#This Row],[Non-alcoholic beverages]])</f>
        <v>1</v>
      </c>
      <c r="AW315">
        <f>TYPE(All_India_Index_Upto_April23__1[[#This Row],[Prepared meals, snacks, sweets etc.]])</f>
        <v>1</v>
      </c>
      <c r="AX315">
        <f>TYPE(All_India_Index_Upto_April23__1[[#This Row],[Food and beverages]])</f>
        <v>1</v>
      </c>
      <c r="AY315">
        <f>TYPE(All_India_Index_Upto_April23__1[[#This Row],[Pan, tobacco and intoxicants]])</f>
        <v>1</v>
      </c>
      <c r="AZ315">
        <f>TYPE(All_India_Index_Upto_April23__1[[#This Row],[Clothing]])</f>
        <v>1</v>
      </c>
      <c r="BA315">
        <f>TYPE(All_India_Index_Upto_April23__1[[#This Row],[Footwear]])</f>
        <v>1</v>
      </c>
      <c r="BB315">
        <f>TYPE(All_India_Index_Upto_April23__1[[#This Row],[Clothing and footwear]])</f>
        <v>1</v>
      </c>
      <c r="BC315">
        <f>TYPE(All_India_Index_Upto_April23__1[[#This Row],[Housing]])</f>
        <v>2</v>
      </c>
      <c r="BD315">
        <f>TYPE(All_India_Index_Upto_April23__1[[#This Row],[Fuel and light]])</f>
        <v>1</v>
      </c>
      <c r="BE315">
        <f>TYPE(All_India_Index_Upto_April23__1[[#This Row],[Household goods and services]])</f>
        <v>1</v>
      </c>
      <c r="BF315">
        <f>TYPE(All_India_Index_Upto_April23__1[[#This Row],[Health]])</f>
        <v>1</v>
      </c>
      <c r="BG315">
        <f>TYPE(All_India_Index_Upto_April23__1[[#This Row],[Transport and communication]])</f>
        <v>1</v>
      </c>
      <c r="BH315">
        <f>TYPE(All_India_Index_Upto_April23__1[[#This Row],[Recreation and amusement]])</f>
        <v>1</v>
      </c>
      <c r="BI315">
        <f>TYPE(All_India_Index_Upto_April23__1[[#This Row],[Education]])</f>
        <v>1</v>
      </c>
      <c r="BJ315">
        <f>TYPE(All_India_Index_Upto_April23__1[[#This Row],[Personal care and effects]])</f>
        <v>1</v>
      </c>
      <c r="BK315">
        <f>TYPE(All_India_Index_Upto_April23__1[[#This Row],[Miscellaneous]])</f>
        <v>1</v>
      </c>
      <c r="BL315">
        <f>TYPE(All_India_Index_Upto_April23__1[[#This Row],[General index]])</f>
        <v>1</v>
      </c>
    </row>
    <row r="316" spans="1:64" hidden="1" x14ac:dyDescent="0.3">
      <c r="A316" t="s">
        <v>32</v>
      </c>
      <c r="B316">
        <v>2021</v>
      </c>
      <c r="C316" t="s">
        <v>42</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t="s">
        <v>190</v>
      </c>
      <c r="V316">
        <v>162.19999999999999</v>
      </c>
      <c r="W316">
        <v>154.30000000000001</v>
      </c>
      <c r="X316">
        <v>163.5</v>
      </c>
      <c r="Y316">
        <v>152.19999999999999</v>
      </c>
      <c r="Z316">
        <v>155.1</v>
      </c>
      <c r="AA316">
        <v>160.30000000000001</v>
      </c>
      <c r="AB316">
        <v>160.30000000000001</v>
      </c>
      <c r="AC316">
        <v>157</v>
      </c>
      <c r="AD316">
        <v>164.6</v>
      </c>
      <c r="AE316">
        <f>SUM(All_India_Index_Upto_April23__1[[#This Row],[Cereals and products]:[Food and beverages]])</f>
        <v>2198.4000000000005</v>
      </c>
      <c r="AF316">
        <f>SUM(All_India_Index_Upto_April23__1[[#This Row],[Clothing]:[Clothing and footwear]])</f>
        <v>463.50000000000006</v>
      </c>
      <c r="AG316">
        <f t="shared" si="4"/>
        <v>468.7</v>
      </c>
      <c r="AI316">
        <f>TYPE(All_India_Index_Upto_April23__1[[#This Row],[Sector]])</f>
        <v>2</v>
      </c>
      <c r="AJ316">
        <f>TYPE(All_India_Index_Upto_April23__1[[#This Row],[Year]])</f>
        <v>1</v>
      </c>
      <c r="AK316">
        <f>TYPE(All_India_Index_Upto_April23__1[[#This Row],[Month]])</f>
        <v>2</v>
      </c>
      <c r="AL316">
        <f>TYPE(All_India_Index_Upto_April23__1[[#This Row],[Cereals and products]])</f>
        <v>1</v>
      </c>
      <c r="AM316">
        <f>TYPE(All_India_Index_Upto_April23__1[[#This Row],[Meat and fish]])</f>
        <v>1</v>
      </c>
      <c r="AN316">
        <f>TYPE(All_India_Index_Upto_April23__1[[#This Row],[Egg]])</f>
        <v>1</v>
      </c>
      <c r="AO316">
        <f>TYPE(All_India_Index_Upto_April23__1[[#This Row],[Milk and products]])</f>
        <v>1</v>
      </c>
      <c r="AP316">
        <f>TYPE(All_India_Index_Upto_April23__1[[#This Row],[Oils and fats]])</f>
        <v>1</v>
      </c>
      <c r="AQ316">
        <f>TYPE(All_India_Index_Upto_April23__1[[#This Row],[Fruits]])</f>
        <v>1</v>
      </c>
      <c r="AR316">
        <f>TYPE(All_India_Index_Upto_April23__1[[#This Row],[Vegetables]])</f>
        <v>1</v>
      </c>
      <c r="AS316">
        <f>TYPE(All_India_Index_Upto_April23__1[[#This Row],[Pulses and products]])</f>
        <v>1</v>
      </c>
      <c r="AT316">
        <f>TYPE(All_India_Index_Upto_April23__1[[#This Row],[Sugar and Confectionery]])</f>
        <v>1</v>
      </c>
      <c r="AU316">
        <f>TYPE(All_India_Index_Upto_April23__1[[#This Row],[Spices]])</f>
        <v>1</v>
      </c>
      <c r="AV316">
        <f>TYPE(All_India_Index_Upto_April23__1[[#This Row],[Non-alcoholic beverages]])</f>
        <v>1</v>
      </c>
      <c r="AW316">
        <f>TYPE(All_India_Index_Upto_April23__1[[#This Row],[Prepared meals, snacks, sweets etc.]])</f>
        <v>1</v>
      </c>
      <c r="AX316">
        <f>TYPE(All_India_Index_Upto_April23__1[[#This Row],[Food and beverages]])</f>
        <v>1</v>
      </c>
      <c r="AY316">
        <f>TYPE(All_India_Index_Upto_April23__1[[#This Row],[Pan, tobacco and intoxicants]])</f>
        <v>1</v>
      </c>
      <c r="AZ316">
        <f>TYPE(All_India_Index_Upto_April23__1[[#This Row],[Clothing]])</f>
        <v>1</v>
      </c>
      <c r="BA316">
        <f>TYPE(All_India_Index_Upto_April23__1[[#This Row],[Footwear]])</f>
        <v>1</v>
      </c>
      <c r="BB316">
        <f>TYPE(All_India_Index_Upto_April23__1[[#This Row],[Clothing and footwear]])</f>
        <v>1</v>
      </c>
      <c r="BC316">
        <f>TYPE(All_India_Index_Upto_April23__1[[#This Row],[Housing]])</f>
        <v>2</v>
      </c>
      <c r="BD316">
        <f>TYPE(All_India_Index_Upto_April23__1[[#This Row],[Fuel and light]])</f>
        <v>1</v>
      </c>
      <c r="BE316">
        <f>TYPE(All_India_Index_Upto_April23__1[[#This Row],[Household goods and services]])</f>
        <v>1</v>
      </c>
      <c r="BF316">
        <f>TYPE(All_India_Index_Upto_April23__1[[#This Row],[Health]])</f>
        <v>1</v>
      </c>
      <c r="BG316">
        <f>TYPE(All_India_Index_Upto_April23__1[[#This Row],[Transport and communication]])</f>
        <v>1</v>
      </c>
      <c r="BH316">
        <f>TYPE(All_India_Index_Upto_April23__1[[#This Row],[Recreation and amusement]])</f>
        <v>1</v>
      </c>
      <c r="BI316">
        <f>TYPE(All_India_Index_Upto_April23__1[[#This Row],[Education]])</f>
        <v>1</v>
      </c>
      <c r="BJ316">
        <f>TYPE(All_India_Index_Upto_April23__1[[#This Row],[Personal care and effects]])</f>
        <v>1</v>
      </c>
      <c r="BK316">
        <f>TYPE(All_India_Index_Upto_April23__1[[#This Row],[Miscellaneous]])</f>
        <v>1</v>
      </c>
      <c r="BL316">
        <f>TYPE(All_India_Index_Upto_April23__1[[#This Row],[General index]])</f>
        <v>1</v>
      </c>
    </row>
    <row r="317" spans="1:64" hidden="1" x14ac:dyDescent="0.3">
      <c r="A317" t="s">
        <v>33</v>
      </c>
      <c r="B317">
        <v>2021</v>
      </c>
      <c r="C317" t="s">
        <v>42</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t="s">
        <v>190</v>
      </c>
      <c r="V317">
        <v>164.2</v>
      </c>
      <c r="W317">
        <v>158.4</v>
      </c>
      <c r="X317">
        <v>169.1</v>
      </c>
      <c r="Y317">
        <v>155.69999999999999</v>
      </c>
      <c r="Z317">
        <v>158.6</v>
      </c>
      <c r="AA317">
        <v>163.9</v>
      </c>
      <c r="AB317">
        <v>160.80000000000001</v>
      </c>
      <c r="AC317">
        <v>161</v>
      </c>
      <c r="AD317">
        <v>165.5</v>
      </c>
      <c r="AE317">
        <f>SUM(All_India_Index_Upto_April23__1[[#This Row],[Cereals and products]:[Food and beverages]])</f>
        <v>2175.5</v>
      </c>
      <c r="AF317">
        <f>SUM(All_India_Index_Upto_April23__1[[#This Row],[Clothing]:[Clothing and footwear]])</f>
        <v>486.3</v>
      </c>
      <c r="AG317">
        <f t="shared" si="4"/>
        <v>478.3</v>
      </c>
      <c r="AI317">
        <f>TYPE(All_India_Index_Upto_April23__1[[#This Row],[Sector]])</f>
        <v>2</v>
      </c>
      <c r="AJ317">
        <f>TYPE(All_India_Index_Upto_April23__1[[#This Row],[Year]])</f>
        <v>1</v>
      </c>
      <c r="AK317">
        <f>TYPE(All_India_Index_Upto_April23__1[[#This Row],[Month]])</f>
        <v>2</v>
      </c>
      <c r="AL317">
        <f>TYPE(All_India_Index_Upto_April23__1[[#This Row],[Cereals and products]])</f>
        <v>1</v>
      </c>
      <c r="AM317">
        <f>TYPE(All_India_Index_Upto_April23__1[[#This Row],[Meat and fish]])</f>
        <v>1</v>
      </c>
      <c r="AN317">
        <f>TYPE(All_India_Index_Upto_April23__1[[#This Row],[Egg]])</f>
        <v>1</v>
      </c>
      <c r="AO317">
        <f>TYPE(All_India_Index_Upto_April23__1[[#This Row],[Milk and products]])</f>
        <v>1</v>
      </c>
      <c r="AP317">
        <f>TYPE(All_India_Index_Upto_April23__1[[#This Row],[Oils and fats]])</f>
        <v>1</v>
      </c>
      <c r="AQ317">
        <f>TYPE(All_India_Index_Upto_April23__1[[#This Row],[Fruits]])</f>
        <v>1</v>
      </c>
      <c r="AR317">
        <f>TYPE(All_India_Index_Upto_April23__1[[#This Row],[Vegetables]])</f>
        <v>1</v>
      </c>
      <c r="AS317">
        <f>TYPE(All_India_Index_Upto_April23__1[[#This Row],[Pulses and products]])</f>
        <v>1</v>
      </c>
      <c r="AT317">
        <f>TYPE(All_India_Index_Upto_April23__1[[#This Row],[Sugar and Confectionery]])</f>
        <v>1</v>
      </c>
      <c r="AU317">
        <f>TYPE(All_India_Index_Upto_April23__1[[#This Row],[Spices]])</f>
        <v>1</v>
      </c>
      <c r="AV317">
        <f>TYPE(All_India_Index_Upto_April23__1[[#This Row],[Non-alcoholic beverages]])</f>
        <v>1</v>
      </c>
      <c r="AW317">
        <f>TYPE(All_India_Index_Upto_April23__1[[#This Row],[Prepared meals, snacks, sweets etc.]])</f>
        <v>1</v>
      </c>
      <c r="AX317">
        <f>TYPE(All_India_Index_Upto_April23__1[[#This Row],[Food and beverages]])</f>
        <v>1</v>
      </c>
      <c r="AY317">
        <f>TYPE(All_India_Index_Upto_April23__1[[#This Row],[Pan, tobacco and intoxicants]])</f>
        <v>1</v>
      </c>
      <c r="AZ317">
        <f>TYPE(All_India_Index_Upto_April23__1[[#This Row],[Clothing]])</f>
        <v>1</v>
      </c>
      <c r="BA317">
        <f>TYPE(All_India_Index_Upto_April23__1[[#This Row],[Footwear]])</f>
        <v>1</v>
      </c>
      <c r="BB317">
        <f>TYPE(All_India_Index_Upto_April23__1[[#This Row],[Clothing and footwear]])</f>
        <v>1</v>
      </c>
      <c r="BC317">
        <f>TYPE(All_India_Index_Upto_April23__1[[#This Row],[Housing]])</f>
        <v>2</v>
      </c>
      <c r="BD317">
        <f>TYPE(All_India_Index_Upto_April23__1[[#This Row],[Fuel and light]])</f>
        <v>1</v>
      </c>
      <c r="BE317">
        <f>TYPE(All_India_Index_Upto_April23__1[[#This Row],[Household goods and services]])</f>
        <v>1</v>
      </c>
      <c r="BF317">
        <f>TYPE(All_India_Index_Upto_April23__1[[#This Row],[Health]])</f>
        <v>1</v>
      </c>
      <c r="BG317">
        <f>TYPE(All_India_Index_Upto_April23__1[[#This Row],[Transport and communication]])</f>
        <v>1</v>
      </c>
      <c r="BH317">
        <f>TYPE(All_India_Index_Upto_April23__1[[#This Row],[Recreation and amusement]])</f>
        <v>1</v>
      </c>
      <c r="BI317">
        <f>TYPE(All_India_Index_Upto_April23__1[[#This Row],[Education]])</f>
        <v>1</v>
      </c>
      <c r="BJ317">
        <f>TYPE(All_India_Index_Upto_April23__1[[#This Row],[Personal care and effects]])</f>
        <v>1</v>
      </c>
      <c r="BK317">
        <f>TYPE(All_India_Index_Upto_April23__1[[#This Row],[Miscellaneous]])</f>
        <v>1</v>
      </c>
      <c r="BL317">
        <f>TYPE(All_India_Index_Upto_April23__1[[#This Row],[General index]])</f>
        <v>1</v>
      </c>
    </row>
    <row r="318" spans="1:64" hidden="1" x14ac:dyDescent="0.3">
      <c r="A318" t="s">
        <v>30</v>
      </c>
      <c r="B318">
        <v>2021</v>
      </c>
      <c r="C318" t="s">
        <v>43</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U318" t="s">
        <v>89</v>
      </c>
      <c r="V318">
        <v>165.3</v>
      </c>
      <c r="W318">
        <v>162.9</v>
      </c>
      <c r="X318">
        <v>173.4</v>
      </c>
      <c r="Y318">
        <v>158.9</v>
      </c>
      <c r="Z318">
        <v>163.80000000000001</v>
      </c>
      <c r="AA318">
        <v>169.3</v>
      </c>
      <c r="AB318">
        <v>162.4</v>
      </c>
      <c r="AC318">
        <v>165.2</v>
      </c>
      <c r="AD318">
        <v>167.6</v>
      </c>
      <c r="AE318">
        <f>SUM(All_India_Index_Upto_April23__1[[#This Row],[Cereals and products]:[Food and beverages]])</f>
        <v>2182</v>
      </c>
      <c r="AF318">
        <f>SUM(All_India_Index_Upto_April23__1[[#This Row],[Clothing]:[Clothing and footwear]])</f>
        <v>506.2</v>
      </c>
      <c r="AG318">
        <f t="shared" si="4"/>
        <v>487.1</v>
      </c>
      <c r="AI318">
        <f>TYPE(All_India_Index_Upto_April23__1[[#This Row],[Sector]])</f>
        <v>2</v>
      </c>
      <c r="AJ318">
        <f>TYPE(All_India_Index_Upto_April23__1[[#This Row],[Year]])</f>
        <v>1</v>
      </c>
      <c r="AK318">
        <f>TYPE(All_India_Index_Upto_April23__1[[#This Row],[Month]])</f>
        <v>2</v>
      </c>
      <c r="AL318">
        <f>TYPE(All_India_Index_Upto_April23__1[[#This Row],[Cereals and products]])</f>
        <v>1</v>
      </c>
      <c r="AM318">
        <f>TYPE(All_India_Index_Upto_April23__1[[#This Row],[Meat and fish]])</f>
        <v>1</v>
      </c>
      <c r="AN318">
        <f>TYPE(All_India_Index_Upto_April23__1[[#This Row],[Egg]])</f>
        <v>1</v>
      </c>
      <c r="AO318">
        <f>TYPE(All_India_Index_Upto_April23__1[[#This Row],[Milk and products]])</f>
        <v>1</v>
      </c>
      <c r="AP318">
        <f>TYPE(All_India_Index_Upto_April23__1[[#This Row],[Oils and fats]])</f>
        <v>1</v>
      </c>
      <c r="AQ318">
        <f>TYPE(All_India_Index_Upto_April23__1[[#This Row],[Fruits]])</f>
        <v>1</v>
      </c>
      <c r="AR318">
        <f>TYPE(All_India_Index_Upto_April23__1[[#This Row],[Vegetables]])</f>
        <v>1</v>
      </c>
      <c r="AS318">
        <f>TYPE(All_India_Index_Upto_April23__1[[#This Row],[Pulses and products]])</f>
        <v>1</v>
      </c>
      <c r="AT318">
        <f>TYPE(All_India_Index_Upto_April23__1[[#This Row],[Sugar and Confectionery]])</f>
        <v>1</v>
      </c>
      <c r="AU318">
        <f>TYPE(All_India_Index_Upto_April23__1[[#This Row],[Spices]])</f>
        <v>1</v>
      </c>
      <c r="AV318">
        <f>TYPE(All_India_Index_Upto_April23__1[[#This Row],[Non-alcoholic beverages]])</f>
        <v>1</v>
      </c>
      <c r="AW318">
        <f>TYPE(All_India_Index_Upto_April23__1[[#This Row],[Prepared meals, snacks, sweets etc.]])</f>
        <v>1</v>
      </c>
      <c r="AX318">
        <f>TYPE(All_India_Index_Upto_April23__1[[#This Row],[Food and beverages]])</f>
        <v>1</v>
      </c>
      <c r="AY318">
        <f>TYPE(All_India_Index_Upto_April23__1[[#This Row],[Pan, tobacco and intoxicants]])</f>
        <v>1</v>
      </c>
      <c r="AZ318">
        <f>TYPE(All_India_Index_Upto_April23__1[[#This Row],[Clothing]])</f>
        <v>1</v>
      </c>
      <c r="BA318">
        <f>TYPE(All_India_Index_Upto_April23__1[[#This Row],[Footwear]])</f>
        <v>1</v>
      </c>
      <c r="BB318">
        <f>TYPE(All_India_Index_Upto_April23__1[[#This Row],[Clothing and footwear]])</f>
        <v>1</v>
      </c>
      <c r="BC318">
        <f>TYPE(All_India_Index_Upto_April23__1[[#This Row],[Housing]])</f>
        <v>2</v>
      </c>
      <c r="BD318">
        <f>TYPE(All_India_Index_Upto_April23__1[[#This Row],[Fuel and light]])</f>
        <v>1</v>
      </c>
      <c r="BE318">
        <f>TYPE(All_India_Index_Upto_April23__1[[#This Row],[Household goods and services]])</f>
        <v>1</v>
      </c>
      <c r="BF318">
        <f>TYPE(All_India_Index_Upto_April23__1[[#This Row],[Health]])</f>
        <v>1</v>
      </c>
      <c r="BG318">
        <f>TYPE(All_India_Index_Upto_April23__1[[#This Row],[Transport and communication]])</f>
        <v>1</v>
      </c>
      <c r="BH318">
        <f>TYPE(All_India_Index_Upto_April23__1[[#This Row],[Recreation and amusement]])</f>
        <v>1</v>
      </c>
      <c r="BI318">
        <f>TYPE(All_India_Index_Upto_April23__1[[#This Row],[Education]])</f>
        <v>1</v>
      </c>
      <c r="BJ318">
        <f>TYPE(All_India_Index_Upto_April23__1[[#This Row],[Personal care and effects]])</f>
        <v>1</v>
      </c>
      <c r="BK318">
        <f>TYPE(All_India_Index_Upto_April23__1[[#This Row],[Miscellaneous]])</f>
        <v>1</v>
      </c>
      <c r="BL318">
        <f>TYPE(All_India_Index_Upto_April23__1[[#This Row],[General index]])</f>
        <v>1</v>
      </c>
    </row>
    <row r="319" spans="1:64" hidden="1" x14ac:dyDescent="0.3">
      <c r="A319" t="s">
        <v>32</v>
      </c>
      <c r="B319">
        <v>2021</v>
      </c>
      <c r="C319" t="s">
        <v>43</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t="s">
        <v>191</v>
      </c>
      <c r="V319">
        <v>161.6</v>
      </c>
      <c r="W319">
        <v>155.19999999999999</v>
      </c>
      <c r="X319">
        <v>164.2</v>
      </c>
      <c r="Y319">
        <v>151.19999999999999</v>
      </c>
      <c r="Z319">
        <v>156.69999999999999</v>
      </c>
      <c r="AA319">
        <v>160.80000000000001</v>
      </c>
      <c r="AB319">
        <v>161.80000000000001</v>
      </c>
      <c r="AC319">
        <v>157.30000000000001</v>
      </c>
      <c r="AD319">
        <v>165.6</v>
      </c>
      <c r="AE319">
        <f>SUM(All_India_Index_Upto_April23__1[[#This Row],[Cereals and products]:[Food and beverages]])</f>
        <v>2217.8999999999996</v>
      </c>
      <c r="AF319">
        <f>SUM(All_India_Index_Upto_April23__1[[#This Row],[Clothing]:[Clothing and footwear]])</f>
        <v>467.3</v>
      </c>
      <c r="AG319">
        <f t="shared" si="4"/>
        <v>467.99999999999994</v>
      </c>
      <c r="AI319">
        <f>TYPE(All_India_Index_Upto_April23__1[[#This Row],[Sector]])</f>
        <v>2</v>
      </c>
      <c r="AJ319">
        <f>TYPE(All_India_Index_Upto_April23__1[[#This Row],[Year]])</f>
        <v>1</v>
      </c>
      <c r="AK319">
        <f>TYPE(All_India_Index_Upto_April23__1[[#This Row],[Month]])</f>
        <v>2</v>
      </c>
      <c r="AL319">
        <f>TYPE(All_India_Index_Upto_April23__1[[#This Row],[Cereals and products]])</f>
        <v>1</v>
      </c>
      <c r="AM319">
        <f>TYPE(All_India_Index_Upto_April23__1[[#This Row],[Meat and fish]])</f>
        <v>1</v>
      </c>
      <c r="AN319">
        <f>TYPE(All_India_Index_Upto_April23__1[[#This Row],[Egg]])</f>
        <v>1</v>
      </c>
      <c r="AO319">
        <f>TYPE(All_India_Index_Upto_April23__1[[#This Row],[Milk and products]])</f>
        <v>1</v>
      </c>
      <c r="AP319">
        <f>TYPE(All_India_Index_Upto_April23__1[[#This Row],[Oils and fats]])</f>
        <v>1</v>
      </c>
      <c r="AQ319">
        <f>TYPE(All_India_Index_Upto_April23__1[[#This Row],[Fruits]])</f>
        <v>1</v>
      </c>
      <c r="AR319">
        <f>TYPE(All_India_Index_Upto_April23__1[[#This Row],[Vegetables]])</f>
        <v>1</v>
      </c>
      <c r="AS319">
        <f>TYPE(All_India_Index_Upto_April23__1[[#This Row],[Pulses and products]])</f>
        <v>1</v>
      </c>
      <c r="AT319">
        <f>TYPE(All_India_Index_Upto_April23__1[[#This Row],[Sugar and Confectionery]])</f>
        <v>1</v>
      </c>
      <c r="AU319">
        <f>TYPE(All_India_Index_Upto_April23__1[[#This Row],[Spices]])</f>
        <v>1</v>
      </c>
      <c r="AV319">
        <f>TYPE(All_India_Index_Upto_April23__1[[#This Row],[Non-alcoholic beverages]])</f>
        <v>1</v>
      </c>
      <c r="AW319">
        <f>TYPE(All_India_Index_Upto_April23__1[[#This Row],[Prepared meals, snacks, sweets etc.]])</f>
        <v>1</v>
      </c>
      <c r="AX319">
        <f>TYPE(All_India_Index_Upto_April23__1[[#This Row],[Food and beverages]])</f>
        <v>1</v>
      </c>
      <c r="AY319">
        <f>TYPE(All_India_Index_Upto_April23__1[[#This Row],[Pan, tobacco and intoxicants]])</f>
        <v>1</v>
      </c>
      <c r="AZ319">
        <f>TYPE(All_India_Index_Upto_April23__1[[#This Row],[Clothing]])</f>
        <v>1</v>
      </c>
      <c r="BA319">
        <f>TYPE(All_India_Index_Upto_April23__1[[#This Row],[Footwear]])</f>
        <v>1</v>
      </c>
      <c r="BB319">
        <f>TYPE(All_India_Index_Upto_April23__1[[#This Row],[Clothing and footwear]])</f>
        <v>1</v>
      </c>
      <c r="BC319">
        <f>TYPE(All_India_Index_Upto_April23__1[[#This Row],[Housing]])</f>
        <v>2</v>
      </c>
      <c r="BD319">
        <f>TYPE(All_India_Index_Upto_April23__1[[#This Row],[Fuel and light]])</f>
        <v>1</v>
      </c>
      <c r="BE319">
        <f>TYPE(All_India_Index_Upto_April23__1[[#This Row],[Household goods and services]])</f>
        <v>1</v>
      </c>
      <c r="BF319">
        <f>TYPE(All_India_Index_Upto_April23__1[[#This Row],[Health]])</f>
        <v>1</v>
      </c>
      <c r="BG319">
        <f>TYPE(All_India_Index_Upto_April23__1[[#This Row],[Transport and communication]])</f>
        <v>1</v>
      </c>
      <c r="BH319">
        <f>TYPE(All_India_Index_Upto_April23__1[[#This Row],[Recreation and amusement]])</f>
        <v>1</v>
      </c>
      <c r="BI319">
        <f>TYPE(All_India_Index_Upto_April23__1[[#This Row],[Education]])</f>
        <v>1</v>
      </c>
      <c r="BJ319">
        <f>TYPE(All_India_Index_Upto_April23__1[[#This Row],[Personal care and effects]])</f>
        <v>1</v>
      </c>
      <c r="BK319">
        <f>TYPE(All_India_Index_Upto_April23__1[[#This Row],[Miscellaneous]])</f>
        <v>1</v>
      </c>
      <c r="BL319">
        <f>TYPE(All_India_Index_Upto_April23__1[[#This Row],[General index]])</f>
        <v>1</v>
      </c>
    </row>
    <row r="320" spans="1:64" hidden="1" x14ac:dyDescent="0.3">
      <c r="A320" t="s">
        <v>33</v>
      </c>
      <c r="B320">
        <v>2021</v>
      </c>
      <c r="C320" t="s">
        <v>43</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t="s">
        <v>191</v>
      </c>
      <c r="V320">
        <v>163.9</v>
      </c>
      <c r="W320">
        <v>159.30000000000001</v>
      </c>
      <c r="X320">
        <v>169.9</v>
      </c>
      <c r="Y320">
        <v>154.80000000000001</v>
      </c>
      <c r="Z320">
        <v>159.80000000000001</v>
      </c>
      <c r="AA320">
        <v>164.3</v>
      </c>
      <c r="AB320">
        <v>162.19999999999999</v>
      </c>
      <c r="AC320">
        <v>161.4</v>
      </c>
      <c r="AD320">
        <v>166.7</v>
      </c>
      <c r="AE320">
        <f>SUM(All_India_Index_Upto_April23__1[[#This Row],[Cereals and products]:[Food and beverages]])</f>
        <v>2194.1</v>
      </c>
      <c r="AF320">
        <f>SUM(All_India_Index_Upto_April23__1[[#This Row],[Clothing]:[Clothing and footwear]])</f>
        <v>490.40000000000003</v>
      </c>
      <c r="AG320">
        <f t="shared" si="4"/>
        <v>478.00000000000006</v>
      </c>
      <c r="AI320">
        <f>TYPE(All_India_Index_Upto_April23__1[[#This Row],[Sector]])</f>
        <v>2</v>
      </c>
      <c r="AJ320">
        <f>TYPE(All_India_Index_Upto_April23__1[[#This Row],[Year]])</f>
        <v>1</v>
      </c>
      <c r="AK320">
        <f>TYPE(All_India_Index_Upto_April23__1[[#This Row],[Month]])</f>
        <v>2</v>
      </c>
      <c r="AL320">
        <f>TYPE(All_India_Index_Upto_April23__1[[#This Row],[Cereals and products]])</f>
        <v>1</v>
      </c>
      <c r="AM320">
        <f>TYPE(All_India_Index_Upto_April23__1[[#This Row],[Meat and fish]])</f>
        <v>1</v>
      </c>
      <c r="AN320">
        <f>TYPE(All_India_Index_Upto_April23__1[[#This Row],[Egg]])</f>
        <v>1</v>
      </c>
      <c r="AO320">
        <f>TYPE(All_India_Index_Upto_April23__1[[#This Row],[Milk and products]])</f>
        <v>1</v>
      </c>
      <c r="AP320">
        <f>TYPE(All_India_Index_Upto_April23__1[[#This Row],[Oils and fats]])</f>
        <v>1</v>
      </c>
      <c r="AQ320">
        <f>TYPE(All_India_Index_Upto_April23__1[[#This Row],[Fruits]])</f>
        <v>1</v>
      </c>
      <c r="AR320">
        <f>TYPE(All_India_Index_Upto_April23__1[[#This Row],[Vegetables]])</f>
        <v>1</v>
      </c>
      <c r="AS320">
        <f>TYPE(All_India_Index_Upto_April23__1[[#This Row],[Pulses and products]])</f>
        <v>1</v>
      </c>
      <c r="AT320">
        <f>TYPE(All_India_Index_Upto_April23__1[[#This Row],[Sugar and Confectionery]])</f>
        <v>1</v>
      </c>
      <c r="AU320">
        <f>TYPE(All_India_Index_Upto_April23__1[[#This Row],[Spices]])</f>
        <v>1</v>
      </c>
      <c r="AV320">
        <f>TYPE(All_India_Index_Upto_April23__1[[#This Row],[Non-alcoholic beverages]])</f>
        <v>1</v>
      </c>
      <c r="AW320">
        <f>TYPE(All_India_Index_Upto_April23__1[[#This Row],[Prepared meals, snacks, sweets etc.]])</f>
        <v>1</v>
      </c>
      <c r="AX320">
        <f>TYPE(All_India_Index_Upto_April23__1[[#This Row],[Food and beverages]])</f>
        <v>1</v>
      </c>
      <c r="AY320">
        <f>TYPE(All_India_Index_Upto_April23__1[[#This Row],[Pan, tobacco and intoxicants]])</f>
        <v>1</v>
      </c>
      <c r="AZ320">
        <f>TYPE(All_India_Index_Upto_April23__1[[#This Row],[Clothing]])</f>
        <v>1</v>
      </c>
      <c r="BA320">
        <f>TYPE(All_India_Index_Upto_April23__1[[#This Row],[Footwear]])</f>
        <v>1</v>
      </c>
      <c r="BB320">
        <f>TYPE(All_India_Index_Upto_April23__1[[#This Row],[Clothing and footwear]])</f>
        <v>1</v>
      </c>
      <c r="BC320">
        <f>TYPE(All_India_Index_Upto_April23__1[[#This Row],[Housing]])</f>
        <v>2</v>
      </c>
      <c r="BD320">
        <f>TYPE(All_India_Index_Upto_April23__1[[#This Row],[Fuel and light]])</f>
        <v>1</v>
      </c>
      <c r="BE320">
        <f>TYPE(All_India_Index_Upto_April23__1[[#This Row],[Household goods and services]])</f>
        <v>1</v>
      </c>
      <c r="BF320">
        <f>TYPE(All_India_Index_Upto_April23__1[[#This Row],[Health]])</f>
        <v>1</v>
      </c>
      <c r="BG320">
        <f>TYPE(All_India_Index_Upto_April23__1[[#This Row],[Transport and communication]])</f>
        <v>1</v>
      </c>
      <c r="BH320">
        <f>TYPE(All_India_Index_Upto_April23__1[[#This Row],[Recreation and amusement]])</f>
        <v>1</v>
      </c>
      <c r="BI320">
        <f>TYPE(All_India_Index_Upto_April23__1[[#This Row],[Education]])</f>
        <v>1</v>
      </c>
      <c r="BJ320">
        <f>TYPE(All_India_Index_Upto_April23__1[[#This Row],[Personal care and effects]])</f>
        <v>1</v>
      </c>
      <c r="BK320">
        <f>TYPE(All_India_Index_Upto_April23__1[[#This Row],[Miscellaneous]])</f>
        <v>1</v>
      </c>
      <c r="BL320">
        <f>TYPE(All_India_Index_Upto_April23__1[[#This Row],[General index]])</f>
        <v>1</v>
      </c>
    </row>
    <row r="321" spans="1:64" hidden="1" x14ac:dyDescent="0.3">
      <c r="A321" t="s">
        <v>30</v>
      </c>
      <c r="B321">
        <v>2021</v>
      </c>
      <c r="C321" t="s">
        <v>44</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U321" t="s">
        <v>89</v>
      </c>
      <c r="V321">
        <v>165.6</v>
      </c>
      <c r="W321">
        <v>163.9</v>
      </c>
      <c r="X321">
        <v>174</v>
      </c>
      <c r="Y321">
        <v>160.1</v>
      </c>
      <c r="Z321">
        <v>164.5</v>
      </c>
      <c r="AA321">
        <v>169.7</v>
      </c>
      <c r="AB321">
        <v>162.80000000000001</v>
      </c>
      <c r="AC321">
        <v>166</v>
      </c>
      <c r="AD321">
        <v>167</v>
      </c>
      <c r="AE321">
        <f>SUM(All_India_Index_Upto_April23__1[[#This Row],[Cereals and products]:[Food and beverages]])</f>
        <v>2168.1999999999998</v>
      </c>
      <c r="AF321">
        <f>SUM(All_India_Index_Upto_April23__1[[#This Row],[Clothing]:[Clothing and footwear]])</f>
        <v>510.3</v>
      </c>
      <c r="AG321">
        <f t="shared" si="4"/>
        <v>489.6</v>
      </c>
      <c r="AI321">
        <f>TYPE(All_India_Index_Upto_April23__1[[#This Row],[Sector]])</f>
        <v>2</v>
      </c>
      <c r="AJ321">
        <f>TYPE(All_India_Index_Upto_April23__1[[#This Row],[Year]])</f>
        <v>1</v>
      </c>
      <c r="AK321">
        <f>TYPE(All_India_Index_Upto_April23__1[[#This Row],[Month]])</f>
        <v>2</v>
      </c>
      <c r="AL321">
        <f>TYPE(All_India_Index_Upto_April23__1[[#This Row],[Cereals and products]])</f>
        <v>1</v>
      </c>
      <c r="AM321">
        <f>TYPE(All_India_Index_Upto_April23__1[[#This Row],[Meat and fish]])</f>
        <v>1</v>
      </c>
      <c r="AN321">
        <f>TYPE(All_India_Index_Upto_April23__1[[#This Row],[Egg]])</f>
        <v>1</v>
      </c>
      <c r="AO321">
        <f>TYPE(All_India_Index_Upto_April23__1[[#This Row],[Milk and products]])</f>
        <v>1</v>
      </c>
      <c r="AP321">
        <f>TYPE(All_India_Index_Upto_April23__1[[#This Row],[Oils and fats]])</f>
        <v>1</v>
      </c>
      <c r="AQ321">
        <f>TYPE(All_India_Index_Upto_April23__1[[#This Row],[Fruits]])</f>
        <v>1</v>
      </c>
      <c r="AR321">
        <f>TYPE(All_India_Index_Upto_April23__1[[#This Row],[Vegetables]])</f>
        <v>1</v>
      </c>
      <c r="AS321">
        <f>TYPE(All_India_Index_Upto_April23__1[[#This Row],[Pulses and products]])</f>
        <v>1</v>
      </c>
      <c r="AT321">
        <f>TYPE(All_India_Index_Upto_April23__1[[#This Row],[Sugar and Confectionery]])</f>
        <v>1</v>
      </c>
      <c r="AU321">
        <f>TYPE(All_India_Index_Upto_April23__1[[#This Row],[Spices]])</f>
        <v>1</v>
      </c>
      <c r="AV321">
        <f>TYPE(All_India_Index_Upto_April23__1[[#This Row],[Non-alcoholic beverages]])</f>
        <v>1</v>
      </c>
      <c r="AW321">
        <f>TYPE(All_India_Index_Upto_April23__1[[#This Row],[Prepared meals, snacks, sweets etc.]])</f>
        <v>1</v>
      </c>
      <c r="AX321">
        <f>TYPE(All_India_Index_Upto_April23__1[[#This Row],[Food and beverages]])</f>
        <v>1</v>
      </c>
      <c r="AY321">
        <f>TYPE(All_India_Index_Upto_April23__1[[#This Row],[Pan, tobacco and intoxicants]])</f>
        <v>1</v>
      </c>
      <c r="AZ321">
        <f>TYPE(All_India_Index_Upto_April23__1[[#This Row],[Clothing]])</f>
        <v>1</v>
      </c>
      <c r="BA321">
        <f>TYPE(All_India_Index_Upto_April23__1[[#This Row],[Footwear]])</f>
        <v>1</v>
      </c>
      <c r="BB321">
        <f>TYPE(All_India_Index_Upto_April23__1[[#This Row],[Clothing and footwear]])</f>
        <v>1</v>
      </c>
      <c r="BC321">
        <f>TYPE(All_India_Index_Upto_April23__1[[#This Row],[Housing]])</f>
        <v>2</v>
      </c>
      <c r="BD321">
        <f>TYPE(All_India_Index_Upto_April23__1[[#This Row],[Fuel and light]])</f>
        <v>1</v>
      </c>
      <c r="BE321">
        <f>TYPE(All_India_Index_Upto_April23__1[[#This Row],[Household goods and services]])</f>
        <v>1</v>
      </c>
      <c r="BF321">
        <f>TYPE(All_India_Index_Upto_April23__1[[#This Row],[Health]])</f>
        <v>1</v>
      </c>
      <c r="BG321">
        <f>TYPE(All_India_Index_Upto_April23__1[[#This Row],[Transport and communication]])</f>
        <v>1</v>
      </c>
      <c r="BH321">
        <f>TYPE(All_India_Index_Upto_April23__1[[#This Row],[Recreation and amusement]])</f>
        <v>1</v>
      </c>
      <c r="BI321">
        <f>TYPE(All_India_Index_Upto_April23__1[[#This Row],[Education]])</f>
        <v>1</v>
      </c>
      <c r="BJ321">
        <f>TYPE(All_India_Index_Upto_April23__1[[#This Row],[Personal care and effects]])</f>
        <v>1</v>
      </c>
      <c r="BK321">
        <f>TYPE(All_India_Index_Upto_April23__1[[#This Row],[Miscellaneous]])</f>
        <v>1</v>
      </c>
      <c r="BL321">
        <f>TYPE(All_India_Index_Upto_April23__1[[#This Row],[General index]])</f>
        <v>1</v>
      </c>
    </row>
    <row r="322" spans="1:64" hidden="1" x14ac:dyDescent="0.3">
      <c r="A322" t="s">
        <v>32</v>
      </c>
      <c r="B322">
        <v>2021</v>
      </c>
      <c r="C322" t="s">
        <v>44</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t="s">
        <v>192</v>
      </c>
      <c r="V322">
        <v>161.69999999999999</v>
      </c>
      <c r="W322">
        <v>156</v>
      </c>
      <c r="X322">
        <v>165.1</v>
      </c>
      <c r="Y322">
        <v>151.80000000000001</v>
      </c>
      <c r="Z322">
        <v>157.6</v>
      </c>
      <c r="AA322">
        <v>160.6</v>
      </c>
      <c r="AB322">
        <v>162.4</v>
      </c>
      <c r="AC322">
        <v>157.80000000000001</v>
      </c>
      <c r="AD322">
        <v>165.2</v>
      </c>
      <c r="AE322">
        <f>SUM(All_India_Index_Upto_April23__1[[#This Row],[Cereals and products]:[Food and beverages]])</f>
        <v>2206.3000000000002</v>
      </c>
      <c r="AF322">
        <f>SUM(All_India_Index_Upto_April23__1[[#This Row],[Clothing]:[Clothing and footwear]])</f>
        <v>470.7</v>
      </c>
      <c r="AG322">
        <f t="shared" si="4"/>
        <v>469.5</v>
      </c>
      <c r="AI322">
        <f>TYPE(All_India_Index_Upto_April23__1[[#This Row],[Sector]])</f>
        <v>2</v>
      </c>
      <c r="AJ322">
        <f>TYPE(All_India_Index_Upto_April23__1[[#This Row],[Year]])</f>
        <v>1</v>
      </c>
      <c r="AK322">
        <f>TYPE(All_India_Index_Upto_April23__1[[#This Row],[Month]])</f>
        <v>2</v>
      </c>
      <c r="AL322">
        <f>TYPE(All_India_Index_Upto_April23__1[[#This Row],[Cereals and products]])</f>
        <v>1</v>
      </c>
      <c r="AM322">
        <f>TYPE(All_India_Index_Upto_April23__1[[#This Row],[Meat and fish]])</f>
        <v>1</v>
      </c>
      <c r="AN322">
        <f>TYPE(All_India_Index_Upto_April23__1[[#This Row],[Egg]])</f>
        <v>1</v>
      </c>
      <c r="AO322">
        <f>TYPE(All_India_Index_Upto_April23__1[[#This Row],[Milk and products]])</f>
        <v>1</v>
      </c>
      <c r="AP322">
        <f>TYPE(All_India_Index_Upto_April23__1[[#This Row],[Oils and fats]])</f>
        <v>1</v>
      </c>
      <c r="AQ322">
        <f>TYPE(All_India_Index_Upto_April23__1[[#This Row],[Fruits]])</f>
        <v>1</v>
      </c>
      <c r="AR322">
        <f>TYPE(All_India_Index_Upto_April23__1[[#This Row],[Vegetables]])</f>
        <v>1</v>
      </c>
      <c r="AS322">
        <f>TYPE(All_India_Index_Upto_April23__1[[#This Row],[Pulses and products]])</f>
        <v>1</v>
      </c>
      <c r="AT322">
        <f>TYPE(All_India_Index_Upto_April23__1[[#This Row],[Sugar and Confectionery]])</f>
        <v>1</v>
      </c>
      <c r="AU322">
        <f>TYPE(All_India_Index_Upto_April23__1[[#This Row],[Spices]])</f>
        <v>1</v>
      </c>
      <c r="AV322">
        <f>TYPE(All_India_Index_Upto_April23__1[[#This Row],[Non-alcoholic beverages]])</f>
        <v>1</v>
      </c>
      <c r="AW322">
        <f>TYPE(All_India_Index_Upto_April23__1[[#This Row],[Prepared meals, snacks, sweets etc.]])</f>
        <v>1</v>
      </c>
      <c r="AX322">
        <f>TYPE(All_India_Index_Upto_April23__1[[#This Row],[Food and beverages]])</f>
        <v>1</v>
      </c>
      <c r="AY322">
        <f>TYPE(All_India_Index_Upto_April23__1[[#This Row],[Pan, tobacco and intoxicants]])</f>
        <v>1</v>
      </c>
      <c r="AZ322">
        <f>TYPE(All_India_Index_Upto_April23__1[[#This Row],[Clothing]])</f>
        <v>1</v>
      </c>
      <c r="BA322">
        <f>TYPE(All_India_Index_Upto_April23__1[[#This Row],[Footwear]])</f>
        <v>1</v>
      </c>
      <c r="BB322">
        <f>TYPE(All_India_Index_Upto_April23__1[[#This Row],[Clothing and footwear]])</f>
        <v>1</v>
      </c>
      <c r="BC322">
        <f>TYPE(All_India_Index_Upto_April23__1[[#This Row],[Housing]])</f>
        <v>2</v>
      </c>
      <c r="BD322">
        <f>TYPE(All_India_Index_Upto_April23__1[[#This Row],[Fuel and light]])</f>
        <v>1</v>
      </c>
      <c r="BE322">
        <f>TYPE(All_India_Index_Upto_April23__1[[#This Row],[Household goods and services]])</f>
        <v>1</v>
      </c>
      <c r="BF322">
        <f>TYPE(All_India_Index_Upto_April23__1[[#This Row],[Health]])</f>
        <v>1</v>
      </c>
      <c r="BG322">
        <f>TYPE(All_India_Index_Upto_April23__1[[#This Row],[Transport and communication]])</f>
        <v>1</v>
      </c>
      <c r="BH322">
        <f>TYPE(All_India_Index_Upto_April23__1[[#This Row],[Recreation and amusement]])</f>
        <v>1</v>
      </c>
      <c r="BI322">
        <f>TYPE(All_India_Index_Upto_April23__1[[#This Row],[Education]])</f>
        <v>1</v>
      </c>
      <c r="BJ322">
        <f>TYPE(All_India_Index_Upto_April23__1[[#This Row],[Personal care and effects]])</f>
        <v>1</v>
      </c>
      <c r="BK322">
        <f>TYPE(All_India_Index_Upto_April23__1[[#This Row],[Miscellaneous]])</f>
        <v>1</v>
      </c>
      <c r="BL322">
        <f>TYPE(All_India_Index_Upto_April23__1[[#This Row],[General index]])</f>
        <v>1</v>
      </c>
    </row>
    <row r="323" spans="1:64" hidden="1" x14ac:dyDescent="0.3">
      <c r="A323" t="s">
        <v>33</v>
      </c>
      <c r="B323">
        <v>2021</v>
      </c>
      <c r="C323" t="s">
        <v>44</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t="s">
        <v>192</v>
      </c>
      <c r="V323">
        <v>164.1</v>
      </c>
      <c r="W323">
        <v>160.19999999999999</v>
      </c>
      <c r="X323">
        <v>170.6</v>
      </c>
      <c r="Y323">
        <v>155.69999999999999</v>
      </c>
      <c r="Z323">
        <v>160.6</v>
      </c>
      <c r="AA323">
        <v>164.4</v>
      </c>
      <c r="AB323">
        <v>162.6</v>
      </c>
      <c r="AC323">
        <v>162</v>
      </c>
      <c r="AD323">
        <v>166.2</v>
      </c>
      <c r="AE323">
        <f>SUM(All_India_Index_Upto_April23__1[[#This Row],[Cereals and products]:[Food and beverages]])</f>
        <v>2180.9</v>
      </c>
      <c r="AF323">
        <f>SUM(All_India_Index_Upto_April23__1[[#This Row],[Clothing]:[Clothing and footwear]])</f>
        <v>494.2</v>
      </c>
      <c r="AG323">
        <f t="shared" ref="AG323:AG374" si="5">SUM(U323:W323,Y323)</f>
        <v>479.99999999999994</v>
      </c>
      <c r="AI323">
        <f>TYPE(All_India_Index_Upto_April23__1[[#This Row],[Sector]])</f>
        <v>2</v>
      </c>
      <c r="AJ323">
        <f>TYPE(All_India_Index_Upto_April23__1[[#This Row],[Year]])</f>
        <v>1</v>
      </c>
      <c r="AK323">
        <f>TYPE(All_India_Index_Upto_April23__1[[#This Row],[Month]])</f>
        <v>2</v>
      </c>
      <c r="AL323">
        <f>TYPE(All_India_Index_Upto_April23__1[[#This Row],[Cereals and products]])</f>
        <v>1</v>
      </c>
      <c r="AM323">
        <f>TYPE(All_India_Index_Upto_April23__1[[#This Row],[Meat and fish]])</f>
        <v>1</v>
      </c>
      <c r="AN323">
        <f>TYPE(All_India_Index_Upto_April23__1[[#This Row],[Egg]])</f>
        <v>1</v>
      </c>
      <c r="AO323">
        <f>TYPE(All_India_Index_Upto_April23__1[[#This Row],[Milk and products]])</f>
        <v>1</v>
      </c>
      <c r="AP323">
        <f>TYPE(All_India_Index_Upto_April23__1[[#This Row],[Oils and fats]])</f>
        <v>1</v>
      </c>
      <c r="AQ323">
        <f>TYPE(All_India_Index_Upto_April23__1[[#This Row],[Fruits]])</f>
        <v>1</v>
      </c>
      <c r="AR323">
        <f>TYPE(All_India_Index_Upto_April23__1[[#This Row],[Vegetables]])</f>
        <v>1</v>
      </c>
      <c r="AS323">
        <f>TYPE(All_India_Index_Upto_April23__1[[#This Row],[Pulses and products]])</f>
        <v>1</v>
      </c>
      <c r="AT323">
        <f>TYPE(All_India_Index_Upto_April23__1[[#This Row],[Sugar and Confectionery]])</f>
        <v>1</v>
      </c>
      <c r="AU323">
        <f>TYPE(All_India_Index_Upto_April23__1[[#This Row],[Spices]])</f>
        <v>1</v>
      </c>
      <c r="AV323">
        <f>TYPE(All_India_Index_Upto_April23__1[[#This Row],[Non-alcoholic beverages]])</f>
        <v>1</v>
      </c>
      <c r="AW323">
        <f>TYPE(All_India_Index_Upto_April23__1[[#This Row],[Prepared meals, snacks, sweets etc.]])</f>
        <v>1</v>
      </c>
      <c r="AX323">
        <f>TYPE(All_India_Index_Upto_April23__1[[#This Row],[Food and beverages]])</f>
        <v>1</v>
      </c>
      <c r="AY323">
        <f>TYPE(All_India_Index_Upto_April23__1[[#This Row],[Pan, tobacco and intoxicants]])</f>
        <v>1</v>
      </c>
      <c r="AZ323">
        <f>TYPE(All_India_Index_Upto_April23__1[[#This Row],[Clothing]])</f>
        <v>1</v>
      </c>
      <c r="BA323">
        <f>TYPE(All_India_Index_Upto_April23__1[[#This Row],[Footwear]])</f>
        <v>1</v>
      </c>
      <c r="BB323">
        <f>TYPE(All_India_Index_Upto_April23__1[[#This Row],[Clothing and footwear]])</f>
        <v>1</v>
      </c>
      <c r="BC323">
        <f>TYPE(All_India_Index_Upto_April23__1[[#This Row],[Housing]])</f>
        <v>2</v>
      </c>
      <c r="BD323">
        <f>TYPE(All_India_Index_Upto_April23__1[[#This Row],[Fuel and light]])</f>
        <v>1</v>
      </c>
      <c r="BE323">
        <f>TYPE(All_India_Index_Upto_April23__1[[#This Row],[Household goods and services]])</f>
        <v>1</v>
      </c>
      <c r="BF323">
        <f>TYPE(All_India_Index_Upto_April23__1[[#This Row],[Health]])</f>
        <v>1</v>
      </c>
      <c r="BG323">
        <f>TYPE(All_India_Index_Upto_April23__1[[#This Row],[Transport and communication]])</f>
        <v>1</v>
      </c>
      <c r="BH323">
        <f>TYPE(All_India_Index_Upto_April23__1[[#This Row],[Recreation and amusement]])</f>
        <v>1</v>
      </c>
      <c r="BI323">
        <f>TYPE(All_India_Index_Upto_April23__1[[#This Row],[Education]])</f>
        <v>1</v>
      </c>
      <c r="BJ323">
        <f>TYPE(All_India_Index_Upto_April23__1[[#This Row],[Personal care and effects]])</f>
        <v>1</v>
      </c>
      <c r="BK323">
        <f>TYPE(All_India_Index_Upto_April23__1[[#This Row],[Miscellaneous]])</f>
        <v>1</v>
      </c>
      <c r="BL323">
        <f>TYPE(All_India_Index_Upto_April23__1[[#This Row],[General index]])</f>
        <v>1</v>
      </c>
    </row>
    <row r="324" spans="1:64" hidden="1" x14ac:dyDescent="0.3">
      <c r="A324" t="s">
        <v>30</v>
      </c>
      <c r="B324">
        <v>2022</v>
      </c>
      <c r="C324" t="s">
        <v>31</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U324" t="s">
        <v>89</v>
      </c>
      <c r="V324">
        <v>165.8</v>
      </c>
      <c r="W324">
        <v>164.9</v>
      </c>
      <c r="X324">
        <v>174.7</v>
      </c>
      <c r="Y324">
        <v>160.80000000000001</v>
      </c>
      <c r="Z324">
        <v>164.9</v>
      </c>
      <c r="AA324">
        <v>169.9</v>
      </c>
      <c r="AB324">
        <v>163.19999999999999</v>
      </c>
      <c r="AC324">
        <v>166.6</v>
      </c>
      <c r="AD324">
        <v>166.4</v>
      </c>
      <c r="AE324">
        <f>SUM(All_India_Index_Upto_April23__1[[#This Row],[Cereals and products]:[Food and beverages]])</f>
        <v>2153</v>
      </c>
      <c r="AF324">
        <f>SUM(All_India_Index_Upto_April23__1[[#This Row],[Clothing]:[Clothing and footwear]])</f>
        <v>515.20000000000005</v>
      </c>
      <c r="AG324">
        <f t="shared" si="5"/>
        <v>491.50000000000006</v>
      </c>
      <c r="AI324">
        <f>TYPE(All_India_Index_Upto_April23__1[[#This Row],[Sector]])</f>
        <v>2</v>
      </c>
      <c r="AJ324">
        <f>TYPE(All_India_Index_Upto_April23__1[[#This Row],[Year]])</f>
        <v>1</v>
      </c>
      <c r="AK324">
        <f>TYPE(All_India_Index_Upto_April23__1[[#This Row],[Month]])</f>
        <v>2</v>
      </c>
      <c r="AL324">
        <f>TYPE(All_India_Index_Upto_April23__1[[#This Row],[Cereals and products]])</f>
        <v>1</v>
      </c>
      <c r="AM324">
        <f>TYPE(All_India_Index_Upto_April23__1[[#This Row],[Meat and fish]])</f>
        <v>1</v>
      </c>
      <c r="AN324">
        <f>TYPE(All_India_Index_Upto_April23__1[[#This Row],[Egg]])</f>
        <v>1</v>
      </c>
      <c r="AO324">
        <f>TYPE(All_India_Index_Upto_April23__1[[#This Row],[Milk and products]])</f>
        <v>1</v>
      </c>
      <c r="AP324">
        <f>TYPE(All_India_Index_Upto_April23__1[[#This Row],[Oils and fats]])</f>
        <v>1</v>
      </c>
      <c r="AQ324">
        <f>TYPE(All_India_Index_Upto_April23__1[[#This Row],[Fruits]])</f>
        <v>1</v>
      </c>
      <c r="AR324">
        <f>TYPE(All_India_Index_Upto_April23__1[[#This Row],[Vegetables]])</f>
        <v>1</v>
      </c>
      <c r="AS324">
        <f>TYPE(All_India_Index_Upto_April23__1[[#This Row],[Pulses and products]])</f>
        <v>1</v>
      </c>
      <c r="AT324">
        <f>TYPE(All_India_Index_Upto_April23__1[[#This Row],[Sugar and Confectionery]])</f>
        <v>1</v>
      </c>
      <c r="AU324">
        <f>TYPE(All_India_Index_Upto_April23__1[[#This Row],[Spices]])</f>
        <v>1</v>
      </c>
      <c r="AV324">
        <f>TYPE(All_India_Index_Upto_April23__1[[#This Row],[Non-alcoholic beverages]])</f>
        <v>1</v>
      </c>
      <c r="AW324">
        <f>TYPE(All_India_Index_Upto_April23__1[[#This Row],[Prepared meals, snacks, sweets etc.]])</f>
        <v>1</v>
      </c>
      <c r="AX324">
        <f>TYPE(All_India_Index_Upto_April23__1[[#This Row],[Food and beverages]])</f>
        <v>1</v>
      </c>
      <c r="AY324">
        <f>TYPE(All_India_Index_Upto_April23__1[[#This Row],[Pan, tobacco and intoxicants]])</f>
        <v>1</v>
      </c>
      <c r="AZ324">
        <f>TYPE(All_India_Index_Upto_April23__1[[#This Row],[Clothing]])</f>
        <v>1</v>
      </c>
      <c r="BA324">
        <f>TYPE(All_India_Index_Upto_April23__1[[#This Row],[Footwear]])</f>
        <v>1</v>
      </c>
      <c r="BB324">
        <f>TYPE(All_India_Index_Upto_April23__1[[#This Row],[Clothing and footwear]])</f>
        <v>1</v>
      </c>
      <c r="BC324">
        <f>TYPE(All_India_Index_Upto_April23__1[[#This Row],[Housing]])</f>
        <v>2</v>
      </c>
      <c r="BD324">
        <f>TYPE(All_India_Index_Upto_April23__1[[#This Row],[Fuel and light]])</f>
        <v>1</v>
      </c>
      <c r="BE324">
        <f>TYPE(All_India_Index_Upto_April23__1[[#This Row],[Household goods and services]])</f>
        <v>1</v>
      </c>
      <c r="BF324">
        <f>TYPE(All_India_Index_Upto_April23__1[[#This Row],[Health]])</f>
        <v>1</v>
      </c>
      <c r="BG324">
        <f>TYPE(All_India_Index_Upto_April23__1[[#This Row],[Transport and communication]])</f>
        <v>1</v>
      </c>
      <c r="BH324">
        <f>TYPE(All_India_Index_Upto_April23__1[[#This Row],[Recreation and amusement]])</f>
        <v>1</v>
      </c>
      <c r="BI324">
        <f>TYPE(All_India_Index_Upto_April23__1[[#This Row],[Education]])</f>
        <v>1</v>
      </c>
      <c r="BJ324">
        <f>TYPE(All_India_Index_Upto_April23__1[[#This Row],[Personal care and effects]])</f>
        <v>1</v>
      </c>
      <c r="BK324">
        <f>TYPE(All_India_Index_Upto_April23__1[[#This Row],[Miscellaneous]])</f>
        <v>1</v>
      </c>
      <c r="BL324">
        <f>TYPE(All_India_Index_Upto_April23__1[[#This Row],[General index]])</f>
        <v>1</v>
      </c>
    </row>
    <row r="325" spans="1:64" hidden="1" x14ac:dyDescent="0.3">
      <c r="A325" t="s">
        <v>32</v>
      </c>
      <c r="B325">
        <v>2022</v>
      </c>
      <c r="C325" t="s">
        <v>31</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t="s">
        <v>193</v>
      </c>
      <c r="V325">
        <v>161.6</v>
      </c>
      <c r="W325">
        <v>156.80000000000001</v>
      </c>
      <c r="X325">
        <v>166.1</v>
      </c>
      <c r="Y325">
        <v>152.69999999999999</v>
      </c>
      <c r="Z325">
        <v>158.4</v>
      </c>
      <c r="AA325">
        <v>161</v>
      </c>
      <c r="AB325">
        <v>162.80000000000001</v>
      </c>
      <c r="AC325">
        <v>158.6</v>
      </c>
      <c r="AD325">
        <v>165</v>
      </c>
      <c r="AE325">
        <f>SUM(All_India_Index_Upto_April23__1[[#This Row],[Cereals and products]:[Food and beverages]])</f>
        <v>2186.6999999999998</v>
      </c>
      <c r="AF325">
        <f>SUM(All_India_Index_Upto_April23__1[[#This Row],[Clothing]:[Clothing and footwear]])</f>
        <v>475.4</v>
      </c>
      <c r="AG325">
        <f t="shared" si="5"/>
        <v>471.09999999999997</v>
      </c>
      <c r="AI325">
        <f>TYPE(All_India_Index_Upto_April23__1[[#This Row],[Sector]])</f>
        <v>2</v>
      </c>
      <c r="AJ325">
        <f>TYPE(All_India_Index_Upto_April23__1[[#This Row],[Year]])</f>
        <v>1</v>
      </c>
      <c r="AK325">
        <f>TYPE(All_India_Index_Upto_April23__1[[#This Row],[Month]])</f>
        <v>2</v>
      </c>
      <c r="AL325">
        <f>TYPE(All_India_Index_Upto_April23__1[[#This Row],[Cereals and products]])</f>
        <v>1</v>
      </c>
      <c r="AM325">
        <f>TYPE(All_India_Index_Upto_April23__1[[#This Row],[Meat and fish]])</f>
        <v>1</v>
      </c>
      <c r="AN325">
        <f>TYPE(All_India_Index_Upto_April23__1[[#This Row],[Egg]])</f>
        <v>1</v>
      </c>
      <c r="AO325">
        <f>TYPE(All_India_Index_Upto_April23__1[[#This Row],[Milk and products]])</f>
        <v>1</v>
      </c>
      <c r="AP325">
        <f>TYPE(All_India_Index_Upto_April23__1[[#This Row],[Oils and fats]])</f>
        <v>1</v>
      </c>
      <c r="AQ325">
        <f>TYPE(All_India_Index_Upto_April23__1[[#This Row],[Fruits]])</f>
        <v>1</v>
      </c>
      <c r="AR325">
        <f>TYPE(All_India_Index_Upto_April23__1[[#This Row],[Vegetables]])</f>
        <v>1</v>
      </c>
      <c r="AS325">
        <f>TYPE(All_India_Index_Upto_April23__1[[#This Row],[Pulses and products]])</f>
        <v>1</v>
      </c>
      <c r="AT325">
        <f>TYPE(All_India_Index_Upto_April23__1[[#This Row],[Sugar and Confectionery]])</f>
        <v>1</v>
      </c>
      <c r="AU325">
        <f>TYPE(All_India_Index_Upto_April23__1[[#This Row],[Spices]])</f>
        <v>1</v>
      </c>
      <c r="AV325">
        <f>TYPE(All_India_Index_Upto_April23__1[[#This Row],[Non-alcoholic beverages]])</f>
        <v>1</v>
      </c>
      <c r="AW325">
        <f>TYPE(All_India_Index_Upto_April23__1[[#This Row],[Prepared meals, snacks, sweets etc.]])</f>
        <v>1</v>
      </c>
      <c r="AX325">
        <f>TYPE(All_India_Index_Upto_April23__1[[#This Row],[Food and beverages]])</f>
        <v>1</v>
      </c>
      <c r="AY325">
        <f>TYPE(All_India_Index_Upto_April23__1[[#This Row],[Pan, tobacco and intoxicants]])</f>
        <v>1</v>
      </c>
      <c r="AZ325">
        <f>TYPE(All_India_Index_Upto_April23__1[[#This Row],[Clothing]])</f>
        <v>1</v>
      </c>
      <c r="BA325">
        <f>TYPE(All_India_Index_Upto_April23__1[[#This Row],[Footwear]])</f>
        <v>1</v>
      </c>
      <c r="BB325">
        <f>TYPE(All_India_Index_Upto_April23__1[[#This Row],[Clothing and footwear]])</f>
        <v>1</v>
      </c>
      <c r="BC325">
        <f>TYPE(All_India_Index_Upto_April23__1[[#This Row],[Housing]])</f>
        <v>2</v>
      </c>
      <c r="BD325">
        <f>TYPE(All_India_Index_Upto_April23__1[[#This Row],[Fuel and light]])</f>
        <v>1</v>
      </c>
      <c r="BE325">
        <f>TYPE(All_India_Index_Upto_April23__1[[#This Row],[Household goods and services]])</f>
        <v>1</v>
      </c>
      <c r="BF325">
        <f>TYPE(All_India_Index_Upto_April23__1[[#This Row],[Health]])</f>
        <v>1</v>
      </c>
      <c r="BG325">
        <f>TYPE(All_India_Index_Upto_April23__1[[#This Row],[Transport and communication]])</f>
        <v>1</v>
      </c>
      <c r="BH325">
        <f>TYPE(All_India_Index_Upto_April23__1[[#This Row],[Recreation and amusement]])</f>
        <v>1</v>
      </c>
      <c r="BI325">
        <f>TYPE(All_India_Index_Upto_April23__1[[#This Row],[Education]])</f>
        <v>1</v>
      </c>
      <c r="BJ325">
        <f>TYPE(All_India_Index_Upto_April23__1[[#This Row],[Personal care and effects]])</f>
        <v>1</v>
      </c>
      <c r="BK325">
        <f>TYPE(All_India_Index_Upto_April23__1[[#This Row],[Miscellaneous]])</f>
        <v>1</v>
      </c>
      <c r="BL325">
        <f>TYPE(All_India_Index_Upto_April23__1[[#This Row],[General index]])</f>
        <v>1</v>
      </c>
    </row>
    <row r="326" spans="1:64" hidden="1" x14ac:dyDescent="0.3">
      <c r="A326" t="s">
        <v>33</v>
      </c>
      <c r="B326">
        <v>2022</v>
      </c>
      <c r="C326" t="s">
        <v>31</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t="s">
        <v>193</v>
      </c>
      <c r="V326">
        <v>164.2</v>
      </c>
      <c r="W326">
        <v>161.1</v>
      </c>
      <c r="X326">
        <v>171.4</v>
      </c>
      <c r="Y326">
        <v>156.5</v>
      </c>
      <c r="Z326">
        <v>161.19999999999999</v>
      </c>
      <c r="AA326">
        <v>164.7</v>
      </c>
      <c r="AB326">
        <v>163</v>
      </c>
      <c r="AC326">
        <v>162.69999999999999</v>
      </c>
      <c r="AD326">
        <v>165.7</v>
      </c>
      <c r="AE326">
        <f>SUM(All_India_Index_Upto_April23__1[[#This Row],[Cereals and products]:[Food and beverages]])</f>
        <v>2164.1999999999998</v>
      </c>
      <c r="AF326">
        <f>SUM(All_India_Index_Upto_April23__1[[#This Row],[Clothing]:[Clothing and footwear]])</f>
        <v>499.1</v>
      </c>
      <c r="AG326">
        <f t="shared" si="5"/>
        <v>481.79999999999995</v>
      </c>
      <c r="AI326">
        <f>TYPE(All_India_Index_Upto_April23__1[[#This Row],[Sector]])</f>
        <v>2</v>
      </c>
      <c r="AJ326">
        <f>TYPE(All_India_Index_Upto_April23__1[[#This Row],[Year]])</f>
        <v>1</v>
      </c>
      <c r="AK326">
        <f>TYPE(All_India_Index_Upto_April23__1[[#This Row],[Month]])</f>
        <v>2</v>
      </c>
      <c r="AL326">
        <f>TYPE(All_India_Index_Upto_April23__1[[#This Row],[Cereals and products]])</f>
        <v>1</v>
      </c>
      <c r="AM326">
        <f>TYPE(All_India_Index_Upto_April23__1[[#This Row],[Meat and fish]])</f>
        <v>1</v>
      </c>
      <c r="AN326">
        <f>TYPE(All_India_Index_Upto_April23__1[[#This Row],[Egg]])</f>
        <v>1</v>
      </c>
      <c r="AO326">
        <f>TYPE(All_India_Index_Upto_April23__1[[#This Row],[Milk and products]])</f>
        <v>1</v>
      </c>
      <c r="AP326">
        <f>TYPE(All_India_Index_Upto_April23__1[[#This Row],[Oils and fats]])</f>
        <v>1</v>
      </c>
      <c r="AQ326">
        <f>TYPE(All_India_Index_Upto_April23__1[[#This Row],[Fruits]])</f>
        <v>1</v>
      </c>
      <c r="AR326">
        <f>TYPE(All_India_Index_Upto_April23__1[[#This Row],[Vegetables]])</f>
        <v>1</v>
      </c>
      <c r="AS326">
        <f>TYPE(All_India_Index_Upto_April23__1[[#This Row],[Pulses and products]])</f>
        <v>1</v>
      </c>
      <c r="AT326">
        <f>TYPE(All_India_Index_Upto_April23__1[[#This Row],[Sugar and Confectionery]])</f>
        <v>1</v>
      </c>
      <c r="AU326">
        <f>TYPE(All_India_Index_Upto_April23__1[[#This Row],[Spices]])</f>
        <v>1</v>
      </c>
      <c r="AV326">
        <f>TYPE(All_India_Index_Upto_April23__1[[#This Row],[Non-alcoholic beverages]])</f>
        <v>1</v>
      </c>
      <c r="AW326">
        <f>TYPE(All_India_Index_Upto_April23__1[[#This Row],[Prepared meals, snacks, sweets etc.]])</f>
        <v>1</v>
      </c>
      <c r="AX326">
        <f>TYPE(All_India_Index_Upto_April23__1[[#This Row],[Food and beverages]])</f>
        <v>1</v>
      </c>
      <c r="AY326">
        <f>TYPE(All_India_Index_Upto_April23__1[[#This Row],[Pan, tobacco and intoxicants]])</f>
        <v>1</v>
      </c>
      <c r="AZ326">
        <f>TYPE(All_India_Index_Upto_April23__1[[#This Row],[Clothing]])</f>
        <v>1</v>
      </c>
      <c r="BA326">
        <f>TYPE(All_India_Index_Upto_April23__1[[#This Row],[Footwear]])</f>
        <v>1</v>
      </c>
      <c r="BB326">
        <f>TYPE(All_India_Index_Upto_April23__1[[#This Row],[Clothing and footwear]])</f>
        <v>1</v>
      </c>
      <c r="BC326">
        <f>TYPE(All_India_Index_Upto_April23__1[[#This Row],[Housing]])</f>
        <v>2</v>
      </c>
      <c r="BD326">
        <f>TYPE(All_India_Index_Upto_April23__1[[#This Row],[Fuel and light]])</f>
        <v>1</v>
      </c>
      <c r="BE326">
        <f>TYPE(All_India_Index_Upto_April23__1[[#This Row],[Household goods and services]])</f>
        <v>1</v>
      </c>
      <c r="BF326">
        <f>TYPE(All_India_Index_Upto_April23__1[[#This Row],[Health]])</f>
        <v>1</v>
      </c>
      <c r="BG326">
        <f>TYPE(All_India_Index_Upto_April23__1[[#This Row],[Transport and communication]])</f>
        <v>1</v>
      </c>
      <c r="BH326">
        <f>TYPE(All_India_Index_Upto_April23__1[[#This Row],[Recreation and amusement]])</f>
        <v>1</v>
      </c>
      <c r="BI326">
        <f>TYPE(All_India_Index_Upto_April23__1[[#This Row],[Education]])</f>
        <v>1</v>
      </c>
      <c r="BJ326">
        <f>TYPE(All_India_Index_Upto_April23__1[[#This Row],[Personal care and effects]])</f>
        <v>1</v>
      </c>
      <c r="BK326">
        <f>TYPE(All_India_Index_Upto_April23__1[[#This Row],[Miscellaneous]])</f>
        <v>1</v>
      </c>
      <c r="BL326">
        <f>TYPE(All_India_Index_Upto_April23__1[[#This Row],[General index]])</f>
        <v>1</v>
      </c>
    </row>
    <row r="327" spans="1:64" hidden="1" x14ac:dyDescent="0.3">
      <c r="A327" t="s">
        <v>30</v>
      </c>
      <c r="B327">
        <v>2022</v>
      </c>
      <c r="C327" t="s">
        <v>34</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U327" t="s">
        <v>89</v>
      </c>
      <c r="V327">
        <v>167.4</v>
      </c>
      <c r="W327">
        <v>165.7</v>
      </c>
      <c r="X327">
        <v>175.3</v>
      </c>
      <c r="Y327">
        <v>161.19999999999999</v>
      </c>
      <c r="Z327">
        <v>165.5</v>
      </c>
      <c r="AA327">
        <v>170.3</v>
      </c>
      <c r="AB327">
        <v>164.5</v>
      </c>
      <c r="AC327">
        <v>167.3</v>
      </c>
      <c r="AD327">
        <v>166.7</v>
      </c>
      <c r="AE327">
        <f>SUM(All_India_Index_Upto_April23__1[[#This Row],[Cereals and products]:[Food and beverages]])</f>
        <v>2150.4</v>
      </c>
      <c r="AF327">
        <f>SUM(All_India_Index_Upto_April23__1[[#This Row],[Clothing]:[Clothing and footwear]])</f>
        <v>518.79999999999995</v>
      </c>
      <c r="AG327">
        <f t="shared" si="5"/>
        <v>494.3</v>
      </c>
      <c r="AI327">
        <f>TYPE(All_India_Index_Upto_April23__1[[#This Row],[Sector]])</f>
        <v>2</v>
      </c>
      <c r="AJ327">
        <f>TYPE(All_India_Index_Upto_April23__1[[#This Row],[Year]])</f>
        <v>1</v>
      </c>
      <c r="AK327">
        <f>TYPE(All_India_Index_Upto_April23__1[[#This Row],[Month]])</f>
        <v>2</v>
      </c>
      <c r="AL327">
        <f>TYPE(All_India_Index_Upto_April23__1[[#This Row],[Cereals and products]])</f>
        <v>1</v>
      </c>
      <c r="AM327">
        <f>TYPE(All_India_Index_Upto_April23__1[[#This Row],[Meat and fish]])</f>
        <v>1</v>
      </c>
      <c r="AN327">
        <f>TYPE(All_India_Index_Upto_April23__1[[#This Row],[Egg]])</f>
        <v>1</v>
      </c>
      <c r="AO327">
        <f>TYPE(All_India_Index_Upto_April23__1[[#This Row],[Milk and products]])</f>
        <v>1</v>
      </c>
      <c r="AP327">
        <f>TYPE(All_India_Index_Upto_April23__1[[#This Row],[Oils and fats]])</f>
        <v>1</v>
      </c>
      <c r="AQ327">
        <f>TYPE(All_India_Index_Upto_April23__1[[#This Row],[Fruits]])</f>
        <v>1</v>
      </c>
      <c r="AR327">
        <f>TYPE(All_India_Index_Upto_April23__1[[#This Row],[Vegetables]])</f>
        <v>1</v>
      </c>
      <c r="AS327">
        <f>TYPE(All_India_Index_Upto_April23__1[[#This Row],[Pulses and products]])</f>
        <v>1</v>
      </c>
      <c r="AT327">
        <f>TYPE(All_India_Index_Upto_April23__1[[#This Row],[Sugar and Confectionery]])</f>
        <v>1</v>
      </c>
      <c r="AU327">
        <f>TYPE(All_India_Index_Upto_April23__1[[#This Row],[Spices]])</f>
        <v>1</v>
      </c>
      <c r="AV327">
        <f>TYPE(All_India_Index_Upto_April23__1[[#This Row],[Non-alcoholic beverages]])</f>
        <v>1</v>
      </c>
      <c r="AW327">
        <f>TYPE(All_India_Index_Upto_April23__1[[#This Row],[Prepared meals, snacks, sweets etc.]])</f>
        <v>1</v>
      </c>
      <c r="AX327">
        <f>TYPE(All_India_Index_Upto_April23__1[[#This Row],[Food and beverages]])</f>
        <v>1</v>
      </c>
      <c r="AY327">
        <f>TYPE(All_India_Index_Upto_April23__1[[#This Row],[Pan, tobacco and intoxicants]])</f>
        <v>1</v>
      </c>
      <c r="AZ327">
        <f>TYPE(All_India_Index_Upto_April23__1[[#This Row],[Clothing]])</f>
        <v>1</v>
      </c>
      <c r="BA327">
        <f>TYPE(All_India_Index_Upto_April23__1[[#This Row],[Footwear]])</f>
        <v>1</v>
      </c>
      <c r="BB327">
        <f>TYPE(All_India_Index_Upto_April23__1[[#This Row],[Clothing and footwear]])</f>
        <v>1</v>
      </c>
      <c r="BC327">
        <f>TYPE(All_India_Index_Upto_April23__1[[#This Row],[Housing]])</f>
        <v>2</v>
      </c>
      <c r="BD327">
        <f>TYPE(All_India_Index_Upto_April23__1[[#This Row],[Fuel and light]])</f>
        <v>1</v>
      </c>
      <c r="BE327">
        <f>TYPE(All_India_Index_Upto_April23__1[[#This Row],[Household goods and services]])</f>
        <v>1</v>
      </c>
      <c r="BF327">
        <f>TYPE(All_India_Index_Upto_April23__1[[#This Row],[Health]])</f>
        <v>1</v>
      </c>
      <c r="BG327">
        <f>TYPE(All_India_Index_Upto_April23__1[[#This Row],[Transport and communication]])</f>
        <v>1</v>
      </c>
      <c r="BH327">
        <f>TYPE(All_India_Index_Upto_April23__1[[#This Row],[Recreation and amusement]])</f>
        <v>1</v>
      </c>
      <c r="BI327">
        <f>TYPE(All_India_Index_Upto_April23__1[[#This Row],[Education]])</f>
        <v>1</v>
      </c>
      <c r="BJ327">
        <f>TYPE(All_India_Index_Upto_April23__1[[#This Row],[Personal care and effects]])</f>
        <v>1</v>
      </c>
      <c r="BK327">
        <f>TYPE(All_India_Index_Upto_April23__1[[#This Row],[Miscellaneous]])</f>
        <v>1</v>
      </c>
      <c r="BL327">
        <f>TYPE(All_India_Index_Upto_April23__1[[#This Row],[General index]])</f>
        <v>1</v>
      </c>
    </row>
    <row r="328" spans="1:64" hidden="1" x14ac:dyDescent="0.3">
      <c r="A328" t="s">
        <v>32</v>
      </c>
      <c r="B328">
        <v>2022</v>
      </c>
      <c r="C328" t="s">
        <v>34</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t="s">
        <v>194</v>
      </c>
      <c r="V328">
        <v>163</v>
      </c>
      <c r="W328">
        <v>157.4</v>
      </c>
      <c r="X328">
        <v>167.2</v>
      </c>
      <c r="Y328">
        <v>153.1</v>
      </c>
      <c r="Z328">
        <v>159.5</v>
      </c>
      <c r="AA328">
        <v>162</v>
      </c>
      <c r="AB328">
        <v>164.2</v>
      </c>
      <c r="AC328">
        <v>159.4</v>
      </c>
      <c r="AD328">
        <v>165.5</v>
      </c>
      <c r="AE328">
        <f>SUM(All_India_Index_Upto_April23__1[[#This Row],[Cereals and products]:[Food and beverages]])</f>
        <v>2183.5</v>
      </c>
      <c r="AF328">
        <f>SUM(All_India_Index_Upto_April23__1[[#This Row],[Clothing]:[Clothing and footwear]])</f>
        <v>479.5</v>
      </c>
      <c r="AG328">
        <f t="shared" si="5"/>
        <v>473.5</v>
      </c>
      <c r="AI328">
        <f>TYPE(All_India_Index_Upto_April23__1[[#This Row],[Sector]])</f>
        <v>2</v>
      </c>
      <c r="AJ328">
        <f>TYPE(All_India_Index_Upto_April23__1[[#This Row],[Year]])</f>
        <v>1</v>
      </c>
      <c r="AK328">
        <f>TYPE(All_India_Index_Upto_April23__1[[#This Row],[Month]])</f>
        <v>2</v>
      </c>
      <c r="AL328">
        <f>TYPE(All_India_Index_Upto_April23__1[[#This Row],[Cereals and products]])</f>
        <v>1</v>
      </c>
      <c r="AM328">
        <f>TYPE(All_India_Index_Upto_April23__1[[#This Row],[Meat and fish]])</f>
        <v>1</v>
      </c>
      <c r="AN328">
        <f>TYPE(All_India_Index_Upto_April23__1[[#This Row],[Egg]])</f>
        <v>1</v>
      </c>
      <c r="AO328">
        <f>TYPE(All_India_Index_Upto_April23__1[[#This Row],[Milk and products]])</f>
        <v>1</v>
      </c>
      <c r="AP328">
        <f>TYPE(All_India_Index_Upto_April23__1[[#This Row],[Oils and fats]])</f>
        <v>1</v>
      </c>
      <c r="AQ328">
        <f>TYPE(All_India_Index_Upto_April23__1[[#This Row],[Fruits]])</f>
        <v>1</v>
      </c>
      <c r="AR328">
        <f>TYPE(All_India_Index_Upto_April23__1[[#This Row],[Vegetables]])</f>
        <v>1</v>
      </c>
      <c r="AS328">
        <f>TYPE(All_India_Index_Upto_April23__1[[#This Row],[Pulses and products]])</f>
        <v>1</v>
      </c>
      <c r="AT328">
        <f>TYPE(All_India_Index_Upto_April23__1[[#This Row],[Sugar and Confectionery]])</f>
        <v>1</v>
      </c>
      <c r="AU328">
        <f>TYPE(All_India_Index_Upto_April23__1[[#This Row],[Spices]])</f>
        <v>1</v>
      </c>
      <c r="AV328">
        <f>TYPE(All_India_Index_Upto_April23__1[[#This Row],[Non-alcoholic beverages]])</f>
        <v>1</v>
      </c>
      <c r="AW328">
        <f>TYPE(All_India_Index_Upto_April23__1[[#This Row],[Prepared meals, snacks, sweets etc.]])</f>
        <v>1</v>
      </c>
      <c r="AX328">
        <f>TYPE(All_India_Index_Upto_April23__1[[#This Row],[Food and beverages]])</f>
        <v>1</v>
      </c>
      <c r="AY328">
        <f>TYPE(All_India_Index_Upto_April23__1[[#This Row],[Pan, tobacco and intoxicants]])</f>
        <v>1</v>
      </c>
      <c r="AZ328">
        <f>TYPE(All_India_Index_Upto_April23__1[[#This Row],[Clothing]])</f>
        <v>1</v>
      </c>
      <c r="BA328">
        <f>TYPE(All_India_Index_Upto_April23__1[[#This Row],[Footwear]])</f>
        <v>1</v>
      </c>
      <c r="BB328">
        <f>TYPE(All_India_Index_Upto_April23__1[[#This Row],[Clothing and footwear]])</f>
        <v>1</v>
      </c>
      <c r="BC328">
        <f>TYPE(All_India_Index_Upto_April23__1[[#This Row],[Housing]])</f>
        <v>2</v>
      </c>
      <c r="BD328">
        <f>TYPE(All_India_Index_Upto_April23__1[[#This Row],[Fuel and light]])</f>
        <v>1</v>
      </c>
      <c r="BE328">
        <f>TYPE(All_India_Index_Upto_April23__1[[#This Row],[Household goods and services]])</f>
        <v>1</v>
      </c>
      <c r="BF328">
        <f>TYPE(All_India_Index_Upto_April23__1[[#This Row],[Health]])</f>
        <v>1</v>
      </c>
      <c r="BG328">
        <f>TYPE(All_India_Index_Upto_April23__1[[#This Row],[Transport and communication]])</f>
        <v>1</v>
      </c>
      <c r="BH328">
        <f>TYPE(All_India_Index_Upto_April23__1[[#This Row],[Recreation and amusement]])</f>
        <v>1</v>
      </c>
      <c r="BI328">
        <f>TYPE(All_India_Index_Upto_April23__1[[#This Row],[Education]])</f>
        <v>1</v>
      </c>
      <c r="BJ328">
        <f>TYPE(All_India_Index_Upto_April23__1[[#This Row],[Personal care and effects]])</f>
        <v>1</v>
      </c>
      <c r="BK328">
        <f>TYPE(All_India_Index_Upto_April23__1[[#This Row],[Miscellaneous]])</f>
        <v>1</v>
      </c>
      <c r="BL328">
        <f>TYPE(All_India_Index_Upto_April23__1[[#This Row],[General index]])</f>
        <v>1</v>
      </c>
    </row>
    <row r="329" spans="1:64" hidden="1" x14ac:dyDescent="0.3">
      <c r="A329" t="s">
        <v>33</v>
      </c>
      <c r="B329">
        <v>2022</v>
      </c>
      <c r="C329" t="s">
        <v>34</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t="s">
        <v>194</v>
      </c>
      <c r="V329">
        <v>165.7</v>
      </c>
      <c r="W329">
        <v>161.80000000000001</v>
      </c>
      <c r="X329">
        <v>172.2</v>
      </c>
      <c r="Y329">
        <v>156.9</v>
      </c>
      <c r="Z329">
        <v>162.1</v>
      </c>
      <c r="AA329">
        <v>165.4</v>
      </c>
      <c r="AB329">
        <v>164.4</v>
      </c>
      <c r="AC329">
        <v>163.5</v>
      </c>
      <c r="AD329">
        <v>166.1</v>
      </c>
      <c r="AE329">
        <f>SUM(All_India_Index_Upto_April23__1[[#This Row],[Cereals and products]:[Food and beverages]])</f>
        <v>2161.2000000000003</v>
      </c>
      <c r="AF329">
        <f>SUM(All_India_Index_Upto_April23__1[[#This Row],[Clothing]:[Clothing and footwear]])</f>
        <v>502.80000000000007</v>
      </c>
      <c r="AG329">
        <f t="shared" si="5"/>
        <v>484.4</v>
      </c>
      <c r="AI329">
        <f>TYPE(All_India_Index_Upto_April23__1[[#This Row],[Sector]])</f>
        <v>2</v>
      </c>
      <c r="AJ329">
        <f>TYPE(All_India_Index_Upto_April23__1[[#This Row],[Year]])</f>
        <v>1</v>
      </c>
      <c r="AK329">
        <f>TYPE(All_India_Index_Upto_April23__1[[#This Row],[Month]])</f>
        <v>2</v>
      </c>
      <c r="AL329">
        <f>TYPE(All_India_Index_Upto_April23__1[[#This Row],[Cereals and products]])</f>
        <v>1</v>
      </c>
      <c r="AM329">
        <f>TYPE(All_India_Index_Upto_April23__1[[#This Row],[Meat and fish]])</f>
        <v>1</v>
      </c>
      <c r="AN329">
        <f>TYPE(All_India_Index_Upto_April23__1[[#This Row],[Egg]])</f>
        <v>1</v>
      </c>
      <c r="AO329">
        <f>TYPE(All_India_Index_Upto_April23__1[[#This Row],[Milk and products]])</f>
        <v>1</v>
      </c>
      <c r="AP329">
        <f>TYPE(All_India_Index_Upto_April23__1[[#This Row],[Oils and fats]])</f>
        <v>1</v>
      </c>
      <c r="AQ329">
        <f>TYPE(All_India_Index_Upto_April23__1[[#This Row],[Fruits]])</f>
        <v>1</v>
      </c>
      <c r="AR329">
        <f>TYPE(All_India_Index_Upto_April23__1[[#This Row],[Vegetables]])</f>
        <v>1</v>
      </c>
      <c r="AS329">
        <f>TYPE(All_India_Index_Upto_April23__1[[#This Row],[Pulses and products]])</f>
        <v>1</v>
      </c>
      <c r="AT329">
        <f>TYPE(All_India_Index_Upto_April23__1[[#This Row],[Sugar and Confectionery]])</f>
        <v>1</v>
      </c>
      <c r="AU329">
        <f>TYPE(All_India_Index_Upto_April23__1[[#This Row],[Spices]])</f>
        <v>1</v>
      </c>
      <c r="AV329">
        <f>TYPE(All_India_Index_Upto_April23__1[[#This Row],[Non-alcoholic beverages]])</f>
        <v>1</v>
      </c>
      <c r="AW329">
        <f>TYPE(All_India_Index_Upto_April23__1[[#This Row],[Prepared meals, snacks, sweets etc.]])</f>
        <v>1</v>
      </c>
      <c r="AX329">
        <f>TYPE(All_India_Index_Upto_April23__1[[#This Row],[Food and beverages]])</f>
        <v>1</v>
      </c>
      <c r="AY329">
        <f>TYPE(All_India_Index_Upto_April23__1[[#This Row],[Pan, tobacco and intoxicants]])</f>
        <v>1</v>
      </c>
      <c r="AZ329">
        <f>TYPE(All_India_Index_Upto_April23__1[[#This Row],[Clothing]])</f>
        <v>1</v>
      </c>
      <c r="BA329">
        <f>TYPE(All_India_Index_Upto_April23__1[[#This Row],[Footwear]])</f>
        <v>1</v>
      </c>
      <c r="BB329">
        <f>TYPE(All_India_Index_Upto_April23__1[[#This Row],[Clothing and footwear]])</f>
        <v>1</v>
      </c>
      <c r="BC329">
        <f>TYPE(All_India_Index_Upto_April23__1[[#This Row],[Housing]])</f>
        <v>2</v>
      </c>
      <c r="BD329">
        <f>TYPE(All_India_Index_Upto_April23__1[[#This Row],[Fuel and light]])</f>
        <v>1</v>
      </c>
      <c r="BE329">
        <f>TYPE(All_India_Index_Upto_April23__1[[#This Row],[Household goods and services]])</f>
        <v>1</v>
      </c>
      <c r="BF329">
        <f>TYPE(All_India_Index_Upto_April23__1[[#This Row],[Health]])</f>
        <v>1</v>
      </c>
      <c r="BG329">
        <f>TYPE(All_India_Index_Upto_April23__1[[#This Row],[Transport and communication]])</f>
        <v>1</v>
      </c>
      <c r="BH329">
        <f>TYPE(All_India_Index_Upto_April23__1[[#This Row],[Recreation and amusement]])</f>
        <v>1</v>
      </c>
      <c r="BI329">
        <f>TYPE(All_India_Index_Upto_April23__1[[#This Row],[Education]])</f>
        <v>1</v>
      </c>
      <c r="BJ329">
        <f>TYPE(All_India_Index_Upto_April23__1[[#This Row],[Personal care and effects]])</f>
        <v>1</v>
      </c>
      <c r="BK329">
        <f>TYPE(All_India_Index_Upto_April23__1[[#This Row],[Miscellaneous]])</f>
        <v>1</v>
      </c>
      <c r="BL329">
        <f>TYPE(All_India_Index_Upto_April23__1[[#This Row],[General index]])</f>
        <v>1</v>
      </c>
    </row>
    <row r="330" spans="1:64" hidden="1" x14ac:dyDescent="0.3">
      <c r="A330" t="s">
        <v>30</v>
      </c>
      <c r="B330">
        <v>2022</v>
      </c>
      <c r="C330" t="s">
        <v>35</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U330" t="s">
        <v>89</v>
      </c>
      <c r="V330">
        <v>168.9</v>
      </c>
      <c r="W330">
        <v>166.5</v>
      </c>
      <c r="X330">
        <v>176</v>
      </c>
      <c r="Y330">
        <v>162</v>
      </c>
      <c r="Z330">
        <v>166.6</v>
      </c>
      <c r="AA330">
        <v>170.6</v>
      </c>
      <c r="AB330">
        <v>167.4</v>
      </c>
      <c r="AC330">
        <v>168.3</v>
      </c>
      <c r="AD330">
        <v>168.7</v>
      </c>
      <c r="AE330">
        <f>SUM(All_India_Index_Upto_April23__1[[#This Row],[Cereals and products]:[Food and beverages]])</f>
        <v>2179.1000000000004</v>
      </c>
      <c r="AF330">
        <f>SUM(All_India_Index_Upto_April23__1[[#This Row],[Clothing]:[Clothing and footwear]])</f>
        <v>523.70000000000005</v>
      </c>
      <c r="AG330">
        <f t="shared" si="5"/>
        <v>497.4</v>
      </c>
      <c r="AI330">
        <f>TYPE(All_India_Index_Upto_April23__1[[#This Row],[Sector]])</f>
        <v>2</v>
      </c>
      <c r="AJ330">
        <f>TYPE(All_India_Index_Upto_April23__1[[#This Row],[Year]])</f>
        <v>1</v>
      </c>
      <c r="AK330">
        <f>TYPE(All_India_Index_Upto_April23__1[[#This Row],[Month]])</f>
        <v>2</v>
      </c>
      <c r="AL330">
        <f>TYPE(All_India_Index_Upto_April23__1[[#This Row],[Cereals and products]])</f>
        <v>1</v>
      </c>
      <c r="AM330">
        <f>TYPE(All_India_Index_Upto_April23__1[[#This Row],[Meat and fish]])</f>
        <v>1</v>
      </c>
      <c r="AN330">
        <f>TYPE(All_India_Index_Upto_April23__1[[#This Row],[Egg]])</f>
        <v>1</v>
      </c>
      <c r="AO330">
        <f>TYPE(All_India_Index_Upto_April23__1[[#This Row],[Milk and products]])</f>
        <v>1</v>
      </c>
      <c r="AP330">
        <f>TYPE(All_India_Index_Upto_April23__1[[#This Row],[Oils and fats]])</f>
        <v>1</v>
      </c>
      <c r="AQ330">
        <f>TYPE(All_India_Index_Upto_April23__1[[#This Row],[Fruits]])</f>
        <v>1</v>
      </c>
      <c r="AR330">
        <f>TYPE(All_India_Index_Upto_April23__1[[#This Row],[Vegetables]])</f>
        <v>1</v>
      </c>
      <c r="AS330">
        <f>TYPE(All_India_Index_Upto_April23__1[[#This Row],[Pulses and products]])</f>
        <v>1</v>
      </c>
      <c r="AT330">
        <f>TYPE(All_India_Index_Upto_April23__1[[#This Row],[Sugar and Confectionery]])</f>
        <v>1</v>
      </c>
      <c r="AU330">
        <f>TYPE(All_India_Index_Upto_April23__1[[#This Row],[Spices]])</f>
        <v>1</v>
      </c>
      <c r="AV330">
        <f>TYPE(All_India_Index_Upto_April23__1[[#This Row],[Non-alcoholic beverages]])</f>
        <v>1</v>
      </c>
      <c r="AW330">
        <f>TYPE(All_India_Index_Upto_April23__1[[#This Row],[Prepared meals, snacks, sweets etc.]])</f>
        <v>1</v>
      </c>
      <c r="AX330">
        <f>TYPE(All_India_Index_Upto_April23__1[[#This Row],[Food and beverages]])</f>
        <v>1</v>
      </c>
      <c r="AY330">
        <f>TYPE(All_India_Index_Upto_April23__1[[#This Row],[Pan, tobacco and intoxicants]])</f>
        <v>1</v>
      </c>
      <c r="AZ330">
        <f>TYPE(All_India_Index_Upto_April23__1[[#This Row],[Clothing]])</f>
        <v>1</v>
      </c>
      <c r="BA330">
        <f>TYPE(All_India_Index_Upto_April23__1[[#This Row],[Footwear]])</f>
        <v>1</v>
      </c>
      <c r="BB330">
        <f>TYPE(All_India_Index_Upto_April23__1[[#This Row],[Clothing and footwear]])</f>
        <v>1</v>
      </c>
      <c r="BC330">
        <f>TYPE(All_India_Index_Upto_April23__1[[#This Row],[Housing]])</f>
        <v>2</v>
      </c>
      <c r="BD330">
        <f>TYPE(All_India_Index_Upto_April23__1[[#This Row],[Fuel and light]])</f>
        <v>1</v>
      </c>
      <c r="BE330">
        <f>TYPE(All_India_Index_Upto_April23__1[[#This Row],[Household goods and services]])</f>
        <v>1</v>
      </c>
      <c r="BF330">
        <f>TYPE(All_India_Index_Upto_April23__1[[#This Row],[Health]])</f>
        <v>1</v>
      </c>
      <c r="BG330">
        <f>TYPE(All_India_Index_Upto_April23__1[[#This Row],[Transport and communication]])</f>
        <v>1</v>
      </c>
      <c r="BH330">
        <f>TYPE(All_India_Index_Upto_April23__1[[#This Row],[Recreation and amusement]])</f>
        <v>1</v>
      </c>
      <c r="BI330">
        <f>TYPE(All_India_Index_Upto_April23__1[[#This Row],[Education]])</f>
        <v>1</v>
      </c>
      <c r="BJ330">
        <f>TYPE(All_India_Index_Upto_April23__1[[#This Row],[Personal care and effects]])</f>
        <v>1</v>
      </c>
      <c r="BK330">
        <f>TYPE(All_India_Index_Upto_April23__1[[#This Row],[Miscellaneous]])</f>
        <v>1</v>
      </c>
      <c r="BL330">
        <f>TYPE(All_India_Index_Upto_April23__1[[#This Row],[General index]])</f>
        <v>1</v>
      </c>
    </row>
    <row r="331" spans="1:64" hidden="1" x14ac:dyDescent="0.3">
      <c r="A331" t="s">
        <v>32</v>
      </c>
      <c r="B331">
        <v>2022</v>
      </c>
      <c r="C331" t="s">
        <v>35</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t="s">
        <v>195</v>
      </c>
      <c r="V331">
        <v>164.5</v>
      </c>
      <c r="W331">
        <v>158.6</v>
      </c>
      <c r="X331">
        <v>168.2</v>
      </c>
      <c r="Y331">
        <v>154.19999999999999</v>
      </c>
      <c r="Z331">
        <v>160.80000000000001</v>
      </c>
      <c r="AA331">
        <v>162.69999999999999</v>
      </c>
      <c r="AB331">
        <v>166.8</v>
      </c>
      <c r="AC331">
        <v>160.6</v>
      </c>
      <c r="AD331">
        <v>166.5</v>
      </c>
      <c r="AE331">
        <f>SUM(All_India_Index_Upto_April23__1[[#This Row],[Cereals and products]:[Food and beverages]])</f>
        <v>2196.3000000000002</v>
      </c>
      <c r="AF331">
        <f>SUM(All_India_Index_Upto_April23__1[[#This Row],[Clothing]:[Clothing and footwear]])</f>
        <v>484.6</v>
      </c>
      <c r="AG331">
        <f t="shared" si="5"/>
        <v>477.3</v>
      </c>
      <c r="AI331">
        <f>TYPE(All_India_Index_Upto_April23__1[[#This Row],[Sector]])</f>
        <v>2</v>
      </c>
      <c r="AJ331">
        <f>TYPE(All_India_Index_Upto_April23__1[[#This Row],[Year]])</f>
        <v>1</v>
      </c>
      <c r="AK331">
        <f>TYPE(All_India_Index_Upto_April23__1[[#This Row],[Month]])</f>
        <v>2</v>
      </c>
      <c r="AL331">
        <f>TYPE(All_India_Index_Upto_April23__1[[#This Row],[Cereals and products]])</f>
        <v>1</v>
      </c>
      <c r="AM331">
        <f>TYPE(All_India_Index_Upto_April23__1[[#This Row],[Meat and fish]])</f>
        <v>1</v>
      </c>
      <c r="AN331">
        <f>TYPE(All_India_Index_Upto_April23__1[[#This Row],[Egg]])</f>
        <v>1</v>
      </c>
      <c r="AO331">
        <f>TYPE(All_India_Index_Upto_April23__1[[#This Row],[Milk and products]])</f>
        <v>1</v>
      </c>
      <c r="AP331">
        <f>TYPE(All_India_Index_Upto_April23__1[[#This Row],[Oils and fats]])</f>
        <v>1</v>
      </c>
      <c r="AQ331">
        <f>TYPE(All_India_Index_Upto_April23__1[[#This Row],[Fruits]])</f>
        <v>1</v>
      </c>
      <c r="AR331">
        <f>TYPE(All_India_Index_Upto_April23__1[[#This Row],[Vegetables]])</f>
        <v>1</v>
      </c>
      <c r="AS331">
        <f>TYPE(All_India_Index_Upto_April23__1[[#This Row],[Pulses and products]])</f>
        <v>1</v>
      </c>
      <c r="AT331">
        <f>TYPE(All_India_Index_Upto_April23__1[[#This Row],[Sugar and Confectionery]])</f>
        <v>1</v>
      </c>
      <c r="AU331">
        <f>TYPE(All_India_Index_Upto_April23__1[[#This Row],[Spices]])</f>
        <v>1</v>
      </c>
      <c r="AV331">
        <f>TYPE(All_India_Index_Upto_April23__1[[#This Row],[Non-alcoholic beverages]])</f>
        <v>1</v>
      </c>
      <c r="AW331">
        <f>TYPE(All_India_Index_Upto_April23__1[[#This Row],[Prepared meals, snacks, sweets etc.]])</f>
        <v>1</v>
      </c>
      <c r="AX331">
        <f>TYPE(All_India_Index_Upto_April23__1[[#This Row],[Food and beverages]])</f>
        <v>1</v>
      </c>
      <c r="AY331">
        <f>TYPE(All_India_Index_Upto_April23__1[[#This Row],[Pan, tobacco and intoxicants]])</f>
        <v>1</v>
      </c>
      <c r="AZ331">
        <f>TYPE(All_India_Index_Upto_April23__1[[#This Row],[Clothing]])</f>
        <v>1</v>
      </c>
      <c r="BA331">
        <f>TYPE(All_India_Index_Upto_April23__1[[#This Row],[Footwear]])</f>
        <v>1</v>
      </c>
      <c r="BB331">
        <f>TYPE(All_India_Index_Upto_April23__1[[#This Row],[Clothing and footwear]])</f>
        <v>1</v>
      </c>
      <c r="BC331">
        <f>TYPE(All_India_Index_Upto_April23__1[[#This Row],[Housing]])</f>
        <v>2</v>
      </c>
      <c r="BD331">
        <f>TYPE(All_India_Index_Upto_April23__1[[#This Row],[Fuel and light]])</f>
        <v>1</v>
      </c>
      <c r="BE331">
        <f>TYPE(All_India_Index_Upto_April23__1[[#This Row],[Household goods and services]])</f>
        <v>1</v>
      </c>
      <c r="BF331">
        <f>TYPE(All_India_Index_Upto_April23__1[[#This Row],[Health]])</f>
        <v>1</v>
      </c>
      <c r="BG331">
        <f>TYPE(All_India_Index_Upto_April23__1[[#This Row],[Transport and communication]])</f>
        <v>1</v>
      </c>
      <c r="BH331">
        <f>TYPE(All_India_Index_Upto_April23__1[[#This Row],[Recreation and amusement]])</f>
        <v>1</v>
      </c>
      <c r="BI331">
        <f>TYPE(All_India_Index_Upto_April23__1[[#This Row],[Education]])</f>
        <v>1</v>
      </c>
      <c r="BJ331">
        <f>TYPE(All_India_Index_Upto_April23__1[[#This Row],[Personal care and effects]])</f>
        <v>1</v>
      </c>
      <c r="BK331">
        <f>TYPE(All_India_Index_Upto_April23__1[[#This Row],[Miscellaneous]])</f>
        <v>1</v>
      </c>
      <c r="BL331">
        <f>TYPE(All_India_Index_Upto_April23__1[[#This Row],[General index]])</f>
        <v>1</v>
      </c>
    </row>
    <row r="332" spans="1:64" hidden="1" x14ac:dyDescent="0.3">
      <c r="A332" t="s">
        <v>33</v>
      </c>
      <c r="B332">
        <v>2022</v>
      </c>
      <c r="C332" t="s">
        <v>35</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t="s">
        <v>195</v>
      </c>
      <c r="V332">
        <v>167.2</v>
      </c>
      <c r="W332">
        <v>162.80000000000001</v>
      </c>
      <c r="X332">
        <v>173</v>
      </c>
      <c r="Y332">
        <v>157.9</v>
      </c>
      <c r="Z332">
        <v>163.30000000000001</v>
      </c>
      <c r="AA332">
        <v>166</v>
      </c>
      <c r="AB332">
        <v>167.2</v>
      </c>
      <c r="AC332">
        <v>164.6</v>
      </c>
      <c r="AD332">
        <v>167.7</v>
      </c>
      <c r="AE332">
        <f>SUM(All_India_Index_Upto_April23__1[[#This Row],[Cereals and products]:[Food and beverages]])</f>
        <v>2184.2000000000003</v>
      </c>
      <c r="AF332">
        <f>SUM(All_India_Index_Upto_April23__1[[#This Row],[Clothing]:[Clothing and footwear]])</f>
        <v>507.79999999999995</v>
      </c>
      <c r="AG332">
        <f t="shared" si="5"/>
        <v>487.9</v>
      </c>
      <c r="AI332">
        <f>TYPE(All_India_Index_Upto_April23__1[[#This Row],[Sector]])</f>
        <v>2</v>
      </c>
      <c r="AJ332">
        <f>TYPE(All_India_Index_Upto_April23__1[[#This Row],[Year]])</f>
        <v>1</v>
      </c>
      <c r="AK332">
        <f>TYPE(All_India_Index_Upto_April23__1[[#This Row],[Month]])</f>
        <v>2</v>
      </c>
      <c r="AL332">
        <f>TYPE(All_India_Index_Upto_April23__1[[#This Row],[Cereals and products]])</f>
        <v>1</v>
      </c>
      <c r="AM332">
        <f>TYPE(All_India_Index_Upto_April23__1[[#This Row],[Meat and fish]])</f>
        <v>1</v>
      </c>
      <c r="AN332">
        <f>TYPE(All_India_Index_Upto_April23__1[[#This Row],[Egg]])</f>
        <v>1</v>
      </c>
      <c r="AO332">
        <f>TYPE(All_India_Index_Upto_April23__1[[#This Row],[Milk and products]])</f>
        <v>1</v>
      </c>
      <c r="AP332">
        <f>TYPE(All_India_Index_Upto_April23__1[[#This Row],[Oils and fats]])</f>
        <v>1</v>
      </c>
      <c r="AQ332">
        <f>TYPE(All_India_Index_Upto_April23__1[[#This Row],[Fruits]])</f>
        <v>1</v>
      </c>
      <c r="AR332">
        <f>TYPE(All_India_Index_Upto_April23__1[[#This Row],[Vegetables]])</f>
        <v>1</v>
      </c>
      <c r="AS332">
        <f>TYPE(All_India_Index_Upto_April23__1[[#This Row],[Pulses and products]])</f>
        <v>1</v>
      </c>
      <c r="AT332">
        <f>TYPE(All_India_Index_Upto_April23__1[[#This Row],[Sugar and Confectionery]])</f>
        <v>1</v>
      </c>
      <c r="AU332">
        <f>TYPE(All_India_Index_Upto_April23__1[[#This Row],[Spices]])</f>
        <v>1</v>
      </c>
      <c r="AV332">
        <f>TYPE(All_India_Index_Upto_April23__1[[#This Row],[Non-alcoholic beverages]])</f>
        <v>1</v>
      </c>
      <c r="AW332">
        <f>TYPE(All_India_Index_Upto_April23__1[[#This Row],[Prepared meals, snacks, sweets etc.]])</f>
        <v>1</v>
      </c>
      <c r="AX332">
        <f>TYPE(All_India_Index_Upto_April23__1[[#This Row],[Food and beverages]])</f>
        <v>1</v>
      </c>
      <c r="AY332">
        <f>TYPE(All_India_Index_Upto_April23__1[[#This Row],[Pan, tobacco and intoxicants]])</f>
        <v>1</v>
      </c>
      <c r="AZ332">
        <f>TYPE(All_India_Index_Upto_April23__1[[#This Row],[Clothing]])</f>
        <v>1</v>
      </c>
      <c r="BA332">
        <f>TYPE(All_India_Index_Upto_April23__1[[#This Row],[Footwear]])</f>
        <v>1</v>
      </c>
      <c r="BB332">
        <f>TYPE(All_India_Index_Upto_April23__1[[#This Row],[Clothing and footwear]])</f>
        <v>1</v>
      </c>
      <c r="BC332">
        <f>TYPE(All_India_Index_Upto_April23__1[[#This Row],[Housing]])</f>
        <v>2</v>
      </c>
      <c r="BD332">
        <f>TYPE(All_India_Index_Upto_April23__1[[#This Row],[Fuel and light]])</f>
        <v>1</v>
      </c>
      <c r="BE332">
        <f>TYPE(All_India_Index_Upto_April23__1[[#This Row],[Household goods and services]])</f>
        <v>1</v>
      </c>
      <c r="BF332">
        <f>TYPE(All_India_Index_Upto_April23__1[[#This Row],[Health]])</f>
        <v>1</v>
      </c>
      <c r="BG332">
        <f>TYPE(All_India_Index_Upto_April23__1[[#This Row],[Transport and communication]])</f>
        <v>1</v>
      </c>
      <c r="BH332">
        <f>TYPE(All_India_Index_Upto_April23__1[[#This Row],[Recreation and amusement]])</f>
        <v>1</v>
      </c>
      <c r="BI332">
        <f>TYPE(All_India_Index_Upto_April23__1[[#This Row],[Education]])</f>
        <v>1</v>
      </c>
      <c r="BJ332">
        <f>TYPE(All_India_Index_Upto_April23__1[[#This Row],[Personal care and effects]])</f>
        <v>1</v>
      </c>
      <c r="BK332">
        <f>TYPE(All_India_Index_Upto_April23__1[[#This Row],[Miscellaneous]])</f>
        <v>1</v>
      </c>
      <c r="BL332">
        <f>TYPE(All_India_Index_Upto_April23__1[[#This Row],[General index]])</f>
        <v>1</v>
      </c>
    </row>
    <row r="333" spans="1:64" hidden="1" x14ac:dyDescent="0.3">
      <c r="A333" t="s">
        <v>30</v>
      </c>
      <c r="B333">
        <v>2022</v>
      </c>
      <c r="C333" t="s">
        <v>36</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U333" t="s">
        <v>89</v>
      </c>
      <c r="V333">
        <v>173.3</v>
      </c>
      <c r="W333">
        <v>167.7</v>
      </c>
      <c r="X333">
        <v>177</v>
      </c>
      <c r="Y333">
        <v>166.2</v>
      </c>
      <c r="Z333">
        <v>167.2</v>
      </c>
      <c r="AA333">
        <v>170.9</v>
      </c>
      <c r="AB333">
        <v>169</v>
      </c>
      <c r="AC333">
        <v>170.2</v>
      </c>
      <c r="AD333">
        <v>170.8</v>
      </c>
      <c r="AE333">
        <f>SUM(All_India_Index_Upto_April23__1[[#This Row],[Cereals and products]:[Food and beverages]])</f>
        <v>2206.6</v>
      </c>
      <c r="AF333">
        <f>SUM(All_India_Index_Upto_April23__1[[#This Row],[Clothing]:[Clothing and footwear]])</f>
        <v>529.70000000000005</v>
      </c>
      <c r="AG333">
        <f t="shared" si="5"/>
        <v>507.2</v>
      </c>
      <c r="AI333">
        <f>TYPE(All_India_Index_Upto_April23__1[[#This Row],[Sector]])</f>
        <v>2</v>
      </c>
      <c r="AJ333">
        <f>TYPE(All_India_Index_Upto_April23__1[[#This Row],[Year]])</f>
        <v>1</v>
      </c>
      <c r="AK333">
        <f>TYPE(All_India_Index_Upto_April23__1[[#This Row],[Month]])</f>
        <v>2</v>
      </c>
      <c r="AL333">
        <f>TYPE(All_India_Index_Upto_April23__1[[#This Row],[Cereals and products]])</f>
        <v>1</v>
      </c>
      <c r="AM333">
        <f>TYPE(All_India_Index_Upto_April23__1[[#This Row],[Meat and fish]])</f>
        <v>1</v>
      </c>
      <c r="AN333">
        <f>TYPE(All_India_Index_Upto_April23__1[[#This Row],[Egg]])</f>
        <v>1</v>
      </c>
      <c r="AO333">
        <f>TYPE(All_India_Index_Upto_April23__1[[#This Row],[Milk and products]])</f>
        <v>1</v>
      </c>
      <c r="AP333">
        <f>TYPE(All_India_Index_Upto_April23__1[[#This Row],[Oils and fats]])</f>
        <v>1</v>
      </c>
      <c r="AQ333">
        <f>TYPE(All_India_Index_Upto_April23__1[[#This Row],[Fruits]])</f>
        <v>1</v>
      </c>
      <c r="AR333">
        <f>TYPE(All_India_Index_Upto_April23__1[[#This Row],[Vegetables]])</f>
        <v>1</v>
      </c>
      <c r="AS333">
        <f>TYPE(All_India_Index_Upto_April23__1[[#This Row],[Pulses and products]])</f>
        <v>1</v>
      </c>
      <c r="AT333">
        <f>TYPE(All_India_Index_Upto_April23__1[[#This Row],[Sugar and Confectionery]])</f>
        <v>1</v>
      </c>
      <c r="AU333">
        <f>TYPE(All_India_Index_Upto_April23__1[[#This Row],[Spices]])</f>
        <v>1</v>
      </c>
      <c r="AV333">
        <f>TYPE(All_India_Index_Upto_April23__1[[#This Row],[Non-alcoholic beverages]])</f>
        <v>1</v>
      </c>
      <c r="AW333">
        <f>TYPE(All_India_Index_Upto_April23__1[[#This Row],[Prepared meals, snacks, sweets etc.]])</f>
        <v>1</v>
      </c>
      <c r="AX333">
        <f>TYPE(All_India_Index_Upto_April23__1[[#This Row],[Food and beverages]])</f>
        <v>1</v>
      </c>
      <c r="AY333">
        <f>TYPE(All_India_Index_Upto_April23__1[[#This Row],[Pan, tobacco and intoxicants]])</f>
        <v>1</v>
      </c>
      <c r="AZ333">
        <f>TYPE(All_India_Index_Upto_April23__1[[#This Row],[Clothing]])</f>
        <v>1</v>
      </c>
      <c r="BA333">
        <f>TYPE(All_India_Index_Upto_April23__1[[#This Row],[Footwear]])</f>
        <v>1</v>
      </c>
      <c r="BB333">
        <f>TYPE(All_India_Index_Upto_April23__1[[#This Row],[Clothing and footwear]])</f>
        <v>1</v>
      </c>
      <c r="BC333">
        <f>TYPE(All_India_Index_Upto_April23__1[[#This Row],[Housing]])</f>
        <v>2</v>
      </c>
      <c r="BD333">
        <f>TYPE(All_India_Index_Upto_April23__1[[#This Row],[Fuel and light]])</f>
        <v>1</v>
      </c>
      <c r="BE333">
        <f>TYPE(All_India_Index_Upto_April23__1[[#This Row],[Household goods and services]])</f>
        <v>1</v>
      </c>
      <c r="BF333">
        <f>TYPE(All_India_Index_Upto_April23__1[[#This Row],[Health]])</f>
        <v>1</v>
      </c>
      <c r="BG333">
        <f>TYPE(All_India_Index_Upto_April23__1[[#This Row],[Transport and communication]])</f>
        <v>1</v>
      </c>
      <c r="BH333">
        <f>TYPE(All_India_Index_Upto_April23__1[[#This Row],[Recreation and amusement]])</f>
        <v>1</v>
      </c>
      <c r="BI333">
        <f>TYPE(All_India_Index_Upto_April23__1[[#This Row],[Education]])</f>
        <v>1</v>
      </c>
      <c r="BJ333">
        <f>TYPE(All_India_Index_Upto_April23__1[[#This Row],[Personal care and effects]])</f>
        <v>1</v>
      </c>
      <c r="BK333">
        <f>TYPE(All_India_Index_Upto_April23__1[[#This Row],[Miscellaneous]])</f>
        <v>1</v>
      </c>
      <c r="BL333">
        <f>TYPE(All_India_Index_Upto_April23__1[[#This Row],[General index]])</f>
        <v>1</v>
      </c>
    </row>
    <row r="334" spans="1:64" hidden="1" x14ac:dyDescent="0.3">
      <c r="A334" t="s">
        <v>32</v>
      </c>
      <c r="B334">
        <v>2022</v>
      </c>
      <c r="C334" t="s">
        <v>36</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t="s">
        <v>196</v>
      </c>
      <c r="V334">
        <v>170.5</v>
      </c>
      <c r="W334">
        <v>159.80000000000001</v>
      </c>
      <c r="X334">
        <v>169</v>
      </c>
      <c r="Y334">
        <v>159.30000000000001</v>
      </c>
      <c r="Z334">
        <v>162.19999999999999</v>
      </c>
      <c r="AA334">
        <v>164</v>
      </c>
      <c r="AB334">
        <v>168.4</v>
      </c>
      <c r="AC334">
        <v>163.1</v>
      </c>
      <c r="AD334">
        <v>169.2</v>
      </c>
      <c r="AE334">
        <f>SUM(All_India_Index_Upto_April23__1[[#This Row],[Cereals and products]:[Food and beverages]])</f>
        <v>2230.4</v>
      </c>
      <c r="AF334">
        <f>SUM(All_India_Index_Upto_April23__1[[#This Row],[Clothing]:[Clothing and footwear]])</f>
        <v>489.2</v>
      </c>
      <c r="AG334">
        <f t="shared" si="5"/>
        <v>489.6</v>
      </c>
      <c r="AI334">
        <f>TYPE(All_India_Index_Upto_April23__1[[#This Row],[Sector]])</f>
        <v>2</v>
      </c>
      <c r="AJ334">
        <f>TYPE(All_India_Index_Upto_April23__1[[#This Row],[Year]])</f>
        <v>1</v>
      </c>
      <c r="AK334">
        <f>TYPE(All_India_Index_Upto_April23__1[[#This Row],[Month]])</f>
        <v>2</v>
      </c>
      <c r="AL334">
        <f>TYPE(All_India_Index_Upto_April23__1[[#This Row],[Cereals and products]])</f>
        <v>1</v>
      </c>
      <c r="AM334">
        <f>TYPE(All_India_Index_Upto_April23__1[[#This Row],[Meat and fish]])</f>
        <v>1</v>
      </c>
      <c r="AN334">
        <f>TYPE(All_India_Index_Upto_April23__1[[#This Row],[Egg]])</f>
        <v>1</v>
      </c>
      <c r="AO334">
        <f>TYPE(All_India_Index_Upto_April23__1[[#This Row],[Milk and products]])</f>
        <v>1</v>
      </c>
      <c r="AP334">
        <f>TYPE(All_India_Index_Upto_April23__1[[#This Row],[Oils and fats]])</f>
        <v>1</v>
      </c>
      <c r="AQ334">
        <f>TYPE(All_India_Index_Upto_April23__1[[#This Row],[Fruits]])</f>
        <v>1</v>
      </c>
      <c r="AR334">
        <f>TYPE(All_India_Index_Upto_April23__1[[#This Row],[Vegetables]])</f>
        <v>1</v>
      </c>
      <c r="AS334">
        <f>TYPE(All_India_Index_Upto_April23__1[[#This Row],[Pulses and products]])</f>
        <v>1</v>
      </c>
      <c r="AT334">
        <f>TYPE(All_India_Index_Upto_April23__1[[#This Row],[Sugar and Confectionery]])</f>
        <v>1</v>
      </c>
      <c r="AU334">
        <f>TYPE(All_India_Index_Upto_April23__1[[#This Row],[Spices]])</f>
        <v>1</v>
      </c>
      <c r="AV334">
        <f>TYPE(All_India_Index_Upto_April23__1[[#This Row],[Non-alcoholic beverages]])</f>
        <v>1</v>
      </c>
      <c r="AW334">
        <f>TYPE(All_India_Index_Upto_April23__1[[#This Row],[Prepared meals, snacks, sweets etc.]])</f>
        <v>1</v>
      </c>
      <c r="AX334">
        <f>TYPE(All_India_Index_Upto_April23__1[[#This Row],[Food and beverages]])</f>
        <v>1</v>
      </c>
      <c r="AY334">
        <f>TYPE(All_India_Index_Upto_April23__1[[#This Row],[Pan, tobacco and intoxicants]])</f>
        <v>1</v>
      </c>
      <c r="AZ334">
        <f>TYPE(All_India_Index_Upto_April23__1[[#This Row],[Clothing]])</f>
        <v>1</v>
      </c>
      <c r="BA334">
        <f>TYPE(All_India_Index_Upto_April23__1[[#This Row],[Footwear]])</f>
        <v>1</v>
      </c>
      <c r="BB334">
        <f>TYPE(All_India_Index_Upto_April23__1[[#This Row],[Clothing and footwear]])</f>
        <v>1</v>
      </c>
      <c r="BC334">
        <f>TYPE(All_India_Index_Upto_April23__1[[#This Row],[Housing]])</f>
        <v>2</v>
      </c>
      <c r="BD334">
        <f>TYPE(All_India_Index_Upto_April23__1[[#This Row],[Fuel and light]])</f>
        <v>1</v>
      </c>
      <c r="BE334">
        <f>TYPE(All_India_Index_Upto_April23__1[[#This Row],[Household goods and services]])</f>
        <v>1</v>
      </c>
      <c r="BF334">
        <f>TYPE(All_India_Index_Upto_April23__1[[#This Row],[Health]])</f>
        <v>1</v>
      </c>
      <c r="BG334">
        <f>TYPE(All_India_Index_Upto_April23__1[[#This Row],[Transport and communication]])</f>
        <v>1</v>
      </c>
      <c r="BH334">
        <f>TYPE(All_India_Index_Upto_April23__1[[#This Row],[Recreation and amusement]])</f>
        <v>1</v>
      </c>
      <c r="BI334">
        <f>TYPE(All_India_Index_Upto_April23__1[[#This Row],[Education]])</f>
        <v>1</v>
      </c>
      <c r="BJ334">
        <f>TYPE(All_India_Index_Upto_April23__1[[#This Row],[Personal care and effects]])</f>
        <v>1</v>
      </c>
      <c r="BK334">
        <f>TYPE(All_India_Index_Upto_April23__1[[#This Row],[Miscellaneous]])</f>
        <v>1</v>
      </c>
      <c r="BL334">
        <f>TYPE(All_India_Index_Upto_April23__1[[#This Row],[General index]])</f>
        <v>1</v>
      </c>
    </row>
    <row r="335" spans="1:64" hidden="1" x14ac:dyDescent="0.3">
      <c r="A335" t="s">
        <v>33</v>
      </c>
      <c r="B335">
        <v>2022</v>
      </c>
      <c r="C335" t="s">
        <v>36</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t="s">
        <v>196</v>
      </c>
      <c r="V335">
        <v>172.2</v>
      </c>
      <c r="W335">
        <v>164</v>
      </c>
      <c r="X335">
        <v>174</v>
      </c>
      <c r="Y335">
        <v>162.6</v>
      </c>
      <c r="Z335">
        <v>164.4</v>
      </c>
      <c r="AA335">
        <v>166.9</v>
      </c>
      <c r="AB335">
        <v>168.8</v>
      </c>
      <c r="AC335">
        <v>166.8</v>
      </c>
      <c r="AD335">
        <v>170.1</v>
      </c>
      <c r="AE335">
        <f>SUM(All_India_Index_Upto_April23__1[[#This Row],[Cereals and products]:[Food and beverages]])</f>
        <v>2214.3000000000002</v>
      </c>
      <c r="AF335">
        <f>SUM(All_India_Index_Upto_April23__1[[#This Row],[Clothing]:[Clothing and footwear]])</f>
        <v>513.20000000000005</v>
      </c>
      <c r="AG335">
        <f t="shared" si="5"/>
        <v>498.79999999999995</v>
      </c>
      <c r="AI335">
        <f>TYPE(All_India_Index_Upto_April23__1[[#This Row],[Sector]])</f>
        <v>2</v>
      </c>
      <c r="AJ335">
        <f>TYPE(All_India_Index_Upto_April23__1[[#This Row],[Year]])</f>
        <v>1</v>
      </c>
      <c r="AK335">
        <f>TYPE(All_India_Index_Upto_April23__1[[#This Row],[Month]])</f>
        <v>2</v>
      </c>
      <c r="AL335">
        <f>TYPE(All_India_Index_Upto_April23__1[[#This Row],[Cereals and products]])</f>
        <v>1</v>
      </c>
      <c r="AM335">
        <f>TYPE(All_India_Index_Upto_April23__1[[#This Row],[Meat and fish]])</f>
        <v>1</v>
      </c>
      <c r="AN335">
        <f>TYPE(All_India_Index_Upto_April23__1[[#This Row],[Egg]])</f>
        <v>1</v>
      </c>
      <c r="AO335">
        <f>TYPE(All_India_Index_Upto_April23__1[[#This Row],[Milk and products]])</f>
        <v>1</v>
      </c>
      <c r="AP335">
        <f>TYPE(All_India_Index_Upto_April23__1[[#This Row],[Oils and fats]])</f>
        <v>1</v>
      </c>
      <c r="AQ335">
        <f>TYPE(All_India_Index_Upto_April23__1[[#This Row],[Fruits]])</f>
        <v>1</v>
      </c>
      <c r="AR335">
        <f>TYPE(All_India_Index_Upto_April23__1[[#This Row],[Vegetables]])</f>
        <v>1</v>
      </c>
      <c r="AS335">
        <f>TYPE(All_India_Index_Upto_April23__1[[#This Row],[Pulses and products]])</f>
        <v>1</v>
      </c>
      <c r="AT335">
        <f>TYPE(All_India_Index_Upto_April23__1[[#This Row],[Sugar and Confectionery]])</f>
        <v>1</v>
      </c>
      <c r="AU335">
        <f>TYPE(All_India_Index_Upto_April23__1[[#This Row],[Spices]])</f>
        <v>1</v>
      </c>
      <c r="AV335">
        <f>TYPE(All_India_Index_Upto_April23__1[[#This Row],[Non-alcoholic beverages]])</f>
        <v>1</v>
      </c>
      <c r="AW335">
        <f>TYPE(All_India_Index_Upto_April23__1[[#This Row],[Prepared meals, snacks, sweets etc.]])</f>
        <v>1</v>
      </c>
      <c r="AX335">
        <f>TYPE(All_India_Index_Upto_April23__1[[#This Row],[Food and beverages]])</f>
        <v>1</v>
      </c>
      <c r="AY335">
        <f>TYPE(All_India_Index_Upto_April23__1[[#This Row],[Pan, tobacco and intoxicants]])</f>
        <v>1</v>
      </c>
      <c r="AZ335">
        <f>TYPE(All_India_Index_Upto_April23__1[[#This Row],[Clothing]])</f>
        <v>1</v>
      </c>
      <c r="BA335">
        <f>TYPE(All_India_Index_Upto_April23__1[[#This Row],[Footwear]])</f>
        <v>1</v>
      </c>
      <c r="BB335">
        <f>TYPE(All_India_Index_Upto_April23__1[[#This Row],[Clothing and footwear]])</f>
        <v>1</v>
      </c>
      <c r="BC335">
        <f>TYPE(All_India_Index_Upto_April23__1[[#This Row],[Housing]])</f>
        <v>2</v>
      </c>
      <c r="BD335">
        <f>TYPE(All_India_Index_Upto_April23__1[[#This Row],[Fuel and light]])</f>
        <v>1</v>
      </c>
      <c r="BE335">
        <f>TYPE(All_India_Index_Upto_April23__1[[#This Row],[Household goods and services]])</f>
        <v>1</v>
      </c>
      <c r="BF335">
        <f>TYPE(All_India_Index_Upto_April23__1[[#This Row],[Health]])</f>
        <v>1</v>
      </c>
      <c r="BG335">
        <f>TYPE(All_India_Index_Upto_April23__1[[#This Row],[Transport and communication]])</f>
        <v>1</v>
      </c>
      <c r="BH335">
        <f>TYPE(All_India_Index_Upto_April23__1[[#This Row],[Recreation and amusement]])</f>
        <v>1</v>
      </c>
      <c r="BI335">
        <f>TYPE(All_India_Index_Upto_April23__1[[#This Row],[Education]])</f>
        <v>1</v>
      </c>
      <c r="BJ335">
        <f>TYPE(All_India_Index_Upto_April23__1[[#This Row],[Personal care and effects]])</f>
        <v>1</v>
      </c>
      <c r="BK335">
        <f>TYPE(All_India_Index_Upto_April23__1[[#This Row],[Miscellaneous]])</f>
        <v>1</v>
      </c>
      <c r="BL335">
        <f>TYPE(All_India_Index_Upto_April23__1[[#This Row],[General index]])</f>
        <v>1</v>
      </c>
    </row>
    <row r="336" spans="1:64" hidden="1" x14ac:dyDescent="0.3">
      <c r="A336" t="s">
        <v>30</v>
      </c>
      <c r="B336">
        <v>2022</v>
      </c>
      <c r="C336" t="s">
        <v>37</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U336" t="s">
        <v>89</v>
      </c>
      <c r="V336">
        <v>175.3</v>
      </c>
      <c r="W336">
        <v>168.9</v>
      </c>
      <c r="X336">
        <v>177.7</v>
      </c>
      <c r="Y336">
        <v>167.1</v>
      </c>
      <c r="Z336">
        <v>167.6</v>
      </c>
      <c r="AA336">
        <v>171.8</v>
      </c>
      <c r="AB336">
        <v>168.5</v>
      </c>
      <c r="AC336">
        <v>170.9</v>
      </c>
      <c r="AD336">
        <v>172.5</v>
      </c>
      <c r="AE336">
        <f>SUM(All_India_Index_Upto_April23__1[[#This Row],[Cereals and products]:[Food and beverages]])</f>
        <v>2226.8000000000002</v>
      </c>
      <c r="AF336">
        <f>SUM(All_India_Index_Upto_April23__1[[#This Row],[Clothing]:[Clothing and footwear]])</f>
        <v>535.5</v>
      </c>
      <c r="AG336">
        <f t="shared" si="5"/>
        <v>511.30000000000007</v>
      </c>
      <c r="AI336">
        <f>TYPE(All_India_Index_Upto_April23__1[[#This Row],[Sector]])</f>
        <v>2</v>
      </c>
      <c r="AJ336">
        <f>TYPE(All_India_Index_Upto_April23__1[[#This Row],[Year]])</f>
        <v>1</v>
      </c>
      <c r="AK336">
        <f>TYPE(All_India_Index_Upto_April23__1[[#This Row],[Month]])</f>
        <v>2</v>
      </c>
      <c r="AL336">
        <f>TYPE(All_India_Index_Upto_April23__1[[#This Row],[Cereals and products]])</f>
        <v>1</v>
      </c>
      <c r="AM336">
        <f>TYPE(All_India_Index_Upto_April23__1[[#This Row],[Meat and fish]])</f>
        <v>1</v>
      </c>
      <c r="AN336">
        <f>TYPE(All_India_Index_Upto_April23__1[[#This Row],[Egg]])</f>
        <v>1</v>
      </c>
      <c r="AO336">
        <f>TYPE(All_India_Index_Upto_April23__1[[#This Row],[Milk and products]])</f>
        <v>1</v>
      </c>
      <c r="AP336">
        <f>TYPE(All_India_Index_Upto_April23__1[[#This Row],[Oils and fats]])</f>
        <v>1</v>
      </c>
      <c r="AQ336">
        <f>TYPE(All_India_Index_Upto_April23__1[[#This Row],[Fruits]])</f>
        <v>1</v>
      </c>
      <c r="AR336">
        <f>TYPE(All_India_Index_Upto_April23__1[[#This Row],[Vegetables]])</f>
        <v>1</v>
      </c>
      <c r="AS336">
        <f>TYPE(All_India_Index_Upto_April23__1[[#This Row],[Pulses and products]])</f>
        <v>1</v>
      </c>
      <c r="AT336">
        <f>TYPE(All_India_Index_Upto_April23__1[[#This Row],[Sugar and Confectionery]])</f>
        <v>1</v>
      </c>
      <c r="AU336">
        <f>TYPE(All_India_Index_Upto_April23__1[[#This Row],[Spices]])</f>
        <v>1</v>
      </c>
      <c r="AV336">
        <f>TYPE(All_India_Index_Upto_April23__1[[#This Row],[Non-alcoholic beverages]])</f>
        <v>1</v>
      </c>
      <c r="AW336">
        <f>TYPE(All_India_Index_Upto_April23__1[[#This Row],[Prepared meals, snacks, sweets etc.]])</f>
        <v>1</v>
      </c>
      <c r="AX336">
        <f>TYPE(All_India_Index_Upto_April23__1[[#This Row],[Food and beverages]])</f>
        <v>1</v>
      </c>
      <c r="AY336">
        <f>TYPE(All_India_Index_Upto_April23__1[[#This Row],[Pan, tobacco and intoxicants]])</f>
        <v>1</v>
      </c>
      <c r="AZ336">
        <f>TYPE(All_India_Index_Upto_April23__1[[#This Row],[Clothing]])</f>
        <v>1</v>
      </c>
      <c r="BA336">
        <f>TYPE(All_India_Index_Upto_April23__1[[#This Row],[Footwear]])</f>
        <v>1</v>
      </c>
      <c r="BB336">
        <f>TYPE(All_India_Index_Upto_April23__1[[#This Row],[Clothing and footwear]])</f>
        <v>1</v>
      </c>
      <c r="BC336">
        <f>TYPE(All_India_Index_Upto_April23__1[[#This Row],[Housing]])</f>
        <v>2</v>
      </c>
      <c r="BD336">
        <f>TYPE(All_India_Index_Upto_April23__1[[#This Row],[Fuel and light]])</f>
        <v>1</v>
      </c>
      <c r="BE336">
        <f>TYPE(All_India_Index_Upto_April23__1[[#This Row],[Household goods and services]])</f>
        <v>1</v>
      </c>
      <c r="BF336">
        <f>TYPE(All_India_Index_Upto_April23__1[[#This Row],[Health]])</f>
        <v>1</v>
      </c>
      <c r="BG336">
        <f>TYPE(All_India_Index_Upto_April23__1[[#This Row],[Transport and communication]])</f>
        <v>1</v>
      </c>
      <c r="BH336">
        <f>TYPE(All_India_Index_Upto_April23__1[[#This Row],[Recreation and amusement]])</f>
        <v>1</v>
      </c>
      <c r="BI336">
        <f>TYPE(All_India_Index_Upto_April23__1[[#This Row],[Education]])</f>
        <v>1</v>
      </c>
      <c r="BJ336">
        <f>TYPE(All_India_Index_Upto_April23__1[[#This Row],[Personal care and effects]])</f>
        <v>1</v>
      </c>
      <c r="BK336">
        <f>TYPE(All_India_Index_Upto_April23__1[[#This Row],[Miscellaneous]])</f>
        <v>1</v>
      </c>
      <c r="BL336">
        <f>TYPE(All_India_Index_Upto_April23__1[[#This Row],[General index]])</f>
        <v>1</v>
      </c>
    </row>
    <row r="337" spans="1:64" hidden="1" x14ac:dyDescent="0.3">
      <c r="A337" t="s">
        <v>32</v>
      </c>
      <c r="B337">
        <v>2022</v>
      </c>
      <c r="C337" t="s">
        <v>37</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t="s">
        <v>197</v>
      </c>
      <c r="V337">
        <v>173.5</v>
      </c>
      <c r="W337">
        <v>161.1</v>
      </c>
      <c r="X337">
        <v>170.1</v>
      </c>
      <c r="Y337">
        <v>159.4</v>
      </c>
      <c r="Z337">
        <v>163.19999999999999</v>
      </c>
      <c r="AA337">
        <v>165.2</v>
      </c>
      <c r="AB337">
        <v>168.2</v>
      </c>
      <c r="AC337">
        <v>163.80000000000001</v>
      </c>
      <c r="AD337">
        <v>170.8</v>
      </c>
      <c r="AE337">
        <f>SUM(All_India_Index_Upto_April23__1[[#This Row],[Cereals and products]:[Food and beverages]])</f>
        <v>2262.2000000000003</v>
      </c>
      <c r="AF337">
        <f>SUM(All_India_Index_Upto_April23__1[[#This Row],[Clothing]:[Clothing and footwear]])</f>
        <v>493.7</v>
      </c>
      <c r="AG337">
        <f t="shared" si="5"/>
        <v>494</v>
      </c>
      <c r="AI337">
        <f>TYPE(All_India_Index_Upto_April23__1[[#This Row],[Sector]])</f>
        <v>2</v>
      </c>
      <c r="AJ337">
        <f>TYPE(All_India_Index_Upto_April23__1[[#This Row],[Year]])</f>
        <v>1</v>
      </c>
      <c r="AK337">
        <f>TYPE(All_India_Index_Upto_April23__1[[#This Row],[Month]])</f>
        <v>2</v>
      </c>
      <c r="AL337">
        <f>TYPE(All_India_Index_Upto_April23__1[[#This Row],[Cereals and products]])</f>
        <v>1</v>
      </c>
      <c r="AM337">
        <f>TYPE(All_India_Index_Upto_April23__1[[#This Row],[Meat and fish]])</f>
        <v>1</v>
      </c>
      <c r="AN337">
        <f>TYPE(All_India_Index_Upto_April23__1[[#This Row],[Egg]])</f>
        <v>1</v>
      </c>
      <c r="AO337">
        <f>TYPE(All_India_Index_Upto_April23__1[[#This Row],[Milk and products]])</f>
        <v>1</v>
      </c>
      <c r="AP337">
        <f>TYPE(All_India_Index_Upto_April23__1[[#This Row],[Oils and fats]])</f>
        <v>1</v>
      </c>
      <c r="AQ337">
        <f>TYPE(All_India_Index_Upto_April23__1[[#This Row],[Fruits]])</f>
        <v>1</v>
      </c>
      <c r="AR337">
        <f>TYPE(All_India_Index_Upto_April23__1[[#This Row],[Vegetables]])</f>
        <v>1</v>
      </c>
      <c r="AS337">
        <f>TYPE(All_India_Index_Upto_April23__1[[#This Row],[Pulses and products]])</f>
        <v>1</v>
      </c>
      <c r="AT337">
        <f>TYPE(All_India_Index_Upto_April23__1[[#This Row],[Sugar and Confectionery]])</f>
        <v>1</v>
      </c>
      <c r="AU337">
        <f>TYPE(All_India_Index_Upto_April23__1[[#This Row],[Spices]])</f>
        <v>1</v>
      </c>
      <c r="AV337">
        <f>TYPE(All_India_Index_Upto_April23__1[[#This Row],[Non-alcoholic beverages]])</f>
        <v>1</v>
      </c>
      <c r="AW337">
        <f>TYPE(All_India_Index_Upto_April23__1[[#This Row],[Prepared meals, snacks, sweets etc.]])</f>
        <v>1</v>
      </c>
      <c r="AX337">
        <f>TYPE(All_India_Index_Upto_April23__1[[#This Row],[Food and beverages]])</f>
        <v>1</v>
      </c>
      <c r="AY337">
        <f>TYPE(All_India_Index_Upto_April23__1[[#This Row],[Pan, tobacco and intoxicants]])</f>
        <v>1</v>
      </c>
      <c r="AZ337">
        <f>TYPE(All_India_Index_Upto_April23__1[[#This Row],[Clothing]])</f>
        <v>1</v>
      </c>
      <c r="BA337">
        <f>TYPE(All_India_Index_Upto_April23__1[[#This Row],[Footwear]])</f>
        <v>1</v>
      </c>
      <c r="BB337">
        <f>TYPE(All_India_Index_Upto_April23__1[[#This Row],[Clothing and footwear]])</f>
        <v>1</v>
      </c>
      <c r="BC337">
        <f>TYPE(All_India_Index_Upto_April23__1[[#This Row],[Housing]])</f>
        <v>2</v>
      </c>
      <c r="BD337">
        <f>TYPE(All_India_Index_Upto_April23__1[[#This Row],[Fuel and light]])</f>
        <v>1</v>
      </c>
      <c r="BE337">
        <f>TYPE(All_India_Index_Upto_April23__1[[#This Row],[Household goods and services]])</f>
        <v>1</v>
      </c>
      <c r="BF337">
        <f>TYPE(All_India_Index_Upto_April23__1[[#This Row],[Health]])</f>
        <v>1</v>
      </c>
      <c r="BG337">
        <f>TYPE(All_India_Index_Upto_April23__1[[#This Row],[Transport and communication]])</f>
        <v>1</v>
      </c>
      <c r="BH337">
        <f>TYPE(All_India_Index_Upto_April23__1[[#This Row],[Recreation and amusement]])</f>
        <v>1</v>
      </c>
      <c r="BI337">
        <f>TYPE(All_India_Index_Upto_April23__1[[#This Row],[Education]])</f>
        <v>1</v>
      </c>
      <c r="BJ337">
        <f>TYPE(All_India_Index_Upto_April23__1[[#This Row],[Personal care and effects]])</f>
        <v>1</v>
      </c>
      <c r="BK337">
        <f>TYPE(All_India_Index_Upto_April23__1[[#This Row],[Miscellaneous]])</f>
        <v>1</v>
      </c>
      <c r="BL337">
        <f>TYPE(All_India_Index_Upto_April23__1[[#This Row],[General index]])</f>
        <v>1</v>
      </c>
    </row>
    <row r="338" spans="1:64" hidden="1" x14ac:dyDescent="0.3">
      <c r="A338" t="s">
        <v>33</v>
      </c>
      <c r="B338">
        <v>2022</v>
      </c>
      <c r="C338" t="s">
        <v>37</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t="s">
        <v>197</v>
      </c>
      <c r="V338">
        <v>174.6</v>
      </c>
      <c r="W338">
        <v>165.2</v>
      </c>
      <c r="X338">
        <v>174.8</v>
      </c>
      <c r="Y338">
        <v>163</v>
      </c>
      <c r="Z338">
        <v>165.1</v>
      </c>
      <c r="AA338">
        <v>167.9</v>
      </c>
      <c r="AB338">
        <v>168.4</v>
      </c>
      <c r="AC338">
        <v>167.5</v>
      </c>
      <c r="AD338">
        <v>171.7</v>
      </c>
      <c r="AE338">
        <f>SUM(All_India_Index_Upto_April23__1[[#This Row],[Cereals and products]:[Food and beverages]])</f>
        <v>2238.9000000000005</v>
      </c>
      <c r="AF338">
        <f>SUM(All_India_Index_Upto_April23__1[[#This Row],[Clothing]:[Clothing and footwear]])</f>
        <v>518.6</v>
      </c>
      <c r="AG338">
        <f t="shared" si="5"/>
        <v>502.79999999999995</v>
      </c>
      <c r="AI338">
        <f>TYPE(All_India_Index_Upto_April23__1[[#This Row],[Sector]])</f>
        <v>2</v>
      </c>
      <c r="AJ338">
        <f>TYPE(All_India_Index_Upto_April23__1[[#This Row],[Year]])</f>
        <v>1</v>
      </c>
      <c r="AK338">
        <f>TYPE(All_India_Index_Upto_April23__1[[#This Row],[Month]])</f>
        <v>2</v>
      </c>
      <c r="AL338">
        <f>TYPE(All_India_Index_Upto_April23__1[[#This Row],[Cereals and products]])</f>
        <v>1</v>
      </c>
      <c r="AM338">
        <f>TYPE(All_India_Index_Upto_April23__1[[#This Row],[Meat and fish]])</f>
        <v>1</v>
      </c>
      <c r="AN338">
        <f>TYPE(All_India_Index_Upto_April23__1[[#This Row],[Egg]])</f>
        <v>1</v>
      </c>
      <c r="AO338">
        <f>TYPE(All_India_Index_Upto_April23__1[[#This Row],[Milk and products]])</f>
        <v>1</v>
      </c>
      <c r="AP338">
        <f>TYPE(All_India_Index_Upto_April23__1[[#This Row],[Oils and fats]])</f>
        <v>1</v>
      </c>
      <c r="AQ338">
        <f>TYPE(All_India_Index_Upto_April23__1[[#This Row],[Fruits]])</f>
        <v>1</v>
      </c>
      <c r="AR338">
        <f>TYPE(All_India_Index_Upto_April23__1[[#This Row],[Vegetables]])</f>
        <v>1</v>
      </c>
      <c r="AS338">
        <f>TYPE(All_India_Index_Upto_April23__1[[#This Row],[Pulses and products]])</f>
        <v>1</v>
      </c>
      <c r="AT338">
        <f>TYPE(All_India_Index_Upto_April23__1[[#This Row],[Sugar and Confectionery]])</f>
        <v>1</v>
      </c>
      <c r="AU338">
        <f>TYPE(All_India_Index_Upto_April23__1[[#This Row],[Spices]])</f>
        <v>1</v>
      </c>
      <c r="AV338">
        <f>TYPE(All_India_Index_Upto_April23__1[[#This Row],[Non-alcoholic beverages]])</f>
        <v>1</v>
      </c>
      <c r="AW338">
        <f>TYPE(All_India_Index_Upto_April23__1[[#This Row],[Prepared meals, snacks, sweets etc.]])</f>
        <v>1</v>
      </c>
      <c r="AX338">
        <f>TYPE(All_India_Index_Upto_April23__1[[#This Row],[Food and beverages]])</f>
        <v>1</v>
      </c>
      <c r="AY338">
        <f>TYPE(All_India_Index_Upto_April23__1[[#This Row],[Pan, tobacco and intoxicants]])</f>
        <v>1</v>
      </c>
      <c r="AZ338">
        <f>TYPE(All_India_Index_Upto_April23__1[[#This Row],[Clothing]])</f>
        <v>1</v>
      </c>
      <c r="BA338">
        <f>TYPE(All_India_Index_Upto_April23__1[[#This Row],[Footwear]])</f>
        <v>1</v>
      </c>
      <c r="BB338">
        <f>TYPE(All_India_Index_Upto_April23__1[[#This Row],[Clothing and footwear]])</f>
        <v>1</v>
      </c>
      <c r="BC338">
        <f>TYPE(All_India_Index_Upto_April23__1[[#This Row],[Housing]])</f>
        <v>2</v>
      </c>
      <c r="BD338">
        <f>TYPE(All_India_Index_Upto_April23__1[[#This Row],[Fuel and light]])</f>
        <v>1</v>
      </c>
      <c r="BE338">
        <f>TYPE(All_India_Index_Upto_April23__1[[#This Row],[Household goods and services]])</f>
        <v>1</v>
      </c>
      <c r="BF338">
        <f>TYPE(All_India_Index_Upto_April23__1[[#This Row],[Health]])</f>
        <v>1</v>
      </c>
      <c r="BG338">
        <f>TYPE(All_India_Index_Upto_April23__1[[#This Row],[Transport and communication]])</f>
        <v>1</v>
      </c>
      <c r="BH338">
        <f>TYPE(All_India_Index_Upto_April23__1[[#This Row],[Recreation and amusement]])</f>
        <v>1</v>
      </c>
      <c r="BI338">
        <f>TYPE(All_India_Index_Upto_April23__1[[#This Row],[Education]])</f>
        <v>1</v>
      </c>
      <c r="BJ338">
        <f>TYPE(All_India_Index_Upto_April23__1[[#This Row],[Personal care and effects]])</f>
        <v>1</v>
      </c>
      <c r="BK338">
        <f>TYPE(All_India_Index_Upto_April23__1[[#This Row],[Miscellaneous]])</f>
        <v>1</v>
      </c>
      <c r="BL338">
        <f>TYPE(All_India_Index_Upto_April23__1[[#This Row],[General index]])</f>
        <v>1</v>
      </c>
    </row>
    <row r="339" spans="1:64" hidden="1" x14ac:dyDescent="0.3">
      <c r="A339" t="s">
        <v>30</v>
      </c>
      <c r="B339">
        <v>2022</v>
      </c>
      <c r="C339" t="s">
        <v>38</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U339" t="s">
        <v>89</v>
      </c>
      <c r="V339">
        <v>176.7</v>
      </c>
      <c r="W339">
        <v>170.3</v>
      </c>
      <c r="X339">
        <v>178.2</v>
      </c>
      <c r="Y339">
        <v>165.5</v>
      </c>
      <c r="Z339">
        <v>168</v>
      </c>
      <c r="AA339">
        <v>172.6</v>
      </c>
      <c r="AB339">
        <v>169.5</v>
      </c>
      <c r="AC339">
        <v>171</v>
      </c>
      <c r="AD339">
        <v>173.6</v>
      </c>
      <c r="AE339">
        <f>SUM(All_India_Index_Upto_April23__1[[#This Row],[Cereals and products]:[Food and beverages]])</f>
        <v>2248.3000000000002</v>
      </c>
      <c r="AF339">
        <f>SUM(All_India_Index_Upto_April23__1[[#This Row],[Clothing]:[Clothing and footwear]])</f>
        <v>539.79999999999995</v>
      </c>
      <c r="AG339">
        <f t="shared" si="5"/>
        <v>512.5</v>
      </c>
      <c r="AI339">
        <f>TYPE(All_India_Index_Upto_April23__1[[#This Row],[Sector]])</f>
        <v>2</v>
      </c>
      <c r="AJ339">
        <f>TYPE(All_India_Index_Upto_April23__1[[#This Row],[Year]])</f>
        <v>1</v>
      </c>
      <c r="AK339">
        <f>TYPE(All_India_Index_Upto_April23__1[[#This Row],[Month]])</f>
        <v>2</v>
      </c>
      <c r="AL339">
        <f>TYPE(All_India_Index_Upto_April23__1[[#This Row],[Cereals and products]])</f>
        <v>1</v>
      </c>
      <c r="AM339">
        <f>TYPE(All_India_Index_Upto_April23__1[[#This Row],[Meat and fish]])</f>
        <v>1</v>
      </c>
      <c r="AN339">
        <f>TYPE(All_India_Index_Upto_April23__1[[#This Row],[Egg]])</f>
        <v>1</v>
      </c>
      <c r="AO339">
        <f>TYPE(All_India_Index_Upto_April23__1[[#This Row],[Milk and products]])</f>
        <v>1</v>
      </c>
      <c r="AP339">
        <f>TYPE(All_India_Index_Upto_April23__1[[#This Row],[Oils and fats]])</f>
        <v>1</v>
      </c>
      <c r="AQ339">
        <f>TYPE(All_India_Index_Upto_April23__1[[#This Row],[Fruits]])</f>
        <v>1</v>
      </c>
      <c r="AR339">
        <f>TYPE(All_India_Index_Upto_April23__1[[#This Row],[Vegetables]])</f>
        <v>1</v>
      </c>
      <c r="AS339">
        <f>TYPE(All_India_Index_Upto_April23__1[[#This Row],[Pulses and products]])</f>
        <v>1</v>
      </c>
      <c r="AT339">
        <f>TYPE(All_India_Index_Upto_April23__1[[#This Row],[Sugar and Confectionery]])</f>
        <v>1</v>
      </c>
      <c r="AU339">
        <f>TYPE(All_India_Index_Upto_April23__1[[#This Row],[Spices]])</f>
        <v>1</v>
      </c>
      <c r="AV339">
        <f>TYPE(All_India_Index_Upto_April23__1[[#This Row],[Non-alcoholic beverages]])</f>
        <v>1</v>
      </c>
      <c r="AW339">
        <f>TYPE(All_India_Index_Upto_April23__1[[#This Row],[Prepared meals, snacks, sweets etc.]])</f>
        <v>1</v>
      </c>
      <c r="AX339">
        <f>TYPE(All_India_Index_Upto_April23__1[[#This Row],[Food and beverages]])</f>
        <v>1</v>
      </c>
      <c r="AY339">
        <f>TYPE(All_India_Index_Upto_April23__1[[#This Row],[Pan, tobacco and intoxicants]])</f>
        <v>1</v>
      </c>
      <c r="AZ339">
        <f>TYPE(All_India_Index_Upto_April23__1[[#This Row],[Clothing]])</f>
        <v>1</v>
      </c>
      <c r="BA339">
        <f>TYPE(All_India_Index_Upto_April23__1[[#This Row],[Footwear]])</f>
        <v>1</v>
      </c>
      <c r="BB339">
        <f>TYPE(All_India_Index_Upto_April23__1[[#This Row],[Clothing and footwear]])</f>
        <v>1</v>
      </c>
      <c r="BC339">
        <f>TYPE(All_India_Index_Upto_April23__1[[#This Row],[Housing]])</f>
        <v>2</v>
      </c>
      <c r="BD339">
        <f>TYPE(All_India_Index_Upto_April23__1[[#This Row],[Fuel and light]])</f>
        <v>1</v>
      </c>
      <c r="BE339">
        <f>TYPE(All_India_Index_Upto_April23__1[[#This Row],[Household goods and services]])</f>
        <v>1</v>
      </c>
      <c r="BF339">
        <f>TYPE(All_India_Index_Upto_April23__1[[#This Row],[Health]])</f>
        <v>1</v>
      </c>
      <c r="BG339">
        <f>TYPE(All_India_Index_Upto_April23__1[[#This Row],[Transport and communication]])</f>
        <v>1</v>
      </c>
      <c r="BH339">
        <f>TYPE(All_India_Index_Upto_April23__1[[#This Row],[Recreation and amusement]])</f>
        <v>1</v>
      </c>
      <c r="BI339">
        <f>TYPE(All_India_Index_Upto_April23__1[[#This Row],[Education]])</f>
        <v>1</v>
      </c>
      <c r="BJ339">
        <f>TYPE(All_India_Index_Upto_April23__1[[#This Row],[Personal care and effects]])</f>
        <v>1</v>
      </c>
      <c r="BK339">
        <f>TYPE(All_India_Index_Upto_April23__1[[#This Row],[Miscellaneous]])</f>
        <v>1</v>
      </c>
      <c r="BL339">
        <f>TYPE(All_India_Index_Upto_April23__1[[#This Row],[General index]])</f>
        <v>1</v>
      </c>
    </row>
    <row r="340" spans="1:64" hidden="1" x14ac:dyDescent="0.3">
      <c r="A340" t="s">
        <v>32</v>
      </c>
      <c r="B340">
        <v>2022</v>
      </c>
      <c r="C340" t="s">
        <v>38</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t="s">
        <v>198</v>
      </c>
      <c r="V340">
        <v>174.9</v>
      </c>
      <c r="W340">
        <v>162.1</v>
      </c>
      <c r="X340">
        <v>170.9</v>
      </c>
      <c r="Y340">
        <v>157.19999999999999</v>
      </c>
      <c r="Z340">
        <v>164.1</v>
      </c>
      <c r="AA340">
        <v>166.5</v>
      </c>
      <c r="AB340">
        <v>169.2</v>
      </c>
      <c r="AC340">
        <v>163.80000000000001</v>
      </c>
      <c r="AD340">
        <v>171.4</v>
      </c>
      <c r="AE340">
        <f>SUM(All_India_Index_Upto_April23__1[[#This Row],[Cereals and products]:[Food and beverages]])</f>
        <v>2287.5</v>
      </c>
      <c r="AF340">
        <f>SUM(All_India_Index_Upto_April23__1[[#This Row],[Clothing]:[Clothing and footwear]])</f>
        <v>498.4</v>
      </c>
      <c r="AG340">
        <f t="shared" si="5"/>
        <v>494.2</v>
      </c>
      <c r="AI340">
        <f>TYPE(All_India_Index_Upto_April23__1[[#This Row],[Sector]])</f>
        <v>2</v>
      </c>
      <c r="AJ340">
        <f>TYPE(All_India_Index_Upto_April23__1[[#This Row],[Year]])</f>
        <v>1</v>
      </c>
      <c r="AK340">
        <f>TYPE(All_India_Index_Upto_April23__1[[#This Row],[Month]])</f>
        <v>2</v>
      </c>
      <c r="AL340">
        <f>TYPE(All_India_Index_Upto_April23__1[[#This Row],[Cereals and products]])</f>
        <v>1</v>
      </c>
      <c r="AM340">
        <f>TYPE(All_India_Index_Upto_April23__1[[#This Row],[Meat and fish]])</f>
        <v>1</v>
      </c>
      <c r="AN340">
        <f>TYPE(All_India_Index_Upto_April23__1[[#This Row],[Egg]])</f>
        <v>1</v>
      </c>
      <c r="AO340">
        <f>TYPE(All_India_Index_Upto_April23__1[[#This Row],[Milk and products]])</f>
        <v>1</v>
      </c>
      <c r="AP340">
        <f>TYPE(All_India_Index_Upto_April23__1[[#This Row],[Oils and fats]])</f>
        <v>1</v>
      </c>
      <c r="AQ340">
        <f>TYPE(All_India_Index_Upto_April23__1[[#This Row],[Fruits]])</f>
        <v>1</v>
      </c>
      <c r="AR340">
        <f>TYPE(All_India_Index_Upto_April23__1[[#This Row],[Vegetables]])</f>
        <v>1</v>
      </c>
      <c r="AS340">
        <f>TYPE(All_India_Index_Upto_April23__1[[#This Row],[Pulses and products]])</f>
        <v>1</v>
      </c>
      <c r="AT340">
        <f>TYPE(All_India_Index_Upto_April23__1[[#This Row],[Sugar and Confectionery]])</f>
        <v>1</v>
      </c>
      <c r="AU340">
        <f>TYPE(All_India_Index_Upto_April23__1[[#This Row],[Spices]])</f>
        <v>1</v>
      </c>
      <c r="AV340">
        <f>TYPE(All_India_Index_Upto_April23__1[[#This Row],[Non-alcoholic beverages]])</f>
        <v>1</v>
      </c>
      <c r="AW340">
        <f>TYPE(All_India_Index_Upto_April23__1[[#This Row],[Prepared meals, snacks, sweets etc.]])</f>
        <v>1</v>
      </c>
      <c r="AX340">
        <f>TYPE(All_India_Index_Upto_April23__1[[#This Row],[Food and beverages]])</f>
        <v>1</v>
      </c>
      <c r="AY340">
        <f>TYPE(All_India_Index_Upto_April23__1[[#This Row],[Pan, tobacco and intoxicants]])</f>
        <v>1</v>
      </c>
      <c r="AZ340">
        <f>TYPE(All_India_Index_Upto_April23__1[[#This Row],[Clothing]])</f>
        <v>1</v>
      </c>
      <c r="BA340">
        <f>TYPE(All_India_Index_Upto_April23__1[[#This Row],[Footwear]])</f>
        <v>1</v>
      </c>
      <c r="BB340">
        <f>TYPE(All_India_Index_Upto_April23__1[[#This Row],[Clothing and footwear]])</f>
        <v>1</v>
      </c>
      <c r="BC340">
        <f>TYPE(All_India_Index_Upto_April23__1[[#This Row],[Housing]])</f>
        <v>2</v>
      </c>
      <c r="BD340">
        <f>TYPE(All_India_Index_Upto_April23__1[[#This Row],[Fuel and light]])</f>
        <v>1</v>
      </c>
      <c r="BE340">
        <f>TYPE(All_India_Index_Upto_April23__1[[#This Row],[Household goods and services]])</f>
        <v>1</v>
      </c>
      <c r="BF340">
        <f>TYPE(All_India_Index_Upto_April23__1[[#This Row],[Health]])</f>
        <v>1</v>
      </c>
      <c r="BG340">
        <f>TYPE(All_India_Index_Upto_April23__1[[#This Row],[Transport and communication]])</f>
        <v>1</v>
      </c>
      <c r="BH340">
        <f>TYPE(All_India_Index_Upto_April23__1[[#This Row],[Recreation and amusement]])</f>
        <v>1</v>
      </c>
      <c r="BI340">
        <f>TYPE(All_India_Index_Upto_April23__1[[#This Row],[Education]])</f>
        <v>1</v>
      </c>
      <c r="BJ340">
        <f>TYPE(All_India_Index_Upto_April23__1[[#This Row],[Personal care and effects]])</f>
        <v>1</v>
      </c>
      <c r="BK340">
        <f>TYPE(All_India_Index_Upto_April23__1[[#This Row],[Miscellaneous]])</f>
        <v>1</v>
      </c>
      <c r="BL340">
        <f>TYPE(All_India_Index_Upto_April23__1[[#This Row],[General index]])</f>
        <v>1</v>
      </c>
    </row>
    <row r="341" spans="1:64" hidden="1" x14ac:dyDescent="0.3">
      <c r="A341" t="s">
        <v>33</v>
      </c>
      <c r="B341">
        <v>2022</v>
      </c>
      <c r="C341" t="s">
        <v>38</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t="s">
        <v>198</v>
      </c>
      <c r="V341">
        <v>176</v>
      </c>
      <c r="W341">
        <v>166.4</v>
      </c>
      <c r="X341">
        <v>175.4</v>
      </c>
      <c r="Y341">
        <v>161.1</v>
      </c>
      <c r="Z341">
        <v>165.8</v>
      </c>
      <c r="AA341">
        <v>169</v>
      </c>
      <c r="AB341">
        <v>169.4</v>
      </c>
      <c r="AC341">
        <v>167.5</v>
      </c>
      <c r="AD341">
        <v>172.6</v>
      </c>
      <c r="AE341">
        <f>SUM(All_India_Index_Upto_April23__1[[#This Row],[Cereals and products]:[Food and beverages]])</f>
        <v>2261.9</v>
      </c>
      <c r="AF341">
        <f>SUM(All_India_Index_Upto_April23__1[[#This Row],[Clothing]:[Clothing and footwear]])</f>
        <v>523</v>
      </c>
      <c r="AG341">
        <f t="shared" si="5"/>
        <v>503.5</v>
      </c>
      <c r="AI341">
        <f>TYPE(All_India_Index_Upto_April23__1[[#This Row],[Sector]])</f>
        <v>2</v>
      </c>
      <c r="AJ341">
        <f>TYPE(All_India_Index_Upto_April23__1[[#This Row],[Year]])</f>
        <v>1</v>
      </c>
      <c r="AK341">
        <f>TYPE(All_India_Index_Upto_April23__1[[#This Row],[Month]])</f>
        <v>2</v>
      </c>
      <c r="AL341">
        <f>TYPE(All_India_Index_Upto_April23__1[[#This Row],[Cereals and products]])</f>
        <v>1</v>
      </c>
      <c r="AM341">
        <f>TYPE(All_India_Index_Upto_April23__1[[#This Row],[Meat and fish]])</f>
        <v>1</v>
      </c>
      <c r="AN341">
        <f>TYPE(All_India_Index_Upto_April23__1[[#This Row],[Egg]])</f>
        <v>1</v>
      </c>
      <c r="AO341">
        <f>TYPE(All_India_Index_Upto_April23__1[[#This Row],[Milk and products]])</f>
        <v>1</v>
      </c>
      <c r="AP341">
        <f>TYPE(All_India_Index_Upto_April23__1[[#This Row],[Oils and fats]])</f>
        <v>1</v>
      </c>
      <c r="AQ341">
        <f>TYPE(All_India_Index_Upto_April23__1[[#This Row],[Fruits]])</f>
        <v>1</v>
      </c>
      <c r="AR341">
        <f>TYPE(All_India_Index_Upto_April23__1[[#This Row],[Vegetables]])</f>
        <v>1</v>
      </c>
      <c r="AS341">
        <f>TYPE(All_India_Index_Upto_April23__1[[#This Row],[Pulses and products]])</f>
        <v>1</v>
      </c>
      <c r="AT341">
        <f>TYPE(All_India_Index_Upto_April23__1[[#This Row],[Sugar and Confectionery]])</f>
        <v>1</v>
      </c>
      <c r="AU341">
        <f>TYPE(All_India_Index_Upto_April23__1[[#This Row],[Spices]])</f>
        <v>1</v>
      </c>
      <c r="AV341">
        <f>TYPE(All_India_Index_Upto_April23__1[[#This Row],[Non-alcoholic beverages]])</f>
        <v>1</v>
      </c>
      <c r="AW341">
        <f>TYPE(All_India_Index_Upto_April23__1[[#This Row],[Prepared meals, snacks, sweets etc.]])</f>
        <v>1</v>
      </c>
      <c r="AX341">
        <f>TYPE(All_India_Index_Upto_April23__1[[#This Row],[Food and beverages]])</f>
        <v>1</v>
      </c>
      <c r="AY341">
        <f>TYPE(All_India_Index_Upto_April23__1[[#This Row],[Pan, tobacco and intoxicants]])</f>
        <v>1</v>
      </c>
      <c r="AZ341">
        <f>TYPE(All_India_Index_Upto_April23__1[[#This Row],[Clothing]])</f>
        <v>1</v>
      </c>
      <c r="BA341">
        <f>TYPE(All_India_Index_Upto_April23__1[[#This Row],[Footwear]])</f>
        <v>1</v>
      </c>
      <c r="BB341">
        <f>TYPE(All_India_Index_Upto_April23__1[[#This Row],[Clothing and footwear]])</f>
        <v>1</v>
      </c>
      <c r="BC341">
        <f>TYPE(All_India_Index_Upto_April23__1[[#This Row],[Housing]])</f>
        <v>2</v>
      </c>
      <c r="BD341">
        <f>TYPE(All_India_Index_Upto_April23__1[[#This Row],[Fuel and light]])</f>
        <v>1</v>
      </c>
      <c r="BE341">
        <f>TYPE(All_India_Index_Upto_April23__1[[#This Row],[Household goods and services]])</f>
        <v>1</v>
      </c>
      <c r="BF341">
        <f>TYPE(All_India_Index_Upto_April23__1[[#This Row],[Health]])</f>
        <v>1</v>
      </c>
      <c r="BG341">
        <f>TYPE(All_India_Index_Upto_April23__1[[#This Row],[Transport and communication]])</f>
        <v>1</v>
      </c>
      <c r="BH341">
        <f>TYPE(All_India_Index_Upto_April23__1[[#This Row],[Recreation and amusement]])</f>
        <v>1</v>
      </c>
      <c r="BI341">
        <f>TYPE(All_India_Index_Upto_April23__1[[#This Row],[Education]])</f>
        <v>1</v>
      </c>
      <c r="BJ341">
        <f>TYPE(All_India_Index_Upto_April23__1[[#This Row],[Personal care and effects]])</f>
        <v>1</v>
      </c>
      <c r="BK341">
        <f>TYPE(All_India_Index_Upto_April23__1[[#This Row],[Miscellaneous]])</f>
        <v>1</v>
      </c>
      <c r="BL341">
        <f>TYPE(All_India_Index_Upto_April23__1[[#This Row],[General index]])</f>
        <v>1</v>
      </c>
    </row>
    <row r="342" spans="1:64" hidden="1" x14ac:dyDescent="0.3">
      <c r="A342" t="s">
        <v>30</v>
      </c>
      <c r="B342">
        <v>2022</v>
      </c>
      <c r="C342" t="s">
        <v>39</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U342" t="s">
        <v>89</v>
      </c>
      <c r="V342">
        <v>179.6</v>
      </c>
      <c r="W342">
        <v>171.3</v>
      </c>
      <c r="X342">
        <v>178.8</v>
      </c>
      <c r="Y342">
        <v>166.3</v>
      </c>
      <c r="Z342">
        <v>168.6</v>
      </c>
      <c r="AA342">
        <v>174.7</v>
      </c>
      <c r="AB342">
        <v>169.7</v>
      </c>
      <c r="AC342">
        <v>171.8</v>
      </c>
      <c r="AD342">
        <v>174.3</v>
      </c>
      <c r="AE342">
        <f>SUM(All_India_Index_Upto_April23__1[[#This Row],[Cereals and products]:[Food and beverages]])</f>
        <v>2252.5</v>
      </c>
      <c r="AF342">
        <f>SUM(All_India_Index_Upto_April23__1[[#This Row],[Clothing]:[Clothing and footwear]])</f>
        <v>544</v>
      </c>
      <c r="AG342">
        <f t="shared" si="5"/>
        <v>517.20000000000005</v>
      </c>
      <c r="AI342">
        <f>TYPE(All_India_Index_Upto_April23__1[[#This Row],[Sector]])</f>
        <v>2</v>
      </c>
      <c r="AJ342">
        <f>TYPE(All_India_Index_Upto_April23__1[[#This Row],[Year]])</f>
        <v>1</v>
      </c>
      <c r="AK342">
        <f>TYPE(All_India_Index_Upto_April23__1[[#This Row],[Month]])</f>
        <v>2</v>
      </c>
      <c r="AL342">
        <f>TYPE(All_India_Index_Upto_April23__1[[#This Row],[Cereals and products]])</f>
        <v>1</v>
      </c>
      <c r="AM342">
        <f>TYPE(All_India_Index_Upto_April23__1[[#This Row],[Meat and fish]])</f>
        <v>1</v>
      </c>
      <c r="AN342">
        <f>TYPE(All_India_Index_Upto_April23__1[[#This Row],[Egg]])</f>
        <v>1</v>
      </c>
      <c r="AO342">
        <f>TYPE(All_India_Index_Upto_April23__1[[#This Row],[Milk and products]])</f>
        <v>1</v>
      </c>
      <c r="AP342">
        <f>TYPE(All_India_Index_Upto_April23__1[[#This Row],[Oils and fats]])</f>
        <v>1</v>
      </c>
      <c r="AQ342">
        <f>TYPE(All_India_Index_Upto_April23__1[[#This Row],[Fruits]])</f>
        <v>1</v>
      </c>
      <c r="AR342">
        <f>TYPE(All_India_Index_Upto_April23__1[[#This Row],[Vegetables]])</f>
        <v>1</v>
      </c>
      <c r="AS342">
        <f>TYPE(All_India_Index_Upto_April23__1[[#This Row],[Pulses and products]])</f>
        <v>1</v>
      </c>
      <c r="AT342">
        <f>TYPE(All_India_Index_Upto_April23__1[[#This Row],[Sugar and Confectionery]])</f>
        <v>1</v>
      </c>
      <c r="AU342">
        <f>TYPE(All_India_Index_Upto_April23__1[[#This Row],[Spices]])</f>
        <v>1</v>
      </c>
      <c r="AV342">
        <f>TYPE(All_India_Index_Upto_April23__1[[#This Row],[Non-alcoholic beverages]])</f>
        <v>1</v>
      </c>
      <c r="AW342">
        <f>TYPE(All_India_Index_Upto_April23__1[[#This Row],[Prepared meals, snacks, sweets etc.]])</f>
        <v>1</v>
      </c>
      <c r="AX342">
        <f>TYPE(All_India_Index_Upto_April23__1[[#This Row],[Food and beverages]])</f>
        <v>1</v>
      </c>
      <c r="AY342">
        <f>TYPE(All_India_Index_Upto_April23__1[[#This Row],[Pan, tobacco and intoxicants]])</f>
        <v>1</v>
      </c>
      <c r="AZ342">
        <f>TYPE(All_India_Index_Upto_April23__1[[#This Row],[Clothing]])</f>
        <v>1</v>
      </c>
      <c r="BA342">
        <f>TYPE(All_India_Index_Upto_April23__1[[#This Row],[Footwear]])</f>
        <v>1</v>
      </c>
      <c r="BB342">
        <f>TYPE(All_India_Index_Upto_April23__1[[#This Row],[Clothing and footwear]])</f>
        <v>1</v>
      </c>
      <c r="BC342">
        <f>TYPE(All_India_Index_Upto_April23__1[[#This Row],[Housing]])</f>
        <v>2</v>
      </c>
      <c r="BD342">
        <f>TYPE(All_India_Index_Upto_April23__1[[#This Row],[Fuel and light]])</f>
        <v>1</v>
      </c>
      <c r="BE342">
        <f>TYPE(All_India_Index_Upto_April23__1[[#This Row],[Household goods and services]])</f>
        <v>1</v>
      </c>
      <c r="BF342">
        <f>TYPE(All_India_Index_Upto_April23__1[[#This Row],[Health]])</f>
        <v>1</v>
      </c>
      <c r="BG342">
        <f>TYPE(All_India_Index_Upto_April23__1[[#This Row],[Transport and communication]])</f>
        <v>1</v>
      </c>
      <c r="BH342">
        <f>TYPE(All_India_Index_Upto_April23__1[[#This Row],[Recreation and amusement]])</f>
        <v>1</v>
      </c>
      <c r="BI342">
        <f>TYPE(All_India_Index_Upto_April23__1[[#This Row],[Education]])</f>
        <v>1</v>
      </c>
      <c r="BJ342">
        <f>TYPE(All_India_Index_Upto_April23__1[[#This Row],[Personal care and effects]])</f>
        <v>1</v>
      </c>
      <c r="BK342">
        <f>TYPE(All_India_Index_Upto_April23__1[[#This Row],[Miscellaneous]])</f>
        <v>1</v>
      </c>
      <c r="BL342">
        <f>TYPE(All_India_Index_Upto_April23__1[[#This Row],[General index]])</f>
        <v>1</v>
      </c>
    </row>
    <row r="343" spans="1:64" hidden="1" x14ac:dyDescent="0.3">
      <c r="A343" t="s">
        <v>32</v>
      </c>
      <c r="B343">
        <v>2022</v>
      </c>
      <c r="C343" t="s">
        <v>39</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t="s">
        <v>199</v>
      </c>
      <c r="V343">
        <v>179.5</v>
      </c>
      <c r="W343">
        <v>163.1</v>
      </c>
      <c r="X343">
        <v>171.7</v>
      </c>
      <c r="Y343">
        <v>157.4</v>
      </c>
      <c r="Z343">
        <v>164.6</v>
      </c>
      <c r="AA343">
        <v>169.1</v>
      </c>
      <c r="AB343">
        <v>169.8</v>
      </c>
      <c r="AC343">
        <v>164.7</v>
      </c>
      <c r="AD343">
        <v>172.3</v>
      </c>
      <c r="AE343">
        <f>SUM(All_India_Index_Upto_April23__1[[#This Row],[Cereals and products]:[Food and beverages]])</f>
        <v>2291.6</v>
      </c>
      <c r="AF343">
        <f>SUM(All_India_Index_Upto_April23__1[[#This Row],[Clothing]:[Clothing and footwear]])</f>
        <v>502</v>
      </c>
      <c r="AG343">
        <f t="shared" si="5"/>
        <v>500</v>
      </c>
      <c r="AI343">
        <f>TYPE(All_India_Index_Upto_April23__1[[#This Row],[Sector]])</f>
        <v>2</v>
      </c>
      <c r="AJ343">
        <f>TYPE(All_India_Index_Upto_April23__1[[#This Row],[Year]])</f>
        <v>1</v>
      </c>
      <c r="AK343">
        <f>TYPE(All_India_Index_Upto_April23__1[[#This Row],[Month]])</f>
        <v>2</v>
      </c>
      <c r="AL343">
        <f>TYPE(All_India_Index_Upto_April23__1[[#This Row],[Cereals and products]])</f>
        <v>1</v>
      </c>
      <c r="AM343">
        <f>TYPE(All_India_Index_Upto_April23__1[[#This Row],[Meat and fish]])</f>
        <v>1</v>
      </c>
      <c r="AN343">
        <f>TYPE(All_India_Index_Upto_April23__1[[#This Row],[Egg]])</f>
        <v>1</v>
      </c>
      <c r="AO343">
        <f>TYPE(All_India_Index_Upto_April23__1[[#This Row],[Milk and products]])</f>
        <v>1</v>
      </c>
      <c r="AP343">
        <f>TYPE(All_India_Index_Upto_April23__1[[#This Row],[Oils and fats]])</f>
        <v>1</v>
      </c>
      <c r="AQ343">
        <f>TYPE(All_India_Index_Upto_April23__1[[#This Row],[Fruits]])</f>
        <v>1</v>
      </c>
      <c r="AR343">
        <f>TYPE(All_India_Index_Upto_April23__1[[#This Row],[Vegetables]])</f>
        <v>1</v>
      </c>
      <c r="AS343">
        <f>TYPE(All_India_Index_Upto_April23__1[[#This Row],[Pulses and products]])</f>
        <v>1</v>
      </c>
      <c r="AT343">
        <f>TYPE(All_India_Index_Upto_April23__1[[#This Row],[Sugar and Confectionery]])</f>
        <v>1</v>
      </c>
      <c r="AU343">
        <f>TYPE(All_India_Index_Upto_April23__1[[#This Row],[Spices]])</f>
        <v>1</v>
      </c>
      <c r="AV343">
        <f>TYPE(All_India_Index_Upto_April23__1[[#This Row],[Non-alcoholic beverages]])</f>
        <v>1</v>
      </c>
      <c r="AW343">
        <f>TYPE(All_India_Index_Upto_April23__1[[#This Row],[Prepared meals, snacks, sweets etc.]])</f>
        <v>1</v>
      </c>
      <c r="AX343">
        <f>TYPE(All_India_Index_Upto_April23__1[[#This Row],[Food and beverages]])</f>
        <v>1</v>
      </c>
      <c r="AY343">
        <f>TYPE(All_India_Index_Upto_April23__1[[#This Row],[Pan, tobacco and intoxicants]])</f>
        <v>1</v>
      </c>
      <c r="AZ343">
        <f>TYPE(All_India_Index_Upto_April23__1[[#This Row],[Clothing]])</f>
        <v>1</v>
      </c>
      <c r="BA343">
        <f>TYPE(All_India_Index_Upto_April23__1[[#This Row],[Footwear]])</f>
        <v>1</v>
      </c>
      <c r="BB343">
        <f>TYPE(All_India_Index_Upto_April23__1[[#This Row],[Clothing and footwear]])</f>
        <v>1</v>
      </c>
      <c r="BC343">
        <f>TYPE(All_India_Index_Upto_April23__1[[#This Row],[Housing]])</f>
        <v>2</v>
      </c>
      <c r="BD343">
        <f>TYPE(All_India_Index_Upto_April23__1[[#This Row],[Fuel and light]])</f>
        <v>1</v>
      </c>
      <c r="BE343">
        <f>TYPE(All_India_Index_Upto_April23__1[[#This Row],[Household goods and services]])</f>
        <v>1</v>
      </c>
      <c r="BF343">
        <f>TYPE(All_India_Index_Upto_April23__1[[#This Row],[Health]])</f>
        <v>1</v>
      </c>
      <c r="BG343">
        <f>TYPE(All_India_Index_Upto_April23__1[[#This Row],[Transport and communication]])</f>
        <v>1</v>
      </c>
      <c r="BH343">
        <f>TYPE(All_India_Index_Upto_April23__1[[#This Row],[Recreation and amusement]])</f>
        <v>1</v>
      </c>
      <c r="BI343">
        <f>TYPE(All_India_Index_Upto_April23__1[[#This Row],[Education]])</f>
        <v>1</v>
      </c>
      <c r="BJ343">
        <f>TYPE(All_India_Index_Upto_April23__1[[#This Row],[Personal care and effects]])</f>
        <v>1</v>
      </c>
      <c r="BK343">
        <f>TYPE(All_India_Index_Upto_April23__1[[#This Row],[Miscellaneous]])</f>
        <v>1</v>
      </c>
      <c r="BL343">
        <f>TYPE(All_India_Index_Upto_April23__1[[#This Row],[General index]])</f>
        <v>1</v>
      </c>
    </row>
    <row r="344" spans="1:64" hidden="1" x14ac:dyDescent="0.3">
      <c r="A344" t="s">
        <v>33</v>
      </c>
      <c r="B344">
        <v>2022</v>
      </c>
      <c r="C344" t="s">
        <v>39</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t="s">
        <v>199</v>
      </c>
      <c r="V344">
        <v>179.6</v>
      </c>
      <c r="W344">
        <v>167.4</v>
      </c>
      <c r="X344">
        <v>176.1</v>
      </c>
      <c r="Y344">
        <v>161.6</v>
      </c>
      <c r="Z344">
        <v>166.3</v>
      </c>
      <c r="AA344">
        <v>171.4</v>
      </c>
      <c r="AB344">
        <v>169.7</v>
      </c>
      <c r="AC344">
        <v>168.4</v>
      </c>
      <c r="AD344">
        <v>173.4</v>
      </c>
      <c r="AE344">
        <f>SUM(All_India_Index_Upto_April23__1[[#This Row],[Cereals and products]:[Food and beverages]])</f>
        <v>2266.3000000000002</v>
      </c>
      <c r="AF344">
        <f>SUM(All_India_Index_Upto_April23__1[[#This Row],[Clothing]:[Clothing and footwear]])</f>
        <v>526.90000000000009</v>
      </c>
      <c r="AG344">
        <f t="shared" si="5"/>
        <v>508.6</v>
      </c>
      <c r="AI344">
        <f>TYPE(All_India_Index_Upto_April23__1[[#This Row],[Sector]])</f>
        <v>2</v>
      </c>
      <c r="AJ344">
        <f>TYPE(All_India_Index_Upto_April23__1[[#This Row],[Year]])</f>
        <v>1</v>
      </c>
      <c r="AK344">
        <f>TYPE(All_India_Index_Upto_April23__1[[#This Row],[Month]])</f>
        <v>2</v>
      </c>
      <c r="AL344">
        <f>TYPE(All_India_Index_Upto_April23__1[[#This Row],[Cereals and products]])</f>
        <v>1</v>
      </c>
      <c r="AM344">
        <f>TYPE(All_India_Index_Upto_April23__1[[#This Row],[Meat and fish]])</f>
        <v>1</v>
      </c>
      <c r="AN344">
        <f>TYPE(All_India_Index_Upto_April23__1[[#This Row],[Egg]])</f>
        <v>1</v>
      </c>
      <c r="AO344">
        <f>TYPE(All_India_Index_Upto_April23__1[[#This Row],[Milk and products]])</f>
        <v>1</v>
      </c>
      <c r="AP344">
        <f>TYPE(All_India_Index_Upto_April23__1[[#This Row],[Oils and fats]])</f>
        <v>1</v>
      </c>
      <c r="AQ344">
        <f>TYPE(All_India_Index_Upto_April23__1[[#This Row],[Fruits]])</f>
        <v>1</v>
      </c>
      <c r="AR344">
        <f>TYPE(All_India_Index_Upto_April23__1[[#This Row],[Vegetables]])</f>
        <v>1</v>
      </c>
      <c r="AS344">
        <f>TYPE(All_India_Index_Upto_April23__1[[#This Row],[Pulses and products]])</f>
        <v>1</v>
      </c>
      <c r="AT344">
        <f>TYPE(All_India_Index_Upto_April23__1[[#This Row],[Sugar and Confectionery]])</f>
        <v>1</v>
      </c>
      <c r="AU344">
        <f>TYPE(All_India_Index_Upto_April23__1[[#This Row],[Spices]])</f>
        <v>1</v>
      </c>
      <c r="AV344">
        <f>TYPE(All_India_Index_Upto_April23__1[[#This Row],[Non-alcoholic beverages]])</f>
        <v>1</v>
      </c>
      <c r="AW344">
        <f>TYPE(All_India_Index_Upto_April23__1[[#This Row],[Prepared meals, snacks, sweets etc.]])</f>
        <v>1</v>
      </c>
      <c r="AX344">
        <f>TYPE(All_India_Index_Upto_April23__1[[#This Row],[Food and beverages]])</f>
        <v>1</v>
      </c>
      <c r="AY344">
        <f>TYPE(All_India_Index_Upto_April23__1[[#This Row],[Pan, tobacco and intoxicants]])</f>
        <v>1</v>
      </c>
      <c r="AZ344">
        <f>TYPE(All_India_Index_Upto_April23__1[[#This Row],[Clothing]])</f>
        <v>1</v>
      </c>
      <c r="BA344">
        <f>TYPE(All_India_Index_Upto_April23__1[[#This Row],[Footwear]])</f>
        <v>1</v>
      </c>
      <c r="BB344">
        <f>TYPE(All_India_Index_Upto_April23__1[[#This Row],[Clothing and footwear]])</f>
        <v>1</v>
      </c>
      <c r="BC344">
        <f>TYPE(All_India_Index_Upto_April23__1[[#This Row],[Housing]])</f>
        <v>2</v>
      </c>
      <c r="BD344">
        <f>TYPE(All_India_Index_Upto_April23__1[[#This Row],[Fuel and light]])</f>
        <v>1</v>
      </c>
      <c r="BE344">
        <f>TYPE(All_India_Index_Upto_April23__1[[#This Row],[Household goods and services]])</f>
        <v>1</v>
      </c>
      <c r="BF344">
        <f>TYPE(All_India_Index_Upto_April23__1[[#This Row],[Health]])</f>
        <v>1</v>
      </c>
      <c r="BG344">
        <f>TYPE(All_India_Index_Upto_April23__1[[#This Row],[Transport and communication]])</f>
        <v>1</v>
      </c>
      <c r="BH344">
        <f>TYPE(All_India_Index_Upto_April23__1[[#This Row],[Recreation and amusement]])</f>
        <v>1</v>
      </c>
      <c r="BI344">
        <f>TYPE(All_India_Index_Upto_April23__1[[#This Row],[Education]])</f>
        <v>1</v>
      </c>
      <c r="BJ344">
        <f>TYPE(All_India_Index_Upto_April23__1[[#This Row],[Personal care and effects]])</f>
        <v>1</v>
      </c>
      <c r="BK344">
        <f>TYPE(All_India_Index_Upto_April23__1[[#This Row],[Miscellaneous]])</f>
        <v>1</v>
      </c>
      <c r="BL344">
        <f>TYPE(All_India_Index_Upto_April23__1[[#This Row],[General index]])</f>
        <v>1</v>
      </c>
    </row>
    <row r="345" spans="1:64" hidden="1" x14ac:dyDescent="0.3">
      <c r="A345" t="s">
        <v>30</v>
      </c>
      <c r="B345">
        <v>2022</v>
      </c>
      <c r="C345" t="s">
        <v>40</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U345" t="s">
        <v>89</v>
      </c>
      <c r="V345">
        <v>179.1</v>
      </c>
      <c r="W345">
        <v>172.3</v>
      </c>
      <c r="X345">
        <v>179.4</v>
      </c>
      <c r="Y345">
        <v>166.6</v>
      </c>
      <c r="Z345">
        <v>169.3</v>
      </c>
      <c r="AA345">
        <v>175.7</v>
      </c>
      <c r="AB345">
        <v>171.1</v>
      </c>
      <c r="AC345">
        <v>172.6</v>
      </c>
      <c r="AD345">
        <v>175.3</v>
      </c>
      <c r="AE345">
        <f>SUM(All_India_Index_Upto_April23__1[[#This Row],[Cereals and products]:[Food and beverages]])</f>
        <v>2255.7999999999997</v>
      </c>
      <c r="AF345">
        <f>SUM(All_India_Index_Upto_April23__1[[#This Row],[Clothing]:[Clothing and footwear]])</f>
        <v>547.9</v>
      </c>
      <c r="AG345">
        <f t="shared" si="5"/>
        <v>518</v>
      </c>
      <c r="AI345">
        <f>TYPE(All_India_Index_Upto_April23__1[[#This Row],[Sector]])</f>
        <v>2</v>
      </c>
      <c r="AJ345">
        <f>TYPE(All_India_Index_Upto_April23__1[[#This Row],[Year]])</f>
        <v>1</v>
      </c>
      <c r="AK345">
        <f>TYPE(All_India_Index_Upto_April23__1[[#This Row],[Month]])</f>
        <v>2</v>
      </c>
      <c r="AL345">
        <f>TYPE(All_India_Index_Upto_April23__1[[#This Row],[Cereals and products]])</f>
        <v>1</v>
      </c>
      <c r="AM345">
        <f>TYPE(All_India_Index_Upto_April23__1[[#This Row],[Meat and fish]])</f>
        <v>1</v>
      </c>
      <c r="AN345">
        <f>TYPE(All_India_Index_Upto_April23__1[[#This Row],[Egg]])</f>
        <v>1</v>
      </c>
      <c r="AO345">
        <f>TYPE(All_India_Index_Upto_April23__1[[#This Row],[Milk and products]])</f>
        <v>1</v>
      </c>
      <c r="AP345">
        <f>TYPE(All_India_Index_Upto_April23__1[[#This Row],[Oils and fats]])</f>
        <v>1</v>
      </c>
      <c r="AQ345">
        <f>TYPE(All_India_Index_Upto_April23__1[[#This Row],[Fruits]])</f>
        <v>1</v>
      </c>
      <c r="AR345">
        <f>TYPE(All_India_Index_Upto_April23__1[[#This Row],[Vegetables]])</f>
        <v>1</v>
      </c>
      <c r="AS345">
        <f>TYPE(All_India_Index_Upto_April23__1[[#This Row],[Pulses and products]])</f>
        <v>1</v>
      </c>
      <c r="AT345">
        <f>TYPE(All_India_Index_Upto_April23__1[[#This Row],[Sugar and Confectionery]])</f>
        <v>1</v>
      </c>
      <c r="AU345">
        <f>TYPE(All_India_Index_Upto_April23__1[[#This Row],[Spices]])</f>
        <v>1</v>
      </c>
      <c r="AV345">
        <f>TYPE(All_India_Index_Upto_April23__1[[#This Row],[Non-alcoholic beverages]])</f>
        <v>1</v>
      </c>
      <c r="AW345">
        <f>TYPE(All_India_Index_Upto_April23__1[[#This Row],[Prepared meals, snacks, sweets etc.]])</f>
        <v>1</v>
      </c>
      <c r="AX345">
        <f>TYPE(All_India_Index_Upto_April23__1[[#This Row],[Food and beverages]])</f>
        <v>1</v>
      </c>
      <c r="AY345">
        <f>TYPE(All_India_Index_Upto_April23__1[[#This Row],[Pan, tobacco and intoxicants]])</f>
        <v>1</v>
      </c>
      <c r="AZ345">
        <f>TYPE(All_India_Index_Upto_April23__1[[#This Row],[Clothing]])</f>
        <v>1</v>
      </c>
      <c r="BA345">
        <f>TYPE(All_India_Index_Upto_April23__1[[#This Row],[Footwear]])</f>
        <v>1</v>
      </c>
      <c r="BB345">
        <f>TYPE(All_India_Index_Upto_April23__1[[#This Row],[Clothing and footwear]])</f>
        <v>1</v>
      </c>
      <c r="BC345">
        <f>TYPE(All_India_Index_Upto_April23__1[[#This Row],[Housing]])</f>
        <v>2</v>
      </c>
      <c r="BD345">
        <f>TYPE(All_India_Index_Upto_April23__1[[#This Row],[Fuel and light]])</f>
        <v>1</v>
      </c>
      <c r="BE345">
        <f>TYPE(All_India_Index_Upto_April23__1[[#This Row],[Household goods and services]])</f>
        <v>1</v>
      </c>
      <c r="BF345">
        <f>TYPE(All_India_Index_Upto_April23__1[[#This Row],[Health]])</f>
        <v>1</v>
      </c>
      <c r="BG345">
        <f>TYPE(All_India_Index_Upto_April23__1[[#This Row],[Transport and communication]])</f>
        <v>1</v>
      </c>
      <c r="BH345">
        <f>TYPE(All_India_Index_Upto_April23__1[[#This Row],[Recreation and amusement]])</f>
        <v>1</v>
      </c>
      <c r="BI345">
        <f>TYPE(All_India_Index_Upto_April23__1[[#This Row],[Education]])</f>
        <v>1</v>
      </c>
      <c r="BJ345">
        <f>TYPE(All_India_Index_Upto_April23__1[[#This Row],[Personal care and effects]])</f>
        <v>1</v>
      </c>
      <c r="BK345">
        <f>TYPE(All_India_Index_Upto_April23__1[[#This Row],[Miscellaneous]])</f>
        <v>1</v>
      </c>
      <c r="BL345">
        <f>TYPE(All_India_Index_Upto_April23__1[[#This Row],[General index]])</f>
        <v>1</v>
      </c>
    </row>
    <row r="346" spans="1:64" hidden="1" x14ac:dyDescent="0.3">
      <c r="A346" t="s">
        <v>32</v>
      </c>
      <c r="B346">
        <v>2022</v>
      </c>
      <c r="C346" t="s">
        <v>40</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t="s">
        <v>200</v>
      </c>
      <c r="V346">
        <v>178.4</v>
      </c>
      <c r="W346">
        <v>164.2</v>
      </c>
      <c r="X346">
        <v>172.6</v>
      </c>
      <c r="Y346">
        <v>157.69999999999999</v>
      </c>
      <c r="Z346">
        <v>165.1</v>
      </c>
      <c r="AA346">
        <v>169.9</v>
      </c>
      <c r="AB346">
        <v>171.4</v>
      </c>
      <c r="AC346">
        <v>165.4</v>
      </c>
      <c r="AD346">
        <v>173.1</v>
      </c>
      <c r="AE346">
        <f>SUM(All_India_Index_Upto_April23__1[[#This Row],[Cereals and products]:[Food and beverages]])</f>
        <v>2293.6999999999998</v>
      </c>
      <c r="AF346">
        <f>SUM(All_India_Index_Upto_April23__1[[#This Row],[Clothing]:[Clothing and footwear]])</f>
        <v>505.29999999999995</v>
      </c>
      <c r="AG346">
        <f t="shared" si="5"/>
        <v>500.3</v>
      </c>
      <c r="AI346">
        <f>TYPE(All_India_Index_Upto_April23__1[[#This Row],[Sector]])</f>
        <v>2</v>
      </c>
      <c r="AJ346">
        <f>TYPE(All_India_Index_Upto_April23__1[[#This Row],[Year]])</f>
        <v>1</v>
      </c>
      <c r="AK346">
        <f>TYPE(All_India_Index_Upto_April23__1[[#This Row],[Month]])</f>
        <v>2</v>
      </c>
      <c r="AL346">
        <f>TYPE(All_India_Index_Upto_April23__1[[#This Row],[Cereals and products]])</f>
        <v>1</v>
      </c>
      <c r="AM346">
        <f>TYPE(All_India_Index_Upto_April23__1[[#This Row],[Meat and fish]])</f>
        <v>1</v>
      </c>
      <c r="AN346">
        <f>TYPE(All_India_Index_Upto_April23__1[[#This Row],[Egg]])</f>
        <v>1</v>
      </c>
      <c r="AO346">
        <f>TYPE(All_India_Index_Upto_April23__1[[#This Row],[Milk and products]])</f>
        <v>1</v>
      </c>
      <c r="AP346">
        <f>TYPE(All_India_Index_Upto_April23__1[[#This Row],[Oils and fats]])</f>
        <v>1</v>
      </c>
      <c r="AQ346">
        <f>TYPE(All_India_Index_Upto_April23__1[[#This Row],[Fruits]])</f>
        <v>1</v>
      </c>
      <c r="AR346">
        <f>TYPE(All_India_Index_Upto_April23__1[[#This Row],[Vegetables]])</f>
        <v>1</v>
      </c>
      <c r="AS346">
        <f>TYPE(All_India_Index_Upto_April23__1[[#This Row],[Pulses and products]])</f>
        <v>1</v>
      </c>
      <c r="AT346">
        <f>TYPE(All_India_Index_Upto_April23__1[[#This Row],[Sugar and Confectionery]])</f>
        <v>1</v>
      </c>
      <c r="AU346">
        <f>TYPE(All_India_Index_Upto_April23__1[[#This Row],[Spices]])</f>
        <v>1</v>
      </c>
      <c r="AV346">
        <f>TYPE(All_India_Index_Upto_April23__1[[#This Row],[Non-alcoholic beverages]])</f>
        <v>1</v>
      </c>
      <c r="AW346">
        <f>TYPE(All_India_Index_Upto_April23__1[[#This Row],[Prepared meals, snacks, sweets etc.]])</f>
        <v>1</v>
      </c>
      <c r="AX346">
        <f>TYPE(All_India_Index_Upto_April23__1[[#This Row],[Food and beverages]])</f>
        <v>1</v>
      </c>
      <c r="AY346">
        <f>TYPE(All_India_Index_Upto_April23__1[[#This Row],[Pan, tobacco and intoxicants]])</f>
        <v>1</v>
      </c>
      <c r="AZ346">
        <f>TYPE(All_India_Index_Upto_April23__1[[#This Row],[Clothing]])</f>
        <v>1</v>
      </c>
      <c r="BA346">
        <f>TYPE(All_India_Index_Upto_April23__1[[#This Row],[Footwear]])</f>
        <v>1</v>
      </c>
      <c r="BB346">
        <f>TYPE(All_India_Index_Upto_April23__1[[#This Row],[Clothing and footwear]])</f>
        <v>1</v>
      </c>
      <c r="BC346">
        <f>TYPE(All_India_Index_Upto_April23__1[[#This Row],[Housing]])</f>
        <v>2</v>
      </c>
      <c r="BD346">
        <f>TYPE(All_India_Index_Upto_April23__1[[#This Row],[Fuel and light]])</f>
        <v>1</v>
      </c>
      <c r="BE346">
        <f>TYPE(All_India_Index_Upto_April23__1[[#This Row],[Household goods and services]])</f>
        <v>1</v>
      </c>
      <c r="BF346">
        <f>TYPE(All_India_Index_Upto_April23__1[[#This Row],[Health]])</f>
        <v>1</v>
      </c>
      <c r="BG346">
        <f>TYPE(All_India_Index_Upto_April23__1[[#This Row],[Transport and communication]])</f>
        <v>1</v>
      </c>
      <c r="BH346">
        <f>TYPE(All_India_Index_Upto_April23__1[[#This Row],[Recreation and amusement]])</f>
        <v>1</v>
      </c>
      <c r="BI346">
        <f>TYPE(All_India_Index_Upto_April23__1[[#This Row],[Education]])</f>
        <v>1</v>
      </c>
      <c r="BJ346">
        <f>TYPE(All_India_Index_Upto_April23__1[[#This Row],[Personal care and effects]])</f>
        <v>1</v>
      </c>
      <c r="BK346">
        <f>TYPE(All_India_Index_Upto_April23__1[[#This Row],[Miscellaneous]])</f>
        <v>1</v>
      </c>
      <c r="BL346">
        <f>TYPE(All_India_Index_Upto_April23__1[[#This Row],[General index]])</f>
        <v>1</v>
      </c>
    </row>
    <row r="347" spans="1:64" hidden="1" x14ac:dyDescent="0.3">
      <c r="A347" t="s">
        <v>33</v>
      </c>
      <c r="B347">
        <v>2022</v>
      </c>
      <c r="C347" t="s">
        <v>40</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t="s">
        <v>200</v>
      </c>
      <c r="V347">
        <v>178.8</v>
      </c>
      <c r="W347">
        <v>168.5</v>
      </c>
      <c r="X347">
        <v>176.8</v>
      </c>
      <c r="Y347">
        <v>161.9</v>
      </c>
      <c r="Z347">
        <v>166.9</v>
      </c>
      <c r="AA347">
        <v>172.3</v>
      </c>
      <c r="AB347">
        <v>171.2</v>
      </c>
      <c r="AC347">
        <v>169.1</v>
      </c>
      <c r="AD347">
        <v>174.3</v>
      </c>
      <c r="AE347">
        <f>SUM(All_India_Index_Upto_April23__1[[#This Row],[Cereals and products]:[Food and beverages]])</f>
        <v>2269.2000000000003</v>
      </c>
      <c r="AF347">
        <f>SUM(All_India_Index_Upto_April23__1[[#This Row],[Clothing]:[Clothing and footwear]])</f>
        <v>530.70000000000005</v>
      </c>
      <c r="AG347">
        <f t="shared" si="5"/>
        <v>509.20000000000005</v>
      </c>
      <c r="AI347">
        <f>TYPE(All_India_Index_Upto_April23__1[[#This Row],[Sector]])</f>
        <v>2</v>
      </c>
      <c r="AJ347">
        <f>TYPE(All_India_Index_Upto_April23__1[[#This Row],[Year]])</f>
        <v>1</v>
      </c>
      <c r="AK347">
        <f>TYPE(All_India_Index_Upto_April23__1[[#This Row],[Month]])</f>
        <v>2</v>
      </c>
      <c r="AL347">
        <f>TYPE(All_India_Index_Upto_April23__1[[#This Row],[Cereals and products]])</f>
        <v>1</v>
      </c>
      <c r="AM347">
        <f>TYPE(All_India_Index_Upto_April23__1[[#This Row],[Meat and fish]])</f>
        <v>1</v>
      </c>
      <c r="AN347">
        <f>TYPE(All_India_Index_Upto_April23__1[[#This Row],[Egg]])</f>
        <v>1</v>
      </c>
      <c r="AO347">
        <f>TYPE(All_India_Index_Upto_April23__1[[#This Row],[Milk and products]])</f>
        <v>1</v>
      </c>
      <c r="AP347">
        <f>TYPE(All_India_Index_Upto_April23__1[[#This Row],[Oils and fats]])</f>
        <v>1</v>
      </c>
      <c r="AQ347">
        <f>TYPE(All_India_Index_Upto_April23__1[[#This Row],[Fruits]])</f>
        <v>1</v>
      </c>
      <c r="AR347">
        <f>TYPE(All_India_Index_Upto_April23__1[[#This Row],[Vegetables]])</f>
        <v>1</v>
      </c>
      <c r="AS347">
        <f>TYPE(All_India_Index_Upto_April23__1[[#This Row],[Pulses and products]])</f>
        <v>1</v>
      </c>
      <c r="AT347">
        <f>TYPE(All_India_Index_Upto_April23__1[[#This Row],[Sugar and Confectionery]])</f>
        <v>1</v>
      </c>
      <c r="AU347">
        <f>TYPE(All_India_Index_Upto_April23__1[[#This Row],[Spices]])</f>
        <v>1</v>
      </c>
      <c r="AV347">
        <f>TYPE(All_India_Index_Upto_April23__1[[#This Row],[Non-alcoholic beverages]])</f>
        <v>1</v>
      </c>
      <c r="AW347">
        <f>TYPE(All_India_Index_Upto_April23__1[[#This Row],[Prepared meals, snacks, sweets etc.]])</f>
        <v>1</v>
      </c>
      <c r="AX347">
        <f>TYPE(All_India_Index_Upto_April23__1[[#This Row],[Food and beverages]])</f>
        <v>1</v>
      </c>
      <c r="AY347">
        <f>TYPE(All_India_Index_Upto_April23__1[[#This Row],[Pan, tobacco and intoxicants]])</f>
        <v>1</v>
      </c>
      <c r="AZ347">
        <f>TYPE(All_India_Index_Upto_April23__1[[#This Row],[Clothing]])</f>
        <v>1</v>
      </c>
      <c r="BA347">
        <f>TYPE(All_India_Index_Upto_April23__1[[#This Row],[Footwear]])</f>
        <v>1</v>
      </c>
      <c r="BB347">
        <f>TYPE(All_India_Index_Upto_April23__1[[#This Row],[Clothing and footwear]])</f>
        <v>1</v>
      </c>
      <c r="BC347">
        <f>TYPE(All_India_Index_Upto_April23__1[[#This Row],[Housing]])</f>
        <v>2</v>
      </c>
      <c r="BD347">
        <f>TYPE(All_India_Index_Upto_April23__1[[#This Row],[Fuel and light]])</f>
        <v>1</v>
      </c>
      <c r="BE347">
        <f>TYPE(All_India_Index_Upto_April23__1[[#This Row],[Household goods and services]])</f>
        <v>1</v>
      </c>
      <c r="BF347">
        <f>TYPE(All_India_Index_Upto_April23__1[[#This Row],[Health]])</f>
        <v>1</v>
      </c>
      <c r="BG347">
        <f>TYPE(All_India_Index_Upto_April23__1[[#This Row],[Transport and communication]])</f>
        <v>1</v>
      </c>
      <c r="BH347">
        <f>TYPE(All_India_Index_Upto_April23__1[[#This Row],[Recreation and amusement]])</f>
        <v>1</v>
      </c>
      <c r="BI347">
        <f>TYPE(All_India_Index_Upto_April23__1[[#This Row],[Education]])</f>
        <v>1</v>
      </c>
      <c r="BJ347">
        <f>TYPE(All_India_Index_Upto_April23__1[[#This Row],[Personal care and effects]])</f>
        <v>1</v>
      </c>
      <c r="BK347">
        <f>TYPE(All_India_Index_Upto_April23__1[[#This Row],[Miscellaneous]])</f>
        <v>1</v>
      </c>
      <c r="BL347">
        <f>TYPE(All_India_Index_Upto_April23__1[[#This Row],[General index]])</f>
        <v>1</v>
      </c>
    </row>
    <row r="348" spans="1:64" hidden="1" x14ac:dyDescent="0.3">
      <c r="A348" t="s">
        <v>30</v>
      </c>
      <c r="B348">
        <v>2022</v>
      </c>
      <c r="C348" t="s">
        <v>41</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U348" t="s">
        <v>89</v>
      </c>
      <c r="V348">
        <v>179.7</v>
      </c>
      <c r="W348">
        <v>173.6</v>
      </c>
      <c r="X348">
        <v>180.2</v>
      </c>
      <c r="Y348">
        <v>166.9</v>
      </c>
      <c r="Z348">
        <v>170</v>
      </c>
      <c r="AA348">
        <v>176.2</v>
      </c>
      <c r="AB348">
        <v>170.8</v>
      </c>
      <c r="AC348">
        <v>173.1</v>
      </c>
      <c r="AD348">
        <v>176.4</v>
      </c>
      <c r="AE348">
        <f>SUM(All_India_Index_Upto_April23__1[[#This Row],[Cereals and products]:[Food and beverages]])</f>
        <v>2267.8000000000002</v>
      </c>
      <c r="AF348">
        <f>SUM(All_India_Index_Upto_April23__1[[#This Row],[Clothing]:[Clothing and footwear]])</f>
        <v>552.5</v>
      </c>
      <c r="AG348">
        <f t="shared" si="5"/>
        <v>520.19999999999993</v>
      </c>
      <c r="AI348">
        <f>TYPE(All_India_Index_Upto_April23__1[[#This Row],[Sector]])</f>
        <v>2</v>
      </c>
      <c r="AJ348">
        <f>TYPE(All_India_Index_Upto_April23__1[[#This Row],[Year]])</f>
        <v>1</v>
      </c>
      <c r="AK348">
        <f>TYPE(All_India_Index_Upto_April23__1[[#This Row],[Month]])</f>
        <v>2</v>
      </c>
      <c r="AL348">
        <f>TYPE(All_India_Index_Upto_April23__1[[#This Row],[Cereals and products]])</f>
        <v>1</v>
      </c>
      <c r="AM348">
        <f>TYPE(All_India_Index_Upto_April23__1[[#This Row],[Meat and fish]])</f>
        <v>1</v>
      </c>
      <c r="AN348">
        <f>TYPE(All_India_Index_Upto_April23__1[[#This Row],[Egg]])</f>
        <v>1</v>
      </c>
      <c r="AO348">
        <f>TYPE(All_India_Index_Upto_April23__1[[#This Row],[Milk and products]])</f>
        <v>1</v>
      </c>
      <c r="AP348">
        <f>TYPE(All_India_Index_Upto_April23__1[[#This Row],[Oils and fats]])</f>
        <v>1</v>
      </c>
      <c r="AQ348">
        <f>TYPE(All_India_Index_Upto_April23__1[[#This Row],[Fruits]])</f>
        <v>1</v>
      </c>
      <c r="AR348">
        <f>TYPE(All_India_Index_Upto_April23__1[[#This Row],[Vegetables]])</f>
        <v>1</v>
      </c>
      <c r="AS348">
        <f>TYPE(All_India_Index_Upto_April23__1[[#This Row],[Pulses and products]])</f>
        <v>1</v>
      </c>
      <c r="AT348">
        <f>TYPE(All_India_Index_Upto_April23__1[[#This Row],[Sugar and Confectionery]])</f>
        <v>1</v>
      </c>
      <c r="AU348">
        <f>TYPE(All_India_Index_Upto_April23__1[[#This Row],[Spices]])</f>
        <v>1</v>
      </c>
      <c r="AV348">
        <f>TYPE(All_India_Index_Upto_April23__1[[#This Row],[Non-alcoholic beverages]])</f>
        <v>1</v>
      </c>
      <c r="AW348">
        <f>TYPE(All_India_Index_Upto_April23__1[[#This Row],[Prepared meals, snacks, sweets etc.]])</f>
        <v>1</v>
      </c>
      <c r="AX348">
        <f>TYPE(All_India_Index_Upto_April23__1[[#This Row],[Food and beverages]])</f>
        <v>1</v>
      </c>
      <c r="AY348">
        <f>TYPE(All_India_Index_Upto_April23__1[[#This Row],[Pan, tobacco and intoxicants]])</f>
        <v>1</v>
      </c>
      <c r="AZ348">
        <f>TYPE(All_India_Index_Upto_April23__1[[#This Row],[Clothing]])</f>
        <v>1</v>
      </c>
      <c r="BA348">
        <f>TYPE(All_India_Index_Upto_April23__1[[#This Row],[Footwear]])</f>
        <v>1</v>
      </c>
      <c r="BB348">
        <f>TYPE(All_India_Index_Upto_April23__1[[#This Row],[Clothing and footwear]])</f>
        <v>1</v>
      </c>
      <c r="BC348">
        <f>TYPE(All_India_Index_Upto_April23__1[[#This Row],[Housing]])</f>
        <v>2</v>
      </c>
      <c r="BD348">
        <f>TYPE(All_India_Index_Upto_April23__1[[#This Row],[Fuel and light]])</f>
        <v>1</v>
      </c>
      <c r="BE348">
        <f>TYPE(All_India_Index_Upto_April23__1[[#This Row],[Household goods and services]])</f>
        <v>1</v>
      </c>
      <c r="BF348">
        <f>TYPE(All_India_Index_Upto_April23__1[[#This Row],[Health]])</f>
        <v>1</v>
      </c>
      <c r="BG348">
        <f>TYPE(All_India_Index_Upto_April23__1[[#This Row],[Transport and communication]])</f>
        <v>1</v>
      </c>
      <c r="BH348">
        <f>TYPE(All_India_Index_Upto_April23__1[[#This Row],[Recreation and amusement]])</f>
        <v>1</v>
      </c>
      <c r="BI348">
        <f>TYPE(All_India_Index_Upto_April23__1[[#This Row],[Education]])</f>
        <v>1</v>
      </c>
      <c r="BJ348">
        <f>TYPE(All_India_Index_Upto_April23__1[[#This Row],[Personal care and effects]])</f>
        <v>1</v>
      </c>
      <c r="BK348">
        <f>TYPE(All_India_Index_Upto_April23__1[[#This Row],[Miscellaneous]])</f>
        <v>1</v>
      </c>
      <c r="BL348">
        <f>TYPE(All_India_Index_Upto_April23__1[[#This Row],[General index]])</f>
        <v>1</v>
      </c>
    </row>
    <row r="349" spans="1:64" hidden="1" x14ac:dyDescent="0.3">
      <c r="A349" t="s">
        <v>32</v>
      </c>
      <c r="B349">
        <v>2022</v>
      </c>
      <c r="C349" t="s">
        <v>41</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t="s">
        <v>201</v>
      </c>
      <c r="V349">
        <v>179.2</v>
      </c>
      <c r="W349">
        <v>165</v>
      </c>
      <c r="X349">
        <v>173.8</v>
      </c>
      <c r="Y349">
        <v>158.19999999999999</v>
      </c>
      <c r="Z349">
        <v>165.8</v>
      </c>
      <c r="AA349">
        <v>170.9</v>
      </c>
      <c r="AB349">
        <v>171.1</v>
      </c>
      <c r="AC349">
        <v>166.1</v>
      </c>
      <c r="AD349">
        <v>174.1</v>
      </c>
      <c r="AE349">
        <f>SUM(All_India_Index_Upto_April23__1[[#This Row],[Cereals and products]:[Food and beverages]])</f>
        <v>2306.4</v>
      </c>
      <c r="AF349">
        <f>SUM(All_India_Index_Upto_April23__1[[#This Row],[Clothing]:[Clothing and footwear]])</f>
        <v>509.7</v>
      </c>
      <c r="AG349">
        <f t="shared" si="5"/>
        <v>502.4</v>
      </c>
      <c r="AI349">
        <f>TYPE(All_India_Index_Upto_April23__1[[#This Row],[Sector]])</f>
        <v>2</v>
      </c>
      <c r="AJ349">
        <f>TYPE(All_India_Index_Upto_April23__1[[#This Row],[Year]])</f>
        <v>1</v>
      </c>
      <c r="AK349">
        <f>TYPE(All_India_Index_Upto_April23__1[[#This Row],[Month]])</f>
        <v>2</v>
      </c>
      <c r="AL349">
        <f>TYPE(All_India_Index_Upto_April23__1[[#This Row],[Cereals and products]])</f>
        <v>1</v>
      </c>
      <c r="AM349">
        <f>TYPE(All_India_Index_Upto_April23__1[[#This Row],[Meat and fish]])</f>
        <v>1</v>
      </c>
      <c r="AN349">
        <f>TYPE(All_India_Index_Upto_April23__1[[#This Row],[Egg]])</f>
        <v>1</v>
      </c>
      <c r="AO349">
        <f>TYPE(All_India_Index_Upto_April23__1[[#This Row],[Milk and products]])</f>
        <v>1</v>
      </c>
      <c r="AP349">
        <f>TYPE(All_India_Index_Upto_April23__1[[#This Row],[Oils and fats]])</f>
        <v>1</v>
      </c>
      <c r="AQ349">
        <f>TYPE(All_India_Index_Upto_April23__1[[#This Row],[Fruits]])</f>
        <v>1</v>
      </c>
      <c r="AR349">
        <f>TYPE(All_India_Index_Upto_April23__1[[#This Row],[Vegetables]])</f>
        <v>1</v>
      </c>
      <c r="AS349">
        <f>TYPE(All_India_Index_Upto_April23__1[[#This Row],[Pulses and products]])</f>
        <v>1</v>
      </c>
      <c r="AT349">
        <f>TYPE(All_India_Index_Upto_April23__1[[#This Row],[Sugar and Confectionery]])</f>
        <v>1</v>
      </c>
      <c r="AU349">
        <f>TYPE(All_India_Index_Upto_April23__1[[#This Row],[Spices]])</f>
        <v>1</v>
      </c>
      <c r="AV349">
        <f>TYPE(All_India_Index_Upto_April23__1[[#This Row],[Non-alcoholic beverages]])</f>
        <v>1</v>
      </c>
      <c r="AW349">
        <f>TYPE(All_India_Index_Upto_April23__1[[#This Row],[Prepared meals, snacks, sweets etc.]])</f>
        <v>1</v>
      </c>
      <c r="AX349">
        <f>TYPE(All_India_Index_Upto_April23__1[[#This Row],[Food and beverages]])</f>
        <v>1</v>
      </c>
      <c r="AY349">
        <f>TYPE(All_India_Index_Upto_April23__1[[#This Row],[Pan, tobacco and intoxicants]])</f>
        <v>1</v>
      </c>
      <c r="AZ349">
        <f>TYPE(All_India_Index_Upto_April23__1[[#This Row],[Clothing]])</f>
        <v>1</v>
      </c>
      <c r="BA349">
        <f>TYPE(All_India_Index_Upto_April23__1[[#This Row],[Footwear]])</f>
        <v>1</v>
      </c>
      <c r="BB349">
        <f>TYPE(All_India_Index_Upto_April23__1[[#This Row],[Clothing and footwear]])</f>
        <v>1</v>
      </c>
      <c r="BC349">
        <f>TYPE(All_India_Index_Upto_April23__1[[#This Row],[Housing]])</f>
        <v>2</v>
      </c>
      <c r="BD349">
        <f>TYPE(All_India_Index_Upto_April23__1[[#This Row],[Fuel and light]])</f>
        <v>1</v>
      </c>
      <c r="BE349">
        <f>TYPE(All_India_Index_Upto_April23__1[[#This Row],[Household goods and services]])</f>
        <v>1</v>
      </c>
      <c r="BF349">
        <f>TYPE(All_India_Index_Upto_April23__1[[#This Row],[Health]])</f>
        <v>1</v>
      </c>
      <c r="BG349">
        <f>TYPE(All_India_Index_Upto_April23__1[[#This Row],[Transport and communication]])</f>
        <v>1</v>
      </c>
      <c r="BH349">
        <f>TYPE(All_India_Index_Upto_April23__1[[#This Row],[Recreation and amusement]])</f>
        <v>1</v>
      </c>
      <c r="BI349">
        <f>TYPE(All_India_Index_Upto_April23__1[[#This Row],[Education]])</f>
        <v>1</v>
      </c>
      <c r="BJ349">
        <f>TYPE(All_India_Index_Upto_April23__1[[#This Row],[Personal care and effects]])</f>
        <v>1</v>
      </c>
      <c r="BK349">
        <f>TYPE(All_India_Index_Upto_April23__1[[#This Row],[Miscellaneous]])</f>
        <v>1</v>
      </c>
      <c r="BL349">
        <f>TYPE(All_India_Index_Upto_April23__1[[#This Row],[General index]])</f>
        <v>1</v>
      </c>
    </row>
    <row r="350" spans="1:64" hidden="1" x14ac:dyDescent="0.3">
      <c r="A350" t="s">
        <v>33</v>
      </c>
      <c r="B350">
        <v>2022</v>
      </c>
      <c r="C350" t="s">
        <v>41</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t="s">
        <v>201</v>
      </c>
      <c r="V350">
        <v>179.5</v>
      </c>
      <c r="W350">
        <v>169.5</v>
      </c>
      <c r="X350">
        <v>177.8</v>
      </c>
      <c r="Y350">
        <v>162.30000000000001</v>
      </c>
      <c r="Z350">
        <v>167.6</v>
      </c>
      <c r="AA350">
        <v>173.1</v>
      </c>
      <c r="AB350">
        <v>170.9</v>
      </c>
      <c r="AC350">
        <v>169.7</v>
      </c>
      <c r="AD350">
        <v>175.3</v>
      </c>
      <c r="AE350">
        <f>SUM(All_India_Index_Upto_April23__1[[#This Row],[Cereals and products]:[Food and beverages]])</f>
        <v>2280.9</v>
      </c>
      <c r="AF350">
        <f>SUM(All_India_Index_Upto_April23__1[[#This Row],[Clothing]:[Clothing and footwear]])</f>
        <v>535.1</v>
      </c>
      <c r="AG350">
        <f t="shared" si="5"/>
        <v>511.3</v>
      </c>
      <c r="AI350">
        <f>TYPE(All_India_Index_Upto_April23__1[[#This Row],[Sector]])</f>
        <v>2</v>
      </c>
      <c r="AJ350">
        <f>TYPE(All_India_Index_Upto_April23__1[[#This Row],[Year]])</f>
        <v>1</v>
      </c>
      <c r="AK350">
        <f>TYPE(All_India_Index_Upto_April23__1[[#This Row],[Month]])</f>
        <v>2</v>
      </c>
      <c r="AL350">
        <f>TYPE(All_India_Index_Upto_April23__1[[#This Row],[Cereals and products]])</f>
        <v>1</v>
      </c>
      <c r="AM350">
        <f>TYPE(All_India_Index_Upto_April23__1[[#This Row],[Meat and fish]])</f>
        <v>1</v>
      </c>
      <c r="AN350">
        <f>TYPE(All_India_Index_Upto_April23__1[[#This Row],[Egg]])</f>
        <v>1</v>
      </c>
      <c r="AO350">
        <f>TYPE(All_India_Index_Upto_April23__1[[#This Row],[Milk and products]])</f>
        <v>1</v>
      </c>
      <c r="AP350">
        <f>TYPE(All_India_Index_Upto_April23__1[[#This Row],[Oils and fats]])</f>
        <v>1</v>
      </c>
      <c r="AQ350">
        <f>TYPE(All_India_Index_Upto_April23__1[[#This Row],[Fruits]])</f>
        <v>1</v>
      </c>
      <c r="AR350">
        <f>TYPE(All_India_Index_Upto_April23__1[[#This Row],[Vegetables]])</f>
        <v>1</v>
      </c>
      <c r="AS350">
        <f>TYPE(All_India_Index_Upto_April23__1[[#This Row],[Pulses and products]])</f>
        <v>1</v>
      </c>
      <c r="AT350">
        <f>TYPE(All_India_Index_Upto_April23__1[[#This Row],[Sugar and Confectionery]])</f>
        <v>1</v>
      </c>
      <c r="AU350">
        <f>TYPE(All_India_Index_Upto_April23__1[[#This Row],[Spices]])</f>
        <v>1</v>
      </c>
      <c r="AV350">
        <f>TYPE(All_India_Index_Upto_April23__1[[#This Row],[Non-alcoholic beverages]])</f>
        <v>1</v>
      </c>
      <c r="AW350">
        <f>TYPE(All_India_Index_Upto_April23__1[[#This Row],[Prepared meals, snacks, sweets etc.]])</f>
        <v>1</v>
      </c>
      <c r="AX350">
        <f>TYPE(All_India_Index_Upto_April23__1[[#This Row],[Food and beverages]])</f>
        <v>1</v>
      </c>
      <c r="AY350">
        <f>TYPE(All_India_Index_Upto_April23__1[[#This Row],[Pan, tobacco and intoxicants]])</f>
        <v>1</v>
      </c>
      <c r="AZ350">
        <f>TYPE(All_India_Index_Upto_April23__1[[#This Row],[Clothing]])</f>
        <v>1</v>
      </c>
      <c r="BA350">
        <f>TYPE(All_India_Index_Upto_April23__1[[#This Row],[Footwear]])</f>
        <v>1</v>
      </c>
      <c r="BB350">
        <f>TYPE(All_India_Index_Upto_April23__1[[#This Row],[Clothing and footwear]])</f>
        <v>1</v>
      </c>
      <c r="BC350">
        <f>TYPE(All_India_Index_Upto_April23__1[[#This Row],[Housing]])</f>
        <v>2</v>
      </c>
      <c r="BD350">
        <f>TYPE(All_India_Index_Upto_April23__1[[#This Row],[Fuel and light]])</f>
        <v>1</v>
      </c>
      <c r="BE350">
        <f>TYPE(All_India_Index_Upto_April23__1[[#This Row],[Household goods and services]])</f>
        <v>1</v>
      </c>
      <c r="BF350">
        <f>TYPE(All_India_Index_Upto_April23__1[[#This Row],[Health]])</f>
        <v>1</v>
      </c>
      <c r="BG350">
        <f>TYPE(All_India_Index_Upto_April23__1[[#This Row],[Transport and communication]])</f>
        <v>1</v>
      </c>
      <c r="BH350">
        <f>TYPE(All_India_Index_Upto_April23__1[[#This Row],[Recreation and amusement]])</f>
        <v>1</v>
      </c>
      <c r="BI350">
        <f>TYPE(All_India_Index_Upto_April23__1[[#This Row],[Education]])</f>
        <v>1</v>
      </c>
      <c r="BJ350">
        <f>TYPE(All_India_Index_Upto_April23__1[[#This Row],[Personal care and effects]])</f>
        <v>1</v>
      </c>
      <c r="BK350">
        <f>TYPE(All_India_Index_Upto_April23__1[[#This Row],[Miscellaneous]])</f>
        <v>1</v>
      </c>
      <c r="BL350">
        <f>TYPE(All_India_Index_Upto_April23__1[[#This Row],[General index]])</f>
        <v>1</v>
      </c>
    </row>
    <row r="351" spans="1:64" hidden="1" x14ac:dyDescent="0.3">
      <c r="A351" t="s">
        <v>30</v>
      </c>
      <c r="B351">
        <v>2022</v>
      </c>
      <c r="C351" t="s">
        <v>42</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U351" t="s">
        <v>89</v>
      </c>
      <c r="V351">
        <v>180.8</v>
      </c>
      <c r="W351">
        <v>174.4</v>
      </c>
      <c r="X351">
        <v>181.2</v>
      </c>
      <c r="Y351">
        <v>167.4</v>
      </c>
      <c r="Z351">
        <v>170.6</v>
      </c>
      <c r="AA351">
        <v>176.5</v>
      </c>
      <c r="AB351">
        <v>172</v>
      </c>
      <c r="AC351">
        <v>173.9</v>
      </c>
      <c r="AD351">
        <v>177.9</v>
      </c>
      <c r="AE351">
        <f>SUM(All_India_Index_Upto_April23__1[[#This Row],[Cereals and products]:[Food and beverages]])</f>
        <v>2284.5</v>
      </c>
      <c r="AF351">
        <f>SUM(All_India_Index_Upto_April23__1[[#This Row],[Clothing]:[Clothing and footwear]])</f>
        <v>556.4</v>
      </c>
      <c r="AG351">
        <f t="shared" si="5"/>
        <v>522.6</v>
      </c>
      <c r="AI351">
        <f>TYPE(All_India_Index_Upto_April23__1[[#This Row],[Sector]])</f>
        <v>2</v>
      </c>
      <c r="AJ351">
        <f>TYPE(All_India_Index_Upto_April23__1[[#This Row],[Year]])</f>
        <v>1</v>
      </c>
      <c r="AK351">
        <f>TYPE(All_India_Index_Upto_April23__1[[#This Row],[Month]])</f>
        <v>2</v>
      </c>
      <c r="AL351">
        <f>TYPE(All_India_Index_Upto_April23__1[[#This Row],[Cereals and products]])</f>
        <v>1</v>
      </c>
      <c r="AM351">
        <f>TYPE(All_India_Index_Upto_April23__1[[#This Row],[Meat and fish]])</f>
        <v>1</v>
      </c>
      <c r="AN351">
        <f>TYPE(All_India_Index_Upto_April23__1[[#This Row],[Egg]])</f>
        <v>1</v>
      </c>
      <c r="AO351">
        <f>TYPE(All_India_Index_Upto_April23__1[[#This Row],[Milk and products]])</f>
        <v>1</v>
      </c>
      <c r="AP351">
        <f>TYPE(All_India_Index_Upto_April23__1[[#This Row],[Oils and fats]])</f>
        <v>1</v>
      </c>
      <c r="AQ351">
        <f>TYPE(All_India_Index_Upto_April23__1[[#This Row],[Fruits]])</f>
        <v>1</v>
      </c>
      <c r="AR351">
        <f>TYPE(All_India_Index_Upto_April23__1[[#This Row],[Vegetables]])</f>
        <v>1</v>
      </c>
      <c r="AS351">
        <f>TYPE(All_India_Index_Upto_April23__1[[#This Row],[Pulses and products]])</f>
        <v>1</v>
      </c>
      <c r="AT351">
        <f>TYPE(All_India_Index_Upto_April23__1[[#This Row],[Sugar and Confectionery]])</f>
        <v>1</v>
      </c>
      <c r="AU351">
        <f>TYPE(All_India_Index_Upto_April23__1[[#This Row],[Spices]])</f>
        <v>1</v>
      </c>
      <c r="AV351">
        <f>TYPE(All_India_Index_Upto_April23__1[[#This Row],[Non-alcoholic beverages]])</f>
        <v>1</v>
      </c>
      <c r="AW351">
        <f>TYPE(All_India_Index_Upto_April23__1[[#This Row],[Prepared meals, snacks, sweets etc.]])</f>
        <v>1</v>
      </c>
      <c r="AX351">
        <f>TYPE(All_India_Index_Upto_April23__1[[#This Row],[Food and beverages]])</f>
        <v>1</v>
      </c>
      <c r="AY351">
        <f>TYPE(All_India_Index_Upto_April23__1[[#This Row],[Pan, tobacco and intoxicants]])</f>
        <v>1</v>
      </c>
      <c r="AZ351">
        <f>TYPE(All_India_Index_Upto_April23__1[[#This Row],[Clothing]])</f>
        <v>1</v>
      </c>
      <c r="BA351">
        <f>TYPE(All_India_Index_Upto_April23__1[[#This Row],[Footwear]])</f>
        <v>1</v>
      </c>
      <c r="BB351">
        <f>TYPE(All_India_Index_Upto_April23__1[[#This Row],[Clothing and footwear]])</f>
        <v>1</v>
      </c>
      <c r="BC351">
        <f>TYPE(All_India_Index_Upto_April23__1[[#This Row],[Housing]])</f>
        <v>2</v>
      </c>
      <c r="BD351">
        <f>TYPE(All_India_Index_Upto_April23__1[[#This Row],[Fuel and light]])</f>
        <v>1</v>
      </c>
      <c r="BE351">
        <f>TYPE(All_India_Index_Upto_April23__1[[#This Row],[Household goods and services]])</f>
        <v>1</v>
      </c>
      <c r="BF351">
        <f>TYPE(All_India_Index_Upto_April23__1[[#This Row],[Health]])</f>
        <v>1</v>
      </c>
      <c r="BG351">
        <f>TYPE(All_India_Index_Upto_April23__1[[#This Row],[Transport and communication]])</f>
        <v>1</v>
      </c>
      <c r="BH351">
        <f>TYPE(All_India_Index_Upto_April23__1[[#This Row],[Recreation and amusement]])</f>
        <v>1</v>
      </c>
      <c r="BI351">
        <f>TYPE(All_India_Index_Upto_April23__1[[#This Row],[Education]])</f>
        <v>1</v>
      </c>
      <c r="BJ351">
        <f>TYPE(All_India_Index_Upto_April23__1[[#This Row],[Personal care and effects]])</f>
        <v>1</v>
      </c>
      <c r="BK351">
        <f>TYPE(All_India_Index_Upto_April23__1[[#This Row],[Miscellaneous]])</f>
        <v>1</v>
      </c>
      <c r="BL351">
        <f>TYPE(All_India_Index_Upto_April23__1[[#This Row],[General index]])</f>
        <v>1</v>
      </c>
    </row>
    <row r="352" spans="1:64" hidden="1" x14ac:dyDescent="0.3">
      <c r="A352" t="s">
        <v>32</v>
      </c>
      <c r="B352">
        <v>2022</v>
      </c>
      <c r="C352" t="s">
        <v>42</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t="s">
        <v>202</v>
      </c>
      <c r="V352">
        <v>180</v>
      </c>
      <c r="W352">
        <v>166</v>
      </c>
      <c r="X352">
        <v>174.7</v>
      </c>
      <c r="Y352">
        <v>158.80000000000001</v>
      </c>
      <c r="Z352">
        <v>166.3</v>
      </c>
      <c r="AA352">
        <v>171.2</v>
      </c>
      <c r="AB352">
        <v>172.3</v>
      </c>
      <c r="AC352">
        <v>166.8</v>
      </c>
      <c r="AD352">
        <v>175.3</v>
      </c>
      <c r="AE352">
        <f>SUM(All_India_Index_Upto_April23__1[[#This Row],[Cereals and products]:[Food and beverages]])</f>
        <v>2322.3000000000002</v>
      </c>
      <c r="AF352">
        <f>SUM(All_India_Index_Upto_April23__1[[#This Row],[Clothing]:[Clothing and footwear]])</f>
        <v>511.70000000000005</v>
      </c>
      <c r="AG352">
        <f t="shared" si="5"/>
        <v>504.8</v>
      </c>
      <c r="AI352">
        <f>TYPE(All_India_Index_Upto_April23__1[[#This Row],[Sector]])</f>
        <v>2</v>
      </c>
      <c r="AJ352">
        <f>TYPE(All_India_Index_Upto_April23__1[[#This Row],[Year]])</f>
        <v>1</v>
      </c>
      <c r="AK352">
        <f>TYPE(All_India_Index_Upto_April23__1[[#This Row],[Month]])</f>
        <v>2</v>
      </c>
      <c r="AL352">
        <f>TYPE(All_India_Index_Upto_April23__1[[#This Row],[Cereals and products]])</f>
        <v>1</v>
      </c>
      <c r="AM352">
        <f>TYPE(All_India_Index_Upto_April23__1[[#This Row],[Meat and fish]])</f>
        <v>1</v>
      </c>
      <c r="AN352">
        <f>TYPE(All_India_Index_Upto_April23__1[[#This Row],[Egg]])</f>
        <v>1</v>
      </c>
      <c r="AO352">
        <f>TYPE(All_India_Index_Upto_April23__1[[#This Row],[Milk and products]])</f>
        <v>1</v>
      </c>
      <c r="AP352">
        <f>TYPE(All_India_Index_Upto_April23__1[[#This Row],[Oils and fats]])</f>
        <v>1</v>
      </c>
      <c r="AQ352">
        <f>TYPE(All_India_Index_Upto_April23__1[[#This Row],[Fruits]])</f>
        <v>1</v>
      </c>
      <c r="AR352">
        <f>TYPE(All_India_Index_Upto_April23__1[[#This Row],[Vegetables]])</f>
        <v>1</v>
      </c>
      <c r="AS352">
        <f>TYPE(All_India_Index_Upto_April23__1[[#This Row],[Pulses and products]])</f>
        <v>1</v>
      </c>
      <c r="AT352">
        <f>TYPE(All_India_Index_Upto_April23__1[[#This Row],[Sugar and Confectionery]])</f>
        <v>1</v>
      </c>
      <c r="AU352">
        <f>TYPE(All_India_Index_Upto_April23__1[[#This Row],[Spices]])</f>
        <v>1</v>
      </c>
      <c r="AV352">
        <f>TYPE(All_India_Index_Upto_April23__1[[#This Row],[Non-alcoholic beverages]])</f>
        <v>1</v>
      </c>
      <c r="AW352">
        <f>TYPE(All_India_Index_Upto_April23__1[[#This Row],[Prepared meals, snacks, sweets etc.]])</f>
        <v>1</v>
      </c>
      <c r="AX352">
        <f>TYPE(All_India_Index_Upto_April23__1[[#This Row],[Food and beverages]])</f>
        <v>1</v>
      </c>
      <c r="AY352">
        <f>TYPE(All_India_Index_Upto_April23__1[[#This Row],[Pan, tobacco and intoxicants]])</f>
        <v>1</v>
      </c>
      <c r="AZ352">
        <f>TYPE(All_India_Index_Upto_April23__1[[#This Row],[Clothing]])</f>
        <v>1</v>
      </c>
      <c r="BA352">
        <f>TYPE(All_India_Index_Upto_April23__1[[#This Row],[Footwear]])</f>
        <v>1</v>
      </c>
      <c r="BB352">
        <f>TYPE(All_India_Index_Upto_April23__1[[#This Row],[Clothing and footwear]])</f>
        <v>1</v>
      </c>
      <c r="BC352">
        <f>TYPE(All_India_Index_Upto_April23__1[[#This Row],[Housing]])</f>
        <v>2</v>
      </c>
      <c r="BD352">
        <f>TYPE(All_India_Index_Upto_April23__1[[#This Row],[Fuel and light]])</f>
        <v>1</v>
      </c>
      <c r="BE352">
        <f>TYPE(All_India_Index_Upto_April23__1[[#This Row],[Household goods and services]])</f>
        <v>1</v>
      </c>
      <c r="BF352">
        <f>TYPE(All_India_Index_Upto_April23__1[[#This Row],[Health]])</f>
        <v>1</v>
      </c>
      <c r="BG352">
        <f>TYPE(All_India_Index_Upto_April23__1[[#This Row],[Transport and communication]])</f>
        <v>1</v>
      </c>
      <c r="BH352">
        <f>TYPE(All_India_Index_Upto_April23__1[[#This Row],[Recreation and amusement]])</f>
        <v>1</v>
      </c>
      <c r="BI352">
        <f>TYPE(All_India_Index_Upto_April23__1[[#This Row],[Education]])</f>
        <v>1</v>
      </c>
      <c r="BJ352">
        <f>TYPE(All_India_Index_Upto_April23__1[[#This Row],[Personal care and effects]])</f>
        <v>1</v>
      </c>
      <c r="BK352">
        <f>TYPE(All_India_Index_Upto_April23__1[[#This Row],[Miscellaneous]])</f>
        <v>1</v>
      </c>
      <c r="BL352">
        <f>TYPE(All_India_Index_Upto_April23__1[[#This Row],[General index]])</f>
        <v>1</v>
      </c>
    </row>
    <row r="353" spans="1:64" hidden="1" x14ac:dyDescent="0.3">
      <c r="A353" t="s">
        <v>33</v>
      </c>
      <c r="B353">
        <v>2022</v>
      </c>
      <c r="C353" t="s">
        <v>42</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t="s">
        <v>202</v>
      </c>
      <c r="V353">
        <v>180.5</v>
      </c>
      <c r="W353">
        <v>170.4</v>
      </c>
      <c r="X353">
        <v>178.7</v>
      </c>
      <c r="Y353">
        <v>162.9</v>
      </c>
      <c r="Z353">
        <v>168.2</v>
      </c>
      <c r="AA353">
        <v>173.4</v>
      </c>
      <c r="AB353">
        <v>172.1</v>
      </c>
      <c r="AC353">
        <v>170.5</v>
      </c>
      <c r="AD353">
        <v>176.7</v>
      </c>
      <c r="AE353">
        <f>SUM(All_India_Index_Upto_April23__1[[#This Row],[Cereals and products]:[Food and beverages]])</f>
        <v>2297.3000000000002</v>
      </c>
      <c r="AF353">
        <f>SUM(All_India_Index_Upto_April23__1[[#This Row],[Clothing]:[Clothing and footwear]])</f>
        <v>538.20000000000005</v>
      </c>
      <c r="AG353">
        <f t="shared" si="5"/>
        <v>513.79999999999995</v>
      </c>
      <c r="AI353">
        <f>TYPE(All_India_Index_Upto_April23__1[[#This Row],[Sector]])</f>
        <v>2</v>
      </c>
      <c r="AJ353">
        <f>TYPE(All_India_Index_Upto_April23__1[[#This Row],[Year]])</f>
        <v>1</v>
      </c>
      <c r="AK353">
        <f>TYPE(All_India_Index_Upto_April23__1[[#This Row],[Month]])</f>
        <v>2</v>
      </c>
      <c r="AL353">
        <f>TYPE(All_India_Index_Upto_April23__1[[#This Row],[Cereals and products]])</f>
        <v>1</v>
      </c>
      <c r="AM353">
        <f>TYPE(All_India_Index_Upto_April23__1[[#This Row],[Meat and fish]])</f>
        <v>1</v>
      </c>
      <c r="AN353">
        <f>TYPE(All_India_Index_Upto_April23__1[[#This Row],[Egg]])</f>
        <v>1</v>
      </c>
      <c r="AO353">
        <f>TYPE(All_India_Index_Upto_April23__1[[#This Row],[Milk and products]])</f>
        <v>1</v>
      </c>
      <c r="AP353">
        <f>TYPE(All_India_Index_Upto_April23__1[[#This Row],[Oils and fats]])</f>
        <v>1</v>
      </c>
      <c r="AQ353">
        <f>TYPE(All_India_Index_Upto_April23__1[[#This Row],[Fruits]])</f>
        <v>1</v>
      </c>
      <c r="AR353">
        <f>TYPE(All_India_Index_Upto_April23__1[[#This Row],[Vegetables]])</f>
        <v>1</v>
      </c>
      <c r="AS353">
        <f>TYPE(All_India_Index_Upto_April23__1[[#This Row],[Pulses and products]])</f>
        <v>1</v>
      </c>
      <c r="AT353">
        <f>TYPE(All_India_Index_Upto_April23__1[[#This Row],[Sugar and Confectionery]])</f>
        <v>1</v>
      </c>
      <c r="AU353">
        <f>TYPE(All_India_Index_Upto_April23__1[[#This Row],[Spices]])</f>
        <v>1</v>
      </c>
      <c r="AV353">
        <f>TYPE(All_India_Index_Upto_April23__1[[#This Row],[Non-alcoholic beverages]])</f>
        <v>1</v>
      </c>
      <c r="AW353">
        <f>TYPE(All_India_Index_Upto_April23__1[[#This Row],[Prepared meals, snacks, sweets etc.]])</f>
        <v>1</v>
      </c>
      <c r="AX353">
        <f>TYPE(All_India_Index_Upto_April23__1[[#This Row],[Food and beverages]])</f>
        <v>1</v>
      </c>
      <c r="AY353">
        <f>TYPE(All_India_Index_Upto_April23__1[[#This Row],[Pan, tobacco and intoxicants]])</f>
        <v>1</v>
      </c>
      <c r="AZ353">
        <f>TYPE(All_India_Index_Upto_April23__1[[#This Row],[Clothing]])</f>
        <v>1</v>
      </c>
      <c r="BA353">
        <f>TYPE(All_India_Index_Upto_April23__1[[#This Row],[Footwear]])</f>
        <v>1</v>
      </c>
      <c r="BB353">
        <f>TYPE(All_India_Index_Upto_April23__1[[#This Row],[Clothing and footwear]])</f>
        <v>1</v>
      </c>
      <c r="BC353">
        <f>TYPE(All_India_Index_Upto_April23__1[[#This Row],[Housing]])</f>
        <v>2</v>
      </c>
      <c r="BD353">
        <f>TYPE(All_India_Index_Upto_April23__1[[#This Row],[Fuel and light]])</f>
        <v>1</v>
      </c>
      <c r="BE353">
        <f>TYPE(All_India_Index_Upto_April23__1[[#This Row],[Household goods and services]])</f>
        <v>1</v>
      </c>
      <c r="BF353">
        <f>TYPE(All_India_Index_Upto_April23__1[[#This Row],[Health]])</f>
        <v>1</v>
      </c>
      <c r="BG353">
        <f>TYPE(All_India_Index_Upto_April23__1[[#This Row],[Transport and communication]])</f>
        <v>1</v>
      </c>
      <c r="BH353">
        <f>TYPE(All_India_Index_Upto_April23__1[[#This Row],[Recreation and amusement]])</f>
        <v>1</v>
      </c>
      <c r="BI353">
        <f>TYPE(All_India_Index_Upto_April23__1[[#This Row],[Education]])</f>
        <v>1</v>
      </c>
      <c r="BJ353">
        <f>TYPE(All_India_Index_Upto_April23__1[[#This Row],[Personal care and effects]])</f>
        <v>1</v>
      </c>
      <c r="BK353">
        <f>TYPE(All_India_Index_Upto_April23__1[[#This Row],[Miscellaneous]])</f>
        <v>1</v>
      </c>
      <c r="BL353">
        <f>TYPE(All_India_Index_Upto_April23__1[[#This Row],[General index]])</f>
        <v>1</v>
      </c>
    </row>
    <row r="354" spans="1:64" hidden="1" x14ac:dyDescent="0.3">
      <c r="A354" t="s">
        <v>30</v>
      </c>
      <c r="B354">
        <v>2022</v>
      </c>
      <c r="C354" t="s">
        <v>43</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U354" t="s">
        <v>89</v>
      </c>
      <c r="V354">
        <v>181.9</v>
      </c>
      <c r="W354">
        <v>175.5</v>
      </c>
      <c r="X354">
        <v>182.3</v>
      </c>
      <c r="Y354">
        <v>167.5</v>
      </c>
      <c r="Z354">
        <v>170.8</v>
      </c>
      <c r="AA354">
        <v>176.9</v>
      </c>
      <c r="AB354">
        <v>173.4</v>
      </c>
      <c r="AC354">
        <v>174.6</v>
      </c>
      <c r="AD354">
        <v>177.8</v>
      </c>
      <c r="AE354">
        <f>SUM(All_India_Index_Upto_April23__1[[#This Row],[Cereals and products]:[Food and beverages]])</f>
        <v>2287.6999999999998</v>
      </c>
      <c r="AF354">
        <f>SUM(All_India_Index_Upto_April23__1[[#This Row],[Clothing]:[Clothing and footwear]])</f>
        <v>559.29999999999995</v>
      </c>
      <c r="AG354">
        <f t="shared" si="5"/>
        <v>524.9</v>
      </c>
      <c r="AI354">
        <f>TYPE(All_India_Index_Upto_April23__1[[#This Row],[Sector]])</f>
        <v>2</v>
      </c>
      <c r="AJ354">
        <f>TYPE(All_India_Index_Upto_April23__1[[#This Row],[Year]])</f>
        <v>1</v>
      </c>
      <c r="AK354">
        <f>TYPE(All_India_Index_Upto_April23__1[[#This Row],[Month]])</f>
        <v>2</v>
      </c>
      <c r="AL354">
        <f>TYPE(All_India_Index_Upto_April23__1[[#This Row],[Cereals and products]])</f>
        <v>1</v>
      </c>
      <c r="AM354">
        <f>TYPE(All_India_Index_Upto_April23__1[[#This Row],[Meat and fish]])</f>
        <v>1</v>
      </c>
      <c r="AN354">
        <f>TYPE(All_India_Index_Upto_April23__1[[#This Row],[Egg]])</f>
        <v>1</v>
      </c>
      <c r="AO354">
        <f>TYPE(All_India_Index_Upto_April23__1[[#This Row],[Milk and products]])</f>
        <v>1</v>
      </c>
      <c r="AP354">
        <f>TYPE(All_India_Index_Upto_April23__1[[#This Row],[Oils and fats]])</f>
        <v>1</v>
      </c>
      <c r="AQ354">
        <f>TYPE(All_India_Index_Upto_April23__1[[#This Row],[Fruits]])</f>
        <v>1</v>
      </c>
      <c r="AR354">
        <f>TYPE(All_India_Index_Upto_April23__1[[#This Row],[Vegetables]])</f>
        <v>1</v>
      </c>
      <c r="AS354">
        <f>TYPE(All_India_Index_Upto_April23__1[[#This Row],[Pulses and products]])</f>
        <v>1</v>
      </c>
      <c r="AT354">
        <f>TYPE(All_India_Index_Upto_April23__1[[#This Row],[Sugar and Confectionery]])</f>
        <v>1</v>
      </c>
      <c r="AU354">
        <f>TYPE(All_India_Index_Upto_April23__1[[#This Row],[Spices]])</f>
        <v>1</v>
      </c>
      <c r="AV354">
        <f>TYPE(All_India_Index_Upto_April23__1[[#This Row],[Non-alcoholic beverages]])</f>
        <v>1</v>
      </c>
      <c r="AW354">
        <f>TYPE(All_India_Index_Upto_April23__1[[#This Row],[Prepared meals, snacks, sweets etc.]])</f>
        <v>1</v>
      </c>
      <c r="AX354">
        <f>TYPE(All_India_Index_Upto_April23__1[[#This Row],[Food and beverages]])</f>
        <v>1</v>
      </c>
      <c r="AY354">
        <f>TYPE(All_India_Index_Upto_April23__1[[#This Row],[Pan, tobacco and intoxicants]])</f>
        <v>1</v>
      </c>
      <c r="AZ354">
        <f>TYPE(All_India_Index_Upto_April23__1[[#This Row],[Clothing]])</f>
        <v>1</v>
      </c>
      <c r="BA354">
        <f>TYPE(All_India_Index_Upto_April23__1[[#This Row],[Footwear]])</f>
        <v>1</v>
      </c>
      <c r="BB354">
        <f>TYPE(All_India_Index_Upto_April23__1[[#This Row],[Clothing and footwear]])</f>
        <v>1</v>
      </c>
      <c r="BC354">
        <f>TYPE(All_India_Index_Upto_April23__1[[#This Row],[Housing]])</f>
        <v>2</v>
      </c>
      <c r="BD354">
        <f>TYPE(All_India_Index_Upto_April23__1[[#This Row],[Fuel and light]])</f>
        <v>1</v>
      </c>
      <c r="BE354">
        <f>TYPE(All_India_Index_Upto_April23__1[[#This Row],[Household goods and services]])</f>
        <v>1</v>
      </c>
      <c r="BF354">
        <f>TYPE(All_India_Index_Upto_April23__1[[#This Row],[Health]])</f>
        <v>1</v>
      </c>
      <c r="BG354">
        <f>TYPE(All_India_Index_Upto_April23__1[[#This Row],[Transport and communication]])</f>
        <v>1</v>
      </c>
      <c r="BH354">
        <f>TYPE(All_India_Index_Upto_April23__1[[#This Row],[Recreation and amusement]])</f>
        <v>1</v>
      </c>
      <c r="BI354">
        <f>TYPE(All_India_Index_Upto_April23__1[[#This Row],[Education]])</f>
        <v>1</v>
      </c>
      <c r="BJ354">
        <f>TYPE(All_India_Index_Upto_April23__1[[#This Row],[Personal care and effects]])</f>
        <v>1</v>
      </c>
      <c r="BK354">
        <f>TYPE(All_India_Index_Upto_April23__1[[#This Row],[Miscellaneous]])</f>
        <v>1</v>
      </c>
      <c r="BL354">
        <f>TYPE(All_India_Index_Upto_April23__1[[#This Row],[General index]])</f>
        <v>1</v>
      </c>
    </row>
    <row r="355" spans="1:64" hidden="1" x14ac:dyDescent="0.3">
      <c r="A355" t="s">
        <v>32</v>
      </c>
      <c r="B355">
        <v>2022</v>
      </c>
      <c r="C355" t="s">
        <v>43</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t="s">
        <v>203</v>
      </c>
      <c r="V355">
        <v>180.3</v>
      </c>
      <c r="W355">
        <v>166.9</v>
      </c>
      <c r="X355">
        <v>175.8</v>
      </c>
      <c r="Y355">
        <v>158.9</v>
      </c>
      <c r="Z355">
        <v>166.7</v>
      </c>
      <c r="AA355">
        <v>171.5</v>
      </c>
      <c r="AB355">
        <v>173.8</v>
      </c>
      <c r="AC355">
        <v>167.4</v>
      </c>
      <c r="AD355">
        <v>174.1</v>
      </c>
      <c r="AE355">
        <f>SUM(All_India_Index_Upto_April23__1[[#This Row],[Cereals and products]:[Food and beverages]])</f>
        <v>2314.4</v>
      </c>
      <c r="AF355">
        <f>SUM(All_India_Index_Upto_April23__1[[#This Row],[Clothing]:[Clothing and footwear]])</f>
        <v>514.9</v>
      </c>
      <c r="AG355">
        <f t="shared" si="5"/>
        <v>506.1</v>
      </c>
      <c r="AI355">
        <f>TYPE(All_India_Index_Upto_April23__1[[#This Row],[Sector]])</f>
        <v>2</v>
      </c>
      <c r="AJ355">
        <f>TYPE(All_India_Index_Upto_April23__1[[#This Row],[Year]])</f>
        <v>1</v>
      </c>
      <c r="AK355">
        <f>TYPE(All_India_Index_Upto_April23__1[[#This Row],[Month]])</f>
        <v>2</v>
      </c>
      <c r="AL355">
        <f>TYPE(All_India_Index_Upto_April23__1[[#This Row],[Cereals and products]])</f>
        <v>1</v>
      </c>
      <c r="AM355">
        <f>TYPE(All_India_Index_Upto_April23__1[[#This Row],[Meat and fish]])</f>
        <v>1</v>
      </c>
      <c r="AN355">
        <f>TYPE(All_India_Index_Upto_April23__1[[#This Row],[Egg]])</f>
        <v>1</v>
      </c>
      <c r="AO355">
        <f>TYPE(All_India_Index_Upto_April23__1[[#This Row],[Milk and products]])</f>
        <v>1</v>
      </c>
      <c r="AP355">
        <f>TYPE(All_India_Index_Upto_April23__1[[#This Row],[Oils and fats]])</f>
        <v>1</v>
      </c>
      <c r="AQ355">
        <f>TYPE(All_India_Index_Upto_April23__1[[#This Row],[Fruits]])</f>
        <v>1</v>
      </c>
      <c r="AR355">
        <f>TYPE(All_India_Index_Upto_April23__1[[#This Row],[Vegetables]])</f>
        <v>1</v>
      </c>
      <c r="AS355">
        <f>TYPE(All_India_Index_Upto_April23__1[[#This Row],[Pulses and products]])</f>
        <v>1</v>
      </c>
      <c r="AT355">
        <f>TYPE(All_India_Index_Upto_April23__1[[#This Row],[Sugar and Confectionery]])</f>
        <v>1</v>
      </c>
      <c r="AU355">
        <f>TYPE(All_India_Index_Upto_April23__1[[#This Row],[Spices]])</f>
        <v>1</v>
      </c>
      <c r="AV355">
        <f>TYPE(All_India_Index_Upto_April23__1[[#This Row],[Non-alcoholic beverages]])</f>
        <v>1</v>
      </c>
      <c r="AW355">
        <f>TYPE(All_India_Index_Upto_April23__1[[#This Row],[Prepared meals, snacks, sweets etc.]])</f>
        <v>1</v>
      </c>
      <c r="AX355">
        <f>TYPE(All_India_Index_Upto_April23__1[[#This Row],[Food and beverages]])</f>
        <v>1</v>
      </c>
      <c r="AY355">
        <f>TYPE(All_India_Index_Upto_April23__1[[#This Row],[Pan, tobacco and intoxicants]])</f>
        <v>1</v>
      </c>
      <c r="AZ355">
        <f>TYPE(All_India_Index_Upto_April23__1[[#This Row],[Clothing]])</f>
        <v>1</v>
      </c>
      <c r="BA355">
        <f>TYPE(All_India_Index_Upto_April23__1[[#This Row],[Footwear]])</f>
        <v>1</v>
      </c>
      <c r="BB355">
        <f>TYPE(All_India_Index_Upto_April23__1[[#This Row],[Clothing and footwear]])</f>
        <v>1</v>
      </c>
      <c r="BC355">
        <f>TYPE(All_India_Index_Upto_April23__1[[#This Row],[Housing]])</f>
        <v>2</v>
      </c>
      <c r="BD355">
        <f>TYPE(All_India_Index_Upto_April23__1[[#This Row],[Fuel and light]])</f>
        <v>1</v>
      </c>
      <c r="BE355">
        <f>TYPE(All_India_Index_Upto_April23__1[[#This Row],[Household goods and services]])</f>
        <v>1</v>
      </c>
      <c r="BF355">
        <f>TYPE(All_India_Index_Upto_April23__1[[#This Row],[Health]])</f>
        <v>1</v>
      </c>
      <c r="BG355">
        <f>TYPE(All_India_Index_Upto_April23__1[[#This Row],[Transport and communication]])</f>
        <v>1</v>
      </c>
      <c r="BH355">
        <f>TYPE(All_India_Index_Upto_April23__1[[#This Row],[Recreation and amusement]])</f>
        <v>1</v>
      </c>
      <c r="BI355">
        <f>TYPE(All_India_Index_Upto_April23__1[[#This Row],[Education]])</f>
        <v>1</v>
      </c>
      <c r="BJ355">
        <f>TYPE(All_India_Index_Upto_April23__1[[#This Row],[Personal care and effects]])</f>
        <v>1</v>
      </c>
      <c r="BK355">
        <f>TYPE(All_India_Index_Upto_April23__1[[#This Row],[Miscellaneous]])</f>
        <v>1</v>
      </c>
      <c r="BL355">
        <f>TYPE(All_India_Index_Upto_April23__1[[#This Row],[General index]])</f>
        <v>1</v>
      </c>
    </row>
    <row r="356" spans="1:64" hidden="1" x14ac:dyDescent="0.3">
      <c r="A356" t="s">
        <v>33</v>
      </c>
      <c r="B356">
        <v>2022</v>
      </c>
      <c r="C356" t="s">
        <v>43</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t="s">
        <v>203</v>
      </c>
      <c r="V356">
        <v>181.3</v>
      </c>
      <c r="W356">
        <v>171.4</v>
      </c>
      <c r="X356">
        <v>179.8</v>
      </c>
      <c r="Y356">
        <v>163</v>
      </c>
      <c r="Z356">
        <v>168.5</v>
      </c>
      <c r="AA356">
        <v>173.7</v>
      </c>
      <c r="AB356">
        <v>173.6</v>
      </c>
      <c r="AC356">
        <v>171.1</v>
      </c>
      <c r="AD356">
        <v>176.5</v>
      </c>
      <c r="AE356">
        <f>SUM(All_India_Index_Upto_April23__1[[#This Row],[Cereals and products]:[Food and beverages]])</f>
        <v>2296.8000000000002</v>
      </c>
      <c r="AF356">
        <f>SUM(All_India_Index_Upto_April23__1[[#This Row],[Clothing]:[Clothing and footwear]])</f>
        <v>541.4</v>
      </c>
      <c r="AG356">
        <f t="shared" si="5"/>
        <v>515.70000000000005</v>
      </c>
      <c r="AI356">
        <f>TYPE(All_India_Index_Upto_April23__1[[#This Row],[Sector]])</f>
        <v>2</v>
      </c>
      <c r="AJ356">
        <f>TYPE(All_India_Index_Upto_April23__1[[#This Row],[Year]])</f>
        <v>1</v>
      </c>
      <c r="AK356">
        <f>TYPE(All_India_Index_Upto_April23__1[[#This Row],[Month]])</f>
        <v>2</v>
      </c>
      <c r="AL356">
        <f>TYPE(All_India_Index_Upto_April23__1[[#This Row],[Cereals and products]])</f>
        <v>1</v>
      </c>
      <c r="AM356">
        <f>TYPE(All_India_Index_Upto_April23__1[[#This Row],[Meat and fish]])</f>
        <v>1</v>
      </c>
      <c r="AN356">
        <f>TYPE(All_India_Index_Upto_April23__1[[#This Row],[Egg]])</f>
        <v>1</v>
      </c>
      <c r="AO356">
        <f>TYPE(All_India_Index_Upto_April23__1[[#This Row],[Milk and products]])</f>
        <v>1</v>
      </c>
      <c r="AP356">
        <f>TYPE(All_India_Index_Upto_April23__1[[#This Row],[Oils and fats]])</f>
        <v>1</v>
      </c>
      <c r="AQ356">
        <f>TYPE(All_India_Index_Upto_April23__1[[#This Row],[Fruits]])</f>
        <v>1</v>
      </c>
      <c r="AR356">
        <f>TYPE(All_India_Index_Upto_April23__1[[#This Row],[Vegetables]])</f>
        <v>1</v>
      </c>
      <c r="AS356">
        <f>TYPE(All_India_Index_Upto_April23__1[[#This Row],[Pulses and products]])</f>
        <v>1</v>
      </c>
      <c r="AT356">
        <f>TYPE(All_India_Index_Upto_April23__1[[#This Row],[Sugar and Confectionery]])</f>
        <v>1</v>
      </c>
      <c r="AU356">
        <f>TYPE(All_India_Index_Upto_April23__1[[#This Row],[Spices]])</f>
        <v>1</v>
      </c>
      <c r="AV356">
        <f>TYPE(All_India_Index_Upto_April23__1[[#This Row],[Non-alcoholic beverages]])</f>
        <v>1</v>
      </c>
      <c r="AW356">
        <f>TYPE(All_India_Index_Upto_April23__1[[#This Row],[Prepared meals, snacks, sweets etc.]])</f>
        <v>1</v>
      </c>
      <c r="AX356">
        <f>TYPE(All_India_Index_Upto_April23__1[[#This Row],[Food and beverages]])</f>
        <v>1</v>
      </c>
      <c r="AY356">
        <f>TYPE(All_India_Index_Upto_April23__1[[#This Row],[Pan, tobacco and intoxicants]])</f>
        <v>1</v>
      </c>
      <c r="AZ356">
        <f>TYPE(All_India_Index_Upto_April23__1[[#This Row],[Clothing]])</f>
        <v>1</v>
      </c>
      <c r="BA356">
        <f>TYPE(All_India_Index_Upto_April23__1[[#This Row],[Footwear]])</f>
        <v>1</v>
      </c>
      <c r="BB356">
        <f>TYPE(All_India_Index_Upto_April23__1[[#This Row],[Clothing and footwear]])</f>
        <v>1</v>
      </c>
      <c r="BC356">
        <f>TYPE(All_India_Index_Upto_April23__1[[#This Row],[Housing]])</f>
        <v>2</v>
      </c>
      <c r="BD356">
        <f>TYPE(All_India_Index_Upto_April23__1[[#This Row],[Fuel and light]])</f>
        <v>1</v>
      </c>
      <c r="BE356">
        <f>TYPE(All_India_Index_Upto_April23__1[[#This Row],[Household goods and services]])</f>
        <v>1</v>
      </c>
      <c r="BF356">
        <f>TYPE(All_India_Index_Upto_April23__1[[#This Row],[Health]])</f>
        <v>1</v>
      </c>
      <c r="BG356">
        <f>TYPE(All_India_Index_Upto_April23__1[[#This Row],[Transport and communication]])</f>
        <v>1</v>
      </c>
      <c r="BH356">
        <f>TYPE(All_India_Index_Upto_April23__1[[#This Row],[Recreation and amusement]])</f>
        <v>1</v>
      </c>
      <c r="BI356">
        <f>TYPE(All_India_Index_Upto_April23__1[[#This Row],[Education]])</f>
        <v>1</v>
      </c>
      <c r="BJ356">
        <f>TYPE(All_India_Index_Upto_April23__1[[#This Row],[Personal care and effects]])</f>
        <v>1</v>
      </c>
      <c r="BK356">
        <f>TYPE(All_India_Index_Upto_April23__1[[#This Row],[Miscellaneous]])</f>
        <v>1</v>
      </c>
      <c r="BL356">
        <f>TYPE(All_India_Index_Upto_April23__1[[#This Row],[General index]])</f>
        <v>1</v>
      </c>
    </row>
    <row r="357" spans="1:64" hidden="1" x14ac:dyDescent="0.3">
      <c r="A357" t="s">
        <v>30</v>
      </c>
      <c r="B357">
        <v>2022</v>
      </c>
      <c r="C357" t="s">
        <v>44</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U357" t="s">
        <v>89</v>
      </c>
      <c r="V357">
        <v>182.8</v>
      </c>
      <c r="W357">
        <v>176.4</v>
      </c>
      <c r="X357">
        <v>183.5</v>
      </c>
      <c r="Y357">
        <v>167.8</v>
      </c>
      <c r="Z357">
        <v>171.2</v>
      </c>
      <c r="AA357">
        <v>177.3</v>
      </c>
      <c r="AB357">
        <v>175.7</v>
      </c>
      <c r="AC357">
        <v>175.5</v>
      </c>
      <c r="AD357">
        <v>177.1</v>
      </c>
      <c r="AE357">
        <f>SUM(All_India_Index_Upto_April23__1[[#This Row],[Cereals and products]:[Food and beverages]])</f>
        <v>2277.1</v>
      </c>
      <c r="AF357">
        <f>SUM(All_India_Index_Upto_April23__1[[#This Row],[Clothing]:[Clothing and footwear]])</f>
        <v>561.79999999999995</v>
      </c>
      <c r="AG357">
        <f t="shared" si="5"/>
        <v>527</v>
      </c>
      <c r="AI357">
        <f>TYPE(All_India_Index_Upto_April23__1[[#This Row],[Sector]])</f>
        <v>2</v>
      </c>
      <c r="AJ357">
        <f>TYPE(All_India_Index_Upto_April23__1[[#This Row],[Year]])</f>
        <v>1</v>
      </c>
      <c r="AK357">
        <f>TYPE(All_India_Index_Upto_April23__1[[#This Row],[Month]])</f>
        <v>2</v>
      </c>
      <c r="AL357">
        <f>TYPE(All_India_Index_Upto_April23__1[[#This Row],[Cereals and products]])</f>
        <v>1</v>
      </c>
      <c r="AM357">
        <f>TYPE(All_India_Index_Upto_April23__1[[#This Row],[Meat and fish]])</f>
        <v>1</v>
      </c>
      <c r="AN357">
        <f>TYPE(All_India_Index_Upto_April23__1[[#This Row],[Egg]])</f>
        <v>1</v>
      </c>
      <c r="AO357">
        <f>TYPE(All_India_Index_Upto_April23__1[[#This Row],[Milk and products]])</f>
        <v>1</v>
      </c>
      <c r="AP357">
        <f>TYPE(All_India_Index_Upto_April23__1[[#This Row],[Oils and fats]])</f>
        <v>1</v>
      </c>
      <c r="AQ357">
        <f>TYPE(All_India_Index_Upto_April23__1[[#This Row],[Fruits]])</f>
        <v>1</v>
      </c>
      <c r="AR357">
        <f>TYPE(All_India_Index_Upto_April23__1[[#This Row],[Vegetables]])</f>
        <v>1</v>
      </c>
      <c r="AS357">
        <f>TYPE(All_India_Index_Upto_April23__1[[#This Row],[Pulses and products]])</f>
        <v>1</v>
      </c>
      <c r="AT357">
        <f>TYPE(All_India_Index_Upto_April23__1[[#This Row],[Sugar and Confectionery]])</f>
        <v>1</v>
      </c>
      <c r="AU357">
        <f>TYPE(All_India_Index_Upto_April23__1[[#This Row],[Spices]])</f>
        <v>1</v>
      </c>
      <c r="AV357">
        <f>TYPE(All_India_Index_Upto_April23__1[[#This Row],[Non-alcoholic beverages]])</f>
        <v>1</v>
      </c>
      <c r="AW357">
        <f>TYPE(All_India_Index_Upto_April23__1[[#This Row],[Prepared meals, snacks, sweets etc.]])</f>
        <v>1</v>
      </c>
      <c r="AX357">
        <f>TYPE(All_India_Index_Upto_April23__1[[#This Row],[Food and beverages]])</f>
        <v>1</v>
      </c>
      <c r="AY357">
        <f>TYPE(All_India_Index_Upto_April23__1[[#This Row],[Pan, tobacco and intoxicants]])</f>
        <v>1</v>
      </c>
      <c r="AZ357">
        <f>TYPE(All_India_Index_Upto_April23__1[[#This Row],[Clothing]])</f>
        <v>1</v>
      </c>
      <c r="BA357">
        <f>TYPE(All_India_Index_Upto_April23__1[[#This Row],[Footwear]])</f>
        <v>1</v>
      </c>
      <c r="BB357">
        <f>TYPE(All_India_Index_Upto_April23__1[[#This Row],[Clothing and footwear]])</f>
        <v>1</v>
      </c>
      <c r="BC357">
        <f>TYPE(All_India_Index_Upto_April23__1[[#This Row],[Housing]])</f>
        <v>2</v>
      </c>
      <c r="BD357">
        <f>TYPE(All_India_Index_Upto_April23__1[[#This Row],[Fuel and light]])</f>
        <v>1</v>
      </c>
      <c r="BE357">
        <f>TYPE(All_India_Index_Upto_April23__1[[#This Row],[Household goods and services]])</f>
        <v>1</v>
      </c>
      <c r="BF357">
        <f>TYPE(All_India_Index_Upto_April23__1[[#This Row],[Health]])</f>
        <v>1</v>
      </c>
      <c r="BG357">
        <f>TYPE(All_India_Index_Upto_April23__1[[#This Row],[Transport and communication]])</f>
        <v>1</v>
      </c>
      <c r="BH357">
        <f>TYPE(All_India_Index_Upto_April23__1[[#This Row],[Recreation and amusement]])</f>
        <v>1</v>
      </c>
      <c r="BI357">
        <f>TYPE(All_India_Index_Upto_April23__1[[#This Row],[Education]])</f>
        <v>1</v>
      </c>
      <c r="BJ357">
        <f>TYPE(All_India_Index_Upto_April23__1[[#This Row],[Personal care and effects]])</f>
        <v>1</v>
      </c>
      <c r="BK357">
        <f>TYPE(All_India_Index_Upto_April23__1[[#This Row],[Miscellaneous]])</f>
        <v>1</v>
      </c>
      <c r="BL357">
        <f>TYPE(All_India_Index_Upto_April23__1[[#This Row],[General index]])</f>
        <v>1</v>
      </c>
    </row>
    <row r="358" spans="1:64" hidden="1" x14ac:dyDescent="0.3">
      <c r="A358" t="s">
        <v>32</v>
      </c>
      <c r="B358">
        <v>2022</v>
      </c>
      <c r="C358" t="s">
        <v>44</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t="s">
        <v>204</v>
      </c>
      <c r="V358">
        <v>180.6</v>
      </c>
      <c r="W358">
        <v>167.3</v>
      </c>
      <c r="X358">
        <v>177.2</v>
      </c>
      <c r="Y358">
        <v>159.4</v>
      </c>
      <c r="Z358">
        <v>167.1</v>
      </c>
      <c r="AA358">
        <v>171.8</v>
      </c>
      <c r="AB358">
        <v>176</v>
      </c>
      <c r="AC358">
        <v>168.2</v>
      </c>
      <c r="AD358">
        <v>174.1</v>
      </c>
      <c r="AE358">
        <f>SUM(All_India_Index_Upto_April23__1[[#This Row],[Cereals and products]:[Food and beverages]])</f>
        <v>2295.7999999999997</v>
      </c>
      <c r="AF358">
        <f>SUM(All_India_Index_Upto_April23__1[[#This Row],[Clothing]:[Clothing and footwear]])</f>
        <v>517.9</v>
      </c>
      <c r="AG358">
        <f t="shared" si="5"/>
        <v>507.29999999999995</v>
      </c>
      <c r="AI358">
        <f>TYPE(All_India_Index_Upto_April23__1[[#This Row],[Sector]])</f>
        <v>2</v>
      </c>
      <c r="AJ358">
        <f>TYPE(All_India_Index_Upto_April23__1[[#This Row],[Year]])</f>
        <v>1</v>
      </c>
      <c r="AK358">
        <f>TYPE(All_India_Index_Upto_April23__1[[#This Row],[Month]])</f>
        <v>2</v>
      </c>
      <c r="AL358">
        <f>TYPE(All_India_Index_Upto_April23__1[[#This Row],[Cereals and products]])</f>
        <v>1</v>
      </c>
      <c r="AM358">
        <f>TYPE(All_India_Index_Upto_April23__1[[#This Row],[Meat and fish]])</f>
        <v>1</v>
      </c>
      <c r="AN358">
        <f>TYPE(All_India_Index_Upto_April23__1[[#This Row],[Egg]])</f>
        <v>1</v>
      </c>
      <c r="AO358">
        <f>TYPE(All_India_Index_Upto_April23__1[[#This Row],[Milk and products]])</f>
        <v>1</v>
      </c>
      <c r="AP358">
        <f>TYPE(All_India_Index_Upto_April23__1[[#This Row],[Oils and fats]])</f>
        <v>1</v>
      </c>
      <c r="AQ358">
        <f>TYPE(All_India_Index_Upto_April23__1[[#This Row],[Fruits]])</f>
        <v>1</v>
      </c>
      <c r="AR358">
        <f>TYPE(All_India_Index_Upto_April23__1[[#This Row],[Vegetables]])</f>
        <v>1</v>
      </c>
      <c r="AS358">
        <f>TYPE(All_India_Index_Upto_April23__1[[#This Row],[Pulses and products]])</f>
        <v>1</v>
      </c>
      <c r="AT358">
        <f>TYPE(All_India_Index_Upto_April23__1[[#This Row],[Sugar and Confectionery]])</f>
        <v>1</v>
      </c>
      <c r="AU358">
        <f>TYPE(All_India_Index_Upto_April23__1[[#This Row],[Spices]])</f>
        <v>1</v>
      </c>
      <c r="AV358">
        <f>TYPE(All_India_Index_Upto_April23__1[[#This Row],[Non-alcoholic beverages]])</f>
        <v>1</v>
      </c>
      <c r="AW358">
        <f>TYPE(All_India_Index_Upto_April23__1[[#This Row],[Prepared meals, snacks, sweets etc.]])</f>
        <v>1</v>
      </c>
      <c r="AX358">
        <f>TYPE(All_India_Index_Upto_April23__1[[#This Row],[Food and beverages]])</f>
        <v>1</v>
      </c>
      <c r="AY358">
        <f>TYPE(All_India_Index_Upto_April23__1[[#This Row],[Pan, tobacco and intoxicants]])</f>
        <v>1</v>
      </c>
      <c r="AZ358">
        <f>TYPE(All_India_Index_Upto_April23__1[[#This Row],[Clothing]])</f>
        <v>1</v>
      </c>
      <c r="BA358">
        <f>TYPE(All_India_Index_Upto_April23__1[[#This Row],[Footwear]])</f>
        <v>1</v>
      </c>
      <c r="BB358">
        <f>TYPE(All_India_Index_Upto_April23__1[[#This Row],[Clothing and footwear]])</f>
        <v>1</v>
      </c>
      <c r="BC358">
        <f>TYPE(All_India_Index_Upto_April23__1[[#This Row],[Housing]])</f>
        <v>2</v>
      </c>
      <c r="BD358">
        <f>TYPE(All_India_Index_Upto_April23__1[[#This Row],[Fuel and light]])</f>
        <v>1</v>
      </c>
      <c r="BE358">
        <f>TYPE(All_India_Index_Upto_April23__1[[#This Row],[Household goods and services]])</f>
        <v>1</v>
      </c>
      <c r="BF358">
        <f>TYPE(All_India_Index_Upto_April23__1[[#This Row],[Health]])</f>
        <v>1</v>
      </c>
      <c r="BG358">
        <f>TYPE(All_India_Index_Upto_April23__1[[#This Row],[Transport and communication]])</f>
        <v>1</v>
      </c>
      <c r="BH358">
        <f>TYPE(All_India_Index_Upto_April23__1[[#This Row],[Recreation and amusement]])</f>
        <v>1</v>
      </c>
      <c r="BI358">
        <f>TYPE(All_India_Index_Upto_April23__1[[#This Row],[Education]])</f>
        <v>1</v>
      </c>
      <c r="BJ358">
        <f>TYPE(All_India_Index_Upto_April23__1[[#This Row],[Personal care and effects]])</f>
        <v>1</v>
      </c>
      <c r="BK358">
        <f>TYPE(All_India_Index_Upto_April23__1[[#This Row],[Miscellaneous]])</f>
        <v>1</v>
      </c>
      <c r="BL358">
        <f>TYPE(All_India_Index_Upto_April23__1[[#This Row],[General index]])</f>
        <v>1</v>
      </c>
    </row>
    <row r="359" spans="1:64" hidden="1" x14ac:dyDescent="0.3">
      <c r="A359" t="s">
        <v>33</v>
      </c>
      <c r="B359">
        <v>2022</v>
      </c>
      <c r="C359" t="s">
        <v>44</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t="s">
        <v>204</v>
      </c>
      <c r="V359">
        <v>182</v>
      </c>
      <c r="W359">
        <v>172.1</v>
      </c>
      <c r="X359">
        <v>181.1</v>
      </c>
      <c r="Y359">
        <v>163.4</v>
      </c>
      <c r="Z359">
        <v>168.9</v>
      </c>
      <c r="AA359">
        <v>174.1</v>
      </c>
      <c r="AB359">
        <v>175.8</v>
      </c>
      <c r="AC359">
        <v>172</v>
      </c>
      <c r="AD359">
        <v>175.7</v>
      </c>
      <c r="AE359">
        <f>SUM(All_India_Index_Upto_April23__1[[#This Row],[Cereals and products]:[Food and beverages]])</f>
        <v>2283.4</v>
      </c>
      <c r="AF359">
        <f>SUM(All_India_Index_Upto_April23__1[[#This Row],[Clothing]:[Clothing and footwear]])</f>
        <v>544</v>
      </c>
      <c r="AG359">
        <f t="shared" si="5"/>
        <v>517.5</v>
      </c>
      <c r="AI359">
        <f>TYPE(All_India_Index_Upto_April23__1[[#This Row],[Sector]])</f>
        <v>2</v>
      </c>
      <c r="AJ359">
        <f>TYPE(All_India_Index_Upto_April23__1[[#This Row],[Year]])</f>
        <v>1</v>
      </c>
      <c r="AK359">
        <f>TYPE(All_India_Index_Upto_April23__1[[#This Row],[Month]])</f>
        <v>2</v>
      </c>
      <c r="AL359">
        <f>TYPE(All_India_Index_Upto_April23__1[[#This Row],[Cereals and products]])</f>
        <v>1</v>
      </c>
      <c r="AM359">
        <f>TYPE(All_India_Index_Upto_April23__1[[#This Row],[Meat and fish]])</f>
        <v>1</v>
      </c>
      <c r="AN359">
        <f>TYPE(All_India_Index_Upto_April23__1[[#This Row],[Egg]])</f>
        <v>1</v>
      </c>
      <c r="AO359">
        <f>TYPE(All_India_Index_Upto_April23__1[[#This Row],[Milk and products]])</f>
        <v>1</v>
      </c>
      <c r="AP359">
        <f>TYPE(All_India_Index_Upto_April23__1[[#This Row],[Oils and fats]])</f>
        <v>1</v>
      </c>
      <c r="AQ359">
        <f>TYPE(All_India_Index_Upto_April23__1[[#This Row],[Fruits]])</f>
        <v>1</v>
      </c>
      <c r="AR359">
        <f>TYPE(All_India_Index_Upto_April23__1[[#This Row],[Vegetables]])</f>
        <v>1</v>
      </c>
      <c r="AS359">
        <f>TYPE(All_India_Index_Upto_April23__1[[#This Row],[Pulses and products]])</f>
        <v>1</v>
      </c>
      <c r="AT359">
        <f>TYPE(All_India_Index_Upto_April23__1[[#This Row],[Sugar and Confectionery]])</f>
        <v>1</v>
      </c>
      <c r="AU359">
        <f>TYPE(All_India_Index_Upto_April23__1[[#This Row],[Spices]])</f>
        <v>1</v>
      </c>
      <c r="AV359">
        <f>TYPE(All_India_Index_Upto_April23__1[[#This Row],[Non-alcoholic beverages]])</f>
        <v>1</v>
      </c>
      <c r="AW359">
        <f>TYPE(All_India_Index_Upto_April23__1[[#This Row],[Prepared meals, snacks, sweets etc.]])</f>
        <v>1</v>
      </c>
      <c r="AX359">
        <f>TYPE(All_India_Index_Upto_April23__1[[#This Row],[Food and beverages]])</f>
        <v>1</v>
      </c>
      <c r="AY359">
        <f>TYPE(All_India_Index_Upto_April23__1[[#This Row],[Pan, tobacco and intoxicants]])</f>
        <v>1</v>
      </c>
      <c r="AZ359">
        <f>TYPE(All_India_Index_Upto_April23__1[[#This Row],[Clothing]])</f>
        <v>1</v>
      </c>
      <c r="BA359">
        <f>TYPE(All_India_Index_Upto_April23__1[[#This Row],[Footwear]])</f>
        <v>1</v>
      </c>
      <c r="BB359">
        <f>TYPE(All_India_Index_Upto_April23__1[[#This Row],[Clothing and footwear]])</f>
        <v>1</v>
      </c>
      <c r="BC359">
        <f>TYPE(All_India_Index_Upto_April23__1[[#This Row],[Housing]])</f>
        <v>2</v>
      </c>
      <c r="BD359">
        <f>TYPE(All_India_Index_Upto_April23__1[[#This Row],[Fuel and light]])</f>
        <v>1</v>
      </c>
      <c r="BE359">
        <f>TYPE(All_India_Index_Upto_April23__1[[#This Row],[Household goods and services]])</f>
        <v>1</v>
      </c>
      <c r="BF359">
        <f>TYPE(All_India_Index_Upto_April23__1[[#This Row],[Health]])</f>
        <v>1</v>
      </c>
      <c r="BG359">
        <f>TYPE(All_India_Index_Upto_April23__1[[#This Row],[Transport and communication]])</f>
        <v>1</v>
      </c>
      <c r="BH359">
        <f>TYPE(All_India_Index_Upto_April23__1[[#This Row],[Recreation and amusement]])</f>
        <v>1</v>
      </c>
      <c r="BI359">
        <f>TYPE(All_India_Index_Upto_April23__1[[#This Row],[Education]])</f>
        <v>1</v>
      </c>
      <c r="BJ359">
        <f>TYPE(All_India_Index_Upto_April23__1[[#This Row],[Personal care and effects]])</f>
        <v>1</v>
      </c>
      <c r="BK359">
        <f>TYPE(All_India_Index_Upto_April23__1[[#This Row],[Miscellaneous]])</f>
        <v>1</v>
      </c>
      <c r="BL359">
        <f>TYPE(All_India_Index_Upto_April23__1[[#This Row],[General index]])</f>
        <v>1</v>
      </c>
    </row>
    <row r="360" spans="1:64" hidden="1" x14ac:dyDescent="0.3">
      <c r="A360" t="s">
        <v>30</v>
      </c>
      <c r="B360">
        <v>2023</v>
      </c>
      <c r="C360" t="s">
        <v>31</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U360" t="s">
        <v>89</v>
      </c>
      <c r="V360">
        <v>183.2</v>
      </c>
      <c r="W360">
        <v>177.2</v>
      </c>
      <c r="X360">
        <v>184.7</v>
      </c>
      <c r="Y360">
        <v>168.2</v>
      </c>
      <c r="Z360">
        <v>171.8</v>
      </c>
      <c r="AA360">
        <v>177.8</v>
      </c>
      <c r="AB360">
        <v>178.4</v>
      </c>
      <c r="AC360">
        <v>176.5</v>
      </c>
      <c r="AD360">
        <v>177.8</v>
      </c>
      <c r="AE360">
        <f>SUM(All_India_Index_Upto_April23__1[[#This Row],[Cereals and products]:[Food and beverages]])</f>
        <v>2283.2000000000003</v>
      </c>
      <c r="AF360">
        <f>SUM(All_India_Index_Upto_April23__1[[#This Row],[Clothing]:[Clothing and footwear]])</f>
        <v>563.9</v>
      </c>
      <c r="AG360">
        <f t="shared" si="5"/>
        <v>528.59999999999991</v>
      </c>
      <c r="AI360">
        <f>TYPE(All_India_Index_Upto_April23__1[[#This Row],[Sector]])</f>
        <v>2</v>
      </c>
      <c r="AJ360">
        <f>TYPE(All_India_Index_Upto_April23__1[[#This Row],[Year]])</f>
        <v>1</v>
      </c>
      <c r="AK360">
        <f>TYPE(All_India_Index_Upto_April23__1[[#This Row],[Month]])</f>
        <v>2</v>
      </c>
      <c r="AL360">
        <f>TYPE(All_India_Index_Upto_April23__1[[#This Row],[Cereals and products]])</f>
        <v>1</v>
      </c>
      <c r="AM360">
        <f>TYPE(All_India_Index_Upto_April23__1[[#This Row],[Meat and fish]])</f>
        <v>1</v>
      </c>
      <c r="AN360">
        <f>TYPE(All_India_Index_Upto_April23__1[[#This Row],[Egg]])</f>
        <v>1</v>
      </c>
      <c r="AO360">
        <f>TYPE(All_India_Index_Upto_April23__1[[#This Row],[Milk and products]])</f>
        <v>1</v>
      </c>
      <c r="AP360">
        <f>TYPE(All_India_Index_Upto_April23__1[[#This Row],[Oils and fats]])</f>
        <v>1</v>
      </c>
      <c r="AQ360">
        <f>TYPE(All_India_Index_Upto_April23__1[[#This Row],[Fruits]])</f>
        <v>1</v>
      </c>
      <c r="AR360">
        <f>TYPE(All_India_Index_Upto_April23__1[[#This Row],[Vegetables]])</f>
        <v>1</v>
      </c>
      <c r="AS360">
        <f>TYPE(All_India_Index_Upto_April23__1[[#This Row],[Pulses and products]])</f>
        <v>1</v>
      </c>
      <c r="AT360">
        <f>TYPE(All_India_Index_Upto_April23__1[[#This Row],[Sugar and Confectionery]])</f>
        <v>1</v>
      </c>
      <c r="AU360">
        <f>TYPE(All_India_Index_Upto_April23__1[[#This Row],[Spices]])</f>
        <v>1</v>
      </c>
      <c r="AV360">
        <f>TYPE(All_India_Index_Upto_April23__1[[#This Row],[Non-alcoholic beverages]])</f>
        <v>1</v>
      </c>
      <c r="AW360">
        <f>TYPE(All_India_Index_Upto_April23__1[[#This Row],[Prepared meals, snacks, sweets etc.]])</f>
        <v>1</v>
      </c>
      <c r="AX360">
        <f>TYPE(All_India_Index_Upto_April23__1[[#This Row],[Food and beverages]])</f>
        <v>1</v>
      </c>
      <c r="AY360">
        <f>TYPE(All_India_Index_Upto_April23__1[[#This Row],[Pan, tobacco and intoxicants]])</f>
        <v>1</v>
      </c>
      <c r="AZ360">
        <f>TYPE(All_India_Index_Upto_April23__1[[#This Row],[Clothing]])</f>
        <v>1</v>
      </c>
      <c r="BA360">
        <f>TYPE(All_India_Index_Upto_April23__1[[#This Row],[Footwear]])</f>
        <v>1</v>
      </c>
      <c r="BB360">
        <f>TYPE(All_India_Index_Upto_April23__1[[#This Row],[Clothing and footwear]])</f>
        <v>1</v>
      </c>
      <c r="BC360">
        <f>TYPE(All_India_Index_Upto_April23__1[[#This Row],[Housing]])</f>
        <v>2</v>
      </c>
      <c r="BD360">
        <f>TYPE(All_India_Index_Upto_April23__1[[#This Row],[Fuel and light]])</f>
        <v>1</v>
      </c>
      <c r="BE360">
        <f>TYPE(All_India_Index_Upto_April23__1[[#This Row],[Household goods and services]])</f>
        <v>1</v>
      </c>
      <c r="BF360">
        <f>TYPE(All_India_Index_Upto_April23__1[[#This Row],[Health]])</f>
        <v>1</v>
      </c>
      <c r="BG360">
        <f>TYPE(All_India_Index_Upto_April23__1[[#This Row],[Transport and communication]])</f>
        <v>1</v>
      </c>
      <c r="BH360">
        <f>TYPE(All_India_Index_Upto_April23__1[[#This Row],[Recreation and amusement]])</f>
        <v>1</v>
      </c>
      <c r="BI360">
        <f>TYPE(All_India_Index_Upto_April23__1[[#This Row],[Education]])</f>
        <v>1</v>
      </c>
      <c r="BJ360">
        <f>TYPE(All_India_Index_Upto_April23__1[[#This Row],[Personal care and effects]])</f>
        <v>1</v>
      </c>
      <c r="BK360">
        <f>TYPE(All_India_Index_Upto_April23__1[[#This Row],[Miscellaneous]])</f>
        <v>1</v>
      </c>
      <c r="BL360">
        <f>TYPE(All_India_Index_Upto_April23__1[[#This Row],[General index]])</f>
        <v>1</v>
      </c>
    </row>
    <row r="361" spans="1:64" hidden="1" x14ac:dyDescent="0.3">
      <c r="A361" t="s">
        <v>32</v>
      </c>
      <c r="B361">
        <v>2023</v>
      </c>
      <c r="C361" t="s">
        <v>31</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t="s">
        <v>205</v>
      </c>
      <c r="V361">
        <v>180.1</v>
      </c>
      <c r="W361">
        <v>168</v>
      </c>
      <c r="X361">
        <v>178.5</v>
      </c>
      <c r="Y361">
        <v>159.5</v>
      </c>
      <c r="Z361">
        <v>167.8</v>
      </c>
      <c r="AA361">
        <v>171.8</v>
      </c>
      <c r="AB361">
        <v>178.8</v>
      </c>
      <c r="AC361">
        <v>168.9</v>
      </c>
      <c r="AD361">
        <v>174.9</v>
      </c>
      <c r="AE361">
        <f>SUM(All_India_Index_Upto_April23__1[[#This Row],[Cereals and products]:[Food and beverages]])</f>
        <v>2310.2000000000003</v>
      </c>
      <c r="AF361">
        <f>SUM(All_India_Index_Upto_April23__1[[#This Row],[Clothing]:[Clothing and footwear]])</f>
        <v>520.6</v>
      </c>
      <c r="AG361">
        <f t="shared" si="5"/>
        <v>507.6</v>
      </c>
      <c r="AI361">
        <f>TYPE(All_India_Index_Upto_April23__1[[#This Row],[Sector]])</f>
        <v>2</v>
      </c>
      <c r="AJ361">
        <f>TYPE(All_India_Index_Upto_April23__1[[#This Row],[Year]])</f>
        <v>1</v>
      </c>
      <c r="AK361">
        <f>TYPE(All_India_Index_Upto_April23__1[[#This Row],[Month]])</f>
        <v>2</v>
      </c>
      <c r="AL361">
        <f>TYPE(All_India_Index_Upto_April23__1[[#This Row],[Cereals and products]])</f>
        <v>1</v>
      </c>
      <c r="AM361">
        <f>TYPE(All_India_Index_Upto_April23__1[[#This Row],[Meat and fish]])</f>
        <v>1</v>
      </c>
      <c r="AN361">
        <f>TYPE(All_India_Index_Upto_April23__1[[#This Row],[Egg]])</f>
        <v>1</v>
      </c>
      <c r="AO361">
        <f>TYPE(All_India_Index_Upto_April23__1[[#This Row],[Milk and products]])</f>
        <v>1</v>
      </c>
      <c r="AP361">
        <f>TYPE(All_India_Index_Upto_April23__1[[#This Row],[Oils and fats]])</f>
        <v>1</v>
      </c>
      <c r="AQ361">
        <f>TYPE(All_India_Index_Upto_April23__1[[#This Row],[Fruits]])</f>
        <v>1</v>
      </c>
      <c r="AR361">
        <f>TYPE(All_India_Index_Upto_April23__1[[#This Row],[Vegetables]])</f>
        <v>1</v>
      </c>
      <c r="AS361">
        <f>TYPE(All_India_Index_Upto_April23__1[[#This Row],[Pulses and products]])</f>
        <v>1</v>
      </c>
      <c r="AT361">
        <f>TYPE(All_India_Index_Upto_April23__1[[#This Row],[Sugar and Confectionery]])</f>
        <v>1</v>
      </c>
      <c r="AU361">
        <f>TYPE(All_India_Index_Upto_April23__1[[#This Row],[Spices]])</f>
        <v>1</v>
      </c>
      <c r="AV361">
        <f>TYPE(All_India_Index_Upto_April23__1[[#This Row],[Non-alcoholic beverages]])</f>
        <v>1</v>
      </c>
      <c r="AW361">
        <f>TYPE(All_India_Index_Upto_April23__1[[#This Row],[Prepared meals, snacks, sweets etc.]])</f>
        <v>1</v>
      </c>
      <c r="AX361">
        <f>TYPE(All_India_Index_Upto_April23__1[[#This Row],[Food and beverages]])</f>
        <v>1</v>
      </c>
      <c r="AY361">
        <f>TYPE(All_India_Index_Upto_April23__1[[#This Row],[Pan, tobacco and intoxicants]])</f>
        <v>1</v>
      </c>
      <c r="AZ361">
        <f>TYPE(All_India_Index_Upto_April23__1[[#This Row],[Clothing]])</f>
        <v>1</v>
      </c>
      <c r="BA361">
        <f>TYPE(All_India_Index_Upto_April23__1[[#This Row],[Footwear]])</f>
        <v>1</v>
      </c>
      <c r="BB361">
        <f>TYPE(All_India_Index_Upto_April23__1[[#This Row],[Clothing and footwear]])</f>
        <v>1</v>
      </c>
      <c r="BC361">
        <f>TYPE(All_India_Index_Upto_April23__1[[#This Row],[Housing]])</f>
        <v>2</v>
      </c>
      <c r="BD361">
        <f>TYPE(All_India_Index_Upto_April23__1[[#This Row],[Fuel and light]])</f>
        <v>1</v>
      </c>
      <c r="BE361">
        <f>TYPE(All_India_Index_Upto_April23__1[[#This Row],[Household goods and services]])</f>
        <v>1</v>
      </c>
      <c r="BF361">
        <f>TYPE(All_India_Index_Upto_April23__1[[#This Row],[Health]])</f>
        <v>1</v>
      </c>
      <c r="BG361">
        <f>TYPE(All_India_Index_Upto_April23__1[[#This Row],[Transport and communication]])</f>
        <v>1</v>
      </c>
      <c r="BH361">
        <f>TYPE(All_India_Index_Upto_April23__1[[#This Row],[Recreation and amusement]])</f>
        <v>1</v>
      </c>
      <c r="BI361">
        <f>TYPE(All_India_Index_Upto_April23__1[[#This Row],[Education]])</f>
        <v>1</v>
      </c>
      <c r="BJ361">
        <f>TYPE(All_India_Index_Upto_April23__1[[#This Row],[Personal care and effects]])</f>
        <v>1</v>
      </c>
      <c r="BK361">
        <f>TYPE(All_India_Index_Upto_April23__1[[#This Row],[Miscellaneous]])</f>
        <v>1</v>
      </c>
      <c r="BL361">
        <f>TYPE(All_India_Index_Upto_April23__1[[#This Row],[General index]])</f>
        <v>1</v>
      </c>
    </row>
    <row r="362" spans="1:64" hidden="1" x14ac:dyDescent="0.3">
      <c r="A362" t="s">
        <v>33</v>
      </c>
      <c r="B362">
        <v>2023</v>
      </c>
      <c r="C362" t="s">
        <v>31</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t="s">
        <v>205</v>
      </c>
      <c r="V362">
        <v>182</v>
      </c>
      <c r="W362">
        <v>172.9</v>
      </c>
      <c r="X362">
        <v>182.3</v>
      </c>
      <c r="Y362">
        <v>163.6</v>
      </c>
      <c r="Z362">
        <v>169.5</v>
      </c>
      <c r="AA362">
        <v>174.3</v>
      </c>
      <c r="AB362">
        <v>178.6</v>
      </c>
      <c r="AC362">
        <v>172.8</v>
      </c>
      <c r="AD362">
        <v>176.5</v>
      </c>
      <c r="AE362">
        <f>SUM(All_India_Index_Upto_April23__1[[#This Row],[Cereals and products]:[Food and beverages]])</f>
        <v>2292.6999999999998</v>
      </c>
      <c r="AF362">
        <f>SUM(All_India_Index_Upto_April23__1[[#This Row],[Clothing]:[Clothing and footwear]])</f>
        <v>546.29999999999995</v>
      </c>
      <c r="AG362">
        <f t="shared" si="5"/>
        <v>518.5</v>
      </c>
      <c r="AI362">
        <f>TYPE(All_India_Index_Upto_April23__1[[#This Row],[Sector]])</f>
        <v>2</v>
      </c>
      <c r="AJ362">
        <f>TYPE(All_India_Index_Upto_April23__1[[#This Row],[Year]])</f>
        <v>1</v>
      </c>
      <c r="AK362">
        <f>TYPE(All_India_Index_Upto_April23__1[[#This Row],[Month]])</f>
        <v>2</v>
      </c>
      <c r="AL362">
        <f>TYPE(All_India_Index_Upto_April23__1[[#This Row],[Cereals and products]])</f>
        <v>1</v>
      </c>
      <c r="AM362">
        <f>TYPE(All_India_Index_Upto_April23__1[[#This Row],[Meat and fish]])</f>
        <v>1</v>
      </c>
      <c r="AN362">
        <f>TYPE(All_India_Index_Upto_April23__1[[#This Row],[Egg]])</f>
        <v>1</v>
      </c>
      <c r="AO362">
        <f>TYPE(All_India_Index_Upto_April23__1[[#This Row],[Milk and products]])</f>
        <v>1</v>
      </c>
      <c r="AP362">
        <f>TYPE(All_India_Index_Upto_April23__1[[#This Row],[Oils and fats]])</f>
        <v>1</v>
      </c>
      <c r="AQ362">
        <f>TYPE(All_India_Index_Upto_April23__1[[#This Row],[Fruits]])</f>
        <v>1</v>
      </c>
      <c r="AR362">
        <f>TYPE(All_India_Index_Upto_April23__1[[#This Row],[Vegetables]])</f>
        <v>1</v>
      </c>
      <c r="AS362">
        <f>TYPE(All_India_Index_Upto_April23__1[[#This Row],[Pulses and products]])</f>
        <v>1</v>
      </c>
      <c r="AT362">
        <f>TYPE(All_India_Index_Upto_April23__1[[#This Row],[Sugar and Confectionery]])</f>
        <v>1</v>
      </c>
      <c r="AU362">
        <f>TYPE(All_India_Index_Upto_April23__1[[#This Row],[Spices]])</f>
        <v>1</v>
      </c>
      <c r="AV362">
        <f>TYPE(All_India_Index_Upto_April23__1[[#This Row],[Non-alcoholic beverages]])</f>
        <v>1</v>
      </c>
      <c r="AW362">
        <f>TYPE(All_India_Index_Upto_April23__1[[#This Row],[Prepared meals, snacks, sweets etc.]])</f>
        <v>1</v>
      </c>
      <c r="AX362">
        <f>TYPE(All_India_Index_Upto_April23__1[[#This Row],[Food and beverages]])</f>
        <v>1</v>
      </c>
      <c r="AY362">
        <f>TYPE(All_India_Index_Upto_April23__1[[#This Row],[Pan, tobacco and intoxicants]])</f>
        <v>1</v>
      </c>
      <c r="AZ362">
        <f>TYPE(All_India_Index_Upto_April23__1[[#This Row],[Clothing]])</f>
        <v>1</v>
      </c>
      <c r="BA362">
        <f>TYPE(All_India_Index_Upto_April23__1[[#This Row],[Footwear]])</f>
        <v>1</v>
      </c>
      <c r="BB362">
        <f>TYPE(All_India_Index_Upto_April23__1[[#This Row],[Clothing and footwear]])</f>
        <v>1</v>
      </c>
      <c r="BC362">
        <f>TYPE(All_India_Index_Upto_April23__1[[#This Row],[Housing]])</f>
        <v>2</v>
      </c>
      <c r="BD362">
        <f>TYPE(All_India_Index_Upto_April23__1[[#This Row],[Fuel and light]])</f>
        <v>1</v>
      </c>
      <c r="BE362">
        <f>TYPE(All_India_Index_Upto_April23__1[[#This Row],[Household goods and services]])</f>
        <v>1</v>
      </c>
      <c r="BF362">
        <f>TYPE(All_India_Index_Upto_April23__1[[#This Row],[Health]])</f>
        <v>1</v>
      </c>
      <c r="BG362">
        <f>TYPE(All_India_Index_Upto_April23__1[[#This Row],[Transport and communication]])</f>
        <v>1</v>
      </c>
      <c r="BH362">
        <f>TYPE(All_India_Index_Upto_April23__1[[#This Row],[Recreation and amusement]])</f>
        <v>1</v>
      </c>
      <c r="BI362">
        <f>TYPE(All_India_Index_Upto_April23__1[[#This Row],[Education]])</f>
        <v>1</v>
      </c>
      <c r="BJ362">
        <f>TYPE(All_India_Index_Upto_April23__1[[#This Row],[Personal care and effects]])</f>
        <v>1</v>
      </c>
      <c r="BK362">
        <f>TYPE(All_India_Index_Upto_April23__1[[#This Row],[Miscellaneous]])</f>
        <v>1</v>
      </c>
      <c r="BL362">
        <f>TYPE(All_India_Index_Upto_April23__1[[#This Row],[General index]])</f>
        <v>1</v>
      </c>
    </row>
    <row r="363" spans="1:64" hidden="1" x14ac:dyDescent="0.3">
      <c r="A363" t="s">
        <v>30</v>
      </c>
      <c r="B363">
        <v>2023</v>
      </c>
      <c r="C363" t="s">
        <v>34</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U363" t="s">
        <v>89</v>
      </c>
      <c r="V363">
        <v>181.6</v>
      </c>
      <c r="W363">
        <v>178.6</v>
      </c>
      <c r="X363">
        <v>186.6</v>
      </c>
      <c r="Y363">
        <v>169</v>
      </c>
      <c r="Z363">
        <v>172.8</v>
      </c>
      <c r="AA363">
        <v>178.5</v>
      </c>
      <c r="AB363">
        <v>180.7</v>
      </c>
      <c r="AC363">
        <v>177.9</v>
      </c>
      <c r="AD363">
        <v>178</v>
      </c>
      <c r="AE363">
        <f>SUM(All_India_Index_Upto_April23__1[[#This Row],[Cereals and products]:[Food and beverages]])</f>
        <v>2265.6999999999998</v>
      </c>
      <c r="AF363">
        <f>SUM(All_India_Index_Upto_April23__1[[#This Row],[Clothing]:[Clothing and footwear]])</f>
        <v>566.6</v>
      </c>
      <c r="AG363">
        <f t="shared" si="5"/>
        <v>529.20000000000005</v>
      </c>
      <c r="AI363">
        <f>TYPE(All_India_Index_Upto_April23__1[[#This Row],[Sector]])</f>
        <v>2</v>
      </c>
      <c r="AJ363">
        <f>TYPE(All_India_Index_Upto_April23__1[[#This Row],[Year]])</f>
        <v>1</v>
      </c>
      <c r="AK363">
        <f>TYPE(All_India_Index_Upto_April23__1[[#This Row],[Month]])</f>
        <v>2</v>
      </c>
      <c r="AL363">
        <f>TYPE(All_India_Index_Upto_April23__1[[#This Row],[Cereals and products]])</f>
        <v>1</v>
      </c>
      <c r="AM363">
        <f>TYPE(All_India_Index_Upto_April23__1[[#This Row],[Meat and fish]])</f>
        <v>1</v>
      </c>
      <c r="AN363">
        <f>TYPE(All_India_Index_Upto_April23__1[[#This Row],[Egg]])</f>
        <v>1</v>
      </c>
      <c r="AO363">
        <f>TYPE(All_India_Index_Upto_April23__1[[#This Row],[Milk and products]])</f>
        <v>1</v>
      </c>
      <c r="AP363">
        <f>TYPE(All_India_Index_Upto_April23__1[[#This Row],[Oils and fats]])</f>
        <v>1</v>
      </c>
      <c r="AQ363">
        <f>TYPE(All_India_Index_Upto_April23__1[[#This Row],[Fruits]])</f>
        <v>1</v>
      </c>
      <c r="AR363">
        <f>TYPE(All_India_Index_Upto_April23__1[[#This Row],[Vegetables]])</f>
        <v>1</v>
      </c>
      <c r="AS363">
        <f>TYPE(All_India_Index_Upto_April23__1[[#This Row],[Pulses and products]])</f>
        <v>1</v>
      </c>
      <c r="AT363">
        <f>TYPE(All_India_Index_Upto_April23__1[[#This Row],[Sugar and Confectionery]])</f>
        <v>1</v>
      </c>
      <c r="AU363">
        <f>TYPE(All_India_Index_Upto_April23__1[[#This Row],[Spices]])</f>
        <v>1</v>
      </c>
      <c r="AV363">
        <f>TYPE(All_India_Index_Upto_April23__1[[#This Row],[Non-alcoholic beverages]])</f>
        <v>1</v>
      </c>
      <c r="AW363">
        <f>TYPE(All_India_Index_Upto_April23__1[[#This Row],[Prepared meals, snacks, sweets etc.]])</f>
        <v>1</v>
      </c>
      <c r="AX363">
        <f>TYPE(All_India_Index_Upto_April23__1[[#This Row],[Food and beverages]])</f>
        <v>1</v>
      </c>
      <c r="AY363">
        <f>TYPE(All_India_Index_Upto_April23__1[[#This Row],[Pan, tobacco and intoxicants]])</f>
        <v>1</v>
      </c>
      <c r="AZ363">
        <f>TYPE(All_India_Index_Upto_April23__1[[#This Row],[Clothing]])</f>
        <v>1</v>
      </c>
      <c r="BA363">
        <f>TYPE(All_India_Index_Upto_April23__1[[#This Row],[Footwear]])</f>
        <v>1</v>
      </c>
      <c r="BB363">
        <f>TYPE(All_India_Index_Upto_April23__1[[#This Row],[Clothing and footwear]])</f>
        <v>1</v>
      </c>
      <c r="BC363">
        <f>TYPE(All_India_Index_Upto_April23__1[[#This Row],[Housing]])</f>
        <v>2</v>
      </c>
      <c r="BD363">
        <f>TYPE(All_India_Index_Upto_April23__1[[#This Row],[Fuel and light]])</f>
        <v>1</v>
      </c>
      <c r="BE363">
        <f>TYPE(All_India_Index_Upto_April23__1[[#This Row],[Household goods and services]])</f>
        <v>1</v>
      </c>
      <c r="BF363">
        <f>TYPE(All_India_Index_Upto_April23__1[[#This Row],[Health]])</f>
        <v>1</v>
      </c>
      <c r="BG363">
        <f>TYPE(All_India_Index_Upto_April23__1[[#This Row],[Transport and communication]])</f>
        <v>1</v>
      </c>
      <c r="BH363">
        <f>TYPE(All_India_Index_Upto_April23__1[[#This Row],[Recreation and amusement]])</f>
        <v>1</v>
      </c>
      <c r="BI363">
        <f>TYPE(All_India_Index_Upto_April23__1[[#This Row],[Education]])</f>
        <v>1</v>
      </c>
      <c r="BJ363">
        <f>TYPE(All_India_Index_Upto_April23__1[[#This Row],[Personal care and effects]])</f>
        <v>1</v>
      </c>
      <c r="BK363">
        <f>TYPE(All_India_Index_Upto_April23__1[[#This Row],[Miscellaneous]])</f>
        <v>1</v>
      </c>
      <c r="BL363">
        <f>TYPE(All_India_Index_Upto_April23__1[[#This Row],[General index]])</f>
        <v>1</v>
      </c>
    </row>
    <row r="364" spans="1:64" hidden="1" x14ac:dyDescent="0.3">
      <c r="A364" t="s">
        <v>32</v>
      </c>
      <c r="B364">
        <v>2023</v>
      </c>
      <c r="C364" t="s">
        <v>34</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t="s">
        <v>206</v>
      </c>
      <c r="V364">
        <v>182.8</v>
      </c>
      <c r="W364">
        <v>169.2</v>
      </c>
      <c r="X364">
        <v>180.8</v>
      </c>
      <c r="Y364">
        <v>159.80000000000001</v>
      </c>
      <c r="Z364">
        <v>168.4</v>
      </c>
      <c r="AA364">
        <v>172.5</v>
      </c>
      <c r="AB364">
        <v>181.4</v>
      </c>
      <c r="AC364">
        <v>170</v>
      </c>
      <c r="AD364">
        <v>176.3</v>
      </c>
      <c r="AE364">
        <f>SUM(All_India_Index_Upto_April23__1[[#This Row],[Cereals and products]:[Food and beverages]])</f>
        <v>2303.1999999999998</v>
      </c>
      <c r="AF364">
        <f>SUM(All_India_Index_Upto_April23__1[[#This Row],[Clothing]:[Clothing and footwear]])</f>
        <v>525.5</v>
      </c>
      <c r="AG364">
        <f t="shared" si="5"/>
        <v>511.8</v>
      </c>
      <c r="AI364">
        <f>TYPE(All_India_Index_Upto_April23__1[[#This Row],[Sector]])</f>
        <v>2</v>
      </c>
      <c r="AJ364">
        <f>TYPE(All_India_Index_Upto_April23__1[[#This Row],[Year]])</f>
        <v>1</v>
      </c>
      <c r="AK364">
        <f>TYPE(All_India_Index_Upto_April23__1[[#This Row],[Month]])</f>
        <v>2</v>
      </c>
      <c r="AL364">
        <f>TYPE(All_India_Index_Upto_April23__1[[#This Row],[Cereals and products]])</f>
        <v>1</v>
      </c>
      <c r="AM364">
        <f>TYPE(All_India_Index_Upto_April23__1[[#This Row],[Meat and fish]])</f>
        <v>1</v>
      </c>
      <c r="AN364">
        <f>TYPE(All_India_Index_Upto_April23__1[[#This Row],[Egg]])</f>
        <v>1</v>
      </c>
      <c r="AO364">
        <f>TYPE(All_India_Index_Upto_April23__1[[#This Row],[Milk and products]])</f>
        <v>1</v>
      </c>
      <c r="AP364">
        <f>TYPE(All_India_Index_Upto_April23__1[[#This Row],[Oils and fats]])</f>
        <v>1</v>
      </c>
      <c r="AQ364">
        <f>TYPE(All_India_Index_Upto_April23__1[[#This Row],[Fruits]])</f>
        <v>1</v>
      </c>
      <c r="AR364">
        <f>TYPE(All_India_Index_Upto_April23__1[[#This Row],[Vegetables]])</f>
        <v>1</v>
      </c>
      <c r="AS364">
        <f>TYPE(All_India_Index_Upto_April23__1[[#This Row],[Pulses and products]])</f>
        <v>1</v>
      </c>
      <c r="AT364">
        <f>TYPE(All_India_Index_Upto_April23__1[[#This Row],[Sugar and Confectionery]])</f>
        <v>1</v>
      </c>
      <c r="AU364">
        <f>TYPE(All_India_Index_Upto_April23__1[[#This Row],[Spices]])</f>
        <v>1</v>
      </c>
      <c r="AV364">
        <f>TYPE(All_India_Index_Upto_April23__1[[#This Row],[Non-alcoholic beverages]])</f>
        <v>1</v>
      </c>
      <c r="AW364">
        <f>TYPE(All_India_Index_Upto_April23__1[[#This Row],[Prepared meals, snacks, sweets etc.]])</f>
        <v>1</v>
      </c>
      <c r="AX364">
        <f>TYPE(All_India_Index_Upto_April23__1[[#This Row],[Food and beverages]])</f>
        <v>1</v>
      </c>
      <c r="AY364">
        <f>TYPE(All_India_Index_Upto_April23__1[[#This Row],[Pan, tobacco and intoxicants]])</f>
        <v>1</v>
      </c>
      <c r="AZ364">
        <f>TYPE(All_India_Index_Upto_April23__1[[#This Row],[Clothing]])</f>
        <v>1</v>
      </c>
      <c r="BA364">
        <f>TYPE(All_India_Index_Upto_April23__1[[#This Row],[Footwear]])</f>
        <v>1</v>
      </c>
      <c r="BB364">
        <f>TYPE(All_India_Index_Upto_April23__1[[#This Row],[Clothing and footwear]])</f>
        <v>1</v>
      </c>
      <c r="BC364">
        <f>TYPE(All_India_Index_Upto_April23__1[[#This Row],[Housing]])</f>
        <v>2</v>
      </c>
      <c r="BD364">
        <f>TYPE(All_India_Index_Upto_April23__1[[#This Row],[Fuel and light]])</f>
        <v>1</v>
      </c>
      <c r="BE364">
        <f>TYPE(All_India_Index_Upto_April23__1[[#This Row],[Household goods and services]])</f>
        <v>1</v>
      </c>
      <c r="BF364">
        <f>TYPE(All_India_Index_Upto_April23__1[[#This Row],[Health]])</f>
        <v>1</v>
      </c>
      <c r="BG364">
        <f>TYPE(All_India_Index_Upto_April23__1[[#This Row],[Transport and communication]])</f>
        <v>1</v>
      </c>
      <c r="BH364">
        <f>TYPE(All_India_Index_Upto_April23__1[[#This Row],[Recreation and amusement]])</f>
        <v>1</v>
      </c>
      <c r="BI364">
        <f>TYPE(All_India_Index_Upto_April23__1[[#This Row],[Education]])</f>
        <v>1</v>
      </c>
      <c r="BJ364">
        <f>TYPE(All_India_Index_Upto_April23__1[[#This Row],[Personal care and effects]])</f>
        <v>1</v>
      </c>
      <c r="BK364">
        <f>TYPE(All_India_Index_Upto_April23__1[[#This Row],[Miscellaneous]])</f>
        <v>1</v>
      </c>
      <c r="BL364">
        <f>TYPE(All_India_Index_Upto_April23__1[[#This Row],[General index]])</f>
        <v>1</v>
      </c>
    </row>
    <row r="365" spans="1:64" hidden="1" x14ac:dyDescent="0.3">
      <c r="A365" t="s">
        <v>33</v>
      </c>
      <c r="B365">
        <v>2023</v>
      </c>
      <c r="C365" t="s">
        <v>34</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t="s">
        <v>206</v>
      </c>
      <c r="V365">
        <v>182.1</v>
      </c>
      <c r="W365">
        <v>174.2</v>
      </c>
      <c r="X365">
        <v>184.4</v>
      </c>
      <c r="Y365">
        <v>164.2</v>
      </c>
      <c r="Z365">
        <v>170.3</v>
      </c>
      <c r="AA365">
        <v>175</v>
      </c>
      <c r="AB365">
        <v>181</v>
      </c>
      <c r="AC365">
        <v>174.1</v>
      </c>
      <c r="AD365">
        <v>177.2</v>
      </c>
      <c r="AE365">
        <f>SUM(All_India_Index_Upto_April23__1[[#This Row],[Cereals and products]:[Food and beverages]])</f>
        <v>2279.1</v>
      </c>
      <c r="AF365">
        <f>SUM(All_India_Index_Upto_April23__1[[#This Row],[Clothing]:[Clothing and footwear]])</f>
        <v>550</v>
      </c>
      <c r="AG365">
        <f t="shared" si="5"/>
        <v>520.5</v>
      </c>
      <c r="AI365">
        <f>TYPE(All_India_Index_Upto_April23__1[[#This Row],[Sector]])</f>
        <v>2</v>
      </c>
      <c r="AJ365">
        <f>TYPE(All_India_Index_Upto_April23__1[[#This Row],[Year]])</f>
        <v>1</v>
      </c>
      <c r="AK365">
        <f>TYPE(All_India_Index_Upto_April23__1[[#This Row],[Month]])</f>
        <v>2</v>
      </c>
      <c r="AL365">
        <f>TYPE(All_India_Index_Upto_April23__1[[#This Row],[Cereals and products]])</f>
        <v>1</v>
      </c>
      <c r="AM365">
        <f>TYPE(All_India_Index_Upto_April23__1[[#This Row],[Meat and fish]])</f>
        <v>1</v>
      </c>
      <c r="AN365">
        <f>TYPE(All_India_Index_Upto_April23__1[[#This Row],[Egg]])</f>
        <v>1</v>
      </c>
      <c r="AO365">
        <f>TYPE(All_India_Index_Upto_April23__1[[#This Row],[Milk and products]])</f>
        <v>1</v>
      </c>
      <c r="AP365">
        <f>TYPE(All_India_Index_Upto_April23__1[[#This Row],[Oils and fats]])</f>
        <v>1</v>
      </c>
      <c r="AQ365">
        <f>TYPE(All_India_Index_Upto_April23__1[[#This Row],[Fruits]])</f>
        <v>1</v>
      </c>
      <c r="AR365">
        <f>TYPE(All_India_Index_Upto_April23__1[[#This Row],[Vegetables]])</f>
        <v>1</v>
      </c>
      <c r="AS365">
        <f>TYPE(All_India_Index_Upto_April23__1[[#This Row],[Pulses and products]])</f>
        <v>1</v>
      </c>
      <c r="AT365">
        <f>TYPE(All_India_Index_Upto_April23__1[[#This Row],[Sugar and Confectionery]])</f>
        <v>1</v>
      </c>
      <c r="AU365">
        <f>TYPE(All_India_Index_Upto_April23__1[[#This Row],[Spices]])</f>
        <v>1</v>
      </c>
      <c r="AV365">
        <f>TYPE(All_India_Index_Upto_April23__1[[#This Row],[Non-alcoholic beverages]])</f>
        <v>1</v>
      </c>
      <c r="AW365">
        <f>TYPE(All_India_Index_Upto_April23__1[[#This Row],[Prepared meals, snacks, sweets etc.]])</f>
        <v>1</v>
      </c>
      <c r="AX365">
        <f>TYPE(All_India_Index_Upto_April23__1[[#This Row],[Food and beverages]])</f>
        <v>1</v>
      </c>
      <c r="AY365">
        <f>TYPE(All_India_Index_Upto_April23__1[[#This Row],[Pan, tobacco and intoxicants]])</f>
        <v>1</v>
      </c>
      <c r="AZ365">
        <f>TYPE(All_India_Index_Upto_April23__1[[#This Row],[Clothing]])</f>
        <v>1</v>
      </c>
      <c r="BA365">
        <f>TYPE(All_India_Index_Upto_April23__1[[#This Row],[Footwear]])</f>
        <v>1</v>
      </c>
      <c r="BB365">
        <f>TYPE(All_India_Index_Upto_April23__1[[#This Row],[Clothing and footwear]])</f>
        <v>1</v>
      </c>
      <c r="BC365">
        <f>TYPE(All_India_Index_Upto_April23__1[[#This Row],[Housing]])</f>
        <v>2</v>
      </c>
      <c r="BD365">
        <f>TYPE(All_India_Index_Upto_April23__1[[#This Row],[Fuel and light]])</f>
        <v>1</v>
      </c>
      <c r="BE365">
        <f>TYPE(All_India_Index_Upto_April23__1[[#This Row],[Household goods and services]])</f>
        <v>1</v>
      </c>
      <c r="BF365">
        <f>TYPE(All_India_Index_Upto_April23__1[[#This Row],[Health]])</f>
        <v>1</v>
      </c>
      <c r="BG365">
        <f>TYPE(All_India_Index_Upto_April23__1[[#This Row],[Transport and communication]])</f>
        <v>1</v>
      </c>
      <c r="BH365">
        <f>TYPE(All_India_Index_Upto_April23__1[[#This Row],[Recreation and amusement]])</f>
        <v>1</v>
      </c>
      <c r="BI365">
        <f>TYPE(All_India_Index_Upto_April23__1[[#This Row],[Education]])</f>
        <v>1</v>
      </c>
      <c r="BJ365">
        <f>TYPE(All_India_Index_Upto_April23__1[[#This Row],[Personal care and effects]])</f>
        <v>1</v>
      </c>
      <c r="BK365">
        <f>TYPE(All_India_Index_Upto_April23__1[[#This Row],[Miscellaneous]])</f>
        <v>1</v>
      </c>
      <c r="BL365">
        <f>TYPE(All_India_Index_Upto_April23__1[[#This Row],[General index]])</f>
        <v>1</v>
      </c>
    </row>
    <row r="366" spans="1:64" hidden="1" x14ac:dyDescent="0.3">
      <c r="A366" t="s">
        <v>30</v>
      </c>
      <c r="B366">
        <v>2023</v>
      </c>
      <c r="C366" t="s">
        <v>35</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U366" t="s">
        <v>89</v>
      </c>
      <c r="V366">
        <v>181.4</v>
      </c>
      <c r="W366">
        <v>178.6</v>
      </c>
      <c r="X366">
        <v>186.6</v>
      </c>
      <c r="Y366">
        <v>169</v>
      </c>
      <c r="Z366">
        <v>172.8</v>
      </c>
      <c r="AA366">
        <v>178.5</v>
      </c>
      <c r="AB366">
        <v>180.7</v>
      </c>
      <c r="AC366">
        <v>177.9</v>
      </c>
      <c r="AD366">
        <v>178</v>
      </c>
      <c r="AE366">
        <f>SUM(All_India_Index_Upto_April23__1[[#This Row],[Cereals and products]:[Food and beverages]])</f>
        <v>2265.8000000000002</v>
      </c>
      <c r="AF366">
        <f>SUM(All_India_Index_Upto_April23__1[[#This Row],[Clothing]:[Clothing and footwear]])</f>
        <v>566.6</v>
      </c>
      <c r="AG366">
        <f t="shared" si="5"/>
        <v>529</v>
      </c>
      <c r="AI366">
        <f>TYPE(All_India_Index_Upto_April23__1[[#This Row],[Sector]])</f>
        <v>2</v>
      </c>
      <c r="AJ366">
        <f>TYPE(All_India_Index_Upto_April23__1[[#This Row],[Year]])</f>
        <v>1</v>
      </c>
      <c r="AK366">
        <f>TYPE(All_India_Index_Upto_April23__1[[#This Row],[Month]])</f>
        <v>2</v>
      </c>
      <c r="AL366">
        <f>TYPE(All_India_Index_Upto_April23__1[[#This Row],[Cereals and products]])</f>
        <v>1</v>
      </c>
      <c r="AM366">
        <f>TYPE(All_India_Index_Upto_April23__1[[#This Row],[Meat and fish]])</f>
        <v>1</v>
      </c>
      <c r="AN366">
        <f>TYPE(All_India_Index_Upto_April23__1[[#This Row],[Egg]])</f>
        <v>1</v>
      </c>
      <c r="AO366">
        <f>TYPE(All_India_Index_Upto_April23__1[[#This Row],[Milk and products]])</f>
        <v>1</v>
      </c>
      <c r="AP366">
        <f>TYPE(All_India_Index_Upto_April23__1[[#This Row],[Oils and fats]])</f>
        <v>1</v>
      </c>
      <c r="AQ366">
        <f>TYPE(All_India_Index_Upto_April23__1[[#This Row],[Fruits]])</f>
        <v>1</v>
      </c>
      <c r="AR366">
        <f>TYPE(All_India_Index_Upto_April23__1[[#This Row],[Vegetables]])</f>
        <v>1</v>
      </c>
      <c r="AS366">
        <f>TYPE(All_India_Index_Upto_April23__1[[#This Row],[Pulses and products]])</f>
        <v>1</v>
      </c>
      <c r="AT366">
        <f>TYPE(All_India_Index_Upto_April23__1[[#This Row],[Sugar and Confectionery]])</f>
        <v>1</v>
      </c>
      <c r="AU366">
        <f>TYPE(All_India_Index_Upto_April23__1[[#This Row],[Spices]])</f>
        <v>1</v>
      </c>
      <c r="AV366">
        <f>TYPE(All_India_Index_Upto_April23__1[[#This Row],[Non-alcoholic beverages]])</f>
        <v>1</v>
      </c>
      <c r="AW366">
        <f>TYPE(All_India_Index_Upto_April23__1[[#This Row],[Prepared meals, snacks, sweets etc.]])</f>
        <v>1</v>
      </c>
      <c r="AX366">
        <f>TYPE(All_India_Index_Upto_April23__1[[#This Row],[Food and beverages]])</f>
        <v>1</v>
      </c>
      <c r="AY366">
        <f>TYPE(All_India_Index_Upto_April23__1[[#This Row],[Pan, tobacco and intoxicants]])</f>
        <v>1</v>
      </c>
      <c r="AZ366">
        <f>TYPE(All_India_Index_Upto_April23__1[[#This Row],[Clothing]])</f>
        <v>1</v>
      </c>
      <c r="BA366">
        <f>TYPE(All_India_Index_Upto_April23__1[[#This Row],[Footwear]])</f>
        <v>1</v>
      </c>
      <c r="BB366">
        <f>TYPE(All_India_Index_Upto_April23__1[[#This Row],[Clothing and footwear]])</f>
        <v>1</v>
      </c>
      <c r="BC366">
        <f>TYPE(All_India_Index_Upto_April23__1[[#This Row],[Housing]])</f>
        <v>2</v>
      </c>
      <c r="BD366">
        <f>TYPE(All_India_Index_Upto_April23__1[[#This Row],[Fuel and light]])</f>
        <v>1</v>
      </c>
      <c r="BE366">
        <f>TYPE(All_India_Index_Upto_April23__1[[#This Row],[Household goods and services]])</f>
        <v>1</v>
      </c>
      <c r="BF366">
        <f>TYPE(All_India_Index_Upto_April23__1[[#This Row],[Health]])</f>
        <v>1</v>
      </c>
      <c r="BG366">
        <f>TYPE(All_India_Index_Upto_April23__1[[#This Row],[Transport and communication]])</f>
        <v>1</v>
      </c>
      <c r="BH366">
        <f>TYPE(All_India_Index_Upto_April23__1[[#This Row],[Recreation and amusement]])</f>
        <v>1</v>
      </c>
      <c r="BI366">
        <f>TYPE(All_India_Index_Upto_April23__1[[#This Row],[Education]])</f>
        <v>1</v>
      </c>
      <c r="BJ366">
        <f>TYPE(All_India_Index_Upto_April23__1[[#This Row],[Personal care and effects]])</f>
        <v>1</v>
      </c>
      <c r="BK366">
        <f>TYPE(All_India_Index_Upto_April23__1[[#This Row],[Miscellaneous]])</f>
        <v>1</v>
      </c>
      <c r="BL366">
        <f>TYPE(All_India_Index_Upto_April23__1[[#This Row],[General index]])</f>
        <v>1</v>
      </c>
    </row>
    <row r="367" spans="1:64" hidden="1" x14ac:dyDescent="0.3">
      <c r="A367" t="s">
        <v>32</v>
      </c>
      <c r="B367">
        <v>2023</v>
      </c>
      <c r="C367" t="s">
        <v>35</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t="s">
        <v>206</v>
      </c>
      <c r="V367">
        <v>182.6</v>
      </c>
      <c r="W367">
        <v>169.2</v>
      </c>
      <c r="X367">
        <v>180.8</v>
      </c>
      <c r="Y367">
        <v>159.80000000000001</v>
      </c>
      <c r="Z367">
        <v>168.4</v>
      </c>
      <c r="AA367">
        <v>172.5</v>
      </c>
      <c r="AB367">
        <v>181.5</v>
      </c>
      <c r="AC367">
        <v>170</v>
      </c>
      <c r="AD367">
        <v>176.3</v>
      </c>
      <c r="AE367">
        <f>SUM(All_India_Index_Upto_April23__1[[#This Row],[Cereals and products]:[Food and beverages]])</f>
        <v>2303.4</v>
      </c>
      <c r="AF367">
        <f>SUM(All_India_Index_Upto_April23__1[[#This Row],[Clothing]:[Clothing and footwear]])</f>
        <v>525.4</v>
      </c>
      <c r="AG367">
        <f t="shared" si="5"/>
        <v>511.59999999999997</v>
      </c>
      <c r="AI367">
        <f>TYPE(All_India_Index_Upto_April23__1[[#This Row],[Sector]])</f>
        <v>2</v>
      </c>
      <c r="AJ367">
        <f>TYPE(All_India_Index_Upto_April23__1[[#This Row],[Year]])</f>
        <v>1</v>
      </c>
      <c r="AK367">
        <f>TYPE(All_India_Index_Upto_April23__1[[#This Row],[Month]])</f>
        <v>2</v>
      </c>
      <c r="AL367">
        <f>TYPE(All_India_Index_Upto_April23__1[[#This Row],[Cereals and products]])</f>
        <v>1</v>
      </c>
      <c r="AM367">
        <f>TYPE(All_India_Index_Upto_April23__1[[#This Row],[Meat and fish]])</f>
        <v>1</v>
      </c>
      <c r="AN367">
        <f>TYPE(All_India_Index_Upto_April23__1[[#This Row],[Egg]])</f>
        <v>1</v>
      </c>
      <c r="AO367">
        <f>TYPE(All_India_Index_Upto_April23__1[[#This Row],[Milk and products]])</f>
        <v>1</v>
      </c>
      <c r="AP367">
        <f>TYPE(All_India_Index_Upto_April23__1[[#This Row],[Oils and fats]])</f>
        <v>1</v>
      </c>
      <c r="AQ367">
        <f>TYPE(All_India_Index_Upto_April23__1[[#This Row],[Fruits]])</f>
        <v>1</v>
      </c>
      <c r="AR367">
        <f>TYPE(All_India_Index_Upto_April23__1[[#This Row],[Vegetables]])</f>
        <v>1</v>
      </c>
      <c r="AS367">
        <f>TYPE(All_India_Index_Upto_April23__1[[#This Row],[Pulses and products]])</f>
        <v>1</v>
      </c>
      <c r="AT367">
        <f>TYPE(All_India_Index_Upto_April23__1[[#This Row],[Sugar and Confectionery]])</f>
        <v>1</v>
      </c>
      <c r="AU367">
        <f>TYPE(All_India_Index_Upto_April23__1[[#This Row],[Spices]])</f>
        <v>1</v>
      </c>
      <c r="AV367">
        <f>TYPE(All_India_Index_Upto_April23__1[[#This Row],[Non-alcoholic beverages]])</f>
        <v>1</v>
      </c>
      <c r="AW367">
        <f>TYPE(All_India_Index_Upto_April23__1[[#This Row],[Prepared meals, snacks, sweets etc.]])</f>
        <v>1</v>
      </c>
      <c r="AX367">
        <f>TYPE(All_India_Index_Upto_April23__1[[#This Row],[Food and beverages]])</f>
        <v>1</v>
      </c>
      <c r="AY367">
        <f>TYPE(All_India_Index_Upto_April23__1[[#This Row],[Pan, tobacco and intoxicants]])</f>
        <v>1</v>
      </c>
      <c r="AZ367">
        <f>TYPE(All_India_Index_Upto_April23__1[[#This Row],[Clothing]])</f>
        <v>1</v>
      </c>
      <c r="BA367">
        <f>TYPE(All_India_Index_Upto_April23__1[[#This Row],[Footwear]])</f>
        <v>1</v>
      </c>
      <c r="BB367">
        <f>TYPE(All_India_Index_Upto_April23__1[[#This Row],[Clothing and footwear]])</f>
        <v>1</v>
      </c>
      <c r="BC367">
        <f>TYPE(All_India_Index_Upto_April23__1[[#This Row],[Housing]])</f>
        <v>2</v>
      </c>
      <c r="BD367">
        <f>TYPE(All_India_Index_Upto_April23__1[[#This Row],[Fuel and light]])</f>
        <v>1</v>
      </c>
      <c r="BE367">
        <f>TYPE(All_India_Index_Upto_April23__1[[#This Row],[Household goods and services]])</f>
        <v>1</v>
      </c>
      <c r="BF367">
        <f>TYPE(All_India_Index_Upto_April23__1[[#This Row],[Health]])</f>
        <v>1</v>
      </c>
      <c r="BG367">
        <f>TYPE(All_India_Index_Upto_April23__1[[#This Row],[Transport and communication]])</f>
        <v>1</v>
      </c>
      <c r="BH367">
        <f>TYPE(All_India_Index_Upto_April23__1[[#This Row],[Recreation and amusement]])</f>
        <v>1</v>
      </c>
      <c r="BI367">
        <f>TYPE(All_India_Index_Upto_April23__1[[#This Row],[Education]])</f>
        <v>1</v>
      </c>
      <c r="BJ367">
        <f>TYPE(All_India_Index_Upto_April23__1[[#This Row],[Personal care and effects]])</f>
        <v>1</v>
      </c>
      <c r="BK367">
        <f>TYPE(All_India_Index_Upto_April23__1[[#This Row],[Miscellaneous]])</f>
        <v>1</v>
      </c>
      <c r="BL367">
        <f>TYPE(All_India_Index_Upto_April23__1[[#This Row],[General index]])</f>
        <v>1</v>
      </c>
    </row>
    <row r="368" spans="1:64" hidden="1" x14ac:dyDescent="0.3">
      <c r="A368" t="s">
        <v>33</v>
      </c>
      <c r="B368">
        <v>2023</v>
      </c>
      <c r="C368" t="s">
        <v>35</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t="s">
        <v>206</v>
      </c>
      <c r="V368">
        <v>181.9</v>
      </c>
      <c r="W368">
        <v>174.2</v>
      </c>
      <c r="X368">
        <v>184.4</v>
      </c>
      <c r="Y368">
        <v>164.2</v>
      </c>
      <c r="Z368">
        <v>170.3</v>
      </c>
      <c r="AA368">
        <v>175</v>
      </c>
      <c r="AB368">
        <v>181</v>
      </c>
      <c r="AC368">
        <v>174.1</v>
      </c>
      <c r="AD368">
        <v>177.2</v>
      </c>
      <c r="AE368">
        <f>SUM(All_India_Index_Upto_April23__1[[#This Row],[Cereals and products]:[Food and beverages]])</f>
        <v>2279.1999999999998</v>
      </c>
      <c r="AF368">
        <f>SUM(All_India_Index_Upto_April23__1[[#This Row],[Clothing]:[Clothing and footwear]])</f>
        <v>549.9</v>
      </c>
      <c r="AG368">
        <f t="shared" si="5"/>
        <v>520.29999999999995</v>
      </c>
      <c r="AI368">
        <f>TYPE(All_India_Index_Upto_April23__1[[#This Row],[Sector]])</f>
        <v>2</v>
      </c>
      <c r="AJ368">
        <f>TYPE(All_India_Index_Upto_April23__1[[#This Row],[Year]])</f>
        <v>1</v>
      </c>
      <c r="AK368">
        <f>TYPE(All_India_Index_Upto_April23__1[[#This Row],[Month]])</f>
        <v>2</v>
      </c>
      <c r="AL368">
        <f>TYPE(All_India_Index_Upto_April23__1[[#This Row],[Cereals and products]])</f>
        <v>1</v>
      </c>
      <c r="AM368">
        <f>TYPE(All_India_Index_Upto_April23__1[[#This Row],[Meat and fish]])</f>
        <v>1</v>
      </c>
      <c r="AN368">
        <f>TYPE(All_India_Index_Upto_April23__1[[#This Row],[Egg]])</f>
        <v>1</v>
      </c>
      <c r="AO368">
        <f>TYPE(All_India_Index_Upto_April23__1[[#This Row],[Milk and products]])</f>
        <v>1</v>
      </c>
      <c r="AP368">
        <f>TYPE(All_India_Index_Upto_April23__1[[#This Row],[Oils and fats]])</f>
        <v>1</v>
      </c>
      <c r="AQ368">
        <f>TYPE(All_India_Index_Upto_April23__1[[#This Row],[Fruits]])</f>
        <v>1</v>
      </c>
      <c r="AR368">
        <f>TYPE(All_India_Index_Upto_April23__1[[#This Row],[Vegetables]])</f>
        <v>1</v>
      </c>
      <c r="AS368">
        <f>TYPE(All_India_Index_Upto_April23__1[[#This Row],[Pulses and products]])</f>
        <v>1</v>
      </c>
      <c r="AT368">
        <f>TYPE(All_India_Index_Upto_April23__1[[#This Row],[Sugar and Confectionery]])</f>
        <v>1</v>
      </c>
      <c r="AU368">
        <f>TYPE(All_India_Index_Upto_April23__1[[#This Row],[Spices]])</f>
        <v>1</v>
      </c>
      <c r="AV368">
        <f>TYPE(All_India_Index_Upto_April23__1[[#This Row],[Non-alcoholic beverages]])</f>
        <v>1</v>
      </c>
      <c r="AW368">
        <f>TYPE(All_India_Index_Upto_April23__1[[#This Row],[Prepared meals, snacks, sweets etc.]])</f>
        <v>1</v>
      </c>
      <c r="AX368">
        <f>TYPE(All_India_Index_Upto_April23__1[[#This Row],[Food and beverages]])</f>
        <v>1</v>
      </c>
      <c r="AY368">
        <f>TYPE(All_India_Index_Upto_April23__1[[#This Row],[Pan, tobacco and intoxicants]])</f>
        <v>1</v>
      </c>
      <c r="AZ368">
        <f>TYPE(All_India_Index_Upto_April23__1[[#This Row],[Clothing]])</f>
        <v>1</v>
      </c>
      <c r="BA368">
        <f>TYPE(All_India_Index_Upto_April23__1[[#This Row],[Footwear]])</f>
        <v>1</v>
      </c>
      <c r="BB368">
        <f>TYPE(All_India_Index_Upto_April23__1[[#This Row],[Clothing and footwear]])</f>
        <v>1</v>
      </c>
      <c r="BC368">
        <f>TYPE(All_India_Index_Upto_April23__1[[#This Row],[Housing]])</f>
        <v>2</v>
      </c>
      <c r="BD368">
        <f>TYPE(All_India_Index_Upto_April23__1[[#This Row],[Fuel and light]])</f>
        <v>1</v>
      </c>
      <c r="BE368">
        <f>TYPE(All_India_Index_Upto_April23__1[[#This Row],[Household goods and services]])</f>
        <v>1</v>
      </c>
      <c r="BF368">
        <f>TYPE(All_India_Index_Upto_April23__1[[#This Row],[Health]])</f>
        <v>1</v>
      </c>
      <c r="BG368">
        <f>TYPE(All_India_Index_Upto_April23__1[[#This Row],[Transport and communication]])</f>
        <v>1</v>
      </c>
      <c r="BH368">
        <f>TYPE(All_India_Index_Upto_April23__1[[#This Row],[Recreation and amusement]])</f>
        <v>1</v>
      </c>
      <c r="BI368">
        <f>TYPE(All_India_Index_Upto_April23__1[[#This Row],[Education]])</f>
        <v>1</v>
      </c>
      <c r="BJ368">
        <f>TYPE(All_India_Index_Upto_April23__1[[#This Row],[Personal care and effects]])</f>
        <v>1</v>
      </c>
      <c r="BK368">
        <f>TYPE(All_India_Index_Upto_April23__1[[#This Row],[Miscellaneous]])</f>
        <v>1</v>
      </c>
      <c r="BL368">
        <f>TYPE(All_India_Index_Upto_April23__1[[#This Row],[General index]])</f>
        <v>1</v>
      </c>
    </row>
    <row r="369" spans="1:64" hidden="1" x14ac:dyDescent="0.3">
      <c r="A369" t="s">
        <v>30</v>
      </c>
      <c r="B369">
        <v>2023</v>
      </c>
      <c r="C369" t="s">
        <v>36</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U369" t="s">
        <v>183</v>
      </c>
      <c r="V369">
        <v>181.5</v>
      </c>
      <c r="W369">
        <v>179.1</v>
      </c>
      <c r="X369">
        <v>187.2</v>
      </c>
      <c r="Y369">
        <v>169.4</v>
      </c>
      <c r="Z369">
        <v>173.2</v>
      </c>
      <c r="AA369">
        <v>179.4</v>
      </c>
      <c r="AB369">
        <v>183.8</v>
      </c>
      <c r="AC369">
        <v>178.9</v>
      </c>
      <c r="AD369">
        <v>178.8</v>
      </c>
      <c r="AE369">
        <f>SUM(All_India_Index_Upto_April23__1[[#This Row],[Cereals and products]:[Food and beverages]])</f>
        <v>2274.1999999999998</v>
      </c>
      <c r="AF369">
        <f>SUM(All_India_Index_Upto_April23__1[[#This Row],[Clothing]:[Clothing and footwear]])</f>
        <v>568.20000000000005</v>
      </c>
      <c r="AG369">
        <f t="shared" si="5"/>
        <v>530</v>
      </c>
      <c r="AI369">
        <f>TYPE(All_India_Index_Upto_April23__1[[#This Row],[Sector]])</f>
        <v>2</v>
      </c>
      <c r="AJ369">
        <f>TYPE(All_India_Index_Upto_April23__1[[#This Row],[Year]])</f>
        <v>1</v>
      </c>
      <c r="AK369">
        <f>TYPE(All_India_Index_Upto_April23__1[[#This Row],[Month]])</f>
        <v>2</v>
      </c>
      <c r="AL369">
        <f>TYPE(All_India_Index_Upto_April23__1[[#This Row],[Cereals and products]])</f>
        <v>1</v>
      </c>
      <c r="AM369">
        <f>TYPE(All_India_Index_Upto_April23__1[[#This Row],[Meat and fish]])</f>
        <v>1</v>
      </c>
      <c r="AN369">
        <f>TYPE(All_India_Index_Upto_April23__1[[#This Row],[Egg]])</f>
        <v>1</v>
      </c>
      <c r="AO369">
        <f>TYPE(All_India_Index_Upto_April23__1[[#This Row],[Milk and products]])</f>
        <v>1</v>
      </c>
      <c r="AP369">
        <f>TYPE(All_India_Index_Upto_April23__1[[#This Row],[Oils and fats]])</f>
        <v>1</v>
      </c>
      <c r="AQ369">
        <f>TYPE(All_India_Index_Upto_April23__1[[#This Row],[Fruits]])</f>
        <v>1</v>
      </c>
      <c r="AR369">
        <f>TYPE(All_India_Index_Upto_April23__1[[#This Row],[Vegetables]])</f>
        <v>1</v>
      </c>
      <c r="AS369">
        <f>TYPE(All_India_Index_Upto_April23__1[[#This Row],[Pulses and products]])</f>
        <v>1</v>
      </c>
      <c r="AT369">
        <f>TYPE(All_India_Index_Upto_April23__1[[#This Row],[Sugar and Confectionery]])</f>
        <v>1</v>
      </c>
      <c r="AU369">
        <f>TYPE(All_India_Index_Upto_April23__1[[#This Row],[Spices]])</f>
        <v>1</v>
      </c>
      <c r="AV369">
        <f>TYPE(All_India_Index_Upto_April23__1[[#This Row],[Non-alcoholic beverages]])</f>
        <v>1</v>
      </c>
      <c r="AW369">
        <f>TYPE(All_India_Index_Upto_April23__1[[#This Row],[Prepared meals, snacks, sweets etc.]])</f>
        <v>1</v>
      </c>
      <c r="AX369">
        <f>TYPE(All_India_Index_Upto_April23__1[[#This Row],[Food and beverages]])</f>
        <v>1</v>
      </c>
      <c r="AY369">
        <f>TYPE(All_India_Index_Upto_April23__1[[#This Row],[Pan, tobacco and intoxicants]])</f>
        <v>1</v>
      </c>
      <c r="AZ369">
        <f>TYPE(All_India_Index_Upto_April23__1[[#This Row],[Clothing]])</f>
        <v>1</v>
      </c>
      <c r="BA369">
        <f>TYPE(All_India_Index_Upto_April23__1[[#This Row],[Footwear]])</f>
        <v>1</v>
      </c>
      <c r="BB369">
        <f>TYPE(All_India_Index_Upto_April23__1[[#This Row],[Clothing and footwear]])</f>
        <v>1</v>
      </c>
      <c r="BC369">
        <f>TYPE(All_India_Index_Upto_April23__1[[#This Row],[Housing]])</f>
        <v>2</v>
      </c>
      <c r="BD369">
        <f>TYPE(All_India_Index_Upto_April23__1[[#This Row],[Fuel and light]])</f>
        <v>1</v>
      </c>
      <c r="BE369">
        <f>TYPE(All_India_Index_Upto_April23__1[[#This Row],[Household goods and services]])</f>
        <v>1</v>
      </c>
      <c r="BF369">
        <f>TYPE(All_India_Index_Upto_April23__1[[#This Row],[Health]])</f>
        <v>1</v>
      </c>
      <c r="BG369">
        <f>TYPE(All_India_Index_Upto_April23__1[[#This Row],[Transport and communication]])</f>
        <v>1</v>
      </c>
      <c r="BH369">
        <f>TYPE(All_India_Index_Upto_April23__1[[#This Row],[Recreation and amusement]])</f>
        <v>1</v>
      </c>
      <c r="BI369">
        <f>TYPE(All_India_Index_Upto_April23__1[[#This Row],[Education]])</f>
        <v>1</v>
      </c>
      <c r="BJ369">
        <f>TYPE(All_India_Index_Upto_April23__1[[#This Row],[Personal care and effects]])</f>
        <v>1</v>
      </c>
      <c r="BK369">
        <f>TYPE(All_India_Index_Upto_April23__1[[#This Row],[Miscellaneous]])</f>
        <v>1</v>
      </c>
      <c r="BL369">
        <f>TYPE(All_India_Index_Upto_April23__1[[#This Row],[General index]])</f>
        <v>1</v>
      </c>
    </row>
    <row r="370" spans="1:64" hidden="1" x14ac:dyDescent="0.3">
      <c r="A370" t="s">
        <v>32</v>
      </c>
      <c r="B370">
        <v>2023</v>
      </c>
      <c r="C370" t="s">
        <v>36</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t="s">
        <v>207</v>
      </c>
      <c r="V370">
        <v>182.1</v>
      </c>
      <c r="W370">
        <v>169.6</v>
      </c>
      <c r="X370">
        <v>181.5</v>
      </c>
      <c r="Y370">
        <v>160.1</v>
      </c>
      <c r="Z370">
        <v>168.8</v>
      </c>
      <c r="AA370">
        <v>174.2</v>
      </c>
      <c r="AB370">
        <v>184.4</v>
      </c>
      <c r="AC370">
        <v>170.9</v>
      </c>
      <c r="AD370">
        <v>177.4</v>
      </c>
      <c r="AE370">
        <f>SUM(All_India_Index_Upto_April23__1[[#This Row],[Cereals and products]:[Food and beverages]])</f>
        <v>2317.7000000000003</v>
      </c>
      <c r="AF370">
        <f>SUM(All_India_Index_Upto_April23__1[[#This Row],[Clothing]:[Clothing and footwear]])</f>
        <v>527.6</v>
      </c>
      <c r="AG370">
        <f t="shared" si="5"/>
        <v>511.79999999999995</v>
      </c>
      <c r="AI370">
        <f>TYPE(All_India_Index_Upto_April23__1[[#This Row],[Sector]])</f>
        <v>2</v>
      </c>
      <c r="AJ370">
        <f>TYPE(All_India_Index_Upto_April23__1[[#This Row],[Year]])</f>
        <v>1</v>
      </c>
      <c r="AK370">
        <f>TYPE(All_India_Index_Upto_April23__1[[#This Row],[Month]])</f>
        <v>2</v>
      </c>
      <c r="AL370">
        <f>TYPE(All_India_Index_Upto_April23__1[[#This Row],[Cereals and products]])</f>
        <v>1</v>
      </c>
      <c r="AM370">
        <f>TYPE(All_India_Index_Upto_April23__1[[#This Row],[Meat and fish]])</f>
        <v>1</v>
      </c>
      <c r="AN370">
        <f>TYPE(All_India_Index_Upto_April23__1[[#This Row],[Egg]])</f>
        <v>1</v>
      </c>
      <c r="AO370">
        <f>TYPE(All_India_Index_Upto_April23__1[[#This Row],[Milk and products]])</f>
        <v>1</v>
      </c>
      <c r="AP370">
        <f>TYPE(All_India_Index_Upto_April23__1[[#This Row],[Oils and fats]])</f>
        <v>1</v>
      </c>
      <c r="AQ370">
        <f>TYPE(All_India_Index_Upto_April23__1[[#This Row],[Fruits]])</f>
        <v>1</v>
      </c>
      <c r="AR370">
        <f>TYPE(All_India_Index_Upto_April23__1[[#This Row],[Vegetables]])</f>
        <v>1</v>
      </c>
      <c r="AS370">
        <f>TYPE(All_India_Index_Upto_April23__1[[#This Row],[Pulses and products]])</f>
        <v>1</v>
      </c>
      <c r="AT370">
        <f>TYPE(All_India_Index_Upto_April23__1[[#This Row],[Sugar and Confectionery]])</f>
        <v>1</v>
      </c>
      <c r="AU370">
        <f>TYPE(All_India_Index_Upto_April23__1[[#This Row],[Spices]])</f>
        <v>1</v>
      </c>
      <c r="AV370">
        <f>TYPE(All_India_Index_Upto_April23__1[[#This Row],[Non-alcoholic beverages]])</f>
        <v>1</v>
      </c>
      <c r="AW370">
        <f>TYPE(All_India_Index_Upto_April23__1[[#This Row],[Prepared meals, snacks, sweets etc.]])</f>
        <v>1</v>
      </c>
      <c r="AX370">
        <f>TYPE(All_India_Index_Upto_April23__1[[#This Row],[Food and beverages]])</f>
        <v>1</v>
      </c>
      <c r="AY370">
        <f>TYPE(All_India_Index_Upto_April23__1[[#This Row],[Pan, tobacco and intoxicants]])</f>
        <v>1</v>
      </c>
      <c r="AZ370">
        <f>TYPE(All_India_Index_Upto_April23__1[[#This Row],[Clothing]])</f>
        <v>1</v>
      </c>
      <c r="BA370">
        <f>TYPE(All_India_Index_Upto_April23__1[[#This Row],[Footwear]])</f>
        <v>1</v>
      </c>
      <c r="BB370">
        <f>TYPE(All_India_Index_Upto_April23__1[[#This Row],[Clothing and footwear]])</f>
        <v>1</v>
      </c>
      <c r="BC370">
        <f>TYPE(All_India_Index_Upto_April23__1[[#This Row],[Housing]])</f>
        <v>2</v>
      </c>
      <c r="BD370">
        <f>TYPE(All_India_Index_Upto_April23__1[[#This Row],[Fuel and light]])</f>
        <v>1</v>
      </c>
      <c r="BE370">
        <f>TYPE(All_India_Index_Upto_April23__1[[#This Row],[Household goods and services]])</f>
        <v>1</v>
      </c>
      <c r="BF370">
        <f>TYPE(All_India_Index_Upto_April23__1[[#This Row],[Health]])</f>
        <v>1</v>
      </c>
      <c r="BG370">
        <f>TYPE(All_India_Index_Upto_April23__1[[#This Row],[Transport and communication]])</f>
        <v>1</v>
      </c>
      <c r="BH370">
        <f>TYPE(All_India_Index_Upto_April23__1[[#This Row],[Recreation and amusement]])</f>
        <v>1</v>
      </c>
      <c r="BI370">
        <f>TYPE(All_India_Index_Upto_April23__1[[#This Row],[Education]])</f>
        <v>1</v>
      </c>
      <c r="BJ370">
        <f>TYPE(All_India_Index_Upto_April23__1[[#This Row],[Personal care and effects]])</f>
        <v>1</v>
      </c>
      <c r="BK370">
        <f>TYPE(All_India_Index_Upto_April23__1[[#This Row],[Miscellaneous]])</f>
        <v>1</v>
      </c>
      <c r="BL370">
        <f>TYPE(All_India_Index_Upto_April23__1[[#This Row],[General index]])</f>
        <v>1</v>
      </c>
    </row>
    <row r="371" spans="1:64" hidden="1" x14ac:dyDescent="0.3">
      <c r="A371" t="s">
        <v>33</v>
      </c>
      <c r="B371">
        <v>2023</v>
      </c>
      <c r="C371" t="s">
        <v>36</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t="s">
        <v>207</v>
      </c>
      <c r="V371">
        <v>181.7</v>
      </c>
      <c r="W371">
        <v>174.6</v>
      </c>
      <c r="X371">
        <v>185</v>
      </c>
      <c r="Y371">
        <v>164.5</v>
      </c>
      <c r="Z371">
        <v>170.7</v>
      </c>
      <c r="AA371">
        <v>176.4</v>
      </c>
      <c r="AB371">
        <v>184</v>
      </c>
      <c r="AC371">
        <v>175</v>
      </c>
      <c r="AD371">
        <v>178.1</v>
      </c>
      <c r="AE371">
        <f>SUM(All_India_Index_Upto_April23__1[[#This Row],[Cereals and products]:[Food and beverages]])</f>
        <v>2289.6000000000004</v>
      </c>
      <c r="AF371">
        <f>SUM(All_India_Index_Upto_April23__1[[#This Row],[Clothing]:[Clothing and footwear]])</f>
        <v>551.79999999999995</v>
      </c>
      <c r="AG371">
        <f t="shared" si="5"/>
        <v>520.79999999999995</v>
      </c>
      <c r="AI371">
        <f>TYPE(All_India_Index_Upto_April23__1[[#This Row],[Sector]])</f>
        <v>2</v>
      </c>
      <c r="AJ371">
        <f>TYPE(All_India_Index_Upto_April23__1[[#This Row],[Year]])</f>
        <v>1</v>
      </c>
      <c r="AK371">
        <f>TYPE(All_India_Index_Upto_April23__1[[#This Row],[Month]])</f>
        <v>2</v>
      </c>
      <c r="AL371">
        <f>TYPE(All_India_Index_Upto_April23__1[[#This Row],[Cereals and products]])</f>
        <v>1</v>
      </c>
      <c r="AM371">
        <f>TYPE(All_India_Index_Upto_April23__1[[#This Row],[Meat and fish]])</f>
        <v>1</v>
      </c>
      <c r="AN371">
        <f>TYPE(All_India_Index_Upto_April23__1[[#This Row],[Egg]])</f>
        <v>1</v>
      </c>
      <c r="AO371">
        <f>TYPE(All_India_Index_Upto_April23__1[[#This Row],[Milk and products]])</f>
        <v>1</v>
      </c>
      <c r="AP371">
        <f>TYPE(All_India_Index_Upto_April23__1[[#This Row],[Oils and fats]])</f>
        <v>1</v>
      </c>
      <c r="AQ371">
        <f>TYPE(All_India_Index_Upto_April23__1[[#This Row],[Fruits]])</f>
        <v>1</v>
      </c>
      <c r="AR371">
        <f>TYPE(All_India_Index_Upto_April23__1[[#This Row],[Vegetables]])</f>
        <v>1</v>
      </c>
      <c r="AS371">
        <f>TYPE(All_India_Index_Upto_April23__1[[#This Row],[Pulses and products]])</f>
        <v>1</v>
      </c>
      <c r="AT371">
        <f>TYPE(All_India_Index_Upto_April23__1[[#This Row],[Sugar and Confectionery]])</f>
        <v>1</v>
      </c>
      <c r="AU371">
        <f>TYPE(All_India_Index_Upto_April23__1[[#This Row],[Spices]])</f>
        <v>1</v>
      </c>
      <c r="AV371">
        <f>TYPE(All_India_Index_Upto_April23__1[[#This Row],[Non-alcoholic beverages]])</f>
        <v>1</v>
      </c>
      <c r="AW371">
        <f>TYPE(All_India_Index_Upto_April23__1[[#This Row],[Prepared meals, snacks, sweets etc.]])</f>
        <v>1</v>
      </c>
      <c r="AX371">
        <f>TYPE(All_India_Index_Upto_April23__1[[#This Row],[Food and beverages]])</f>
        <v>1</v>
      </c>
      <c r="AY371">
        <f>TYPE(All_India_Index_Upto_April23__1[[#This Row],[Pan, tobacco and intoxicants]])</f>
        <v>1</v>
      </c>
      <c r="AZ371">
        <f>TYPE(All_India_Index_Upto_April23__1[[#This Row],[Clothing]])</f>
        <v>1</v>
      </c>
      <c r="BA371">
        <f>TYPE(All_India_Index_Upto_April23__1[[#This Row],[Footwear]])</f>
        <v>1</v>
      </c>
      <c r="BB371">
        <f>TYPE(All_India_Index_Upto_April23__1[[#This Row],[Clothing and footwear]])</f>
        <v>1</v>
      </c>
      <c r="BC371">
        <f>TYPE(All_India_Index_Upto_April23__1[[#This Row],[Housing]])</f>
        <v>2</v>
      </c>
      <c r="BD371">
        <f>TYPE(All_India_Index_Upto_April23__1[[#This Row],[Fuel and light]])</f>
        <v>1</v>
      </c>
      <c r="BE371">
        <f>TYPE(All_India_Index_Upto_April23__1[[#This Row],[Household goods and services]])</f>
        <v>1</v>
      </c>
      <c r="BF371">
        <f>TYPE(All_India_Index_Upto_April23__1[[#This Row],[Health]])</f>
        <v>1</v>
      </c>
      <c r="BG371">
        <f>TYPE(All_India_Index_Upto_April23__1[[#This Row],[Transport and communication]])</f>
        <v>1</v>
      </c>
      <c r="BH371">
        <f>TYPE(All_India_Index_Upto_April23__1[[#This Row],[Recreation and amusement]])</f>
        <v>1</v>
      </c>
      <c r="BI371">
        <f>TYPE(All_India_Index_Upto_April23__1[[#This Row],[Education]])</f>
        <v>1</v>
      </c>
      <c r="BJ371">
        <f>TYPE(All_India_Index_Upto_April23__1[[#This Row],[Personal care and effects]])</f>
        <v>1</v>
      </c>
      <c r="BK371">
        <f>TYPE(All_India_Index_Upto_April23__1[[#This Row],[Miscellaneous]])</f>
        <v>1</v>
      </c>
      <c r="BL371">
        <f>TYPE(All_India_Index_Upto_April23__1[[#This Row],[General index]])</f>
        <v>1</v>
      </c>
    </row>
    <row r="372" spans="1:64" hidden="1" x14ac:dyDescent="0.3">
      <c r="A372" t="s">
        <v>30</v>
      </c>
      <c r="B372">
        <v>2023</v>
      </c>
      <c r="C372" t="s">
        <v>37</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U372" t="s">
        <v>183</v>
      </c>
      <c r="V372">
        <v>182.5</v>
      </c>
      <c r="W372">
        <v>179.8</v>
      </c>
      <c r="X372">
        <v>187.8</v>
      </c>
      <c r="Y372">
        <v>169.7</v>
      </c>
      <c r="Z372">
        <v>173.8</v>
      </c>
      <c r="AA372">
        <v>180.3</v>
      </c>
      <c r="AB372">
        <v>184.9</v>
      </c>
      <c r="AC372">
        <v>179.5</v>
      </c>
      <c r="AD372">
        <v>179.8</v>
      </c>
      <c r="AE372">
        <f>SUM(All_India_Index_Upto_April23__1[[#This Row],[Cereals and products]:[Food and beverages]])</f>
        <v>2290.7000000000007</v>
      </c>
      <c r="AF372">
        <f>SUM(All_India_Index_Upto_April23__1[[#This Row],[Clothing]:[Clothing and footwear]])</f>
        <v>569.90000000000009</v>
      </c>
      <c r="AG372">
        <f t="shared" si="5"/>
        <v>532</v>
      </c>
      <c r="AI372">
        <f>TYPE(All_India_Index_Upto_April23__1[[#This Row],[Sector]])</f>
        <v>2</v>
      </c>
      <c r="AJ372">
        <f>TYPE(All_India_Index_Upto_April23__1[[#This Row],[Year]])</f>
        <v>1</v>
      </c>
      <c r="AK372">
        <f>TYPE(All_India_Index_Upto_April23__1[[#This Row],[Month]])</f>
        <v>2</v>
      </c>
      <c r="AL372">
        <f>TYPE(All_India_Index_Upto_April23__1[[#This Row],[Cereals and products]])</f>
        <v>1</v>
      </c>
      <c r="AM372">
        <f>TYPE(All_India_Index_Upto_April23__1[[#This Row],[Meat and fish]])</f>
        <v>1</v>
      </c>
      <c r="AN372">
        <f>TYPE(All_India_Index_Upto_April23__1[[#This Row],[Egg]])</f>
        <v>1</v>
      </c>
      <c r="AO372">
        <f>TYPE(All_India_Index_Upto_April23__1[[#This Row],[Milk and products]])</f>
        <v>1</v>
      </c>
      <c r="AP372">
        <f>TYPE(All_India_Index_Upto_April23__1[[#This Row],[Oils and fats]])</f>
        <v>1</v>
      </c>
      <c r="AQ372">
        <f>TYPE(All_India_Index_Upto_April23__1[[#This Row],[Fruits]])</f>
        <v>1</v>
      </c>
      <c r="AR372">
        <f>TYPE(All_India_Index_Upto_April23__1[[#This Row],[Vegetables]])</f>
        <v>1</v>
      </c>
      <c r="AS372">
        <f>TYPE(All_India_Index_Upto_April23__1[[#This Row],[Pulses and products]])</f>
        <v>1</v>
      </c>
      <c r="AT372">
        <f>TYPE(All_India_Index_Upto_April23__1[[#This Row],[Sugar and Confectionery]])</f>
        <v>1</v>
      </c>
      <c r="AU372">
        <f>TYPE(All_India_Index_Upto_April23__1[[#This Row],[Spices]])</f>
        <v>1</v>
      </c>
      <c r="AV372">
        <f>TYPE(All_India_Index_Upto_April23__1[[#This Row],[Non-alcoholic beverages]])</f>
        <v>1</v>
      </c>
      <c r="AW372">
        <f>TYPE(All_India_Index_Upto_April23__1[[#This Row],[Prepared meals, snacks, sweets etc.]])</f>
        <v>1</v>
      </c>
      <c r="AX372">
        <f>TYPE(All_India_Index_Upto_April23__1[[#This Row],[Food and beverages]])</f>
        <v>1</v>
      </c>
      <c r="AY372">
        <f>TYPE(All_India_Index_Upto_April23__1[[#This Row],[Pan, tobacco and intoxicants]])</f>
        <v>1</v>
      </c>
      <c r="AZ372">
        <f>TYPE(All_India_Index_Upto_April23__1[[#This Row],[Clothing]])</f>
        <v>1</v>
      </c>
      <c r="BA372">
        <f>TYPE(All_India_Index_Upto_April23__1[[#This Row],[Footwear]])</f>
        <v>1</v>
      </c>
      <c r="BB372">
        <f>TYPE(All_India_Index_Upto_April23__1[[#This Row],[Clothing and footwear]])</f>
        <v>1</v>
      </c>
      <c r="BC372">
        <f>TYPE(All_India_Index_Upto_April23__1[[#This Row],[Housing]])</f>
        <v>2</v>
      </c>
      <c r="BD372">
        <f>TYPE(All_India_Index_Upto_April23__1[[#This Row],[Fuel and light]])</f>
        <v>1</v>
      </c>
      <c r="BE372">
        <f>TYPE(All_India_Index_Upto_April23__1[[#This Row],[Household goods and services]])</f>
        <v>1</v>
      </c>
      <c r="BF372">
        <f>TYPE(All_India_Index_Upto_April23__1[[#This Row],[Health]])</f>
        <v>1</v>
      </c>
      <c r="BG372">
        <f>TYPE(All_India_Index_Upto_April23__1[[#This Row],[Transport and communication]])</f>
        <v>1</v>
      </c>
      <c r="BH372">
        <f>TYPE(All_India_Index_Upto_April23__1[[#This Row],[Recreation and amusement]])</f>
        <v>1</v>
      </c>
      <c r="BI372">
        <f>TYPE(All_India_Index_Upto_April23__1[[#This Row],[Education]])</f>
        <v>1</v>
      </c>
      <c r="BJ372">
        <f>TYPE(All_India_Index_Upto_April23__1[[#This Row],[Personal care and effects]])</f>
        <v>1</v>
      </c>
      <c r="BK372">
        <f>TYPE(All_India_Index_Upto_April23__1[[#This Row],[Miscellaneous]])</f>
        <v>1</v>
      </c>
      <c r="BL372">
        <f>TYPE(All_India_Index_Upto_April23__1[[#This Row],[General index]])</f>
        <v>1</v>
      </c>
    </row>
    <row r="373" spans="1:64" hidden="1" x14ac:dyDescent="0.3">
      <c r="A373" t="s">
        <v>32</v>
      </c>
      <c r="B373">
        <v>2023</v>
      </c>
      <c r="C373" t="s">
        <v>37</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t="s">
        <v>208</v>
      </c>
      <c r="V373">
        <v>183.4</v>
      </c>
      <c r="W373">
        <v>170.1</v>
      </c>
      <c r="X373">
        <v>182.2</v>
      </c>
      <c r="Y373">
        <v>160.4</v>
      </c>
      <c r="Z373">
        <v>169.2</v>
      </c>
      <c r="AA373">
        <v>174.8</v>
      </c>
      <c r="AB373">
        <v>185.6</v>
      </c>
      <c r="AC373">
        <v>171.6</v>
      </c>
      <c r="AD373">
        <v>178.2</v>
      </c>
      <c r="AE373">
        <f>SUM(All_India_Index_Upto_April23__1[[#This Row],[Cereals and products]:[Food and beverages]])</f>
        <v>2335.1</v>
      </c>
      <c r="AF373">
        <f>SUM(All_India_Index_Upto_April23__1[[#This Row],[Clothing]:[Clothing and footwear]])</f>
        <v>528.70000000000005</v>
      </c>
      <c r="AG373">
        <f t="shared" si="5"/>
        <v>513.9</v>
      </c>
      <c r="AI373">
        <f>TYPE(All_India_Index_Upto_April23__1[[#This Row],[Sector]])</f>
        <v>2</v>
      </c>
      <c r="AJ373">
        <f>TYPE(All_India_Index_Upto_April23__1[[#This Row],[Year]])</f>
        <v>1</v>
      </c>
      <c r="AK373">
        <f>TYPE(All_India_Index_Upto_April23__1[[#This Row],[Month]])</f>
        <v>2</v>
      </c>
      <c r="AL373">
        <f>TYPE(All_India_Index_Upto_April23__1[[#This Row],[Cereals and products]])</f>
        <v>1</v>
      </c>
      <c r="AM373">
        <f>TYPE(All_India_Index_Upto_April23__1[[#This Row],[Meat and fish]])</f>
        <v>1</v>
      </c>
      <c r="AN373">
        <f>TYPE(All_India_Index_Upto_April23__1[[#This Row],[Egg]])</f>
        <v>1</v>
      </c>
      <c r="AO373">
        <f>TYPE(All_India_Index_Upto_April23__1[[#This Row],[Milk and products]])</f>
        <v>1</v>
      </c>
      <c r="AP373">
        <f>TYPE(All_India_Index_Upto_April23__1[[#This Row],[Oils and fats]])</f>
        <v>1</v>
      </c>
      <c r="AQ373">
        <f>TYPE(All_India_Index_Upto_April23__1[[#This Row],[Fruits]])</f>
        <v>1</v>
      </c>
      <c r="AR373">
        <f>TYPE(All_India_Index_Upto_April23__1[[#This Row],[Vegetables]])</f>
        <v>1</v>
      </c>
      <c r="AS373">
        <f>TYPE(All_India_Index_Upto_April23__1[[#This Row],[Pulses and products]])</f>
        <v>1</v>
      </c>
      <c r="AT373">
        <f>TYPE(All_India_Index_Upto_April23__1[[#This Row],[Sugar and Confectionery]])</f>
        <v>1</v>
      </c>
      <c r="AU373">
        <f>TYPE(All_India_Index_Upto_April23__1[[#This Row],[Spices]])</f>
        <v>1</v>
      </c>
      <c r="AV373">
        <f>TYPE(All_India_Index_Upto_April23__1[[#This Row],[Non-alcoholic beverages]])</f>
        <v>1</v>
      </c>
      <c r="AW373">
        <f>TYPE(All_India_Index_Upto_April23__1[[#This Row],[Prepared meals, snacks, sweets etc.]])</f>
        <v>1</v>
      </c>
      <c r="AX373">
        <f>TYPE(All_India_Index_Upto_April23__1[[#This Row],[Food and beverages]])</f>
        <v>1</v>
      </c>
      <c r="AY373">
        <f>TYPE(All_India_Index_Upto_April23__1[[#This Row],[Pan, tobacco and intoxicants]])</f>
        <v>1</v>
      </c>
      <c r="AZ373">
        <f>TYPE(All_India_Index_Upto_April23__1[[#This Row],[Clothing]])</f>
        <v>1</v>
      </c>
      <c r="BA373">
        <f>TYPE(All_India_Index_Upto_April23__1[[#This Row],[Footwear]])</f>
        <v>1</v>
      </c>
      <c r="BB373">
        <f>TYPE(All_India_Index_Upto_April23__1[[#This Row],[Clothing and footwear]])</f>
        <v>1</v>
      </c>
      <c r="BC373">
        <f>TYPE(All_India_Index_Upto_April23__1[[#This Row],[Housing]])</f>
        <v>2</v>
      </c>
      <c r="BD373">
        <f>TYPE(All_India_Index_Upto_April23__1[[#This Row],[Fuel and light]])</f>
        <v>1</v>
      </c>
      <c r="BE373">
        <f>TYPE(All_India_Index_Upto_April23__1[[#This Row],[Household goods and services]])</f>
        <v>1</v>
      </c>
      <c r="BF373">
        <f>TYPE(All_India_Index_Upto_April23__1[[#This Row],[Health]])</f>
        <v>1</v>
      </c>
      <c r="BG373">
        <f>TYPE(All_India_Index_Upto_April23__1[[#This Row],[Transport and communication]])</f>
        <v>1</v>
      </c>
      <c r="BH373">
        <f>TYPE(All_India_Index_Upto_April23__1[[#This Row],[Recreation and amusement]])</f>
        <v>1</v>
      </c>
      <c r="BI373">
        <f>TYPE(All_India_Index_Upto_April23__1[[#This Row],[Education]])</f>
        <v>1</v>
      </c>
      <c r="BJ373">
        <f>TYPE(All_India_Index_Upto_April23__1[[#This Row],[Personal care and effects]])</f>
        <v>1</v>
      </c>
      <c r="BK373">
        <f>TYPE(All_India_Index_Upto_April23__1[[#This Row],[Miscellaneous]])</f>
        <v>1</v>
      </c>
      <c r="BL373">
        <f>TYPE(All_India_Index_Upto_April23__1[[#This Row],[General index]])</f>
        <v>1</v>
      </c>
    </row>
    <row r="374" spans="1:64" hidden="1" x14ac:dyDescent="0.3">
      <c r="A374" t="s">
        <v>33</v>
      </c>
      <c r="B374">
        <v>2023</v>
      </c>
      <c r="C374" t="s">
        <v>37</v>
      </c>
      <c r="D374">
        <v>173.7</v>
      </c>
      <c r="E374">
        <v>214.3</v>
      </c>
      <c r="F374">
        <v>173.2</v>
      </c>
      <c r="G374">
        <v>179.5</v>
      </c>
      <c r="H374">
        <v>170</v>
      </c>
      <c r="I374">
        <v>172.2</v>
      </c>
      <c r="J374">
        <v>161</v>
      </c>
      <c r="K374">
        <v>175.6</v>
      </c>
      <c r="L374">
        <v>122.7</v>
      </c>
      <c r="M374">
        <v>218</v>
      </c>
      <c r="N374">
        <v>173.4</v>
      </c>
      <c r="O374">
        <v>194.2</v>
      </c>
      <c r="P374">
        <v>179.1</v>
      </c>
      <c r="Q374">
        <v>201</v>
      </c>
      <c r="R374">
        <v>187.3</v>
      </c>
      <c r="S374">
        <v>179.7</v>
      </c>
      <c r="T374">
        <v>186.2</v>
      </c>
      <c r="U374" t="s">
        <v>208</v>
      </c>
      <c r="V374">
        <v>182.8</v>
      </c>
      <c r="W374">
        <v>175.2</v>
      </c>
      <c r="X374">
        <v>185.7</v>
      </c>
      <c r="Y374">
        <v>164.8</v>
      </c>
      <c r="Z374">
        <v>171.2</v>
      </c>
      <c r="AA374">
        <v>177.1</v>
      </c>
      <c r="AB374">
        <v>185.2</v>
      </c>
      <c r="AC374">
        <v>175.7</v>
      </c>
      <c r="AD374">
        <v>179.1</v>
      </c>
      <c r="AE374">
        <f>SUM(All_India_Index_Upto_April23__1[[#This Row],[Cereals and products]:[Food and beverages]])</f>
        <v>2306.9</v>
      </c>
      <c r="AF374">
        <f>SUM(All_India_Index_Upto_April23__1[[#This Row],[Clothing]:[Clothing and footwear]])</f>
        <v>553.20000000000005</v>
      </c>
      <c r="AG374">
        <f t="shared" si="5"/>
        <v>522.79999999999995</v>
      </c>
      <c r="AI374">
        <f>TYPE(All_India_Index_Upto_April23__1[[#This Row],[Sector]])</f>
        <v>2</v>
      </c>
      <c r="AJ374">
        <f>TYPE(All_India_Index_Upto_April23__1[[#This Row],[Year]])</f>
        <v>1</v>
      </c>
      <c r="AK374">
        <f>TYPE(All_India_Index_Upto_April23__1[[#This Row],[Month]])</f>
        <v>2</v>
      </c>
      <c r="AL374">
        <f>TYPE(All_India_Index_Upto_April23__1[[#This Row],[Cereals and products]])</f>
        <v>1</v>
      </c>
      <c r="AM374">
        <f>TYPE(All_India_Index_Upto_April23__1[[#This Row],[Meat and fish]])</f>
        <v>1</v>
      </c>
      <c r="AN374">
        <f>TYPE(All_India_Index_Upto_April23__1[[#This Row],[Egg]])</f>
        <v>1</v>
      </c>
      <c r="AO374">
        <f>TYPE(All_India_Index_Upto_April23__1[[#This Row],[Milk and products]])</f>
        <v>1</v>
      </c>
      <c r="AP374">
        <f>TYPE(All_India_Index_Upto_April23__1[[#This Row],[Oils and fats]])</f>
        <v>1</v>
      </c>
      <c r="AQ374">
        <f>TYPE(All_India_Index_Upto_April23__1[[#This Row],[Fruits]])</f>
        <v>1</v>
      </c>
      <c r="AR374">
        <f>TYPE(All_India_Index_Upto_April23__1[[#This Row],[Vegetables]])</f>
        <v>1</v>
      </c>
      <c r="AS374">
        <f>TYPE(All_India_Index_Upto_April23__1[[#This Row],[Pulses and products]])</f>
        <v>1</v>
      </c>
      <c r="AT374">
        <f>TYPE(All_India_Index_Upto_April23__1[[#This Row],[Sugar and Confectionery]])</f>
        <v>1</v>
      </c>
      <c r="AU374">
        <f>TYPE(All_India_Index_Upto_April23__1[[#This Row],[Spices]])</f>
        <v>1</v>
      </c>
      <c r="AV374">
        <f>TYPE(All_India_Index_Upto_April23__1[[#This Row],[Non-alcoholic beverages]])</f>
        <v>1</v>
      </c>
      <c r="AW374">
        <f>TYPE(All_India_Index_Upto_April23__1[[#This Row],[Prepared meals, snacks, sweets etc.]])</f>
        <v>1</v>
      </c>
      <c r="AX374">
        <f>TYPE(All_India_Index_Upto_April23__1[[#This Row],[Food and beverages]])</f>
        <v>1</v>
      </c>
      <c r="AY374">
        <f>TYPE(All_India_Index_Upto_April23__1[[#This Row],[Pan, tobacco and intoxicants]])</f>
        <v>1</v>
      </c>
      <c r="AZ374">
        <f>TYPE(All_India_Index_Upto_April23__1[[#This Row],[Clothing]])</f>
        <v>1</v>
      </c>
      <c r="BA374">
        <f>TYPE(All_India_Index_Upto_April23__1[[#This Row],[Footwear]])</f>
        <v>1</v>
      </c>
      <c r="BB374">
        <f>TYPE(All_India_Index_Upto_April23__1[[#This Row],[Clothing and footwear]])</f>
        <v>1</v>
      </c>
      <c r="BC374">
        <f>TYPE(All_India_Index_Upto_April23__1[[#This Row],[Housing]])</f>
        <v>2</v>
      </c>
      <c r="BD374">
        <f>TYPE(All_India_Index_Upto_April23__1[[#This Row],[Fuel and light]])</f>
        <v>1</v>
      </c>
      <c r="BE374">
        <f>TYPE(All_India_Index_Upto_April23__1[[#This Row],[Household goods and services]])</f>
        <v>1</v>
      </c>
      <c r="BF374">
        <f>TYPE(All_India_Index_Upto_April23__1[[#This Row],[Health]])</f>
        <v>1</v>
      </c>
      <c r="BG374">
        <f>TYPE(All_India_Index_Upto_April23__1[[#This Row],[Transport and communication]])</f>
        <v>1</v>
      </c>
      <c r="BH374">
        <f>TYPE(All_India_Index_Upto_April23__1[[#This Row],[Recreation and amusement]])</f>
        <v>1</v>
      </c>
      <c r="BI374">
        <f>TYPE(All_India_Index_Upto_April23__1[[#This Row],[Education]])</f>
        <v>1</v>
      </c>
      <c r="BJ374">
        <f>TYPE(All_India_Index_Upto_April23__1[[#This Row],[Personal care and effects]])</f>
        <v>1</v>
      </c>
      <c r="BK374">
        <f>TYPE(All_India_Index_Upto_April23__1[[#This Row],[Miscellaneous]])</f>
        <v>1</v>
      </c>
      <c r="BL374">
        <f>TYPE(All_India_Index_Upto_April23__1[[#This Row],[General index]])</f>
        <v>1</v>
      </c>
    </row>
  </sheetData>
  <autoFilter ref="AI2:BL374" xr:uid="{E1325F1A-C550-4213-BA64-B36C878A419D}"/>
  <mergeCells count="1">
    <mergeCell ref="AE1:AF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040B-FA9E-4396-B3F9-26647B3688A2}">
  <dimension ref="A1:A3"/>
  <sheetViews>
    <sheetView workbookViewId="0">
      <selection activeCell="A2" sqref="A2"/>
    </sheetView>
  </sheetViews>
  <sheetFormatPr defaultRowHeight="14.4" x14ac:dyDescent="0.3"/>
  <sheetData>
    <row r="1" spans="1:1" x14ac:dyDescent="0.3">
      <c r="A1" t="s">
        <v>45</v>
      </c>
    </row>
    <row r="2" spans="1:1" x14ac:dyDescent="0.3">
      <c r="A2" t="s">
        <v>47</v>
      </c>
    </row>
    <row r="3" spans="1:1" x14ac:dyDescent="0.3">
      <c r="A3"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7AAE-B354-41A8-B025-0800ECC49EBC}">
  <sheetPr filterMode="1"/>
  <dimension ref="A1:AD127"/>
  <sheetViews>
    <sheetView topLeftCell="M1" workbookViewId="0">
      <selection activeCell="D89" sqref="D89:AD89"/>
    </sheetView>
  </sheetViews>
  <sheetFormatPr defaultRowHeight="14.4" x14ac:dyDescent="0.3"/>
  <sheetData>
    <row r="1" spans="1:30"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row>
    <row r="2" spans="1:30" hidden="1" x14ac:dyDescent="0.3">
      <c r="A2" s="9" t="s">
        <v>33</v>
      </c>
      <c r="B2" s="7">
        <v>2013</v>
      </c>
      <c r="C2" s="7" t="s">
        <v>31</v>
      </c>
      <c r="D2" s="7">
        <v>108.4</v>
      </c>
      <c r="E2" s="7">
        <v>107.3</v>
      </c>
      <c r="F2" s="7">
        <v>110</v>
      </c>
      <c r="G2" s="7">
        <v>104.4</v>
      </c>
      <c r="H2" s="7">
        <v>105.1</v>
      </c>
      <c r="I2" s="7">
        <v>103.2</v>
      </c>
      <c r="J2" s="7">
        <v>102.2</v>
      </c>
      <c r="K2" s="7">
        <v>106</v>
      </c>
      <c r="L2" s="7">
        <v>106.2</v>
      </c>
      <c r="M2" s="7">
        <v>102.7</v>
      </c>
      <c r="N2" s="7">
        <v>104.9</v>
      </c>
      <c r="O2" s="7">
        <v>107.3</v>
      </c>
      <c r="P2" s="7">
        <v>105.6</v>
      </c>
      <c r="Q2" s="7">
        <v>105.1</v>
      </c>
      <c r="R2" s="7">
        <v>106.3</v>
      </c>
      <c r="S2" s="7">
        <v>105.5</v>
      </c>
      <c r="T2" s="7">
        <v>106.2</v>
      </c>
      <c r="U2" s="7">
        <v>100.3</v>
      </c>
      <c r="V2" s="7">
        <v>105.5</v>
      </c>
      <c r="W2" s="7">
        <v>104.8</v>
      </c>
      <c r="X2" s="7">
        <v>104</v>
      </c>
      <c r="Y2" s="7">
        <v>103.2</v>
      </c>
      <c r="Z2" s="7">
        <v>103.1</v>
      </c>
      <c r="AA2" s="7">
        <v>103.6</v>
      </c>
      <c r="AB2" s="7">
        <v>104.5</v>
      </c>
      <c r="AC2" s="7">
        <v>103.9</v>
      </c>
      <c r="AD2" s="8">
        <v>104.6</v>
      </c>
    </row>
    <row r="3" spans="1:30" hidden="1" x14ac:dyDescent="0.3">
      <c r="A3" s="10" t="s">
        <v>33</v>
      </c>
      <c r="B3" s="5">
        <v>2013</v>
      </c>
      <c r="C3" s="5" t="s">
        <v>34</v>
      </c>
      <c r="D3" s="5">
        <v>110.4</v>
      </c>
      <c r="E3" s="5">
        <v>110.2</v>
      </c>
      <c r="F3" s="5">
        <v>112.8</v>
      </c>
      <c r="G3" s="5">
        <v>104.9</v>
      </c>
      <c r="H3" s="5">
        <v>105.5</v>
      </c>
      <c r="I3" s="5">
        <v>103.6</v>
      </c>
      <c r="J3" s="5">
        <v>103.2</v>
      </c>
      <c r="K3" s="5">
        <v>105.3</v>
      </c>
      <c r="L3" s="5">
        <v>105.1</v>
      </c>
      <c r="M3" s="5">
        <v>102.8</v>
      </c>
      <c r="N3" s="5">
        <v>105.5</v>
      </c>
      <c r="O3" s="5">
        <v>108.3</v>
      </c>
      <c r="P3" s="5">
        <v>106.6</v>
      </c>
      <c r="Q3" s="5">
        <v>105.7</v>
      </c>
      <c r="R3" s="5">
        <v>106.9</v>
      </c>
      <c r="S3" s="5">
        <v>106</v>
      </c>
      <c r="T3" s="5">
        <v>106.8</v>
      </c>
      <c r="U3" s="5">
        <v>100.4</v>
      </c>
      <c r="V3" s="5">
        <v>106</v>
      </c>
      <c r="W3" s="5">
        <v>105.2</v>
      </c>
      <c r="X3" s="5">
        <v>104.5</v>
      </c>
      <c r="Y3" s="5">
        <v>104.2</v>
      </c>
      <c r="Z3" s="5">
        <v>103.6</v>
      </c>
      <c r="AA3" s="5">
        <v>103.9</v>
      </c>
      <c r="AB3" s="5">
        <v>104.5</v>
      </c>
      <c r="AC3" s="5">
        <v>104.4</v>
      </c>
      <c r="AD3" s="6">
        <v>105.3</v>
      </c>
    </row>
    <row r="4" spans="1:30" hidden="1" x14ac:dyDescent="0.3">
      <c r="A4" s="9" t="s">
        <v>33</v>
      </c>
      <c r="B4" s="7">
        <v>2013</v>
      </c>
      <c r="C4" s="7" t="s">
        <v>35</v>
      </c>
      <c r="D4" s="7">
        <v>111.4</v>
      </c>
      <c r="E4" s="7">
        <v>109.7</v>
      </c>
      <c r="F4" s="7">
        <v>111.2</v>
      </c>
      <c r="G4" s="7">
        <v>105.1</v>
      </c>
      <c r="H4" s="7">
        <v>104.9</v>
      </c>
      <c r="I4" s="7">
        <v>105.3</v>
      </c>
      <c r="J4" s="7">
        <v>102.2</v>
      </c>
      <c r="K4" s="7">
        <v>105</v>
      </c>
      <c r="L4" s="7">
        <v>104.2</v>
      </c>
      <c r="M4" s="7">
        <v>103</v>
      </c>
      <c r="N4" s="7">
        <v>106.2</v>
      </c>
      <c r="O4" s="7">
        <v>108.9</v>
      </c>
      <c r="P4" s="7">
        <v>106.9</v>
      </c>
      <c r="Q4" s="7">
        <v>106.6</v>
      </c>
      <c r="R4" s="7">
        <v>107.4</v>
      </c>
      <c r="S4" s="7">
        <v>106.5</v>
      </c>
      <c r="T4" s="7">
        <v>107.3</v>
      </c>
      <c r="U4" s="7">
        <v>100.4</v>
      </c>
      <c r="V4" s="7">
        <v>106.1</v>
      </c>
      <c r="W4" s="7">
        <v>105.6</v>
      </c>
      <c r="X4" s="7">
        <v>104.9</v>
      </c>
      <c r="Y4" s="7">
        <v>105.1</v>
      </c>
      <c r="Z4" s="7">
        <v>103.7</v>
      </c>
      <c r="AA4" s="7">
        <v>104</v>
      </c>
      <c r="AB4" s="7">
        <v>104.3</v>
      </c>
      <c r="AC4" s="7">
        <v>104.7</v>
      </c>
      <c r="AD4" s="8">
        <v>105.5</v>
      </c>
    </row>
    <row r="5" spans="1:30" hidden="1" x14ac:dyDescent="0.3">
      <c r="A5" s="10" t="s">
        <v>33</v>
      </c>
      <c r="B5" s="5">
        <v>2013</v>
      </c>
      <c r="C5" s="5" t="s">
        <v>36</v>
      </c>
      <c r="D5" s="5">
        <v>111.6</v>
      </c>
      <c r="E5" s="5">
        <v>110.9</v>
      </c>
      <c r="F5" s="5">
        <v>106.6</v>
      </c>
      <c r="G5" s="5">
        <v>105.7</v>
      </c>
      <c r="H5" s="5">
        <v>104.4</v>
      </c>
      <c r="I5" s="5">
        <v>108.9</v>
      </c>
      <c r="J5" s="5">
        <v>105.5</v>
      </c>
      <c r="K5" s="5">
        <v>105.3</v>
      </c>
      <c r="L5" s="5">
        <v>103.5</v>
      </c>
      <c r="M5" s="5">
        <v>103.3</v>
      </c>
      <c r="N5" s="5">
        <v>107.2</v>
      </c>
      <c r="O5" s="5">
        <v>109.6</v>
      </c>
      <c r="P5" s="5">
        <v>107.7</v>
      </c>
      <c r="Q5" s="5">
        <v>107.5</v>
      </c>
      <c r="R5" s="5">
        <v>108</v>
      </c>
      <c r="S5" s="5">
        <v>107</v>
      </c>
      <c r="T5" s="5">
        <v>107.9</v>
      </c>
      <c r="U5" s="5">
        <v>100.5</v>
      </c>
      <c r="V5" s="5">
        <v>106.5</v>
      </c>
      <c r="W5" s="5">
        <v>106.3</v>
      </c>
      <c r="X5" s="5">
        <v>105.3</v>
      </c>
      <c r="Y5" s="5">
        <v>104.7</v>
      </c>
      <c r="Z5" s="5">
        <v>104.2</v>
      </c>
      <c r="AA5" s="5">
        <v>105</v>
      </c>
      <c r="AB5" s="5">
        <v>102.9</v>
      </c>
      <c r="AC5" s="5">
        <v>104.8</v>
      </c>
      <c r="AD5" s="6">
        <v>106.1</v>
      </c>
    </row>
    <row r="6" spans="1:30" hidden="1" x14ac:dyDescent="0.3">
      <c r="A6" s="9" t="s">
        <v>33</v>
      </c>
      <c r="B6" s="7">
        <v>2013</v>
      </c>
      <c r="C6" s="7" t="s">
        <v>37</v>
      </c>
      <c r="D6" s="7">
        <v>112.3</v>
      </c>
      <c r="E6" s="7">
        <v>111.3</v>
      </c>
      <c r="F6" s="7">
        <v>104.7</v>
      </c>
      <c r="G6" s="7">
        <v>106.8</v>
      </c>
      <c r="H6" s="7">
        <v>103.9</v>
      </c>
      <c r="I6" s="7">
        <v>109.3</v>
      </c>
      <c r="J6" s="7">
        <v>112.9</v>
      </c>
      <c r="K6" s="7">
        <v>105.8</v>
      </c>
      <c r="L6" s="7">
        <v>103.1</v>
      </c>
      <c r="M6" s="7">
        <v>104.3</v>
      </c>
      <c r="N6" s="7">
        <v>108.1</v>
      </c>
      <c r="O6" s="7">
        <v>110.5</v>
      </c>
      <c r="P6" s="7">
        <v>109.2</v>
      </c>
      <c r="Q6" s="7">
        <v>108.6</v>
      </c>
      <c r="R6" s="7">
        <v>108.7</v>
      </c>
      <c r="S6" s="7">
        <v>107.4</v>
      </c>
      <c r="T6" s="7">
        <v>108.5</v>
      </c>
      <c r="U6" s="7">
        <v>100.5</v>
      </c>
      <c r="V6" s="7">
        <v>107.4</v>
      </c>
      <c r="W6" s="7">
        <v>106.9</v>
      </c>
      <c r="X6" s="7">
        <v>105.9</v>
      </c>
      <c r="Y6" s="7">
        <v>104</v>
      </c>
      <c r="Z6" s="7">
        <v>104.8</v>
      </c>
      <c r="AA6" s="7">
        <v>105.6</v>
      </c>
      <c r="AB6" s="7">
        <v>102.3</v>
      </c>
      <c r="AC6" s="7">
        <v>104.8</v>
      </c>
      <c r="AD6" s="8">
        <v>106.9</v>
      </c>
    </row>
    <row r="7" spans="1:30" hidden="1" x14ac:dyDescent="0.3">
      <c r="A7" s="10" t="s">
        <v>33</v>
      </c>
      <c r="B7" s="5">
        <v>2013</v>
      </c>
      <c r="C7" s="5" t="s">
        <v>38</v>
      </c>
      <c r="D7" s="5">
        <v>113.8</v>
      </c>
      <c r="E7" s="5">
        <v>114.9</v>
      </c>
      <c r="F7" s="5">
        <v>109.8</v>
      </c>
      <c r="G7" s="5">
        <v>107.9</v>
      </c>
      <c r="H7" s="5">
        <v>104.2</v>
      </c>
      <c r="I7" s="5">
        <v>110.7</v>
      </c>
      <c r="J7" s="5">
        <v>126.7</v>
      </c>
      <c r="K7" s="5">
        <v>106.3</v>
      </c>
      <c r="L7" s="5">
        <v>103.2</v>
      </c>
      <c r="M7" s="5">
        <v>105.7</v>
      </c>
      <c r="N7" s="5">
        <v>109</v>
      </c>
      <c r="O7" s="5">
        <v>111.6</v>
      </c>
      <c r="P7" s="5">
        <v>112.2</v>
      </c>
      <c r="Q7" s="5">
        <v>109.5</v>
      </c>
      <c r="R7" s="5">
        <v>109.5</v>
      </c>
      <c r="S7" s="5">
        <v>108.1</v>
      </c>
      <c r="T7" s="5">
        <v>109.3</v>
      </c>
      <c r="U7" s="5">
        <v>106.6</v>
      </c>
      <c r="V7" s="5">
        <v>108.3</v>
      </c>
      <c r="W7" s="5">
        <v>107.6</v>
      </c>
      <c r="X7" s="5">
        <v>106.4</v>
      </c>
      <c r="Y7" s="5">
        <v>105.1</v>
      </c>
      <c r="Z7" s="5">
        <v>105.4</v>
      </c>
      <c r="AA7" s="5">
        <v>107.4</v>
      </c>
      <c r="AB7" s="5">
        <v>102.8</v>
      </c>
      <c r="AC7" s="5">
        <v>105.8</v>
      </c>
      <c r="AD7" s="6">
        <v>109.3</v>
      </c>
    </row>
    <row r="8" spans="1:30" hidden="1" x14ac:dyDescent="0.3">
      <c r="A8" s="9" t="s">
        <v>33</v>
      </c>
      <c r="B8" s="7">
        <v>2013</v>
      </c>
      <c r="C8" s="7" t="s">
        <v>39</v>
      </c>
      <c r="D8" s="7">
        <v>114.8</v>
      </c>
      <c r="E8" s="7">
        <v>116.4</v>
      </c>
      <c r="F8" s="7">
        <v>111.9</v>
      </c>
      <c r="G8" s="7">
        <v>108.9</v>
      </c>
      <c r="H8" s="7">
        <v>104.3</v>
      </c>
      <c r="I8" s="7">
        <v>111.7</v>
      </c>
      <c r="J8" s="7">
        <v>140</v>
      </c>
      <c r="K8" s="7">
        <v>106.4</v>
      </c>
      <c r="L8" s="7">
        <v>103.3</v>
      </c>
      <c r="M8" s="7">
        <v>106.8</v>
      </c>
      <c r="N8" s="7">
        <v>109.6</v>
      </c>
      <c r="O8" s="7">
        <v>112.6</v>
      </c>
      <c r="P8" s="7">
        <v>114.7</v>
      </c>
      <c r="Q8" s="7">
        <v>110.3</v>
      </c>
      <c r="R8" s="7">
        <v>110.2</v>
      </c>
      <c r="S8" s="7">
        <v>108.8</v>
      </c>
      <c r="T8" s="7">
        <v>110</v>
      </c>
      <c r="U8" s="7">
        <v>107.7</v>
      </c>
      <c r="V8" s="7">
        <v>109.2</v>
      </c>
      <c r="W8" s="7">
        <v>108.2</v>
      </c>
      <c r="X8" s="7">
        <v>107</v>
      </c>
      <c r="Y8" s="7">
        <v>107.1</v>
      </c>
      <c r="Z8" s="7">
        <v>106.1</v>
      </c>
      <c r="AA8" s="7">
        <v>109.1</v>
      </c>
      <c r="AB8" s="7">
        <v>102.8</v>
      </c>
      <c r="AC8" s="7">
        <v>106.9</v>
      </c>
      <c r="AD8" s="8">
        <v>111</v>
      </c>
    </row>
    <row r="9" spans="1:30" hidden="1" x14ac:dyDescent="0.3">
      <c r="A9" s="10" t="s">
        <v>33</v>
      </c>
      <c r="B9" s="5">
        <v>2013</v>
      </c>
      <c r="C9" s="5" t="s">
        <v>40</v>
      </c>
      <c r="D9" s="5">
        <v>115.6</v>
      </c>
      <c r="E9" s="5">
        <v>117.2</v>
      </c>
      <c r="F9" s="5">
        <v>111.7</v>
      </c>
      <c r="G9" s="5">
        <v>109.6</v>
      </c>
      <c r="H9" s="5">
        <v>104.5</v>
      </c>
      <c r="I9" s="5">
        <v>109.8</v>
      </c>
      <c r="J9" s="5">
        <v>151.80000000000001</v>
      </c>
      <c r="K9" s="5">
        <v>106.5</v>
      </c>
      <c r="L9" s="5">
        <v>103.1</v>
      </c>
      <c r="M9" s="5">
        <v>107.4</v>
      </c>
      <c r="N9" s="5">
        <v>110.2</v>
      </c>
      <c r="O9" s="5">
        <v>113.4</v>
      </c>
      <c r="P9" s="5">
        <v>116.6</v>
      </c>
      <c r="Q9" s="5">
        <v>111.2</v>
      </c>
      <c r="R9" s="5">
        <v>111</v>
      </c>
      <c r="S9" s="5">
        <v>109.4</v>
      </c>
      <c r="T9" s="5">
        <v>110.7</v>
      </c>
      <c r="U9" s="5">
        <v>108.9</v>
      </c>
      <c r="V9" s="5">
        <v>109.7</v>
      </c>
      <c r="W9" s="5">
        <v>108.7</v>
      </c>
      <c r="X9" s="5">
        <v>107.5</v>
      </c>
      <c r="Y9" s="5">
        <v>108</v>
      </c>
      <c r="Z9" s="5">
        <v>106.6</v>
      </c>
      <c r="AA9" s="5">
        <v>109.9</v>
      </c>
      <c r="AB9" s="5">
        <v>105.4</v>
      </c>
      <c r="AC9" s="5">
        <v>107.9</v>
      </c>
      <c r="AD9" s="6">
        <v>112.4</v>
      </c>
    </row>
    <row r="10" spans="1:30" hidden="1" x14ac:dyDescent="0.3">
      <c r="A10" s="9" t="s">
        <v>33</v>
      </c>
      <c r="B10" s="7">
        <v>2013</v>
      </c>
      <c r="C10" s="7" t="s">
        <v>41</v>
      </c>
      <c r="D10" s="7">
        <v>116.4</v>
      </c>
      <c r="E10" s="7">
        <v>116.9</v>
      </c>
      <c r="F10" s="7">
        <v>112.3</v>
      </c>
      <c r="G10" s="7">
        <v>110.5</v>
      </c>
      <c r="H10" s="7">
        <v>105.3</v>
      </c>
      <c r="I10" s="7">
        <v>107.3</v>
      </c>
      <c r="J10" s="7">
        <v>160.9</v>
      </c>
      <c r="K10" s="7">
        <v>107.1</v>
      </c>
      <c r="L10" s="7">
        <v>103.1</v>
      </c>
      <c r="M10" s="7">
        <v>108.3</v>
      </c>
      <c r="N10" s="7">
        <v>110.7</v>
      </c>
      <c r="O10" s="7">
        <v>114.6</v>
      </c>
      <c r="P10" s="7">
        <v>118.3</v>
      </c>
      <c r="Q10" s="7">
        <v>112</v>
      </c>
      <c r="R10" s="7">
        <v>112.2</v>
      </c>
      <c r="S10" s="7">
        <v>110.4</v>
      </c>
      <c r="T10" s="7">
        <v>111.9</v>
      </c>
      <c r="U10" s="7">
        <v>109.7</v>
      </c>
      <c r="V10" s="7">
        <v>110.5</v>
      </c>
      <c r="W10" s="7">
        <v>109.6</v>
      </c>
      <c r="X10" s="7">
        <v>108.1</v>
      </c>
      <c r="Y10" s="7">
        <v>109.9</v>
      </c>
      <c r="Z10" s="7">
        <v>107.5</v>
      </c>
      <c r="AA10" s="7">
        <v>110.6</v>
      </c>
      <c r="AB10" s="7">
        <v>106.8</v>
      </c>
      <c r="AC10" s="7">
        <v>109</v>
      </c>
      <c r="AD10" s="8">
        <v>113.7</v>
      </c>
    </row>
    <row r="11" spans="1:30" hidden="1" x14ac:dyDescent="0.3">
      <c r="A11" s="10" t="s">
        <v>33</v>
      </c>
      <c r="B11" s="5">
        <v>2013</v>
      </c>
      <c r="C11" s="5" t="s">
        <v>42</v>
      </c>
      <c r="D11" s="5">
        <v>117.1</v>
      </c>
      <c r="E11" s="5">
        <v>116.3</v>
      </c>
      <c r="F11" s="5">
        <v>113.3</v>
      </c>
      <c r="G11" s="5">
        <v>111.2</v>
      </c>
      <c r="H11" s="5">
        <v>105.7</v>
      </c>
      <c r="I11" s="5">
        <v>109.9</v>
      </c>
      <c r="J11" s="5">
        <v>171.2</v>
      </c>
      <c r="K11" s="5">
        <v>107.3</v>
      </c>
      <c r="L11" s="5">
        <v>102.7</v>
      </c>
      <c r="M11" s="5">
        <v>108.7</v>
      </c>
      <c r="N11" s="5">
        <v>111.2</v>
      </c>
      <c r="O11" s="5">
        <v>115.4</v>
      </c>
      <c r="P11" s="5">
        <v>120.2</v>
      </c>
      <c r="Q11" s="5">
        <v>112.5</v>
      </c>
      <c r="R11" s="5">
        <v>113.2</v>
      </c>
      <c r="S11" s="5">
        <v>111.2</v>
      </c>
      <c r="T11" s="5">
        <v>112.8</v>
      </c>
      <c r="U11" s="5">
        <v>110.5</v>
      </c>
      <c r="V11" s="5">
        <v>110.9</v>
      </c>
      <c r="W11" s="5">
        <v>110.3</v>
      </c>
      <c r="X11" s="5">
        <v>108.6</v>
      </c>
      <c r="Y11" s="5">
        <v>109.5</v>
      </c>
      <c r="Z11" s="5">
        <v>108.1</v>
      </c>
      <c r="AA11" s="5">
        <v>110.8</v>
      </c>
      <c r="AB11" s="5">
        <v>107.4</v>
      </c>
      <c r="AC11" s="5">
        <v>109.2</v>
      </c>
      <c r="AD11" s="6">
        <v>114.8</v>
      </c>
    </row>
    <row r="12" spans="1:30" hidden="1" x14ac:dyDescent="0.3">
      <c r="A12" s="9" t="s">
        <v>33</v>
      </c>
      <c r="B12" s="7">
        <v>2013</v>
      </c>
      <c r="C12" s="7" t="s">
        <v>43</v>
      </c>
      <c r="D12" s="7">
        <v>118.1</v>
      </c>
      <c r="E12" s="7">
        <v>115.4</v>
      </c>
      <c r="F12" s="7">
        <v>118.7</v>
      </c>
      <c r="G12" s="7">
        <v>112.5</v>
      </c>
      <c r="H12" s="7">
        <v>106.8</v>
      </c>
      <c r="I12" s="7">
        <v>113.5</v>
      </c>
      <c r="J12" s="7">
        <v>183.1</v>
      </c>
      <c r="K12" s="7">
        <v>108.2</v>
      </c>
      <c r="L12" s="7">
        <v>102.2</v>
      </c>
      <c r="M12" s="7">
        <v>109.4</v>
      </c>
      <c r="N12" s="7">
        <v>111.8</v>
      </c>
      <c r="O12" s="7">
        <v>116.5</v>
      </c>
      <c r="P12" s="7">
        <v>122.6</v>
      </c>
      <c r="Q12" s="7">
        <v>113.1</v>
      </c>
      <c r="R12" s="7">
        <v>114.2</v>
      </c>
      <c r="S12" s="7">
        <v>111.9</v>
      </c>
      <c r="T12" s="7">
        <v>113.8</v>
      </c>
      <c r="U12" s="7">
        <v>111.1</v>
      </c>
      <c r="V12" s="7">
        <v>111.6</v>
      </c>
      <c r="W12" s="7">
        <v>111.1</v>
      </c>
      <c r="X12" s="7">
        <v>109.3</v>
      </c>
      <c r="Y12" s="7">
        <v>109.5</v>
      </c>
      <c r="Z12" s="7">
        <v>108.6</v>
      </c>
      <c r="AA12" s="7">
        <v>111.2</v>
      </c>
      <c r="AB12" s="7">
        <v>108.1</v>
      </c>
      <c r="AC12" s="7">
        <v>109.7</v>
      </c>
      <c r="AD12" s="8">
        <v>116.3</v>
      </c>
    </row>
    <row r="13" spans="1:30" hidden="1" x14ac:dyDescent="0.3">
      <c r="A13" s="10" t="s">
        <v>33</v>
      </c>
      <c r="B13" s="5">
        <v>2013</v>
      </c>
      <c r="C13" s="5" t="s">
        <v>44</v>
      </c>
      <c r="D13" s="5">
        <v>119.1</v>
      </c>
      <c r="E13" s="5">
        <v>116.7</v>
      </c>
      <c r="F13" s="5">
        <v>123.5</v>
      </c>
      <c r="G13" s="5">
        <v>113.4</v>
      </c>
      <c r="H13" s="5">
        <v>107.3</v>
      </c>
      <c r="I13" s="5">
        <v>113.3</v>
      </c>
      <c r="J13" s="5">
        <v>145.4</v>
      </c>
      <c r="K13" s="5">
        <v>108.7</v>
      </c>
      <c r="L13" s="5">
        <v>101.5</v>
      </c>
      <c r="M13" s="5">
        <v>110.5</v>
      </c>
      <c r="N13" s="5">
        <v>112.1</v>
      </c>
      <c r="O13" s="5">
        <v>117.4</v>
      </c>
      <c r="P13" s="5">
        <v>118.4</v>
      </c>
      <c r="Q13" s="5">
        <v>114</v>
      </c>
      <c r="R13" s="5">
        <v>115.2</v>
      </c>
      <c r="S13" s="5">
        <v>112.7</v>
      </c>
      <c r="T13" s="5">
        <v>114.8</v>
      </c>
      <c r="U13" s="5">
        <v>110.7</v>
      </c>
      <c r="V13" s="5">
        <v>111.9</v>
      </c>
      <c r="W13" s="5">
        <v>111.7</v>
      </c>
      <c r="X13" s="5">
        <v>109.7</v>
      </c>
      <c r="Y13" s="5">
        <v>109.8</v>
      </c>
      <c r="Z13" s="5">
        <v>109</v>
      </c>
      <c r="AA13" s="5">
        <v>111.5</v>
      </c>
      <c r="AB13" s="5">
        <v>107.9</v>
      </c>
      <c r="AC13" s="5">
        <v>110</v>
      </c>
      <c r="AD13" s="6">
        <v>114.5</v>
      </c>
    </row>
    <row r="14" spans="1:30" hidden="1" x14ac:dyDescent="0.3">
      <c r="A14" s="9" t="s">
        <v>33</v>
      </c>
      <c r="B14" s="7">
        <v>2014</v>
      </c>
      <c r="C14" s="7" t="s">
        <v>31</v>
      </c>
      <c r="D14" s="7">
        <v>119.6</v>
      </c>
      <c r="E14" s="7">
        <v>118.8</v>
      </c>
      <c r="F14" s="7">
        <v>124.1</v>
      </c>
      <c r="G14" s="7">
        <v>114.1</v>
      </c>
      <c r="H14" s="7">
        <v>106.8</v>
      </c>
      <c r="I14" s="7">
        <v>113.9</v>
      </c>
      <c r="J14" s="7">
        <v>122.2</v>
      </c>
      <c r="K14" s="7">
        <v>108.9</v>
      </c>
      <c r="L14" s="7">
        <v>100.2</v>
      </c>
      <c r="M14" s="7">
        <v>111</v>
      </c>
      <c r="N14" s="7">
        <v>112.3</v>
      </c>
      <c r="O14" s="7">
        <v>118.1</v>
      </c>
      <c r="P14" s="7">
        <v>115.8</v>
      </c>
      <c r="Q14" s="7">
        <v>114.5</v>
      </c>
      <c r="R14" s="7">
        <v>115.8</v>
      </c>
      <c r="S14" s="7">
        <v>113.2</v>
      </c>
      <c r="T14" s="7">
        <v>115.4</v>
      </c>
      <c r="U14" s="7">
        <v>111.6</v>
      </c>
      <c r="V14" s="7">
        <v>112.2</v>
      </c>
      <c r="W14" s="7">
        <v>112.3</v>
      </c>
      <c r="X14" s="7">
        <v>110.3</v>
      </c>
      <c r="Y14" s="7">
        <v>110.7</v>
      </c>
      <c r="Z14" s="7">
        <v>109.7</v>
      </c>
      <c r="AA14" s="7">
        <v>111.6</v>
      </c>
      <c r="AB14" s="7">
        <v>108.2</v>
      </c>
      <c r="AC14" s="7">
        <v>110.6</v>
      </c>
      <c r="AD14" s="8">
        <v>113.6</v>
      </c>
    </row>
    <row r="15" spans="1:30" hidden="1" x14ac:dyDescent="0.3">
      <c r="A15" s="10" t="s">
        <v>33</v>
      </c>
      <c r="B15" s="5">
        <v>2014</v>
      </c>
      <c r="C15" s="5" t="s">
        <v>34</v>
      </c>
      <c r="D15" s="5">
        <v>120.2</v>
      </c>
      <c r="E15" s="5">
        <v>119.2</v>
      </c>
      <c r="F15" s="5">
        <v>122.5</v>
      </c>
      <c r="G15" s="5">
        <v>115.1</v>
      </c>
      <c r="H15" s="5">
        <v>106.6</v>
      </c>
      <c r="I15" s="5">
        <v>115.4</v>
      </c>
      <c r="J15" s="5">
        <v>114.5</v>
      </c>
      <c r="K15" s="5">
        <v>109.3</v>
      </c>
      <c r="L15" s="5">
        <v>99.2</v>
      </c>
      <c r="M15" s="5">
        <v>111.4</v>
      </c>
      <c r="N15" s="5">
        <v>112.6</v>
      </c>
      <c r="O15" s="5">
        <v>118.8</v>
      </c>
      <c r="P15" s="5">
        <v>115.3</v>
      </c>
      <c r="Q15" s="5">
        <v>114.7</v>
      </c>
      <c r="R15" s="5">
        <v>116.4</v>
      </c>
      <c r="S15" s="5">
        <v>113.3</v>
      </c>
      <c r="T15" s="5">
        <v>115.9</v>
      </c>
      <c r="U15" s="5">
        <v>112.5</v>
      </c>
      <c r="V15" s="5">
        <v>112.4</v>
      </c>
      <c r="W15" s="5">
        <v>112.8</v>
      </c>
      <c r="X15" s="5">
        <v>110.7</v>
      </c>
      <c r="Y15" s="5">
        <v>111.1</v>
      </c>
      <c r="Z15" s="5">
        <v>110.1</v>
      </c>
      <c r="AA15" s="5">
        <v>111.8</v>
      </c>
      <c r="AB15" s="5">
        <v>108.7</v>
      </c>
      <c r="AC15" s="5">
        <v>110.9</v>
      </c>
      <c r="AD15" s="6">
        <v>113.6</v>
      </c>
    </row>
    <row r="16" spans="1:30" hidden="1" x14ac:dyDescent="0.3">
      <c r="A16" s="9" t="s">
        <v>33</v>
      </c>
      <c r="B16" s="7">
        <v>2014</v>
      </c>
      <c r="C16" s="7" t="s">
        <v>35</v>
      </c>
      <c r="D16" s="7">
        <v>120.7</v>
      </c>
      <c r="E16" s="7">
        <v>119.3</v>
      </c>
      <c r="F16" s="7">
        <v>121</v>
      </c>
      <c r="G16" s="7">
        <v>116.1</v>
      </c>
      <c r="H16" s="7">
        <v>106.9</v>
      </c>
      <c r="I16" s="7">
        <v>118.7</v>
      </c>
      <c r="J16" s="7">
        <v>116.3</v>
      </c>
      <c r="K16" s="7">
        <v>109.8</v>
      </c>
      <c r="L16" s="7">
        <v>99.6</v>
      </c>
      <c r="M16" s="7">
        <v>111.8</v>
      </c>
      <c r="N16" s="7">
        <v>112.7</v>
      </c>
      <c r="O16" s="7">
        <v>119.3</v>
      </c>
      <c r="P16" s="7">
        <v>116.1</v>
      </c>
      <c r="Q16" s="7">
        <v>115.2</v>
      </c>
      <c r="R16" s="7">
        <v>116.8</v>
      </c>
      <c r="S16" s="7">
        <v>113.7</v>
      </c>
      <c r="T16" s="7">
        <v>116.4</v>
      </c>
      <c r="U16" s="7">
        <v>113.2</v>
      </c>
      <c r="V16" s="7">
        <v>112.5</v>
      </c>
      <c r="W16" s="7">
        <v>113.2</v>
      </c>
      <c r="X16" s="7">
        <v>111.2</v>
      </c>
      <c r="Y16" s="7">
        <v>111.4</v>
      </c>
      <c r="Z16" s="7">
        <v>110.6</v>
      </c>
      <c r="AA16" s="7">
        <v>112</v>
      </c>
      <c r="AB16" s="7">
        <v>109</v>
      </c>
      <c r="AC16" s="7">
        <v>111.3</v>
      </c>
      <c r="AD16" s="8">
        <v>114.2</v>
      </c>
    </row>
    <row r="17" spans="1:30" hidden="1" x14ac:dyDescent="0.3">
      <c r="A17" s="10" t="s">
        <v>33</v>
      </c>
      <c r="B17" s="5">
        <v>2014</v>
      </c>
      <c r="C17" s="5" t="s">
        <v>36</v>
      </c>
      <c r="D17" s="5">
        <v>120.9</v>
      </c>
      <c r="E17" s="5">
        <v>119.9</v>
      </c>
      <c r="F17" s="5">
        <v>116.2</v>
      </c>
      <c r="G17" s="5">
        <v>117</v>
      </c>
      <c r="H17" s="5">
        <v>107.3</v>
      </c>
      <c r="I17" s="5">
        <v>126.1</v>
      </c>
      <c r="J17" s="5">
        <v>120.7</v>
      </c>
      <c r="K17" s="5">
        <v>111</v>
      </c>
      <c r="L17" s="5">
        <v>101.8</v>
      </c>
      <c r="M17" s="5">
        <v>112.6</v>
      </c>
      <c r="N17" s="5">
        <v>113.2</v>
      </c>
      <c r="O17" s="5">
        <v>119.8</v>
      </c>
      <c r="P17" s="5">
        <v>117.6</v>
      </c>
      <c r="Q17" s="5">
        <v>116</v>
      </c>
      <c r="R17" s="5">
        <v>117.4</v>
      </c>
      <c r="S17" s="5">
        <v>114.6</v>
      </c>
      <c r="T17" s="5">
        <v>117</v>
      </c>
      <c r="U17" s="5">
        <v>113.9</v>
      </c>
      <c r="V17" s="5">
        <v>112.5</v>
      </c>
      <c r="W17" s="5">
        <v>113.6</v>
      </c>
      <c r="X17" s="5">
        <v>111.5</v>
      </c>
      <c r="Y17" s="5">
        <v>111.2</v>
      </c>
      <c r="Z17" s="5">
        <v>110.9</v>
      </c>
      <c r="AA17" s="5">
        <v>112.7</v>
      </c>
      <c r="AB17" s="5">
        <v>109</v>
      </c>
      <c r="AC17" s="5">
        <v>111.5</v>
      </c>
      <c r="AD17" s="6">
        <v>115.1</v>
      </c>
    </row>
    <row r="18" spans="1:30" hidden="1" x14ac:dyDescent="0.3">
      <c r="A18" s="9" t="s">
        <v>33</v>
      </c>
      <c r="B18" s="7">
        <v>2014</v>
      </c>
      <c r="C18" s="7" t="s">
        <v>37</v>
      </c>
      <c r="D18" s="7">
        <v>121.1</v>
      </c>
      <c r="E18" s="7">
        <v>121.6</v>
      </c>
      <c r="F18" s="7">
        <v>115.9</v>
      </c>
      <c r="G18" s="7">
        <v>118.4</v>
      </c>
      <c r="H18" s="7">
        <v>107.7</v>
      </c>
      <c r="I18" s="7">
        <v>127.7</v>
      </c>
      <c r="J18" s="7">
        <v>125</v>
      </c>
      <c r="K18" s="7">
        <v>111.9</v>
      </c>
      <c r="L18" s="7">
        <v>102.8</v>
      </c>
      <c r="M18" s="7">
        <v>113.4</v>
      </c>
      <c r="N18" s="7">
        <v>113.7</v>
      </c>
      <c r="O18" s="7">
        <v>120.4</v>
      </c>
      <c r="P18" s="7">
        <v>118.9</v>
      </c>
      <c r="Q18" s="7">
        <v>116.8</v>
      </c>
      <c r="R18" s="7">
        <v>118</v>
      </c>
      <c r="S18" s="7">
        <v>115.2</v>
      </c>
      <c r="T18" s="7">
        <v>117.6</v>
      </c>
      <c r="U18" s="7">
        <v>114.3</v>
      </c>
      <c r="V18" s="7">
        <v>112.5</v>
      </c>
      <c r="W18" s="7">
        <v>114.1</v>
      </c>
      <c r="X18" s="7">
        <v>111.8</v>
      </c>
      <c r="Y18" s="7">
        <v>111.3</v>
      </c>
      <c r="Z18" s="7">
        <v>111.2</v>
      </c>
      <c r="AA18" s="7">
        <v>113</v>
      </c>
      <c r="AB18" s="7">
        <v>109.1</v>
      </c>
      <c r="AC18" s="7">
        <v>111.8</v>
      </c>
      <c r="AD18" s="8">
        <v>115.8</v>
      </c>
    </row>
    <row r="19" spans="1:30" hidden="1" x14ac:dyDescent="0.3">
      <c r="A19" s="10" t="s">
        <v>33</v>
      </c>
      <c r="B19" s="5">
        <v>2014</v>
      </c>
      <c r="C19" s="5" t="s">
        <v>38</v>
      </c>
      <c r="D19" s="5">
        <v>121.5</v>
      </c>
      <c r="E19" s="5">
        <v>123.1</v>
      </c>
      <c r="F19" s="5">
        <v>115.8</v>
      </c>
      <c r="G19" s="5">
        <v>119.7</v>
      </c>
      <c r="H19" s="5">
        <v>107.8</v>
      </c>
      <c r="I19" s="5">
        <v>128.30000000000001</v>
      </c>
      <c r="J19" s="5">
        <v>132.1</v>
      </c>
      <c r="K19" s="5">
        <v>112.4</v>
      </c>
      <c r="L19" s="5">
        <v>102.9</v>
      </c>
      <c r="M19" s="5">
        <v>114.3</v>
      </c>
      <c r="N19" s="5">
        <v>114.2</v>
      </c>
      <c r="O19" s="5">
        <v>121.2</v>
      </c>
      <c r="P19" s="5">
        <v>120.4</v>
      </c>
      <c r="Q19" s="5">
        <v>117.8</v>
      </c>
      <c r="R19" s="5">
        <v>118.8</v>
      </c>
      <c r="S19" s="5">
        <v>115.6</v>
      </c>
      <c r="T19" s="5">
        <v>118.3</v>
      </c>
      <c r="U19" s="5">
        <v>113.9</v>
      </c>
      <c r="V19" s="5">
        <v>113.2</v>
      </c>
      <c r="W19" s="5">
        <v>114.6</v>
      </c>
      <c r="X19" s="5">
        <v>112.3</v>
      </c>
      <c r="Y19" s="5">
        <v>111.8</v>
      </c>
      <c r="Z19" s="5">
        <v>111.6</v>
      </c>
      <c r="AA19" s="5">
        <v>114.8</v>
      </c>
      <c r="AB19" s="5">
        <v>108.3</v>
      </c>
      <c r="AC19" s="5">
        <v>112.3</v>
      </c>
      <c r="AD19" s="6">
        <v>116.7</v>
      </c>
    </row>
    <row r="20" spans="1:30" hidden="1" x14ac:dyDescent="0.3">
      <c r="A20" s="9" t="s">
        <v>33</v>
      </c>
      <c r="B20" s="7">
        <v>2014</v>
      </c>
      <c r="C20" s="7" t="s">
        <v>39</v>
      </c>
      <c r="D20" s="7">
        <v>122.4</v>
      </c>
      <c r="E20" s="7">
        <v>123.9</v>
      </c>
      <c r="F20" s="7">
        <v>117.8</v>
      </c>
      <c r="G20" s="7">
        <v>121</v>
      </c>
      <c r="H20" s="7">
        <v>107.9</v>
      </c>
      <c r="I20" s="7">
        <v>131.19999999999999</v>
      </c>
      <c r="J20" s="7">
        <v>157.69999999999999</v>
      </c>
      <c r="K20" s="7">
        <v>113.2</v>
      </c>
      <c r="L20" s="7">
        <v>104.1</v>
      </c>
      <c r="M20" s="7">
        <v>115.5</v>
      </c>
      <c r="N20" s="7">
        <v>114.8</v>
      </c>
      <c r="O20" s="7">
        <v>122.1</v>
      </c>
      <c r="P20" s="7">
        <v>124.7</v>
      </c>
      <c r="Q20" s="7">
        <v>118.8</v>
      </c>
      <c r="R20" s="7">
        <v>119.6</v>
      </c>
      <c r="S20" s="7">
        <v>116.3</v>
      </c>
      <c r="T20" s="7">
        <v>119.1</v>
      </c>
      <c r="U20" s="7">
        <v>114.8</v>
      </c>
      <c r="V20" s="7">
        <v>113.9</v>
      </c>
      <c r="W20" s="7">
        <v>115.2</v>
      </c>
      <c r="X20" s="7">
        <v>112.7</v>
      </c>
      <c r="Y20" s="7">
        <v>113.1</v>
      </c>
      <c r="Z20" s="7">
        <v>112.1</v>
      </c>
      <c r="AA20" s="7">
        <v>116.8</v>
      </c>
      <c r="AB20" s="7">
        <v>109.2</v>
      </c>
      <c r="AC20" s="7">
        <v>113.3</v>
      </c>
      <c r="AD20" s="8">
        <v>119.2</v>
      </c>
    </row>
    <row r="21" spans="1:30" hidden="1" x14ac:dyDescent="0.3">
      <c r="A21" s="10" t="s">
        <v>33</v>
      </c>
      <c r="B21" s="5">
        <v>2014</v>
      </c>
      <c r="C21" s="5" t="s">
        <v>40</v>
      </c>
      <c r="D21" s="5">
        <v>122.7</v>
      </c>
      <c r="E21" s="5">
        <v>124.4</v>
      </c>
      <c r="F21" s="5">
        <v>117.3</v>
      </c>
      <c r="G21" s="5">
        <v>122</v>
      </c>
      <c r="H21" s="5">
        <v>108</v>
      </c>
      <c r="I21" s="5">
        <v>131.1</v>
      </c>
      <c r="J21" s="5">
        <v>168.2</v>
      </c>
      <c r="K21" s="5">
        <v>114.5</v>
      </c>
      <c r="L21" s="5">
        <v>104.3</v>
      </c>
      <c r="M21" s="5">
        <v>117.1</v>
      </c>
      <c r="N21" s="5">
        <v>115.2</v>
      </c>
      <c r="O21" s="5">
        <v>123.1</v>
      </c>
      <c r="P21" s="5">
        <v>126.6</v>
      </c>
      <c r="Q21" s="5">
        <v>119.9</v>
      </c>
      <c r="R21" s="5">
        <v>120</v>
      </c>
      <c r="S21" s="5">
        <v>116.8</v>
      </c>
      <c r="T21" s="5">
        <v>119.6</v>
      </c>
      <c r="U21" s="5">
        <v>115.5</v>
      </c>
      <c r="V21" s="5">
        <v>114</v>
      </c>
      <c r="W21" s="5">
        <v>115.6</v>
      </c>
      <c r="X21" s="5">
        <v>113.3</v>
      </c>
      <c r="Y21" s="5">
        <v>112.8</v>
      </c>
      <c r="Z21" s="5">
        <v>112.6</v>
      </c>
      <c r="AA21" s="5">
        <v>118</v>
      </c>
      <c r="AB21" s="5">
        <v>109.9</v>
      </c>
      <c r="AC21" s="5">
        <v>113.7</v>
      </c>
      <c r="AD21" s="6">
        <v>120.3</v>
      </c>
    </row>
    <row r="22" spans="1:30" hidden="1" x14ac:dyDescent="0.3">
      <c r="A22" s="9" t="s">
        <v>33</v>
      </c>
      <c r="B22" s="7">
        <v>2014</v>
      </c>
      <c r="C22" s="7" t="s">
        <v>41</v>
      </c>
      <c r="D22" s="7">
        <v>122.9</v>
      </c>
      <c r="E22" s="7">
        <v>123.5</v>
      </c>
      <c r="F22" s="7">
        <v>117.3</v>
      </c>
      <c r="G22" s="7">
        <v>122.7</v>
      </c>
      <c r="H22" s="7">
        <v>107.9</v>
      </c>
      <c r="I22" s="7">
        <v>127.3</v>
      </c>
      <c r="J22" s="7">
        <v>162.1</v>
      </c>
      <c r="K22" s="7">
        <v>115.6</v>
      </c>
      <c r="L22" s="7">
        <v>103.8</v>
      </c>
      <c r="M22" s="7">
        <v>117.6</v>
      </c>
      <c r="N22" s="7">
        <v>115.8</v>
      </c>
      <c r="O22" s="7">
        <v>123.8</v>
      </c>
      <c r="P22" s="7">
        <v>125.8</v>
      </c>
      <c r="Q22" s="7">
        <v>120.8</v>
      </c>
      <c r="R22" s="7">
        <v>120.7</v>
      </c>
      <c r="S22" s="7">
        <v>117.2</v>
      </c>
      <c r="T22" s="7">
        <v>120.1</v>
      </c>
      <c r="U22" s="7">
        <v>116.1</v>
      </c>
      <c r="V22" s="7">
        <v>114.3</v>
      </c>
      <c r="W22" s="7">
        <v>116.1</v>
      </c>
      <c r="X22" s="7">
        <v>113.7</v>
      </c>
      <c r="Y22" s="7">
        <v>112</v>
      </c>
      <c r="Z22" s="7">
        <v>113.1</v>
      </c>
      <c r="AA22" s="7">
        <v>118.6</v>
      </c>
      <c r="AB22" s="7">
        <v>109.5</v>
      </c>
      <c r="AC22" s="7">
        <v>113.7</v>
      </c>
      <c r="AD22" s="8">
        <v>120.1</v>
      </c>
    </row>
    <row r="23" spans="1:30" hidden="1" x14ac:dyDescent="0.3">
      <c r="A23" s="10" t="s">
        <v>33</v>
      </c>
      <c r="B23" s="5">
        <v>2014</v>
      </c>
      <c r="C23" s="5" t="s">
        <v>42</v>
      </c>
      <c r="D23" s="5">
        <v>123.2</v>
      </c>
      <c r="E23" s="5">
        <v>123.8</v>
      </c>
      <c r="F23" s="5">
        <v>118.1</v>
      </c>
      <c r="G23" s="5">
        <v>123.2</v>
      </c>
      <c r="H23" s="5">
        <v>107.9</v>
      </c>
      <c r="I23" s="5">
        <v>126.4</v>
      </c>
      <c r="J23" s="5">
        <v>156.80000000000001</v>
      </c>
      <c r="K23" s="5">
        <v>116.1</v>
      </c>
      <c r="L23" s="5">
        <v>103.1</v>
      </c>
      <c r="M23" s="5">
        <v>118.1</v>
      </c>
      <c r="N23" s="5">
        <v>116.1</v>
      </c>
      <c r="O23" s="5">
        <v>124.5</v>
      </c>
      <c r="P23" s="5">
        <v>125.4</v>
      </c>
      <c r="Q23" s="5">
        <v>121.1</v>
      </c>
      <c r="R23" s="5">
        <v>121.5</v>
      </c>
      <c r="S23" s="5">
        <v>118.1</v>
      </c>
      <c r="T23" s="5">
        <v>121</v>
      </c>
      <c r="U23" s="5">
        <v>116.7</v>
      </c>
      <c r="V23" s="5">
        <v>114.7</v>
      </c>
      <c r="W23" s="5">
        <v>116.7</v>
      </c>
      <c r="X23" s="5">
        <v>114.3</v>
      </c>
      <c r="Y23" s="5">
        <v>111.8</v>
      </c>
      <c r="Z23" s="5">
        <v>113.3</v>
      </c>
      <c r="AA23" s="5">
        <v>118.8</v>
      </c>
      <c r="AB23" s="5">
        <v>109.6</v>
      </c>
      <c r="AC23" s="5">
        <v>113.9</v>
      </c>
      <c r="AD23" s="6">
        <v>120.1</v>
      </c>
    </row>
    <row r="24" spans="1:30" hidden="1" x14ac:dyDescent="0.3">
      <c r="A24" s="9" t="s">
        <v>33</v>
      </c>
      <c r="B24" s="7">
        <v>2014</v>
      </c>
      <c r="C24" s="7" t="s">
        <v>43</v>
      </c>
      <c r="D24" s="7">
        <v>123.3</v>
      </c>
      <c r="E24" s="7">
        <v>123.7</v>
      </c>
      <c r="F24" s="7">
        <v>121</v>
      </c>
      <c r="G24" s="7">
        <v>124.2</v>
      </c>
      <c r="H24" s="7">
        <v>107.8</v>
      </c>
      <c r="I24" s="7">
        <v>125.7</v>
      </c>
      <c r="J24" s="7">
        <v>152.4</v>
      </c>
      <c r="K24" s="7">
        <v>117.2</v>
      </c>
      <c r="L24" s="7">
        <v>102.1</v>
      </c>
      <c r="M24" s="7">
        <v>118.7</v>
      </c>
      <c r="N24" s="7">
        <v>116.4</v>
      </c>
      <c r="O24" s="7">
        <v>125.6</v>
      </c>
      <c r="P24" s="7">
        <v>125.1</v>
      </c>
      <c r="Q24" s="7">
        <v>122.1</v>
      </c>
      <c r="R24" s="7">
        <v>122.1</v>
      </c>
      <c r="S24" s="7">
        <v>118.4</v>
      </c>
      <c r="T24" s="7">
        <v>121.6</v>
      </c>
      <c r="U24" s="7">
        <v>117.1</v>
      </c>
      <c r="V24" s="7">
        <v>115.5</v>
      </c>
      <c r="W24" s="7">
        <v>117.3</v>
      </c>
      <c r="X24" s="7">
        <v>114.8</v>
      </c>
      <c r="Y24" s="7">
        <v>110.8</v>
      </c>
      <c r="Z24" s="7">
        <v>113.7</v>
      </c>
      <c r="AA24" s="7">
        <v>119</v>
      </c>
      <c r="AB24" s="7">
        <v>109.1</v>
      </c>
      <c r="AC24" s="7">
        <v>113.8</v>
      </c>
      <c r="AD24" s="8">
        <v>120.1</v>
      </c>
    </row>
    <row r="25" spans="1:30" hidden="1" x14ac:dyDescent="0.3">
      <c r="A25" s="10" t="s">
        <v>33</v>
      </c>
      <c r="B25" s="5">
        <v>2014</v>
      </c>
      <c r="C25" s="5" t="s">
        <v>44</v>
      </c>
      <c r="D25" s="5">
        <v>122.9</v>
      </c>
      <c r="E25" s="5">
        <v>123.2</v>
      </c>
      <c r="F25" s="5">
        <v>123.5</v>
      </c>
      <c r="G25" s="5">
        <v>124.5</v>
      </c>
      <c r="H25" s="5">
        <v>107.6</v>
      </c>
      <c r="I25" s="5">
        <v>125.7</v>
      </c>
      <c r="J25" s="5">
        <v>140.5</v>
      </c>
      <c r="K25" s="5">
        <v>117.6</v>
      </c>
      <c r="L25" s="5">
        <v>100.6</v>
      </c>
      <c r="M25" s="5">
        <v>119.1</v>
      </c>
      <c r="N25" s="5">
        <v>116.8</v>
      </c>
      <c r="O25" s="5">
        <v>126.1</v>
      </c>
      <c r="P25" s="5">
        <v>123.6</v>
      </c>
      <c r="Q25" s="5">
        <v>123</v>
      </c>
      <c r="R25" s="5">
        <v>122.6</v>
      </c>
      <c r="S25" s="5">
        <v>118.6</v>
      </c>
      <c r="T25" s="5">
        <v>122</v>
      </c>
      <c r="U25" s="5">
        <v>116.5</v>
      </c>
      <c r="V25" s="5">
        <v>115.7</v>
      </c>
      <c r="W25" s="5">
        <v>117.5</v>
      </c>
      <c r="X25" s="5">
        <v>115.1</v>
      </c>
      <c r="Y25" s="5">
        <v>110.1</v>
      </c>
      <c r="Z25" s="5">
        <v>113.9</v>
      </c>
      <c r="AA25" s="5">
        <v>119.5</v>
      </c>
      <c r="AB25" s="5">
        <v>109.8</v>
      </c>
      <c r="AC25" s="5">
        <v>113.8</v>
      </c>
      <c r="AD25" s="6">
        <v>119.4</v>
      </c>
    </row>
    <row r="26" spans="1:30" hidden="1" x14ac:dyDescent="0.3">
      <c r="A26" s="9" t="s">
        <v>33</v>
      </c>
      <c r="B26" s="7">
        <v>2015</v>
      </c>
      <c r="C26" s="7" t="s">
        <v>31</v>
      </c>
      <c r="D26" s="7">
        <v>123.4</v>
      </c>
      <c r="E26" s="7">
        <v>123.9</v>
      </c>
      <c r="F26" s="7">
        <v>123.8</v>
      </c>
      <c r="G26" s="7">
        <v>125</v>
      </c>
      <c r="H26" s="7">
        <v>108.5</v>
      </c>
      <c r="I26" s="7">
        <v>126.2</v>
      </c>
      <c r="J26" s="7">
        <v>133</v>
      </c>
      <c r="K26" s="7">
        <v>119.1</v>
      </c>
      <c r="L26" s="7">
        <v>99</v>
      </c>
      <c r="M26" s="7">
        <v>120.3</v>
      </c>
      <c r="N26" s="7">
        <v>117.3</v>
      </c>
      <c r="O26" s="7">
        <v>126.7</v>
      </c>
      <c r="P26" s="7">
        <v>123.1</v>
      </c>
      <c r="Q26" s="7">
        <v>124</v>
      </c>
      <c r="R26" s="7">
        <v>123.1</v>
      </c>
      <c r="S26" s="7">
        <v>119.3</v>
      </c>
      <c r="T26" s="7">
        <v>122.5</v>
      </c>
      <c r="U26" s="7">
        <v>117.3</v>
      </c>
      <c r="V26" s="7">
        <v>116.5</v>
      </c>
      <c r="W26" s="7">
        <v>118.1</v>
      </c>
      <c r="X26" s="7">
        <v>115.5</v>
      </c>
      <c r="Y26" s="7">
        <v>109.4</v>
      </c>
      <c r="Z26" s="7">
        <v>114.3</v>
      </c>
      <c r="AA26" s="7">
        <v>119.7</v>
      </c>
      <c r="AB26" s="7">
        <v>110.7</v>
      </c>
      <c r="AC26" s="7">
        <v>114</v>
      </c>
      <c r="AD26" s="8">
        <v>119.5</v>
      </c>
    </row>
    <row r="27" spans="1:30" hidden="1" x14ac:dyDescent="0.3">
      <c r="A27" s="10" t="s">
        <v>33</v>
      </c>
      <c r="B27" s="5">
        <v>2015</v>
      </c>
      <c r="C27" s="5" t="s">
        <v>34</v>
      </c>
      <c r="D27" s="5">
        <v>123.7</v>
      </c>
      <c r="E27" s="5">
        <v>125.1</v>
      </c>
      <c r="F27" s="5">
        <v>121.1</v>
      </c>
      <c r="G27" s="5">
        <v>125.7</v>
      </c>
      <c r="H27" s="5">
        <v>109.1</v>
      </c>
      <c r="I27" s="5">
        <v>125.8</v>
      </c>
      <c r="J27" s="5">
        <v>129.4</v>
      </c>
      <c r="K27" s="5">
        <v>120.9</v>
      </c>
      <c r="L27" s="5">
        <v>98.3</v>
      </c>
      <c r="M27" s="5">
        <v>121.6</v>
      </c>
      <c r="N27" s="5">
        <v>118</v>
      </c>
      <c r="O27" s="5">
        <v>127.6</v>
      </c>
      <c r="P27" s="5">
        <v>123.1</v>
      </c>
      <c r="Q27" s="5">
        <v>125.2</v>
      </c>
      <c r="R27" s="5">
        <v>123.8</v>
      </c>
      <c r="S27" s="5">
        <v>120.1</v>
      </c>
      <c r="T27" s="5">
        <v>123.3</v>
      </c>
      <c r="U27" s="5">
        <v>118.1</v>
      </c>
      <c r="V27" s="5">
        <v>117.7</v>
      </c>
      <c r="W27" s="5">
        <v>118.7</v>
      </c>
      <c r="X27" s="5">
        <v>116.3</v>
      </c>
      <c r="Y27" s="5">
        <v>108.7</v>
      </c>
      <c r="Z27" s="5">
        <v>114.9</v>
      </c>
      <c r="AA27" s="5">
        <v>119.7</v>
      </c>
      <c r="AB27" s="5">
        <v>111.2</v>
      </c>
      <c r="AC27" s="5">
        <v>114.1</v>
      </c>
      <c r="AD27" s="6">
        <v>119.7</v>
      </c>
    </row>
    <row r="28" spans="1:30" hidden="1" x14ac:dyDescent="0.3">
      <c r="A28" s="9" t="s">
        <v>33</v>
      </c>
      <c r="B28" s="7">
        <v>2015</v>
      </c>
      <c r="C28" s="7" t="s">
        <v>35</v>
      </c>
      <c r="D28" s="7">
        <v>123.5</v>
      </c>
      <c r="E28" s="7">
        <v>125.4</v>
      </c>
      <c r="F28" s="7">
        <v>116.8</v>
      </c>
      <c r="G28" s="7">
        <v>126</v>
      </c>
      <c r="H28" s="7">
        <v>109.2</v>
      </c>
      <c r="I28" s="7">
        <v>127.6</v>
      </c>
      <c r="J28" s="7">
        <v>129.19999999999999</v>
      </c>
      <c r="K28" s="7">
        <v>122.4</v>
      </c>
      <c r="L28" s="7">
        <v>97</v>
      </c>
      <c r="M28" s="7">
        <v>122.1</v>
      </c>
      <c r="N28" s="7">
        <v>118.1</v>
      </c>
      <c r="O28" s="7">
        <v>128.4</v>
      </c>
      <c r="P28" s="7">
        <v>123.4</v>
      </c>
      <c r="Q28" s="7">
        <v>125.8</v>
      </c>
      <c r="R28" s="7">
        <v>124.3</v>
      </c>
      <c r="S28" s="7">
        <v>120.4</v>
      </c>
      <c r="T28" s="7">
        <v>123.7</v>
      </c>
      <c r="U28" s="7">
        <v>118.6</v>
      </c>
      <c r="V28" s="7">
        <v>118.3</v>
      </c>
      <c r="W28" s="7">
        <v>119.2</v>
      </c>
      <c r="X28" s="7">
        <v>116.7</v>
      </c>
      <c r="Y28" s="7">
        <v>109.9</v>
      </c>
      <c r="Z28" s="7">
        <v>115.4</v>
      </c>
      <c r="AA28" s="7">
        <v>120.1</v>
      </c>
      <c r="AB28" s="7">
        <v>111</v>
      </c>
      <c r="AC28" s="7">
        <v>114.7</v>
      </c>
      <c r="AD28" s="8">
        <v>120.2</v>
      </c>
    </row>
    <row r="29" spans="1:30" hidden="1" x14ac:dyDescent="0.3">
      <c r="A29" s="10" t="s">
        <v>33</v>
      </c>
      <c r="B29" s="5">
        <v>2015</v>
      </c>
      <c r="C29" s="5" t="s">
        <v>36</v>
      </c>
      <c r="D29" s="5">
        <v>123.5</v>
      </c>
      <c r="E29" s="5">
        <v>126.4</v>
      </c>
      <c r="F29" s="5">
        <v>114.4</v>
      </c>
      <c r="G29" s="5">
        <v>126.6</v>
      </c>
      <c r="H29" s="5">
        <v>109.2</v>
      </c>
      <c r="I29" s="5">
        <v>132.5</v>
      </c>
      <c r="J29" s="5">
        <v>128.6</v>
      </c>
      <c r="K29" s="5">
        <v>124.8</v>
      </c>
      <c r="L29" s="5">
        <v>95.7</v>
      </c>
      <c r="M29" s="5">
        <v>122.4</v>
      </c>
      <c r="N29" s="5">
        <v>118.5</v>
      </c>
      <c r="O29" s="5">
        <v>129.1</v>
      </c>
      <c r="P29" s="5">
        <v>124</v>
      </c>
      <c r="Q29" s="5">
        <v>126.9</v>
      </c>
      <c r="R29" s="5">
        <v>124.7</v>
      </c>
      <c r="S29" s="5">
        <v>120.8</v>
      </c>
      <c r="T29" s="5">
        <v>124.1</v>
      </c>
      <c r="U29" s="5">
        <v>119.2</v>
      </c>
      <c r="V29" s="5">
        <v>118.7</v>
      </c>
      <c r="W29" s="5">
        <v>119.7</v>
      </c>
      <c r="X29" s="5">
        <v>117.1</v>
      </c>
      <c r="Y29" s="5">
        <v>110.1</v>
      </c>
      <c r="Z29" s="5">
        <v>115.9</v>
      </c>
      <c r="AA29" s="5">
        <v>121</v>
      </c>
      <c r="AB29" s="5">
        <v>111.7</v>
      </c>
      <c r="AC29" s="5">
        <v>115.1</v>
      </c>
      <c r="AD29" s="6">
        <v>120.7</v>
      </c>
    </row>
    <row r="30" spans="1:30" hidden="1" x14ac:dyDescent="0.3">
      <c r="A30" s="9" t="s">
        <v>33</v>
      </c>
      <c r="B30" s="7">
        <v>2015</v>
      </c>
      <c r="C30" s="7" t="s">
        <v>37</v>
      </c>
      <c r="D30" s="7">
        <v>123.6</v>
      </c>
      <c r="E30" s="7">
        <v>128</v>
      </c>
      <c r="F30" s="7">
        <v>115</v>
      </c>
      <c r="G30" s="7">
        <v>127.3</v>
      </c>
      <c r="H30" s="7">
        <v>109.8</v>
      </c>
      <c r="I30" s="7">
        <v>132.6</v>
      </c>
      <c r="J30" s="7">
        <v>130.9</v>
      </c>
      <c r="K30" s="7">
        <v>130.5</v>
      </c>
      <c r="L30" s="7">
        <v>95.3</v>
      </c>
      <c r="M30" s="7">
        <v>123.4</v>
      </c>
      <c r="N30" s="7">
        <v>119.2</v>
      </c>
      <c r="O30" s="7">
        <v>129.80000000000001</v>
      </c>
      <c r="P30" s="7">
        <v>125</v>
      </c>
      <c r="Q30" s="7">
        <v>127.9</v>
      </c>
      <c r="R30" s="7">
        <v>125.4</v>
      </c>
      <c r="S30" s="7">
        <v>121.3</v>
      </c>
      <c r="T30" s="7">
        <v>124.7</v>
      </c>
      <c r="U30" s="7">
        <v>119.6</v>
      </c>
      <c r="V30" s="7">
        <v>119.2</v>
      </c>
      <c r="W30" s="7">
        <v>120.2</v>
      </c>
      <c r="X30" s="7">
        <v>117.7</v>
      </c>
      <c r="Y30" s="7">
        <v>112</v>
      </c>
      <c r="Z30" s="7">
        <v>116.3</v>
      </c>
      <c r="AA30" s="7">
        <v>121.4</v>
      </c>
      <c r="AB30" s="7">
        <v>112.3</v>
      </c>
      <c r="AC30" s="7">
        <v>116.1</v>
      </c>
      <c r="AD30" s="8">
        <v>121.6</v>
      </c>
    </row>
    <row r="31" spans="1:30" hidden="1" x14ac:dyDescent="0.3">
      <c r="A31" s="10" t="s">
        <v>33</v>
      </c>
      <c r="B31" s="5">
        <v>2015</v>
      </c>
      <c r="C31" s="5" t="s">
        <v>38</v>
      </c>
      <c r="D31" s="5">
        <v>123.9</v>
      </c>
      <c r="E31" s="5">
        <v>131.80000000000001</v>
      </c>
      <c r="F31" s="5">
        <v>121.6</v>
      </c>
      <c r="G31" s="5">
        <v>128.19999999999999</v>
      </c>
      <c r="H31" s="5">
        <v>111.1</v>
      </c>
      <c r="I31" s="5">
        <v>132.80000000000001</v>
      </c>
      <c r="J31" s="5">
        <v>139.1</v>
      </c>
      <c r="K31" s="5">
        <v>137.4</v>
      </c>
      <c r="L31" s="5">
        <v>94.1</v>
      </c>
      <c r="M31" s="5">
        <v>125.5</v>
      </c>
      <c r="N31" s="5">
        <v>119.8</v>
      </c>
      <c r="O31" s="5">
        <v>130.9</v>
      </c>
      <c r="P31" s="5">
        <v>127.3</v>
      </c>
      <c r="Q31" s="5">
        <v>129.19999999999999</v>
      </c>
      <c r="R31" s="5">
        <v>126.4</v>
      </c>
      <c r="S31" s="5">
        <v>122</v>
      </c>
      <c r="T31" s="5">
        <v>125.7</v>
      </c>
      <c r="U31" s="5">
        <v>119</v>
      </c>
      <c r="V31" s="5">
        <v>119.8</v>
      </c>
      <c r="W31" s="5">
        <v>121.1</v>
      </c>
      <c r="X31" s="5">
        <v>118.5</v>
      </c>
      <c r="Y31" s="5">
        <v>112.9</v>
      </c>
      <c r="Z31" s="5">
        <v>116.9</v>
      </c>
      <c r="AA31" s="5">
        <v>123.1</v>
      </c>
      <c r="AB31" s="5">
        <v>112.8</v>
      </c>
      <c r="AC31" s="5">
        <v>117</v>
      </c>
      <c r="AD31" s="6">
        <v>123</v>
      </c>
    </row>
    <row r="32" spans="1:30" hidden="1" x14ac:dyDescent="0.3">
      <c r="A32" s="9" t="s">
        <v>33</v>
      </c>
      <c r="B32" s="7">
        <v>2015</v>
      </c>
      <c r="C32" s="7" t="s">
        <v>39</v>
      </c>
      <c r="D32" s="7">
        <v>123.7</v>
      </c>
      <c r="E32" s="7">
        <v>132.5</v>
      </c>
      <c r="F32" s="7">
        <v>121</v>
      </c>
      <c r="G32" s="7">
        <v>128.30000000000001</v>
      </c>
      <c r="H32" s="7">
        <v>110.9</v>
      </c>
      <c r="I32" s="7">
        <v>133.1</v>
      </c>
      <c r="J32" s="7">
        <v>145.1</v>
      </c>
      <c r="K32" s="7">
        <v>139.1</v>
      </c>
      <c r="L32" s="7">
        <v>91.3</v>
      </c>
      <c r="M32" s="7">
        <v>126.1</v>
      </c>
      <c r="N32" s="7">
        <v>119.9</v>
      </c>
      <c r="O32" s="7">
        <v>131.4</v>
      </c>
      <c r="P32" s="7">
        <v>128.19999999999999</v>
      </c>
      <c r="Q32" s="7">
        <v>130.4</v>
      </c>
      <c r="R32" s="7">
        <v>126.7</v>
      </c>
      <c r="S32" s="7">
        <v>122.3</v>
      </c>
      <c r="T32" s="7">
        <v>126.1</v>
      </c>
      <c r="U32" s="7">
        <v>119.9</v>
      </c>
      <c r="V32" s="7">
        <v>120.1</v>
      </c>
      <c r="W32" s="7">
        <v>121.3</v>
      </c>
      <c r="X32" s="7">
        <v>119</v>
      </c>
      <c r="Y32" s="7">
        <v>112.7</v>
      </c>
      <c r="Z32" s="7">
        <v>117.2</v>
      </c>
      <c r="AA32" s="7">
        <v>124.4</v>
      </c>
      <c r="AB32" s="7">
        <v>112.3</v>
      </c>
      <c r="AC32" s="7">
        <v>117.2</v>
      </c>
      <c r="AD32" s="8">
        <v>123.6</v>
      </c>
    </row>
    <row r="33" spans="1:30" hidden="1" x14ac:dyDescent="0.3">
      <c r="A33" s="10" t="s">
        <v>33</v>
      </c>
      <c r="B33" s="5">
        <v>2015</v>
      </c>
      <c r="C33" s="5" t="s">
        <v>40</v>
      </c>
      <c r="D33" s="5">
        <v>124.2</v>
      </c>
      <c r="E33" s="5">
        <v>131.4</v>
      </c>
      <c r="F33" s="5">
        <v>120.1</v>
      </c>
      <c r="G33" s="5">
        <v>128.5</v>
      </c>
      <c r="H33" s="5">
        <v>111.4</v>
      </c>
      <c r="I33" s="5">
        <v>132.30000000000001</v>
      </c>
      <c r="J33" s="5">
        <v>157.6</v>
      </c>
      <c r="K33" s="5">
        <v>144</v>
      </c>
      <c r="L33" s="5">
        <v>90.5</v>
      </c>
      <c r="M33" s="5">
        <v>126.8</v>
      </c>
      <c r="N33" s="5">
        <v>120.4</v>
      </c>
      <c r="O33" s="5">
        <v>132.1</v>
      </c>
      <c r="P33" s="5">
        <v>130.30000000000001</v>
      </c>
      <c r="Q33" s="5">
        <v>131.19999999999999</v>
      </c>
      <c r="R33" s="5">
        <v>127.2</v>
      </c>
      <c r="S33" s="5">
        <v>122.9</v>
      </c>
      <c r="T33" s="5">
        <v>126.6</v>
      </c>
      <c r="U33" s="5">
        <v>120.9</v>
      </c>
      <c r="V33" s="5">
        <v>120.6</v>
      </c>
      <c r="W33" s="5">
        <v>122</v>
      </c>
      <c r="X33" s="5">
        <v>119.4</v>
      </c>
      <c r="Y33" s="5">
        <v>111.7</v>
      </c>
      <c r="Z33" s="5">
        <v>117.8</v>
      </c>
      <c r="AA33" s="5">
        <v>125.1</v>
      </c>
      <c r="AB33" s="5">
        <v>112.3</v>
      </c>
      <c r="AC33" s="5">
        <v>117.2</v>
      </c>
      <c r="AD33" s="6">
        <v>124.8</v>
      </c>
    </row>
    <row r="34" spans="1:30" hidden="1" x14ac:dyDescent="0.3">
      <c r="A34" s="9" t="s">
        <v>33</v>
      </c>
      <c r="B34" s="7">
        <v>2015</v>
      </c>
      <c r="C34" s="7" t="s">
        <v>41</v>
      </c>
      <c r="D34" s="7">
        <v>124.6</v>
      </c>
      <c r="E34" s="7">
        <v>130.4</v>
      </c>
      <c r="F34" s="7">
        <v>118.7</v>
      </c>
      <c r="G34" s="7">
        <v>128.9</v>
      </c>
      <c r="H34" s="7">
        <v>111.9</v>
      </c>
      <c r="I34" s="7">
        <v>128.4</v>
      </c>
      <c r="J34" s="7">
        <v>162.19999999999999</v>
      </c>
      <c r="K34" s="7">
        <v>150</v>
      </c>
      <c r="L34" s="7">
        <v>90.4</v>
      </c>
      <c r="M34" s="7">
        <v>128.4</v>
      </c>
      <c r="N34" s="7">
        <v>120.7</v>
      </c>
      <c r="O34" s="7">
        <v>132.5</v>
      </c>
      <c r="P34" s="7">
        <v>131.19999999999999</v>
      </c>
      <c r="Q34" s="7">
        <v>132</v>
      </c>
      <c r="R34" s="7">
        <v>127.9</v>
      </c>
      <c r="S34" s="7">
        <v>123.4</v>
      </c>
      <c r="T34" s="7">
        <v>127.2</v>
      </c>
      <c r="U34" s="7">
        <v>121.6</v>
      </c>
      <c r="V34" s="7">
        <v>120.4</v>
      </c>
      <c r="W34" s="7">
        <v>122.6</v>
      </c>
      <c r="X34" s="7">
        <v>119.8</v>
      </c>
      <c r="Y34" s="7">
        <v>111.3</v>
      </c>
      <c r="Z34" s="7">
        <v>118.3</v>
      </c>
      <c r="AA34" s="7">
        <v>125.7</v>
      </c>
      <c r="AB34" s="7">
        <v>113.4</v>
      </c>
      <c r="AC34" s="7">
        <v>117.5</v>
      </c>
      <c r="AD34" s="8">
        <v>125.4</v>
      </c>
    </row>
    <row r="35" spans="1:30" hidden="1" x14ac:dyDescent="0.3">
      <c r="A35" s="10" t="s">
        <v>33</v>
      </c>
      <c r="B35" s="5">
        <v>2015</v>
      </c>
      <c r="C35" s="5" t="s">
        <v>42</v>
      </c>
      <c r="D35" s="5">
        <v>125</v>
      </c>
      <c r="E35" s="5">
        <v>129.80000000000001</v>
      </c>
      <c r="F35" s="5">
        <v>118.9</v>
      </c>
      <c r="G35" s="5">
        <v>129.1</v>
      </c>
      <c r="H35" s="5">
        <v>113.3</v>
      </c>
      <c r="I35" s="5">
        <v>129</v>
      </c>
      <c r="J35" s="5">
        <v>160.4</v>
      </c>
      <c r="K35" s="5">
        <v>165.3</v>
      </c>
      <c r="L35" s="5">
        <v>92.3</v>
      </c>
      <c r="M35" s="5">
        <v>129.69999999999999</v>
      </c>
      <c r="N35" s="5">
        <v>121.1</v>
      </c>
      <c r="O35" s="5">
        <v>133</v>
      </c>
      <c r="P35" s="5">
        <v>132.1</v>
      </c>
      <c r="Q35" s="5">
        <v>132.5</v>
      </c>
      <c r="R35" s="5">
        <v>128.5</v>
      </c>
      <c r="S35" s="5">
        <v>123.8</v>
      </c>
      <c r="T35" s="5">
        <v>127.8</v>
      </c>
      <c r="U35" s="5">
        <v>122.4</v>
      </c>
      <c r="V35" s="5">
        <v>120.8</v>
      </c>
      <c r="W35" s="5">
        <v>123</v>
      </c>
      <c r="X35" s="5">
        <v>120.4</v>
      </c>
      <c r="Y35" s="5">
        <v>111.4</v>
      </c>
      <c r="Z35" s="5">
        <v>118.7</v>
      </c>
      <c r="AA35" s="5">
        <v>125.9</v>
      </c>
      <c r="AB35" s="5">
        <v>113.9</v>
      </c>
      <c r="AC35" s="5">
        <v>117.9</v>
      </c>
      <c r="AD35" s="6">
        <v>126.1</v>
      </c>
    </row>
    <row r="36" spans="1:30" hidden="1" x14ac:dyDescent="0.3">
      <c r="A36" s="9" t="s">
        <v>33</v>
      </c>
      <c r="B36" s="7">
        <v>2015</v>
      </c>
      <c r="C36" s="7" t="s">
        <v>43</v>
      </c>
      <c r="D36" s="7">
        <v>125.4</v>
      </c>
      <c r="E36" s="7">
        <v>130.30000000000001</v>
      </c>
      <c r="F36" s="7">
        <v>121.6</v>
      </c>
      <c r="G36" s="7">
        <v>129.19999999999999</v>
      </c>
      <c r="H36" s="7">
        <v>114.9</v>
      </c>
      <c r="I36" s="7">
        <v>128.19999999999999</v>
      </c>
      <c r="J36" s="7">
        <v>158.4</v>
      </c>
      <c r="K36" s="7">
        <v>171.2</v>
      </c>
      <c r="L36" s="7">
        <v>93.3</v>
      </c>
      <c r="M36" s="7">
        <v>131.19999999999999</v>
      </c>
      <c r="N36" s="7">
        <v>121.7</v>
      </c>
      <c r="O36" s="7">
        <v>134</v>
      </c>
      <c r="P36" s="7">
        <v>132.69999999999999</v>
      </c>
      <c r="Q36" s="7">
        <v>133.6</v>
      </c>
      <c r="R36" s="7">
        <v>129.30000000000001</v>
      </c>
      <c r="S36" s="7">
        <v>124.5</v>
      </c>
      <c r="T36" s="7">
        <v>128.6</v>
      </c>
      <c r="U36" s="7">
        <v>122.9</v>
      </c>
      <c r="V36" s="7">
        <v>121.6</v>
      </c>
      <c r="W36" s="7">
        <v>123.4</v>
      </c>
      <c r="X36" s="7">
        <v>120.9</v>
      </c>
      <c r="Y36" s="7">
        <v>111.5</v>
      </c>
      <c r="Z36" s="7">
        <v>119.2</v>
      </c>
      <c r="AA36" s="7">
        <v>126.3</v>
      </c>
      <c r="AB36" s="7">
        <v>113.8</v>
      </c>
      <c r="AC36" s="7">
        <v>118.1</v>
      </c>
      <c r="AD36" s="8">
        <v>126.6</v>
      </c>
    </row>
    <row r="37" spans="1:30" hidden="1" x14ac:dyDescent="0.3">
      <c r="A37" s="10" t="s">
        <v>33</v>
      </c>
      <c r="B37" s="5">
        <v>2015</v>
      </c>
      <c r="C37" s="5" t="s">
        <v>44</v>
      </c>
      <c r="D37" s="5">
        <v>125.7</v>
      </c>
      <c r="E37" s="5">
        <v>131.4</v>
      </c>
      <c r="F37" s="5">
        <v>124.8</v>
      </c>
      <c r="G37" s="5">
        <v>129.4</v>
      </c>
      <c r="H37" s="5">
        <v>115.3</v>
      </c>
      <c r="I37" s="5">
        <v>126.6</v>
      </c>
      <c r="J37" s="5">
        <v>146.69999999999999</v>
      </c>
      <c r="K37" s="5">
        <v>171.5</v>
      </c>
      <c r="L37" s="5">
        <v>94.5</v>
      </c>
      <c r="M37" s="5">
        <v>132.1</v>
      </c>
      <c r="N37" s="5">
        <v>122</v>
      </c>
      <c r="O37" s="5">
        <v>134.69999999999999</v>
      </c>
      <c r="P37" s="5">
        <v>131.4</v>
      </c>
      <c r="Q37" s="5">
        <v>134.5</v>
      </c>
      <c r="R37" s="5">
        <v>129.69999999999999</v>
      </c>
      <c r="S37" s="5">
        <v>124.8</v>
      </c>
      <c r="T37" s="5">
        <v>129</v>
      </c>
      <c r="U37" s="5">
        <v>122.4</v>
      </c>
      <c r="V37" s="5">
        <v>122</v>
      </c>
      <c r="W37" s="5">
        <v>123.6</v>
      </c>
      <c r="X37" s="5">
        <v>121.4</v>
      </c>
      <c r="Y37" s="5">
        <v>111.5</v>
      </c>
      <c r="Z37" s="5">
        <v>119.6</v>
      </c>
      <c r="AA37" s="5">
        <v>126.2</v>
      </c>
      <c r="AB37" s="5">
        <v>113.7</v>
      </c>
      <c r="AC37" s="5">
        <v>118.3</v>
      </c>
      <c r="AD37" s="6">
        <v>126.1</v>
      </c>
    </row>
    <row r="38" spans="1:30" hidden="1" x14ac:dyDescent="0.3">
      <c r="A38" s="9" t="s">
        <v>33</v>
      </c>
      <c r="B38" s="7">
        <v>2016</v>
      </c>
      <c r="C38" s="7" t="s">
        <v>31</v>
      </c>
      <c r="D38" s="7">
        <v>126.1</v>
      </c>
      <c r="E38" s="7">
        <v>134.1</v>
      </c>
      <c r="F38" s="7">
        <v>128.6</v>
      </c>
      <c r="G38" s="7">
        <v>129.9</v>
      </c>
      <c r="H38" s="7">
        <v>115.5</v>
      </c>
      <c r="I38" s="7">
        <v>125.7</v>
      </c>
      <c r="J38" s="7">
        <v>141.5</v>
      </c>
      <c r="K38" s="7">
        <v>170.7</v>
      </c>
      <c r="L38" s="7">
        <v>97.4</v>
      </c>
      <c r="M38" s="7">
        <v>132.9</v>
      </c>
      <c r="N38" s="7">
        <v>122.7</v>
      </c>
      <c r="O38" s="7">
        <v>135.30000000000001</v>
      </c>
      <c r="P38" s="7">
        <v>131.30000000000001</v>
      </c>
      <c r="Q38" s="7">
        <v>135.19999999999999</v>
      </c>
      <c r="R38" s="7">
        <v>130.30000000000001</v>
      </c>
      <c r="S38" s="7">
        <v>125.1</v>
      </c>
      <c r="T38" s="7">
        <v>129.5</v>
      </c>
      <c r="U38" s="7">
        <v>123.4</v>
      </c>
      <c r="V38" s="7">
        <v>122.7</v>
      </c>
      <c r="W38" s="7">
        <v>124.2</v>
      </c>
      <c r="X38" s="7">
        <v>122</v>
      </c>
      <c r="Y38" s="7">
        <v>111.1</v>
      </c>
      <c r="Z38" s="7">
        <v>119.8</v>
      </c>
      <c r="AA38" s="7">
        <v>126.3</v>
      </c>
      <c r="AB38" s="7">
        <v>114.5</v>
      </c>
      <c r="AC38" s="7">
        <v>118.5</v>
      </c>
      <c r="AD38" s="8">
        <v>126.3</v>
      </c>
    </row>
    <row r="39" spans="1:30" hidden="1" x14ac:dyDescent="0.3">
      <c r="A39" s="10" t="s">
        <v>33</v>
      </c>
      <c r="B39" s="5">
        <v>2016</v>
      </c>
      <c r="C39" s="5" t="s">
        <v>34</v>
      </c>
      <c r="D39" s="5">
        <v>126.4</v>
      </c>
      <c r="E39" s="5">
        <v>134.19999999999999</v>
      </c>
      <c r="F39" s="5">
        <v>128.69999999999999</v>
      </c>
      <c r="G39" s="5">
        <v>130.30000000000001</v>
      </c>
      <c r="H39" s="5">
        <v>114.8</v>
      </c>
      <c r="I39" s="5">
        <v>124.9</v>
      </c>
      <c r="J39" s="5">
        <v>130.30000000000001</v>
      </c>
      <c r="K39" s="5">
        <v>167.4</v>
      </c>
      <c r="L39" s="5">
        <v>98.8</v>
      </c>
      <c r="M39" s="5">
        <v>133.6</v>
      </c>
      <c r="N39" s="5">
        <v>123</v>
      </c>
      <c r="O39" s="5">
        <v>135.80000000000001</v>
      </c>
      <c r="P39" s="5">
        <v>129.9</v>
      </c>
      <c r="Q39" s="5">
        <v>135.9</v>
      </c>
      <c r="R39" s="5">
        <v>130.9</v>
      </c>
      <c r="S39" s="5">
        <v>125.8</v>
      </c>
      <c r="T39" s="5">
        <v>130.19999999999999</v>
      </c>
      <c r="U39" s="5">
        <v>124.4</v>
      </c>
      <c r="V39" s="5">
        <v>123.1</v>
      </c>
      <c r="W39" s="5">
        <v>124.6</v>
      </c>
      <c r="X39" s="5">
        <v>122.5</v>
      </c>
      <c r="Y39" s="5">
        <v>111.4</v>
      </c>
      <c r="Z39" s="5">
        <v>120.3</v>
      </c>
      <c r="AA39" s="5">
        <v>126.6</v>
      </c>
      <c r="AB39" s="5">
        <v>116.6</v>
      </c>
      <c r="AC39" s="5">
        <v>119.1</v>
      </c>
      <c r="AD39" s="6">
        <v>126</v>
      </c>
    </row>
    <row r="40" spans="1:30" hidden="1" x14ac:dyDescent="0.3">
      <c r="A40" s="9" t="s">
        <v>33</v>
      </c>
      <c r="B40" s="7">
        <v>2016</v>
      </c>
      <c r="C40" s="7" t="s">
        <v>35</v>
      </c>
      <c r="D40" s="7">
        <v>126.5</v>
      </c>
      <c r="E40" s="7">
        <v>135.1</v>
      </c>
      <c r="F40" s="7">
        <v>124.6</v>
      </c>
      <c r="G40" s="7">
        <v>130.19999999999999</v>
      </c>
      <c r="H40" s="7">
        <v>114.5</v>
      </c>
      <c r="I40" s="7">
        <v>126.2</v>
      </c>
      <c r="J40" s="7">
        <v>129.80000000000001</v>
      </c>
      <c r="K40" s="7">
        <v>164.3</v>
      </c>
      <c r="L40" s="7">
        <v>100.9</v>
      </c>
      <c r="M40" s="7">
        <v>133.9</v>
      </c>
      <c r="N40" s="7">
        <v>123.1</v>
      </c>
      <c r="O40" s="7">
        <v>136.30000000000001</v>
      </c>
      <c r="P40" s="7">
        <v>129.80000000000001</v>
      </c>
      <c r="Q40" s="7">
        <v>136.5</v>
      </c>
      <c r="R40" s="7">
        <v>131.30000000000001</v>
      </c>
      <c r="S40" s="7">
        <v>126.1</v>
      </c>
      <c r="T40" s="7">
        <v>130.5</v>
      </c>
      <c r="U40" s="7">
        <v>124.9</v>
      </c>
      <c r="V40" s="7">
        <v>122.4</v>
      </c>
      <c r="W40" s="7">
        <v>125.1</v>
      </c>
      <c r="X40" s="7">
        <v>122.9</v>
      </c>
      <c r="Y40" s="7">
        <v>110.9</v>
      </c>
      <c r="Z40" s="7">
        <v>120.6</v>
      </c>
      <c r="AA40" s="7">
        <v>126.9</v>
      </c>
      <c r="AB40" s="7">
        <v>117.3</v>
      </c>
      <c r="AC40" s="7">
        <v>119.3</v>
      </c>
      <c r="AD40" s="8">
        <v>126</v>
      </c>
    </row>
    <row r="41" spans="1:30" hidden="1" x14ac:dyDescent="0.3">
      <c r="A41" s="10" t="s">
        <v>33</v>
      </c>
      <c r="B41" s="5">
        <v>2016</v>
      </c>
      <c r="C41" s="5" t="s">
        <v>36</v>
      </c>
      <c r="D41" s="5">
        <v>126.6</v>
      </c>
      <c r="E41" s="5">
        <v>136.80000000000001</v>
      </c>
      <c r="F41" s="5">
        <v>122</v>
      </c>
      <c r="G41" s="5">
        <v>130.9</v>
      </c>
      <c r="H41" s="5">
        <v>114.8</v>
      </c>
      <c r="I41" s="5">
        <v>134.80000000000001</v>
      </c>
      <c r="J41" s="5">
        <v>135</v>
      </c>
      <c r="K41" s="5">
        <v>167.5</v>
      </c>
      <c r="L41" s="5">
        <v>106.4</v>
      </c>
      <c r="M41" s="5">
        <v>134.4</v>
      </c>
      <c r="N41" s="5">
        <v>123.6</v>
      </c>
      <c r="O41" s="5">
        <v>136.69999999999999</v>
      </c>
      <c r="P41" s="5">
        <v>131.80000000000001</v>
      </c>
      <c r="Q41" s="5">
        <v>137.1</v>
      </c>
      <c r="R41" s="5">
        <v>131.80000000000001</v>
      </c>
      <c r="S41" s="5">
        <v>126.4</v>
      </c>
      <c r="T41" s="5">
        <v>131</v>
      </c>
      <c r="U41" s="5">
        <v>125.6</v>
      </c>
      <c r="V41" s="5">
        <v>122.3</v>
      </c>
      <c r="W41" s="5">
        <v>125.5</v>
      </c>
      <c r="X41" s="5">
        <v>123.2</v>
      </c>
      <c r="Y41" s="5">
        <v>112.1</v>
      </c>
      <c r="Z41" s="5">
        <v>121.1</v>
      </c>
      <c r="AA41" s="5">
        <v>127.7</v>
      </c>
      <c r="AB41" s="5">
        <v>118.1</v>
      </c>
      <c r="AC41" s="5">
        <v>120</v>
      </c>
      <c r="AD41" s="6">
        <v>127.3</v>
      </c>
    </row>
    <row r="42" spans="1:30" hidden="1" x14ac:dyDescent="0.3">
      <c r="A42" s="9" t="s">
        <v>33</v>
      </c>
      <c r="B42" s="7">
        <v>2016</v>
      </c>
      <c r="C42" s="7" t="s">
        <v>37</v>
      </c>
      <c r="D42" s="7">
        <v>126.8</v>
      </c>
      <c r="E42" s="7">
        <v>139.1</v>
      </c>
      <c r="F42" s="7">
        <v>125.4</v>
      </c>
      <c r="G42" s="7">
        <v>131.69999999999999</v>
      </c>
      <c r="H42" s="7">
        <v>115</v>
      </c>
      <c r="I42" s="7">
        <v>136</v>
      </c>
      <c r="J42" s="7">
        <v>145.1</v>
      </c>
      <c r="K42" s="7">
        <v>171.7</v>
      </c>
      <c r="L42" s="7">
        <v>108.7</v>
      </c>
      <c r="M42" s="7">
        <v>135.30000000000001</v>
      </c>
      <c r="N42" s="7">
        <v>124.2</v>
      </c>
      <c r="O42" s="7">
        <v>137.4</v>
      </c>
      <c r="P42" s="7">
        <v>134</v>
      </c>
      <c r="Q42" s="7">
        <v>137.69999999999999</v>
      </c>
      <c r="R42" s="7">
        <v>132.19999999999999</v>
      </c>
      <c r="S42" s="7">
        <v>126.8</v>
      </c>
      <c r="T42" s="7">
        <v>131.4</v>
      </c>
      <c r="U42" s="7">
        <v>126</v>
      </c>
      <c r="V42" s="7">
        <v>122.7</v>
      </c>
      <c r="W42" s="7">
        <v>126</v>
      </c>
      <c r="X42" s="7">
        <v>123.7</v>
      </c>
      <c r="Y42" s="7">
        <v>112.8</v>
      </c>
      <c r="Z42" s="7">
        <v>121.5</v>
      </c>
      <c r="AA42" s="7">
        <v>128.5</v>
      </c>
      <c r="AB42" s="7">
        <v>119.2</v>
      </c>
      <c r="AC42" s="7">
        <v>120.7</v>
      </c>
      <c r="AD42" s="8">
        <v>128.6</v>
      </c>
    </row>
    <row r="43" spans="1:30" hidden="1" x14ac:dyDescent="0.3">
      <c r="A43" s="10" t="s">
        <v>33</v>
      </c>
      <c r="B43" s="5">
        <v>2016</v>
      </c>
      <c r="C43" s="5" t="s">
        <v>38</v>
      </c>
      <c r="D43" s="5">
        <v>127.7</v>
      </c>
      <c r="E43" s="5">
        <v>140.5</v>
      </c>
      <c r="F43" s="5">
        <v>128.30000000000001</v>
      </c>
      <c r="G43" s="5">
        <v>132.6</v>
      </c>
      <c r="H43" s="5">
        <v>115.5</v>
      </c>
      <c r="I43" s="5">
        <v>136.5</v>
      </c>
      <c r="J43" s="5">
        <v>159.69999999999999</v>
      </c>
      <c r="K43" s="5">
        <v>174.3</v>
      </c>
      <c r="L43" s="5">
        <v>109.9</v>
      </c>
      <c r="M43" s="5">
        <v>136.30000000000001</v>
      </c>
      <c r="N43" s="5">
        <v>124.4</v>
      </c>
      <c r="O43" s="5">
        <v>138.1</v>
      </c>
      <c r="P43" s="5">
        <v>136.80000000000001</v>
      </c>
      <c r="Q43" s="5">
        <v>138.69999999999999</v>
      </c>
      <c r="R43" s="5">
        <v>132.9</v>
      </c>
      <c r="S43" s="5">
        <v>127.2</v>
      </c>
      <c r="T43" s="5">
        <v>132</v>
      </c>
      <c r="U43" s="5">
        <v>125.5</v>
      </c>
      <c r="V43" s="5">
        <v>123.3</v>
      </c>
      <c r="W43" s="5">
        <v>126.4</v>
      </c>
      <c r="X43" s="5">
        <v>124.1</v>
      </c>
      <c r="Y43" s="5">
        <v>114.2</v>
      </c>
      <c r="Z43" s="5">
        <v>121.7</v>
      </c>
      <c r="AA43" s="5">
        <v>129.69999999999999</v>
      </c>
      <c r="AB43" s="5">
        <v>119.4</v>
      </c>
      <c r="AC43" s="5">
        <v>121.5</v>
      </c>
      <c r="AD43" s="6">
        <v>130.1</v>
      </c>
    </row>
    <row r="44" spans="1:30" hidden="1" x14ac:dyDescent="0.3">
      <c r="A44" s="9" t="s">
        <v>33</v>
      </c>
      <c r="B44" s="7">
        <v>2016</v>
      </c>
      <c r="C44" s="7" t="s">
        <v>39</v>
      </c>
      <c r="D44" s="7">
        <v>128.5</v>
      </c>
      <c r="E44" s="7">
        <v>141.19999999999999</v>
      </c>
      <c r="F44" s="7">
        <v>132.30000000000001</v>
      </c>
      <c r="G44" s="7">
        <v>133.5</v>
      </c>
      <c r="H44" s="7">
        <v>116.4</v>
      </c>
      <c r="I44" s="7">
        <v>137.80000000000001</v>
      </c>
      <c r="J44" s="7">
        <v>165.4</v>
      </c>
      <c r="K44" s="7">
        <v>177.4</v>
      </c>
      <c r="L44" s="7">
        <v>111.3</v>
      </c>
      <c r="M44" s="7">
        <v>137.5</v>
      </c>
      <c r="N44" s="7">
        <v>125</v>
      </c>
      <c r="O44" s="7">
        <v>138.80000000000001</v>
      </c>
      <c r="P44" s="7">
        <v>138.4</v>
      </c>
      <c r="Q44" s="7">
        <v>139.30000000000001</v>
      </c>
      <c r="R44" s="7">
        <v>133.5</v>
      </c>
      <c r="S44" s="7">
        <v>127.6</v>
      </c>
      <c r="T44" s="7">
        <v>132.69999999999999</v>
      </c>
      <c r="U44" s="7">
        <v>126.4</v>
      </c>
      <c r="V44" s="7">
        <v>123.4</v>
      </c>
      <c r="W44" s="7">
        <v>126.9</v>
      </c>
      <c r="X44" s="7">
        <v>124.5</v>
      </c>
      <c r="Y44" s="7">
        <v>113.9</v>
      </c>
      <c r="Z44" s="7">
        <v>122.4</v>
      </c>
      <c r="AA44" s="7">
        <v>130.80000000000001</v>
      </c>
      <c r="AB44" s="7">
        <v>120.5</v>
      </c>
      <c r="AC44" s="7">
        <v>121.9</v>
      </c>
      <c r="AD44" s="8">
        <v>131.1</v>
      </c>
    </row>
    <row r="45" spans="1:30" hidden="1" x14ac:dyDescent="0.3">
      <c r="A45" s="10" t="s">
        <v>33</v>
      </c>
      <c r="B45" s="5">
        <v>2016</v>
      </c>
      <c r="C45" s="5" t="s">
        <v>40</v>
      </c>
      <c r="D45" s="5">
        <v>129.30000000000001</v>
      </c>
      <c r="E45" s="5">
        <v>139.30000000000001</v>
      </c>
      <c r="F45" s="5">
        <v>131.6</v>
      </c>
      <c r="G45" s="5">
        <v>134.1</v>
      </c>
      <c r="H45" s="5">
        <v>116.9</v>
      </c>
      <c r="I45" s="5">
        <v>138.1</v>
      </c>
      <c r="J45" s="5">
        <v>159.1</v>
      </c>
      <c r="K45" s="5">
        <v>175.6</v>
      </c>
      <c r="L45" s="5">
        <v>112.9</v>
      </c>
      <c r="M45" s="5">
        <v>138.1</v>
      </c>
      <c r="N45" s="5">
        <v>125.5</v>
      </c>
      <c r="O45" s="5">
        <v>139.5</v>
      </c>
      <c r="P45" s="5">
        <v>137.9</v>
      </c>
      <c r="Q45" s="5">
        <v>140.19999999999999</v>
      </c>
      <c r="R45" s="5">
        <v>134.1</v>
      </c>
      <c r="S45" s="5">
        <v>128.19999999999999</v>
      </c>
      <c r="T45" s="5">
        <v>133.19999999999999</v>
      </c>
      <c r="U45" s="5">
        <v>127.3</v>
      </c>
      <c r="V45" s="5">
        <v>123.6</v>
      </c>
      <c r="W45" s="5">
        <v>127.4</v>
      </c>
      <c r="X45" s="5">
        <v>124.8</v>
      </c>
      <c r="Y45" s="5">
        <v>113.1</v>
      </c>
      <c r="Z45" s="5">
        <v>122.7</v>
      </c>
      <c r="AA45" s="5">
        <v>131.69999999999999</v>
      </c>
      <c r="AB45" s="5">
        <v>121.5</v>
      </c>
      <c r="AC45" s="5">
        <v>122.1</v>
      </c>
      <c r="AD45" s="6">
        <v>131.1</v>
      </c>
    </row>
    <row r="46" spans="1:30" hidden="1" x14ac:dyDescent="0.3">
      <c r="A46" s="9" t="s">
        <v>33</v>
      </c>
      <c r="B46" s="7">
        <v>2016</v>
      </c>
      <c r="C46" s="7" t="s">
        <v>41</v>
      </c>
      <c r="D46" s="7">
        <v>129.9</v>
      </c>
      <c r="E46" s="7">
        <v>138</v>
      </c>
      <c r="F46" s="7">
        <v>130.5</v>
      </c>
      <c r="G46" s="7">
        <v>134.4</v>
      </c>
      <c r="H46" s="7">
        <v>117.2</v>
      </c>
      <c r="I46" s="7">
        <v>136.1</v>
      </c>
      <c r="J46" s="7">
        <v>150.69999999999999</v>
      </c>
      <c r="K46" s="7">
        <v>171.5</v>
      </c>
      <c r="L46" s="7">
        <v>113.8</v>
      </c>
      <c r="M46" s="7">
        <v>138.80000000000001</v>
      </c>
      <c r="N46" s="7">
        <v>126</v>
      </c>
      <c r="O46" s="7">
        <v>140.19999999999999</v>
      </c>
      <c r="P46" s="7">
        <v>136.6</v>
      </c>
      <c r="Q46" s="7">
        <v>141</v>
      </c>
      <c r="R46" s="7">
        <v>134.6</v>
      </c>
      <c r="S46" s="7">
        <v>128.6</v>
      </c>
      <c r="T46" s="7">
        <v>133.80000000000001</v>
      </c>
      <c r="U46" s="7">
        <v>127.9</v>
      </c>
      <c r="V46" s="7">
        <v>124.1</v>
      </c>
      <c r="W46" s="7">
        <v>127.9</v>
      </c>
      <c r="X46" s="7">
        <v>125.4</v>
      </c>
      <c r="Y46" s="7">
        <v>114.3</v>
      </c>
      <c r="Z46" s="7">
        <v>122.9</v>
      </c>
      <c r="AA46" s="7">
        <v>131.80000000000001</v>
      </c>
      <c r="AB46" s="7">
        <v>122.1</v>
      </c>
      <c r="AC46" s="7">
        <v>122.8</v>
      </c>
      <c r="AD46" s="8">
        <v>130.9</v>
      </c>
    </row>
    <row r="47" spans="1:30" hidden="1" x14ac:dyDescent="0.3">
      <c r="A47" s="10" t="s">
        <v>33</v>
      </c>
      <c r="B47" s="5">
        <v>2016</v>
      </c>
      <c r="C47" s="5" t="s">
        <v>42</v>
      </c>
      <c r="D47" s="5">
        <v>130.5</v>
      </c>
      <c r="E47" s="5">
        <v>137.9</v>
      </c>
      <c r="F47" s="5">
        <v>130.19999999999999</v>
      </c>
      <c r="G47" s="5">
        <v>134.80000000000001</v>
      </c>
      <c r="H47" s="5">
        <v>117.8</v>
      </c>
      <c r="I47" s="5">
        <v>134.69999999999999</v>
      </c>
      <c r="J47" s="5">
        <v>151.19999999999999</v>
      </c>
      <c r="K47" s="5">
        <v>172.1</v>
      </c>
      <c r="L47" s="5">
        <v>114.1</v>
      </c>
      <c r="M47" s="5">
        <v>139.30000000000001</v>
      </c>
      <c r="N47" s="5">
        <v>126.1</v>
      </c>
      <c r="O47" s="5">
        <v>141.1</v>
      </c>
      <c r="P47" s="5">
        <v>137</v>
      </c>
      <c r="Q47" s="5">
        <v>141.80000000000001</v>
      </c>
      <c r="R47" s="5">
        <v>135.5</v>
      </c>
      <c r="S47" s="5">
        <v>129.1</v>
      </c>
      <c r="T47" s="5">
        <v>134.5</v>
      </c>
      <c r="U47" s="5">
        <v>128.69999999999999</v>
      </c>
      <c r="V47" s="5">
        <v>124.3</v>
      </c>
      <c r="W47" s="5">
        <v>128.4</v>
      </c>
      <c r="X47" s="5">
        <v>126.1</v>
      </c>
      <c r="Y47" s="5">
        <v>115.2</v>
      </c>
      <c r="Z47" s="5">
        <v>123.5</v>
      </c>
      <c r="AA47" s="5">
        <v>132.4</v>
      </c>
      <c r="AB47" s="5">
        <v>122.1</v>
      </c>
      <c r="AC47" s="5">
        <v>123.4</v>
      </c>
      <c r="AD47" s="6">
        <v>131.4</v>
      </c>
    </row>
    <row r="48" spans="1:30" hidden="1" x14ac:dyDescent="0.3">
      <c r="A48" s="9" t="s">
        <v>33</v>
      </c>
      <c r="B48" s="7">
        <v>2016</v>
      </c>
      <c r="C48" s="7" t="s">
        <v>43</v>
      </c>
      <c r="D48" s="7">
        <v>131.4</v>
      </c>
      <c r="E48" s="7">
        <v>137.80000000000001</v>
      </c>
      <c r="F48" s="7">
        <v>132</v>
      </c>
      <c r="G48" s="7">
        <v>135</v>
      </c>
      <c r="H48" s="7">
        <v>118</v>
      </c>
      <c r="I48" s="7">
        <v>134.1</v>
      </c>
      <c r="J48" s="7">
        <v>141.9</v>
      </c>
      <c r="K48" s="7">
        <v>171.7</v>
      </c>
      <c r="L48" s="7">
        <v>114.1</v>
      </c>
      <c r="M48" s="7">
        <v>139.69999999999999</v>
      </c>
      <c r="N48" s="7">
        <v>126.2</v>
      </c>
      <c r="O48" s="7">
        <v>141.80000000000001</v>
      </c>
      <c r="P48" s="7">
        <v>136.1</v>
      </c>
      <c r="Q48" s="7">
        <v>142</v>
      </c>
      <c r="R48" s="7">
        <v>135.80000000000001</v>
      </c>
      <c r="S48" s="7">
        <v>129.30000000000001</v>
      </c>
      <c r="T48" s="7">
        <v>135</v>
      </c>
      <c r="U48" s="7">
        <v>129.1</v>
      </c>
      <c r="V48" s="7">
        <v>125</v>
      </c>
      <c r="W48" s="7">
        <v>128.6</v>
      </c>
      <c r="X48" s="7">
        <v>126.4</v>
      </c>
      <c r="Y48" s="7">
        <v>115.7</v>
      </c>
      <c r="Z48" s="7">
        <v>124</v>
      </c>
      <c r="AA48" s="7">
        <v>132.80000000000001</v>
      </c>
      <c r="AB48" s="7">
        <v>122.6</v>
      </c>
      <c r="AC48" s="7">
        <v>123.8</v>
      </c>
      <c r="AD48" s="8">
        <v>131.19999999999999</v>
      </c>
    </row>
    <row r="49" spans="1:30" hidden="1" x14ac:dyDescent="0.3">
      <c r="A49" s="10" t="s">
        <v>33</v>
      </c>
      <c r="B49" s="5">
        <v>2016</v>
      </c>
      <c r="C49" s="5" t="s">
        <v>44</v>
      </c>
      <c r="D49" s="5">
        <v>132.30000000000001</v>
      </c>
      <c r="E49" s="5">
        <v>137.6</v>
      </c>
      <c r="F49" s="5">
        <v>132.9</v>
      </c>
      <c r="G49" s="5">
        <v>135.1</v>
      </c>
      <c r="H49" s="5">
        <v>118.6</v>
      </c>
      <c r="I49" s="5">
        <v>132.69999999999999</v>
      </c>
      <c r="J49" s="5">
        <v>125.3</v>
      </c>
      <c r="K49" s="5">
        <v>168.7</v>
      </c>
      <c r="L49" s="5">
        <v>114.4</v>
      </c>
      <c r="M49" s="5">
        <v>140.19999999999999</v>
      </c>
      <c r="N49" s="5">
        <v>126.6</v>
      </c>
      <c r="O49" s="5">
        <v>142.30000000000001</v>
      </c>
      <c r="P49" s="5">
        <v>134</v>
      </c>
      <c r="Q49" s="5">
        <v>143.1</v>
      </c>
      <c r="R49" s="5">
        <v>136.30000000000001</v>
      </c>
      <c r="S49" s="5">
        <v>129.80000000000001</v>
      </c>
      <c r="T49" s="5">
        <v>135.4</v>
      </c>
      <c r="U49" s="5">
        <v>128.5</v>
      </c>
      <c r="V49" s="5">
        <v>126.6</v>
      </c>
      <c r="W49" s="5">
        <v>129.19999999999999</v>
      </c>
      <c r="X49" s="5">
        <v>126.9</v>
      </c>
      <c r="Y49" s="5">
        <v>116</v>
      </c>
      <c r="Z49" s="5">
        <v>124.2</v>
      </c>
      <c r="AA49" s="5">
        <v>133.1</v>
      </c>
      <c r="AB49" s="5">
        <v>121.1</v>
      </c>
      <c r="AC49" s="5">
        <v>123.9</v>
      </c>
      <c r="AD49" s="6">
        <v>130.4</v>
      </c>
    </row>
    <row r="50" spans="1:30" hidden="1" x14ac:dyDescent="0.3">
      <c r="A50" s="9" t="s">
        <v>33</v>
      </c>
      <c r="B50" s="7">
        <v>2017</v>
      </c>
      <c r="C50" s="7" t="s">
        <v>31</v>
      </c>
      <c r="D50" s="7">
        <v>132.80000000000001</v>
      </c>
      <c r="E50" s="7">
        <v>138.19999999999999</v>
      </c>
      <c r="F50" s="7">
        <v>132.19999999999999</v>
      </c>
      <c r="G50" s="7">
        <v>135.4</v>
      </c>
      <c r="H50" s="7">
        <v>119.1</v>
      </c>
      <c r="I50" s="7">
        <v>133</v>
      </c>
      <c r="J50" s="7">
        <v>119.4</v>
      </c>
      <c r="K50" s="7">
        <v>159.5</v>
      </c>
      <c r="L50" s="7">
        <v>115.6</v>
      </c>
      <c r="M50" s="7">
        <v>139.6</v>
      </c>
      <c r="N50" s="7">
        <v>126.6</v>
      </c>
      <c r="O50" s="7">
        <v>142.80000000000001</v>
      </c>
      <c r="P50" s="7">
        <v>133.1</v>
      </c>
      <c r="Q50" s="7">
        <v>143.80000000000001</v>
      </c>
      <c r="R50" s="7">
        <v>136.6</v>
      </c>
      <c r="S50" s="7">
        <v>130.19999999999999</v>
      </c>
      <c r="T50" s="7">
        <v>135.6</v>
      </c>
      <c r="U50" s="7">
        <v>129.6</v>
      </c>
      <c r="V50" s="7">
        <v>126.8</v>
      </c>
      <c r="W50" s="7">
        <v>129.4</v>
      </c>
      <c r="X50" s="7">
        <v>127.1</v>
      </c>
      <c r="Y50" s="7">
        <v>117</v>
      </c>
      <c r="Z50" s="7">
        <v>124.2</v>
      </c>
      <c r="AA50" s="7">
        <v>133.30000000000001</v>
      </c>
      <c r="AB50" s="7">
        <v>121.7</v>
      </c>
      <c r="AC50" s="7">
        <v>124.4</v>
      </c>
      <c r="AD50" s="8">
        <v>130.30000000000001</v>
      </c>
    </row>
    <row r="51" spans="1:30" hidden="1" x14ac:dyDescent="0.3">
      <c r="A51" s="10" t="s">
        <v>33</v>
      </c>
      <c r="B51" s="5">
        <v>2017</v>
      </c>
      <c r="C51" s="5" t="s">
        <v>34</v>
      </c>
      <c r="D51" s="5">
        <v>133.1</v>
      </c>
      <c r="E51" s="5">
        <v>138.80000000000001</v>
      </c>
      <c r="F51" s="5">
        <v>129.30000000000001</v>
      </c>
      <c r="G51" s="5">
        <v>135.80000000000001</v>
      </c>
      <c r="H51" s="5">
        <v>119.2</v>
      </c>
      <c r="I51" s="5">
        <v>135.30000000000001</v>
      </c>
      <c r="J51" s="5">
        <v>119.5</v>
      </c>
      <c r="K51" s="5">
        <v>152.19999999999999</v>
      </c>
      <c r="L51" s="5">
        <v>117.3</v>
      </c>
      <c r="M51" s="5">
        <v>138.69999999999999</v>
      </c>
      <c r="N51" s="5">
        <v>126.9</v>
      </c>
      <c r="O51" s="5">
        <v>143.19999999999999</v>
      </c>
      <c r="P51" s="5">
        <v>133</v>
      </c>
      <c r="Q51" s="5">
        <v>144.4</v>
      </c>
      <c r="R51" s="5">
        <v>136.80000000000001</v>
      </c>
      <c r="S51" s="5">
        <v>130.30000000000001</v>
      </c>
      <c r="T51" s="5">
        <v>135.9</v>
      </c>
      <c r="U51" s="5">
        <v>130.5</v>
      </c>
      <c r="V51" s="5">
        <v>127.9</v>
      </c>
      <c r="W51" s="5">
        <v>129.69999999999999</v>
      </c>
      <c r="X51" s="5">
        <v>127.4</v>
      </c>
      <c r="Y51" s="5">
        <v>117.4</v>
      </c>
      <c r="Z51" s="5">
        <v>124.6</v>
      </c>
      <c r="AA51" s="5">
        <v>133.4</v>
      </c>
      <c r="AB51" s="5">
        <v>122.6</v>
      </c>
      <c r="AC51" s="5">
        <v>124.8</v>
      </c>
      <c r="AD51" s="6">
        <v>130.6</v>
      </c>
    </row>
    <row r="52" spans="1:30" hidden="1" x14ac:dyDescent="0.3">
      <c r="A52" s="9" t="s">
        <v>33</v>
      </c>
      <c r="B52" s="7">
        <v>2017</v>
      </c>
      <c r="C52" s="7" t="s">
        <v>35</v>
      </c>
      <c r="D52" s="7">
        <v>133.30000000000001</v>
      </c>
      <c r="E52" s="7">
        <v>139</v>
      </c>
      <c r="F52" s="7">
        <v>128.6</v>
      </c>
      <c r="G52" s="7">
        <v>136.30000000000001</v>
      </c>
      <c r="H52" s="7">
        <v>118.8</v>
      </c>
      <c r="I52" s="7">
        <v>138.30000000000001</v>
      </c>
      <c r="J52" s="7">
        <v>120.5</v>
      </c>
      <c r="K52" s="7">
        <v>143.9</v>
      </c>
      <c r="L52" s="7">
        <v>118</v>
      </c>
      <c r="M52" s="7">
        <v>137.9</v>
      </c>
      <c r="N52" s="7">
        <v>127.2</v>
      </c>
      <c r="O52" s="7">
        <v>144</v>
      </c>
      <c r="P52" s="7">
        <v>133.1</v>
      </c>
      <c r="Q52" s="7">
        <v>145.1</v>
      </c>
      <c r="R52" s="7">
        <v>137.30000000000001</v>
      </c>
      <c r="S52" s="7">
        <v>130.6</v>
      </c>
      <c r="T52" s="7">
        <v>136.4</v>
      </c>
      <c r="U52" s="7">
        <v>131.1</v>
      </c>
      <c r="V52" s="7">
        <v>129.1</v>
      </c>
      <c r="W52" s="7">
        <v>130.1</v>
      </c>
      <c r="X52" s="7">
        <v>127.8</v>
      </c>
      <c r="Y52" s="7">
        <v>117.6</v>
      </c>
      <c r="Z52" s="7">
        <v>125</v>
      </c>
      <c r="AA52" s="7">
        <v>133.80000000000001</v>
      </c>
      <c r="AB52" s="7">
        <v>122.6</v>
      </c>
      <c r="AC52" s="7">
        <v>125.1</v>
      </c>
      <c r="AD52" s="8">
        <v>130.9</v>
      </c>
    </row>
    <row r="53" spans="1:30" hidden="1" x14ac:dyDescent="0.3">
      <c r="A53" s="10" t="s">
        <v>33</v>
      </c>
      <c r="B53" s="5">
        <v>2017</v>
      </c>
      <c r="C53" s="5" t="s">
        <v>36</v>
      </c>
      <c r="D53" s="5">
        <v>133</v>
      </c>
      <c r="E53" s="5">
        <v>139.4</v>
      </c>
      <c r="F53" s="5">
        <v>126.1</v>
      </c>
      <c r="G53" s="5">
        <v>137.19999999999999</v>
      </c>
      <c r="H53" s="5">
        <v>118.4</v>
      </c>
      <c r="I53" s="5">
        <v>139.9</v>
      </c>
      <c r="J53" s="5">
        <v>123.4</v>
      </c>
      <c r="K53" s="5">
        <v>140.9</v>
      </c>
      <c r="L53" s="5">
        <v>118.5</v>
      </c>
      <c r="M53" s="5">
        <v>136.5</v>
      </c>
      <c r="N53" s="5">
        <v>127.4</v>
      </c>
      <c r="O53" s="5">
        <v>144.19999999999999</v>
      </c>
      <c r="P53" s="5">
        <v>133.5</v>
      </c>
      <c r="Q53" s="5">
        <v>145.4</v>
      </c>
      <c r="R53" s="5">
        <v>138</v>
      </c>
      <c r="S53" s="5">
        <v>131.1</v>
      </c>
      <c r="T53" s="5">
        <v>137</v>
      </c>
      <c r="U53" s="5">
        <v>131.69999999999999</v>
      </c>
      <c r="V53" s="5">
        <v>129.80000000000001</v>
      </c>
      <c r="W53" s="5">
        <v>130.4</v>
      </c>
      <c r="X53" s="5">
        <v>128.1</v>
      </c>
      <c r="Y53" s="5">
        <v>116.6</v>
      </c>
      <c r="Z53" s="5">
        <v>125.1</v>
      </c>
      <c r="AA53" s="5">
        <v>134.5</v>
      </c>
      <c r="AB53" s="5">
        <v>123.1</v>
      </c>
      <c r="AC53" s="5">
        <v>125.1</v>
      </c>
      <c r="AD53" s="6">
        <v>131.1</v>
      </c>
    </row>
    <row r="54" spans="1:30" hidden="1" x14ac:dyDescent="0.3">
      <c r="A54" s="9" t="s">
        <v>33</v>
      </c>
      <c r="B54" s="7">
        <v>2017</v>
      </c>
      <c r="C54" s="7" t="s">
        <v>37</v>
      </c>
      <c r="D54" s="7">
        <v>132.9</v>
      </c>
      <c r="E54" s="7">
        <v>141.6</v>
      </c>
      <c r="F54" s="7">
        <v>126.3</v>
      </c>
      <c r="G54" s="7">
        <v>137.69999999999999</v>
      </c>
      <c r="H54" s="7">
        <v>118.1</v>
      </c>
      <c r="I54" s="7">
        <v>137.9</v>
      </c>
      <c r="J54" s="7">
        <v>125.6</v>
      </c>
      <c r="K54" s="7">
        <v>138.30000000000001</v>
      </c>
      <c r="L54" s="7">
        <v>119.4</v>
      </c>
      <c r="M54" s="7">
        <v>136</v>
      </c>
      <c r="N54" s="7">
        <v>127.6</v>
      </c>
      <c r="O54" s="7">
        <v>144.5</v>
      </c>
      <c r="P54" s="7">
        <v>133.69999999999999</v>
      </c>
      <c r="Q54" s="7">
        <v>146.19999999999999</v>
      </c>
      <c r="R54" s="7">
        <v>138.19999999999999</v>
      </c>
      <c r="S54" s="7">
        <v>131.4</v>
      </c>
      <c r="T54" s="7">
        <v>137.19999999999999</v>
      </c>
      <c r="U54" s="7">
        <v>132.1</v>
      </c>
      <c r="V54" s="7">
        <v>129.4</v>
      </c>
      <c r="W54" s="7">
        <v>130.9</v>
      </c>
      <c r="X54" s="7">
        <v>128.4</v>
      </c>
      <c r="Y54" s="7">
        <v>116.7</v>
      </c>
      <c r="Z54" s="7">
        <v>125.7</v>
      </c>
      <c r="AA54" s="7">
        <v>134.80000000000001</v>
      </c>
      <c r="AB54" s="7">
        <v>123</v>
      </c>
      <c r="AC54" s="7">
        <v>125.3</v>
      </c>
      <c r="AD54" s="8">
        <v>131.4</v>
      </c>
    </row>
    <row r="55" spans="1:30" hidden="1" x14ac:dyDescent="0.3">
      <c r="A55" s="10" t="s">
        <v>33</v>
      </c>
      <c r="B55" s="5">
        <v>2017</v>
      </c>
      <c r="C55" s="5" t="s">
        <v>38</v>
      </c>
      <c r="D55" s="5">
        <v>133.30000000000001</v>
      </c>
      <c r="E55" s="5">
        <v>145.5</v>
      </c>
      <c r="F55" s="5">
        <v>128.1</v>
      </c>
      <c r="G55" s="5">
        <v>138.1</v>
      </c>
      <c r="H55" s="5">
        <v>118.2</v>
      </c>
      <c r="I55" s="5">
        <v>139.19999999999999</v>
      </c>
      <c r="J55" s="5">
        <v>133.30000000000001</v>
      </c>
      <c r="K55" s="5">
        <v>136.19999999999999</v>
      </c>
      <c r="L55" s="5">
        <v>119.6</v>
      </c>
      <c r="M55" s="5">
        <v>135.30000000000001</v>
      </c>
      <c r="N55" s="5">
        <v>127.8</v>
      </c>
      <c r="O55" s="5">
        <v>144.9</v>
      </c>
      <c r="P55" s="5">
        <v>135.19999999999999</v>
      </c>
      <c r="Q55" s="5">
        <v>146.5</v>
      </c>
      <c r="R55" s="5">
        <v>138.5</v>
      </c>
      <c r="S55" s="5">
        <v>131.69999999999999</v>
      </c>
      <c r="T55" s="5">
        <v>137.5</v>
      </c>
      <c r="U55" s="5">
        <v>131.4</v>
      </c>
      <c r="V55" s="5">
        <v>128.80000000000001</v>
      </c>
      <c r="W55" s="5">
        <v>131.19999999999999</v>
      </c>
      <c r="X55" s="5">
        <v>128.5</v>
      </c>
      <c r="Y55" s="5">
        <v>116.5</v>
      </c>
      <c r="Z55" s="5">
        <v>125.9</v>
      </c>
      <c r="AA55" s="5">
        <v>135.4</v>
      </c>
      <c r="AB55" s="5">
        <v>123.4</v>
      </c>
      <c r="AC55" s="5">
        <v>125.5</v>
      </c>
      <c r="AD55" s="6">
        <v>132</v>
      </c>
    </row>
    <row r="56" spans="1:30" hidden="1" x14ac:dyDescent="0.3">
      <c r="A56" s="9" t="s">
        <v>33</v>
      </c>
      <c r="B56" s="7">
        <v>2017</v>
      </c>
      <c r="C56" s="7" t="s">
        <v>39</v>
      </c>
      <c r="D56" s="7">
        <v>133.6</v>
      </c>
      <c r="E56" s="7">
        <v>145.69999999999999</v>
      </c>
      <c r="F56" s="7">
        <v>129.6</v>
      </c>
      <c r="G56" s="7">
        <v>138.5</v>
      </c>
      <c r="H56" s="7">
        <v>118.1</v>
      </c>
      <c r="I56" s="7">
        <v>141.80000000000001</v>
      </c>
      <c r="J56" s="7">
        <v>159.5</v>
      </c>
      <c r="K56" s="7">
        <v>133.6</v>
      </c>
      <c r="L56" s="7">
        <v>120.5</v>
      </c>
      <c r="M56" s="7">
        <v>135.19999999999999</v>
      </c>
      <c r="N56" s="7">
        <v>128.5</v>
      </c>
      <c r="O56" s="7">
        <v>145.80000000000001</v>
      </c>
      <c r="P56" s="7">
        <v>139</v>
      </c>
      <c r="Q56" s="7">
        <v>148.19999999999999</v>
      </c>
      <c r="R56" s="7">
        <v>139.30000000000001</v>
      </c>
      <c r="S56" s="7">
        <v>132.1</v>
      </c>
      <c r="T56" s="7">
        <v>138.30000000000001</v>
      </c>
      <c r="U56" s="7">
        <v>132.6</v>
      </c>
      <c r="V56" s="7">
        <v>129.4</v>
      </c>
      <c r="W56" s="7">
        <v>131.9</v>
      </c>
      <c r="X56" s="7">
        <v>129.4</v>
      </c>
      <c r="Y56" s="7">
        <v>116</v>
      </c>
      <c r="Z56" s="7">
        <v>126.6</v>
      </c>
      <c r="AA56" s="7">
        <v>136.80000000000001</v>
      </c>
      <c r="AB56" s="7">
        <v>123.6</v>
      </c>
      <c r="AC56" s="7">
        <v>125.9</v>
      </c>
      <c r="AD56" s="8">
        <v>134.19999999999999</v>
      </c>
    </row>
    <row r="57" spans="1:30" hidden="1" x14ac:dyDescent="0.3">
      <c r="A57" s="10" t="s">
        <v>33</v>
      </c>
      <c r="B57" s="5">
        <v>2017</v>
      </c>
      <c r="C57" s="5" t="s">
        <v>40</v>
      </c>
      <c r="D57" s="5">
        <v>134.30000000000001</v>
      </c>
      <c r="E57" s="5">
        <v>143.4</v>
      </c>
      <c r="F57" s="5">
        <v>129.30000000000001</v>
      </c>
      <c r="G57" s="5">
        <v>139</v>
      </c>
      <c r="H57" s="5">
        <v>118.1</v>
      </c>
      <c r="I57" s="5">
        <v>145.5</v>
      </c>
      <c r="J57" s="5">
        <v>168.6</v>
      </c>
      <c r="K57" s="5">
        <v>132.69999999999999</v>
      </c>
      <c r="L57" s="5">
        <v>121.2</v>
      </c>
      <c r="M57" s="5">
        <v>135.6</v>
      </c>
      <c r="N57" s="5">
        <v>128.69999999999999</v>
      </c>
      <c r="O57" s="5">
        <v>146.80000000000001</v>
      </c>
      <c r="P57" s="5">
        <v>140.6</v>
      </c>
      <c r="Q57" s="5">
        <v>149.80000000000001</v>
      </c>
      <c r="R57" s="5">
        <v>140.30000000000001</v>
      </c>
      <c r="S57" s="5">
        <v>133</v>
      </c>
      <c r="T57" s="5">
        <v>139.30000000000001</v>
      </c>
      <c r="U57" s="5">
        <v>134.4</v>
      </c>
      <c r="V57" s="5">
        <v>129.80000000000001</v>
      </c>
      <c r="W57" s="5">
        <v>132.80000000000001</v>
      </c>
      <c r="X57" s="5">
        <v>130.19999999999999</v>
      </c>
      <c r="Y57" s="5">
        <v>117.3</v>
      </c>
      <c r="Z57" s="5">
        <v>127.3</v>
      </c>
      <c r="AA57" s="5">
        <v>137.6</v>
      </c>
      <c r="AB57" s="5">
        <v>124.5</v>
      </c>
      <c r="AC57" s="5">
        <v>126.8</v>
      </c>
      <c r="AD57" s="6">
        <v>135.4</v>
      </c>
    </row>
    <row r="58" spans="1:30" hidden="1" x14ac:dyDescent="0.3">
      <c r="A58" s="9" t="s">
        <v>33</v>
      </c>
      <c r="B58" s="7">
        <v>2017</v>
      </c>
      <c r="C58" s="7" t="s">
        <v>41</v>
      </c>
      <c r="D58" s="7">
        <v>134.69999999999999</v>
      </c>
      <c r="E58" s="7">
        <v>142.4</v>
      </c>
      <c r="F58" s="7">
        <v>130.19999999999999</v>
      </c>
      <c r="G58" s="7">
        <v>139.6</v>
      </c>
      <c r="H58" s="7">
        <v>118.4</v>
      </c>
      <c r="I58" s="7">
        <v>143</v>
      </c>
      <c r="J58" s="7">
        <v>156.6</v>
      </c>
      <c r="K58" s="7">
        <v>132.9</v>
      </c>
      <c r="L58" s="7">
        <v>121.5</v>
      </c>
      <c r="M58" s="7">
        <v>135.6</v>
      </c>
      <c r="N58" s="7">
        <v>128.80000000000001</v>
      </c>
      <c r="O58" s="7">
        <v>147.30000000000001</v>
      </c>
      <c r="P58" s="7">
        <v>139</v>
      </c>
      <c r="Q58" s="7">
        <v>150.80000000000001</v>
      </c>
      <c r="R58" s="7">
        <v>141.1</v>
      </c>
      <c r="S58" s="7">
        <v>133.4</v>
      </c>
      <c r="T58" s="7">
        <v>140</v>
      </c>
      <c r="U58" s="7">
        <v>135.69999999999999</v>
      </c>
      <c r="V58" s="7">
        <v>131</v>
      </c>
      <c r="W58" s="7">
        <v>133.30000000000001</v>
      </c>
      <c r="X58" s="7">
        <v>130.6</v>
      </c>
      <c r="Y58" s="7">
        <v>118.3</v>
      </c>
      <c r="Z58" s="7">
        <v>127.9</v>
      </c>
      <c r="AA58" s="7">
        <v>137.4</v>
      </c>
      <c r="AB58" s="7">
        <v>125.7</v>
      </c>
      <c r="AC58" s="7">
        <v>127.5</v>
      </c>
      <c r="AD58" s="8">
        <v>135.19999999999999</v>
      </c>
    </row>
    <row r="59" spans="1:30" hidden="1" x14ac:dyDescent="0.3">
      <c r="A59" s="10" t="s">
        <v>33</v>
      </c>
      <c r="B59" s="5">
        <v>2017</v>
      </c>
      <c r="C59" s="5" t="s">
        <v>42</v>
      </c>
      <c r="D59" s="5">
        <v>135.30000000000001</v>
      </c>
      <c r="E59" s="5">
        <v>142.19999999999999</v>
      </c>
      <c r="F59" s="5">
        <v>131.19999999999999</v>
      </c>
      <c r="G59" s="5">
        <v>140.6</v>
      </c>
      <c r="H59" s="5">
        <v>119</v>
      </c>
      <c r="I59" s="5">
        <v>141.5</v>
      </c>
      <c r="J59" s="5">
        <v>162.6</v>
      </c>
      <c r="K59" s="5">
        <v>132.30000000000001</v>
      </c>
      <c r="L59" s="5">
        <v>121.8</v>
      </c>
      <c r="M59" s="5">
        <v>136.30000000000001</v>
      </c>
      <c r="N59" s="5">
        <v>128.69999999999999</v>
      </c>
      <c r="O59" s="5">
        <v>148.1</v>
      </c>
      <c r="P59" s="5">
        <v>140.1</v>
      </c>
      <c r="Q59" s="5">
        <v>151.6</v>
      </c>
      <c r="R59" s="5">
        <v>142</v>
      </c>
      <c r="S59" s="5">
        <v>134.1</v>
      </c>
      <c r="T59" s="5">
        <v>140.80000000000001</v>
      </c>
      <c r="U59" s="5">
        <v>137.30000000000001</v>
      </c>
      <c r="V59" s="5">
        <v>132.19999999999999</v>
      </c>
      <c r="W59" s="5">
        <v>133.6</v>
      </c>
      <c r="X59" s="5">
        <v>131.30000000000001</v>
      </c>
      <c r="Y59" s="5">
        <v>117.8</v>
      </c>
      <c r="Z59" s="5">
        <v>128.4</v>
      </c>
      <c r="AA59" s="5">
        <v>137.9</v>
      </c>
      <c r="AB59" s="5">
        <v>126.2</v>
      </c>
      <c r="AC59" s="5">
        <v>127.7</v>
      </c>
      <c r="AD59" s="6">
        <v>136.1</v>
      </c>
    </row>
    <row r="60" spans="1:30" hidden="1" x14ac:dyDescent="0.3">
      <c r="A60" s="9" t="s">
        <v>33</v>
      </c>
      <c r="B60" s="7">
        <v>2017</v>
      </c>
      <c r="C60" s="7" t="s">
        <v>43</v>
      </c>
      <c r="D60" s="7">
        <v>135.69999999999999</v>
      </c>
      <c r="E60" s="7">
        <v>142.4</v>
      </c>
      <c r="F60" s="7">
        <v>142.9</v>
      </c>
      <c r="G60" s="7">
        <v>140.80000000000001</v>
      </c>
      <c r="H60" s="7">
        <v>119.2</v>
      </c>
      <c r="I60" s="7">
        <v>142.19999999999999</v>
      </c>
      <c r="J60" s="7">
        <v>173.8</v>
      </c>
      <c r="K60" s="7">
        <v>131.19999999999999</v>
      </c>
      <c r="L60" s="7">
        <v>123</v>
      </c>
      <c r="M60" s="7">
        <v>136.80000000000001</v>
      </c>
      <c r="N60" s="7">
        <v>129.19999999999999</v>
      </c>
      <c r="O60" s="7">
        <v>148.9</v>
      </c>
      <c r="P60" s="7">
        <v>142.1</v>
      </c>
      <c r="Q60" s="7">
        <v>153.19999999999999</v>
      </c>
      <c r="R60" s="7">
        <v>143</v>
      </c>
      <c r="S60" s="7">
        <v>134.80000000000001</v>
      </c>
      <c r="T60" s="7">
        <v>141.80000000000001</v>
      </c>
      <c r="U60" s="7">
        <v>138.6</v>
      </c>
      <c r="V60" s="7">
        <v>135.30000000000001</v>
      </c>
      <c r="W60" s="7">
        <v>134.4</v>
      </c>
      <c r="X60" s="7">
        <v>132.6</v>
      </c>
      <c r="Y60" s="7">
        <v>118.3</v>
      </c>
      <c r="Z60" s="7">
        <v>128.9</v>
      </c>
      <c r="AA60" s="7">
        <v>138.6</v>
      </c>
      <c r="AB60" s="7">
        <v>126.8</v>
      </c>
      <c r="AC60" s="7">
        <v>128.4</v>
      </c>
      <c r="AD60" s="8">
        <v>137.6</v>
      </c>
    </row>
    <row r="61" spans="1:30" hidden="1" x14ac:dyDescent="0.3">
      <c r="A61" s="10" t="s">
        <v>33</v>
      </c>
      <c r="B61" s="5">
        <v>2017</v>
      </c>
      <c r="C61" s="5" t="s">
        <v>44</v>
      </c>
      <c r="D61" s="5">
        <v>135.80000000000001</v>
      </c>
      <c r="E61" s="5">
        <v>143.30000000000001</v>
      </c>
      <c r="F61" s="5">
        <v>145.19999999999999</v>
      </c>
      <c r="G61" s="5">
        <v>141</v>
      </c>
      <c r="H61" s="5">
        <v>120.5</v>
      </c>
      <c r="I61" s="5">
        <v>141.5</v>
      </c>
      <c r="J61" s="5">
        <v>161.69999999999999</v>
      </c>
      <c r="K61" s="5">
        <v>129.1</v>
      </c>
      <c r="L61" s="5">
        <v>121.5</v>
      </c>
      <c r="M61" s="5">
        <v>137.1</v>
      </c>
      <c r="N61" s="5">
        <v>128.80000000000001</v>
      </c>
      <c r="O61" s="5">
        <v>149</v>
      </c>
      <c r="P61" s="5">
        <v>140.5</v>
      </c>
      <c r="Q61" s="5">
        <v>154.19999999999999</v>
      </c>
      <c r="R61" s="5">
        <v>143.1</v>
      </c>
      <c r="S61" s="5">
        <v>135.1</v>
      </c>
      <c r="T61" s="5">
        <v>142</v>
      </c>
      <c r="U61" s="5">
        <v>139.1</v>
      </c>
      <c r="V61" s="5">
        <v>136.6</v>
      </c>
      <c r="W61" s="5">
        <v>134.69999999999999</v>
      </c>
      <c r="X61" s="5">
        <v>133.1</v>
      </c>
      <c r="Y61" s="5">
        <v>118.5</v>
      </c>
      <c r="Z61" s="5">
        <v>129</v>
      </c>
      <c r="AA61" s="5">
        <v>138.5</v>
      </c>
      <c r="AB61" s="5">
        <v>126.5</v>
      </c>
      <c r="AC61" s="5">
        <v>128.6</v>
      </c>
      <c r="AD61" s="6">
        <v>137.19999999999999</v>
      </c>
    </row>
    <row r="62" spans="1:30" hidden="1" x14ac:dyDescent="0.3">
      <c r="A62" s="9" t="s">
        <v>33</v>
      </c>
      <c r="B62" s="7">
        <v>2018</v>
      </c>
      <c r="C62" s="7" t="s">
        <v>31</v>
      </c>
      <c r="D62" s="7">
        <v>136</v>
      </c>
      <c r="E62" s="7">
        <v>144.19999999999999</v>
      </c>
      <c r="F62" s="7">
        <v>143.69999999999999</v>
      </c>
      <c r="G62" s="7">
        <v>141.1</v>
      </c>
      <c r="H62" s="7">
        <v>120.7</v>
      </c>
      <c r="I62" s="7">
        <v>141.30000000000001</v>
      </c>
      <c r="J62" s="7">
        <v>151.6</v>
      </c>
      <c r="K62" s="7">
        <v>127.3</v>
      </c>
      <c r="L62" s="7">
        <v>118.8</v>
      </c>
      <c r="M62" s="7">
        <v>137.5</v>
      </c>
      <c r="N62" s="7">
        <v>129</v>
      </c>
      <c r="O62" s="7">
        <v>149.5</v>
      </c>
      <c r="P62" s="7">
        <v>139.19999999999999</v>
      </c>
      <c r="Q62" s="7">
        <v>154.69999999999999</v>
      </c>
      <c r="R62" s="7">
        <v>143.5</v>
      </c>
      <c r="S62" s="7">
        <v>135.5</v>
      </c>
      <c r="T62" s="7">
        <v>142.30000000000001</v>
      </c>
      <c r="U62" s="7">
        <v>140.4</v>
      </c>
      <c r="V62" s="7">
        <v>136.6</v>
      </c>
      <c r="W62" s="7">
        <v>134.9</v>
      </c>
      <c r="X62" s="7">
        <v>133.30000000000001</v>
      </c>
      <c r="Y62" s="7">
        <v>119.3</v>
      </c>
      <c r="Z62" s="7">
        <v>129.69999999999999</v>
      </c>
      <c r="AA62" s="7">
        <v>139</v>
      </c>
      <c r="AB62" s="7">
        <v>127.3</v>
      </c>
      <c r="AC62" s="7">
        <v>129.1</v>
      </c>
      <c r="AD62" s="8">
        <v>136.9</v>
      </c>
    </row>
    <row r="63" spans="1:30" hidden="1" x14ac:dyDescent="0.3">
      <c r="A63" s="10" t="s">
        <v>33</v>
      </c>
      <c r="B63" s="5">
        <v>2018</v>
      </c>
      <c r="C63" s="5" t="s">
        <v>34</v>
      </c>
      <c r="D63" s="5">
        <v>135.9</v>
      </c>
      <c r="E63" s="5">
        <v>143.5</v>
      </c>
      <c r="F63" s="5">
        <v>140.30000000000001</v>
      </c>
      <c r="G63" s="5">
        <v>140.9</v>
      </c>
      <c r="H63" s="5">
        <v>120.4</v>
      </c>
      <c r="I63" s="5">
        <v>142.9</v>
      </c>
      <c r="J63" s="5">
        <v>140.5</v>
      </c>
      <c r="K63" s="5">
        <v>125.8</v>
      </c>
      <c r="L63" s="5">
        <v>117.1</v>
      </c>
      <c r="M63" s="5">
        <v>137.30000000000001</v>
      </c>
      <c r="N63" s="5">
        <v>128.6</v>
      </c>
      <c r="O63" s="5">
        <v>149.6</v>
      </c>
      <c r="P63" s="5">
        <v>137.6</v>
      </c>
      <c r="Q63" s="5">
        <v>154.9</v>
      </c>
      <c r="R63" s="5">
        <v>143.80000000000001</v>
      </c>
      <c r="S63" s="5">
        <v>135.6</v>
      </c>
      <c r="T63" s="5">
        <v>142.6</v>
      </c>
      <c r="U63" s="5">
        <v>141.30000000000001</v>
      </c>
      <c r="V63" s="5">
        <v>136.69999999999999</v>
      </c>
      <c r="W63" s="5">
        <v>135.19999999999999</v>
      </c>
      <c r="X63" s="5">
        <v>133.80000000000001</v>
      </c>
      <c r="Y63" s="5">
        <v>120.2</v>
      </c>
      <c r="Z63" s="5">
        <v>129.9</v>
      </c>
      <c r="AA63" s="5">
        <v>139</v>
      </c>
      <c r="AB63" s="5">
        <v>127.7</v>
      </c>
      <c r="AC63" s="5">
        <v>129.6</v>
      </c>
      <c r="AD63" s="6">
        <v>136.4</v>
      </c>
    </row>
    <row r="64" spans="1:30" hidden="1" x14ac:dyDescent="0.3">
      <c r="A64" s="9" t="s">
        <v>33</v>
      </c>
      <c r="B64" s="7">
        <v>2018</v>
      </c>
      <c r="C64" s="7" t="s">
        <v>35</v>
      </c>
      <c r="D64" s="7">
        <v>136.19999999999999</v>
      </c>
      <c r="E64" s="7">
        <v>143.6</v>
      </c>
      <c r="F64" s="7">
        <v>138.30000000000001</v>
      </c>
      <c r="G64" s="7">
        <v>141.19999999999999</v>
      </c>
      <c r="H64" s="7">
        <v>120.7</v>
      </c>
      <c r="I64" s="7">
        <v>146.19999999999999</v>
      </c>
      <c r="J64" s="7">
        <v>134.6</v>
      </c>
      <c r="K64" s="7">
        <v>124.6</v>
      </c>
      <c r="L64" s="7">
        <v>116.1</v>
      </c>
      <c r="M64" s="7">
        <v>137.80000000000001</v>
      </c>
      <c r="N64" s="7">
        <v>129.1</v>
      </c>
      <c r="O64" s="7">
        <v>150.4</v>
      </c>
      <c r="P64" s="7">
        <v>137.19999999999999</v>
      </c>
      <c r="Q64" s="7">
        <v>156.30000000000001</v>
      </c>
      <c r="R64" s="7">
        <v>144.30000000000001</v>
      </c>
      <c r="S64" s="7">
        <v>136.19999999999999</v>
      </c>
      <c r="T64" s="7">
        <v>143.1</v>
      </c>
      <c r="U64" s="7">
        <v>142</v>
      </c>
      <c r="V64" s="7">
        <v>136.5</v>
      </c>
      <c r="W64" s="7">
        <v>135.6</v>
      </c>
      <c r="X64" s="7">
        <v>134.30000000000001</v>
      </c>
      <c r="Y64" s="7">
        <v>121</v>
      </c>
      <c r="Z64" s="7">
        <v>130.4</v>
      </c>
      <c r="AA64" s="7">
        <v>139.80000000000001</v>
      </c>
      <c r="AB64" s="7">
        <v>128.19999999999999</v>
      </c>
      <c r="AC64" s="7">
        <v>130.30000000000001</v>
      </c>
      <c r="AD64" s="8">
        <v>136.5</v>
      </c>
    </row>
    <row r="65" spans="1:30" hidden="1" x14ac:dyDescent="0.3">
      <c r="A65" s="10" t="s">
        <v>33</v>
      </c>
      <c r="B65" s="5">
        <v>2018</v>
      </c>
      <c r="C65" s="5" t="s">
        <v>36</v>
      </c>
      <c r="D65" s="5">
        <v>136.4</v>
      </c>
      <c r="E65" s="5">
        <v>144.4</v>
      </c>
      <c r="F65" s="5">
        <v>133.9</v>
      </c>
      <c r="G65" s="5">
        <v>141.6</v>
      </c>
      <c r="H65" s="5">
        <v>121</v>
      </c>
      <c r="I65" s="5">
        <v>153.5</v>
      </c>
      <c r="J65" s="5">
        <v>132.6</v>
      </c>
      <c r="K65" s="5">
        <v>123.5</v>
      </c>
      <c r="L65" s="5">
        <v>113.7</v>
      </c>
      <c r="M65" s="5">
        <v>138.19999999999999</v>
      </c>
      <c r="N65" s="5">
        <v>129.6</v>
      </c>
      <c r="O65" s="5">
        <v>151.19999999999999</v>
      </c>
      <c r="P65" s="5">
        <v>137.5</v>
      </c>
      <c r="Q65" s="5">
        <v>156.9</v>
      </c>
      <c r="R65" s="5">
        <v>145.30000000000001</v>
      </c>
      <c r="S65" s="5">
        <v>136.69999999999999</v>
      </c>
      <c r="T65" s="5">
        <v>144</v>
      </c>
      <c r="U65" s="5">
        <v>142.9</v>
      </c>
      <c r="V65" s="5">
        <v>136.5</v>
      </c>
      <c r="W65" s="5">
        <v>136.6</v>
      </c>
      <c r="X65" s="5">
        <v>135.19999999999999</v>
      </c>
      <c r="Y65" s="5">
        <v>121.9</v>
      </c>
      <c r="Z65" s="5">
        <v>131.30000000000001</v>
      </c>
      <c r="AA65" s="5">
        <v>141.4</v>
      </c>
      <c r="AB65" s="5">
        <v>129.19999999999999</v>
      </c>
      <c r="AC65" s="5">
        <v>131.30000000000001</v>
      </c>
      <c r="AD65" s="6">
        <v>137.1</v>
      </c>
    </row>
    <row r="66" spans="1:30" hidden="1" x14ac:dyDescent="0.3">
      <c r="A66" s="9" t="s">
        <v>33</v>
      </c>
      <c r="B66" s="7">
        <v>2018</v>
      </c>
      <c r="C66" s="7" t="s">
        <v>37</v>
      </c>
      <c r="D66" s="7">
        <v>136.6</v>
      </c>
      <c r="E66" s="7">
        <v>146.6</v>
      </c>
      <c r="F66" s="7">
        <v>133.6</v>
      </c>
      <c r="G66" s="7">
        <v>142.1</v>
      </c>
      <c r="H66" s="7">
        <v>121</v>
      </c>
      <c r="I66" s="7">
        <v>154.6</v>
      </c>
      <c r="J66" s="7">
        <v>135.6</v>
      </c>
      <c r="K66" s="7">
        <v>122.3</v>
      </c>
      <c r="L66" s="7">
        <v>109.6</v>
      </c>
      <c r="M66" s="7">
        <v>138.1</v>
      </c>
      <c r="N66" s="7">
        <v>129.9</v>
      </c>
      <c r="O66" s="7">
        <v>151.69999999999999</v>
      </c>
      <c r="P66" s="7">
        <v>138.1</v>
      </c>
      <c r="Q66" s="7">
        <v>157.9</v>
      </c>
      <c r="R66" s="7">
        <v>146</v>
      </c>
      <c r="S66" s="7">
        <v>137.4</v>
      </c>
      <c r="T66" s="7">
        <v>144.69999999999999</v>
      </c>
      <c r="U66" s="7">
        <v>143.19999999999999</v>
      </c>
      <c r="V66" s="7">
        <v>136.9</v>
      </c>
      <c r="W66" s="7">
        <v>137.4</v>
      </c>
      <c r="X66" s="7">
        <v>136</v>
      </c>
      <c r="Y66" s="7">
        <v>122.9</v>
      </c>
      <c r="Z66" s="7">
        <v>131.80000000000001</v>
      </c>
      <c r="AA66" s="7">
        <v>142.1</v>
      </c>
      <c r="AB66" s="7">
        <v>129.9</v>
      </c>
      <c r="AC66" s="7">
        <v>132.1</v>
      </c>
      <c r="AD66" s="8">
        <v>137.80000000000001</v>
      </c>
    </row>
    <row r="67" spans="1:30" hidden="1" x14ac:dyDescent="0.3">
      <c r="A67" s="10" t="s">
        <v>33</v>
      </c>
      <c r="B67" s="5">
        <v>2018</v>
      </c>
      <c r="C67" s="5" t="s">
        <v>38</v>
      </c>
      <c r="D67" s="5">
        <v>136.9</v>
      </c>
      <c r="E67" s="5">
        <v>148.69999999999999</v>
      </c>
      <c r="F67" s="5">
        <v>135.6</v>
      </c>
      <c r="G67" s="5">
        <v>142.30000000000001</v>
      </c>
      <c r="H67" s="5">
        <v>121.3</v>
      </c>
      <c r="I67" s="5">
        <v>153.19999999999999</v>
      </c>
      <c r="J67" s="5">
        <v>143.69999999999999</v>
      </c>
      <c r="K67" s="5">
        <v>121.4</v>
      </c>
      <c r="L67" s="5">
        <v>111.1</v>
      </c>
      <c r="M67" s="5">
        <v>138.4</v>
      </c>
      <c r="N67" s="5">
        <v>130.30000000000001</v>
      </c>
      <c r="O67" s="5">
        <v>151.80000000000001</v>
      </c>
      <c r="P67" s="5">
        <v>139.4</v>
      </c>
      <c r="Q67" s="5">
        <v>158.30000000000001</v>
      </c>
      <c r="R67" s="5">
        <v>146.4</v>
      </c>
      <c r="S67" s="5">
        <v>138.1</v>
      </c>
      <c r="T67" s="5">
        <v>145.19999999999999</v>
      </c>
      <c r="U67" s="5">
        <v>142.5</v>
      </c>
      <c r="V67" s="5">
        <v>138.1</v>
      </c>
      <c r="W67" s="5">
        <v>137.9</v>
      </c>
      <c r="X67" s="5">
        <v>136.19999999999999</v>
      </c>
      <c r="Y67" s="5">
        <v>123.7</v>
      </c>
      <c r="Z67" s="5">
        <v>132.6</v>
      </c>
      <c r="AA67" s="5">
        <v>142.80000000000001</v>
      </c>
      <c r="AB67" s="5">
        <v>130.1</v>
      </c>
      <c r="AC67" s="5">
        <v>132.6</v>
      </c>
      <c r="AD67" s="6">
        <v>138.5</v>
      </c>
    </row>
    <row r="68" spans="1:30" hidden="1" x14ac:dyDescent="0.3">
      <c r="A68" s="9" t="s">
        <v>33</v>
      </c>
      <c r="B68" s="7">
        <v>2018</v>
      </c>
      <c r="C68" s="7" t="s">
        <v>39</v>
      </c>
      <c r="D68" s="7">
        <v>137.5</v>
      </c>
      <c r="E68" s="7">
        <v>149.1</v>
      </c>
      <c r="F68" s="7">
        <v>139.19999999999999</v>
      </c>
      <c r="G68" s="7">
        <v>142.5</v>
      </c>
      <c r="H68" s="7">
        <v>121.4</v>
      </c>
      <c r="I68" s="7">
        <v>151.6</v>
      </c>
      <c r="J68" s="7">
        <v>155.9</v>
      </c>
      <c r="K68" s="7">
        <v>121.7</v>
      </c>
      <c r="L68" s="7">
        <v>113.5</v>
      </c>
      <c r="M68" s="7">
        <v>138.9</v>
      </c>
      <c r="N68" s="7">
        <v>130.30000000000001</v>
      </c>
      <c r="O68" s="7">
        <v>152.30000000000001</v>
      </c>
      <c r="P68" s="7">
        <v>141.4</v>
      </c>
      <c r="Q68" s="7">
        <v>157.5</v>
      </c>
      <c r="R68" s="7">
        <v>146.80000000000001</v>
      </c>
      <c r="S68" s="7">
        <v>138.4</v>
      </c>
      <c r="T68" s="7">
        <v>145.6</v>
      </c>
      <c r="U68" s="7">
        <v>143.6</v>
      </c>
      <c r="V68" s="7">
        <v>139.69999999999999</v>
      </c>
      <c r="W68" s="7">
        <v>138.6</v>
      </c>
      <c r="X68" s="7">
        <v>137</v>
      </c>
      <c r="Y68" s="7">
        <v>123.6</v>
      </c>
      <c r="Z68" s="7">
        <v>133.1</v>
      </c>
      <c r="AA68" s="7">
        <v>144.69999999999999</v>
      </c>
      <c r="AB68" s="7">
        <v>130.1</v>
      </c>
      <c r="AC68" s="7">
        <v>133.19999999999999</v>
      </c>
      <c r="AD68" s="8">
        <v>139.80000000000001</v>
      </c>
    </row>
    <row r="69" spans="1:30" hidden="1" x14ac:dyDescent="0.3">
      <c r="A69" s="10" t="s">
        <v>33</v>
      </c>
      <c r="B69" s="5">
        <v>2018</v>
      </c>
      <c r="C69" s="5" t="s">
        <v>40</v>
      </c>
      <c r="D69" s="5">
        <v>138.30000000000001</v>
      </c>
      <c r="E69" s="5">
        <v>148</v>
      </c>
      <c r="F69" s="5">
        <v>138.1</v>
      </c>
      <c r="G69" s="5">
        <v>142.6</v>
      </c>
      <c r="H69" s="5">
        <v>122.2</v>
      </c>
      <c r="I69" s="5">
        <v>150.6</v>
      </c>
      <c r="J69" s="5">
        <v>156.6</v>
      </c>
      <c r="K69" s="5">
        <v>122.4</v>
      </c>
      <c r="L69" s="5">
        <v>114.7</v>
      </c>
      <c r="M69" s="5">
        <v>139.4</v>
      </c>
      <c r="N69" s="5">
        <v>131.1</v>
      </c>
      <c r="O69" s="5">
        <v>153</v>
      </c>
      <c r="P69" s="5">
        <v>141.69999999999999</v>
      </c>
      <c r="Q69" s="5">
        <v>157.9</v>
      </c>
      <c r="R69" s="5">
        <v>147.30000000000001</v>
      </c>
      <c r="S69" s="5">
        <v>138.80000000000001</v>
      </c>
      <c r="T69" s="5">
        <v>146.1</v>
      </c>
      <c r="U69" s="5">
        <v>144.6</v>
      </c>
      <c r="V69" s="5">
        <v>140.9</v>
      </c>
      <c r="W69" s="5">
        <v>139.4</v>
      </c>
      <c r="X69" s="5">
        <v>137.69999999999999</v>
      </c>
      <c r="Y69" s="5">
        <v>124.3</v>
      </c>
      <c r="Z69" s="5">
        <v>133.6</v>
      </c>
      <c r="AA69" s="5">
        <v>146</v>
      </c>
      <c r="AB69" s="5">
        <v>130.1</v>
      </c>
      <c r="AC69" s="5">
        <v>133.9</v>
      </c>
      <c r="AD69" s="6">
        <v>140.4</v>
      </c>
    </row>
    <row r="70" spans="1:30" hidden="1" x14ac:dyDescent="0.3">
      <c r="A70" s="9" t="s">
        <v>33</v>
      </c>
      <c r="B70" s="7">
        <v>2018</v>
      </c>
      <c r="C70" s="7" t="s">
        <v>41</v>
      </c>
      <c r="D70" s="7">
        <v>138.6</v>
      </c>
      <c r="E70" s="7">
        <v>145.80000000000001</v>
      </c>
      <c r="F70" s="7">
        <v>135.1</v>
      </c>
      <c r="G70" s="7">
        <v>142.9</v>
      </c>
      <c r="H70" s="7">
        <v>122.1</v>
      </c>
      <c r="I70" s="7">
        <v>145.4</v>
      </c>
      <c r="J70" s="7">
        <v>150</v>
      </c>
      <c r="K70" s="7">
        <v>121.4</v>
      </c>
      <c r="L70" s="7">
        <v>113.7</v>
      </c>
      <c r="M70" s="7">
        <v>139.5</v>
      </c>
      <c r="N70" s="7">
        <v>130.80000000000001</v>
      </c>
      <c r="O70" s="7">
        <v>153.80000000000001</v>
      </c>
      <c r="P70" s="7">
        <v>140.4</v>
      </c>
      <c r="Q70" s="7">
        <v>159.19999999999999</v>
      </c>
      <c r="R70" s="7">
        <v>147.69999999999999</v>
      </c>
      <c r="S70" s="7">
        <v>139.1</v>
      </c>
      <c r="T70" s="7">
        <v>146.5</v>
      </c>
      <c r="U70" s="7">
        <v>145.30000000000001</v>
      </c>
      <c r="V70" s="7">
        <v>142.30000000000001</v>
      </c>
      <c r="W70" s="7">
        <v>139.69999999999999</v>
      </c>
      <c r="X70" s="7">
        <v>138.4</v>
      </c>
      <c r="Y70" s="7">
        <v>126</v>
      </c>
      <c r="Z70" s="7">
        <v>134.5</v>
      </c>
      <c r="AA70" s="7">
        <v>146.19999999999999</v>
      </c>
      <c r="AB70" s="7">
        <v>130.9</v>
      </c>
      <c r="AC70" s="7">
        <v>134.69999999999999</v>
      </c>
      <c r="AD70" s="8">
        <v>140.19999999999999</v>
      </c>
    </row>
    <row r="71" spans="1:30" hidden="1" x14ac:dyDescent="0.3">
      <c r="A71" s="10" t="s">
        <v>33</v>
      </c>
      <c r="B71" s="5">
        <v>2018</v>
      </c>
      <c r="C71" s="5" t="s">
        <v>42</v>
      </c>
      <c r="D71" s="5">
        <v>137.4</v>
      </c>
      <c r="E71" s="5">
        <v>149.5</v>
      </c>
      <c r="F71" s="5">
        <v>137.30000000000001</v>
      </c>
      <c r="G71" s="5">
        <v>141.9</v>
      </c>
      <c r="H71" s="5">
        <v>121.1</v>
      </c>
      <c r="I71" s="5">
        <v>142.5</v>
      </c>
      <c r="J71" s="5">
        <v>146.69999999999999</v>
      </c>
      <c r="K71" s="5">
        <v>119.1</v>
      </c>
      <c r="L71" s="5">
        <v>111.9</v>
      </c>
      <c r="M71" s="5">
        <v>141</v>
      </c>
      <c r="N71" s="5">
        <v>133.6</v>
      </c>
      <c r="O71" s="5">
        <v>154.5</v>
      </c>
      <c r="P71" s="5">
        <v>139.69999999999999</v>
      </c>
      <c r="Q71" s="5">
        <v>162.6</v>
      </c>
      <c r="R71" s="5">
        <v>148</v>
      </c>
      <c r="S71" s="5">
        <v>139.19999999999999</v>
      </c>
      <c r="T71" s="5">
        <v>146.80000000000001</v>
      </c>
      <c r="U71" s="5">
        <v>146.9</v>
      </c>
      <c r="V71" s="5">
        <v>145.30000000000001</v>
      </c>
      <c r="W71" s="5">
        <v>142.19999999999999</v>
      </c>
      <c r="X71" s="5">
        <v>142.1</v>
      </c>
      <c r="Y71" s="5">
        <v>125.5</v>
      </c>
      <c r="Z71" s="5">
        <v>136.5</v>
      </c>
      <c r="AA71" s="5">
        <v>147.80000000000001</v>
      </c>
      <c r="AB71" s="5">
        <v>132</v>
      </c>
      <c r="AC71" s="5">
        <v>136.30000000000001</v>
      </c>
      <c r="AD71" s="6">
        <v>140.80000000000001</v>
      </c>
    </row>
    <row r="72" spans="1:30" hidden="1" x14ac:dyDescent="0.3">
      <c r="A72" s="9" t="s">
        <v>33</v>
      </c>
      <c r="B72" s="7">
        <v>2018</v>
      </c>
      <c r="C72" s="7" t="s">
        <v>43</v>
      </c>
      <c r="D72" s="7">
        <v>137.4</v>
      </c>
      <c r="E72" s="7">
        <v>149.19999999999999</v>
      </c>
      <c r="F72" s="7">
        <v>137.1</v>
      </c>
      <c r="G72" s="7">
        <v>141.80000000000001</v>
      </c>
      <c r="H72" s="7">
        <v>121.1</v>
      </c>
      <c r="I72" s="7">
        <v>142.80000000000001</v>
      </c>
      <c r="J72" s="7">
        <v>146.69999999999999</v>
      </c>
      <c r="K72" s="7">
        <v>119.1</v>
      </c>
      <c r="L72" s="7">
        <v>111.9</v>
      </c>
      <c r="M72" s="7">
        <v>140.9</v>
      </c>
      <c r="N72" s="7">
        <v>133.5</v>
      </c>
      <c r="O72" s="7">
        <v>154.5</v>
      </c>
      <c r="P72" s="7">
        <v>139.69999999999999</v>
      </c>
      <c r="Q72" s="7">
        <v>162.6</v>
      </c>
      <c r="R72" s="7">
        <v>148</v>
      </c>
      <c r="S72" s="7">
        <v>139.1</v>
      </c>
      <c r="T72" s="7">
        <v>146.69999999999999</v>
      </c>
      <c r="U72" s="7">
        <v>146.9</v>
      </c>
      <c r="V72" s="7">
        <v>145.1</v>
      </c>
      <c r="W72" s="7">
        <v>142.19999999999999</v>
      </c>
      <c r="X72" s="7">
        <v>142.1</v>
      </c>
      <c r="Y72" s="7">
        <v>125.5</v>
      </c>
      <c r="Z72" s="7">
        <v>136.5</v>
      </c>
      <c r="AA72" s="7">
        <v>147.80000000000001</v>
      </c>
      <c r="AB72" s="7">
        <v>132</v>
      </c>
      <c r="AC72" s="7">
        <v>136.30000000000001</v>
      </c>
      <c r="AD72" s="8">
        <v>140.80000000000001</v>
      </c>
    </row>
    <row r="73" spans="1:30" hidden="1" x14ac:dyDescent="0.3">
      <c r="A73" s="10" t="s">
        <v>33</v>
      </c>
      <c r="B73" s="5">
        <v>2018</v>
      </c>
      <c r="C73" s="5" t="s">
        <v>44</v>
      </c>
      <c r="D73" s="5">
        <v>137.5</v>
      </c>
      <c r="E73" s="5">
        <v>150.5</v>
      </c>
      <c r="F73" s="5">
        <v>138.80000000000001</v>
      </c>
      <c r="G73" s="5">
        <v>142.1</v>
      </c>
      <c r="H73" s="5">
        <v>122</v>
      </c>
      <c r="I73" s="5">
        <v>139.4</v>
      </c>
      <c r="J73" s="5">
        <v>135.19999999999999</v>
      </c>
      <c r="K73" s="5">
        <v>119.8</v>
      </c>
      <c r="L73" s="5">
        <v>110.3</v>
      </c>
      <c r="M73" s="5">
        <v>140.6</v>
      </c>
      <c r="N73" s="5">
        <v>133.80000000000001</v>
      </c>
      <c r="O73" s="5">
        <v>154.6</v>
      </c>
      <c r="P73" s="5">
        <v>138.19999999999999</v>
      </c>
      <c r="Q73" s="5">
        <v>163</v>
      </c>
      <c r="R73" s="5">
        <v>148.1</v>
      </c>
      <c r="S73" s="5">
        <v>139.4</v>
      </c>
      <c r="T73" s="5">
        <v>146.80000000000001</v>
      </c>
      <c r="U73" s="5">
        <v>146.5</v>
      </c>
      <c r="V73" s="5">
        <v>142.69999999999999</v>
      </c>
      <c r="W73" s="5">
        <v>143.19999999999999</v>
      </c>
      <c r="X73" s="5">
        <v>144.9</v>
      </c>
      <c r="Y73" s="5">
        <v>123.6</v>
      </c>
      <c r="Z73" s="5">
        <v>136.80000000000001</v>
      </c>
      <c r="AA73" s="5">
        <v>150.1</v>
      </c>
      <c r="AB73" s="5">
        <v>132.19999999999999</v>
      </c>
      <c r="AC73" s="5">
        <v>136.80000000000001</v>
      </c>
      <c r="AD73" s="6">
        <v>140.1</v>
      </c>
    </row>
    <row r="74" spans="1:30" hidden="1" x14ac:dyDescent="0.3">
      <c r="A74" s="9" t="s">
        <v>33</v>
      </c>
      <c r="B74" s="7">
        <v>2019</v>
      </c>
      <c r="C74" s="7" t="s">
        <v>31</v>
      </c>
      <c r="D74" s="7">
        <v>137.1</v>
      </c>
      <c r="E74" s="7">
        <v>151.4</v>
      </c>
      <c r="F74" s="7">
        <v>140.19999999999999</v>
      </c>
      <c r="G74" s="7">
        <v>142.1</v>
      </c>
      <c r="H74" s="7">
        <v>121.8</v>
      </c>
      <c r="I74" s="7">
        <v>135.4</v>
      </c>
      <c r="J74" s="7">
        <v>131.30000000000001</v>
      </c>
      <c r="K74" s="7">
        <v>120.3</v>
      </c>
      <c r="L74" s="7">
        <v>109.1</v>
      </c>
      <c r="M74" s="7">
        <v>139.4</v>
      </c>
      <c r="N74" s="7">
        <v>133.30000000000001</v>
      </c>
      <c r="O74" s="7">
        <v>154.6</v>
      </c>
      <c r="P74" s="7">
        <v>137.4</v>
      </c>
      <c r="Q74" s="7">
        <v>163.19999999999999</v>
      </c>
      <c r="R74" s="7">
        <v>147.6</v>
      </c>
      <c r="S74" s="7">
        <v>139</v>
      </c>
      <c r="T74" s="7">
        <v>146.4</v>
      </c>
      <c r="U74" s="7">
        <v>147.69999999999999</v>
      </c>
      <c r="V74" s="7">
        <v>139.5</v>
      </c>
      <c r="W74" s="7">
        <v>143.6</v>
      </c>
      <c r="X74" s="7">
        <v>145.1</v>
      </c>
      <c r="Y74" s="7">
        <v>123.3</v>
      </c>
      <c r="Z74" s="7">
        <v>136.69999999999999</v>
      </c>
      <c r="AA74" s="7">
        <v>150.19999999999999</v>
      </c>
      <c r="AB74" s="7">
        <v>132.80000000000001</v>
      </c>
      <c r="AC74" s="7">
        <v>136.9</v>
      </c>
      <c r="AD74" s="8">
        <v>139.6</v>
      </c>
    </row>
    <row r="75" spans="1:30" hidden="1" x14ac:dyDescent="0.3">
      <c r="A75" s="10" t="s">
        <v>33</v>
      </c>
      <c r="B75" s="5">
        <v>2019</v>
      </c>
      <c r="C75" s="5" t="s">
        <v>34</v>
      </c>
      <c r="D75" s="5">
        <v>137.6</v>
      </c>
      <c r="E75" s="5">
        <v>152</v>
      </c>
      <c r="F75" s="5">
        <v>141.5</v>
      </c>
      <c r="G75" s="5">
        <v>142.19999999999999</v>
      </c>
      <c r="H75" s="5">
        <v>122</v>
      </c>
      <c r="I75" s="5">
        <v>136.4</v>
      </c>
      <c r="J75" s="5">
        <v>129.69999999999999</v>
      </c>
      <c r="K75" s="5">
        <v>121</v>
      </c>
      <c r="L75" s="5">
        <v>109</v>
      </c>
      <c r="M75" s="5">
        <v>139.69999999999999</v>
      </c>
      <c r="N75" s="5">
        <v>133.6</v>
      </c>
      <c r="O75" s="5">
        <v>154.9</v>
      </c>
      <c r="P75" s="5">
        <v>137.5</v>
      </c>
      <c r="Q75" s="5">
        <v>163.4</v>
      </c>
      <c r="R75" s="5">
        <v>147.69999999999999</v>
      </c>
      <c r="S75" s="5">
        <v>139.69999999999999</v>
      </c>
      <c r="T75" s="5">
        <v>146.5</v>
      </c>
      <c r="U75" s="5">
        <v>148.5</v>
      </c>
      <c r="V75" s="5">
        <v>138.4</v>
      </c>
      <c r="W75" s="5">
        <v>143.69999999999999</v>
      </c>
      <c r="X75" s="5">
        <v>145.6</v>
      </c>
      <c r="Y75" s="5">
        <v>123.9</v>
      </c>
      <c r="Z75" s="5">
        <v>137.1</v>
      </c>
      <c r="AA75" s="5">
        <v>150.30000000000001</v>
      </c>
      <c r="AB75" s="5">
        <v>134.1</v>
      </c>
      <c r="AC75" s="5">
        <v>137.4</v>
      </c>
      <c r="AD75" s="6">
        <v>139.9</v>
      </c>
    </row>
    <row r="76" spans="1:30" hidden="1" x14ac:dyDescent="0.3">
      <c r="A76" s="9" t="s">
        <v>33</v>
      </c>
      <c r="B76" s="7">
        <v>2019</v>
      </c>
      <c r="C76" s="7" t="s">
        <v>35</v>
      </c>
      <c r="D76" s="7">
        <v>137.80000000000001</v>
      </c>
      <c r="E76" s="7">
        <v>153</v>
      </c>
      <c r="F76" s="7">
        <v>140.30000000000001</v>
      </c>
      <c r="G76" s="7">
        <v>142.30000000000001</v>
      </c>
      <c r="H76" s="7">
        <v>122</v>
      </c>
      <c r="I76" s="7">
        <v>137.6</v>
      </c>
      <c r="J76" s="7">
        <v>132.6</v>
      </c>
      <c r="K76" s="7">
        <v>121.8</v>
      </c>
      <c r="L76" s="7">
        <v>109</v>
      </c>
      <c r="M76" s="7">
        <v>139.5</v>
      </c>
      <c r="N76" s="7">
        <v>133.69999999999999</v>
      </c>
      <c r="O76" s="7">
        <v>155.19999999999999</v>
      </c>
      <c r="P76" s="7">
        <v>138.1</v>
      </c>
      <c r="Q76" s="7">
        <v>163.5</v>
      </c>
      <c r="R76" s="7">
        <v>147.9</v>
      </c>
      <c r="S76" s="7">
        <v>139.9</v>
      </c>
      <c r="T76" s="7">
        <v>146.69999999999999</v>
      </c>
      <c r="U76" s="7">
        <v>149</v>
      </c>
      <c r="V76" s="7">
        <v>139.69999999999999</v>
      </c>
      <c r="W76" s="7">
        <v>143.80000000000001</v>
      </c>
      <c r="X76" s="7">
        <v>146.19999999999999</v>
      </c>
      <c r="Y76" s="7">
        <v>124.6</v>
      </c>
      <c r="Z76" s="7">
        <v>137.69999999999999</v>
      </c>
      <c r="AA76" s="7">
        <v>150.30000000000001</v>
      </c>
      <c r="AB76" s="7">
        <v>133.4</v>
      </c>
      <c r="AC76" s="7">
        <v>137.69999999999999</v>
      </c>
      <c r="AD76" s="8">
        <v>140.4</v>
      </c>
    </row>
    <row r="77" spans="1:30" hidden="1" x14ac:dyDescent="0.3">
      <c r="A77" s="10" t="s">
        <v>33</v>
      </c>
      <c r="B77" s="5">
        <v>2019</v>
      </c>
      <c r="C77" s="5" t="s">
        <v>37</v>
      </c>
      <c r="D77" s="5">
        <v>138.30000000000001</v>
      </c>
      <c r="E77" s="5">
        <v>158.5</v>
      </c>
      <c r="F77" s="5">
        <v>136</v>
      </c>
      <c r="G77" s="5">
        <v>142.5</v>
      </c>
      <c r="H77" s="5">
        <v>122</v>
      </c>
      <c r="I77" s="5">
        <v>146.5</v>
      </c>
      <c r="J77" s="5">
        <v>143</v>
      </c>
      <c r="K77" s="5">
        <v>124.9</v>
      </c>
      <c r="L77" s="5">
        <v>109.9</v>
      </c>
      <c r="M77" s="5">
        <v>139.9</v>
      </c>
      <c r="N77" s="5">
        <v>134</v>
      </c>
      <c r="O77" s="5">
        <v>155.5</v>
      </c>
      <c r="P77" s="5">
        <v>140.9</v>
      </c>
      <c r="Q77" s="5">
        <v>164.1</v>
      </c>
      <c r="R77" s="5">
        <v>148.4</v>
      </c>
      <c r="S77" s="5">
        <v>140.4</v>
      </c>
      <c r="T77" s="5">
        <v>147.30000000000001</v>
      </c>
      <c r="U77" s="5">
        <v>150.1</v>
      </c>
      <c r="V77" s="5">
        <v>140.30000000000001</v>
      </c>
      <c r="W77" s="5">
        <v>143.69999999999999</v>
      </c>
      <c r="X77" s="5">
        <v>146.9</v>
      </c>
      <c r="Y77" s="5">
        <v>124.9</v>
      </c>
      <c r="Z77" s="5">
        <v>139.19999999999999</v>
      </c>
      <c r="AA77" s="5">
        <v>151.6</v>
      </c>
      <c r="AB77" s="5">
        <v>133.4</v>
      </c>
      <c r="AC77" s="5">
        <v>138.19999999999999</v>
      </c>
      <c r="AD77" s="6">
        <v>142</v>
      </c>
    </row>
    <row r="78" spans="1:30" hidden="1" x14ac:dyDescent="0.3">
      <c r="A78" s="9" t="s">
        <v>33</v>
      </c>
      <c r="B78" s="7">
        <v>2019</v>
      </c>
      <c r="C78" s="7" t="s">
        <v>38</v>
      </c>
      <c r="D78" s="7">
        <v>138.69999999999999</v>
      </c>
      <c r="E78" s="7">
        <v>162.1</v>
      </c>
      <c r="F78" s="7">
        <v>137.80000000000001</v>
      </c>
      <c r="G78" s="7">
        <v>143.30000000000001</v>
      </c>
      <c r="H78" s="7">
        <v>122.2</v>
      </c>
      <c r="I78" s="7">
        <v>146.80000000000001</v>
      </c>
      <c r="J78" s="7">
        <v>150.5</v>
      </c>
      <c r="K78" s="7">
        <v>128.30000000000001</v>
      </c>
      <c r="L78" s="7">
        <v>111</v>
      </c>
      <c r="M78" s="7">
        <v>140.6</v>
      </c>
      <c r="N78" s="7">
        <v>134.19999999999999</v>
      </c>
      <c r="O78" s="7">
        <v>155.9</v>
      </c>
      <c r="P78" s="7">
        <v>142.69999999999999</v>
      </c>
      <c r="Q78" s="7">
        <v>164.9</v>
      </c>
      <c r="R78" s="7">
        <v>148.6</v>
      </c>
      <c r="S78" s="7">
        <v>140.4</v>
      </c>
      <c r="T78" s="7">
        <v>147.4</v>
      </c>
      <c r="U78" s="7">
        <v>149.4</v>
      </c>
      <c r="V78" s="7">
        <v>141.19999999999999</v>
      </c>
      <c r="W78" s="7">
        <v>143.80000000000001</v>
      </c>
      <c r="X78" s="7">
        <v>147.4</v>
      </c>
      <c r="Y78" s="7">
        <v>124.6</v>
      </c>
      <c r="Z78" s="7">
        <v>139.6</v>
      </c>
      <c r="AA78" s="7">
        <v>152.5</v>
      </c>
      <c r="AB78" s="7">
        <v>134.30000000000001</v>
      </c>
      <c r="AC78" s="7">
        <v>138.6</v>
      </c>
      <c r="AD78" s="8">
        <v>142.9</v>
      </c>
    </row>
    <row r="79" spans="1:30" hidden="1" x14ac:dyDescent="0.3">
      <c r="A79" s="10" t="s">
        <v>33</v>
      </c>
      <c r="B79" s="5">
        <v>2019</v>
      </c>
      <c r="C79" s="5" t="s">
        <v>39</v>
      </c>
      <c r="D79" s="5">
        <v>139.30000000000001</v>
      </c>
      <c r="E79" s="5">
        <v>162.69999999999999</v>
      </c>
      <c r="F79" s="5">
        <v>140</v>
      </c>
      <c r="G79" s="5">
        <v>144</v>
      </c>
      <c r="H79" s="5">
        <v>122.5</v>
      </c>
      <c r="I79" s="5">
        <v>150.30000000000001</v>
      </c>
      <c r="J79" s="5">
        <v>160.30000000000001</v>
      </c>
      <c r="K79" s="5">
        <v>130</v>
      </c>
      <c r="L79" s="5">
        <v>111.1</v>
      </c>
      <c r="M79" s="5">
        <v>141.69999999999999</v>
      </c>
      <c r="N79" s="5">
        <v>134.69999999999999</v>
      </c>
      <c r="O79" s="5">
        <v>156.19999999999999</v>
      </c>
      <c r="P79" s="5">
        <v>144.69999999999999</v>
      </c>
      <c r="Q79" s="5">
        <v>165.2</v>
      </c>
      <c r="R79" s="5">
        <v>148.9</v>
      </c>
      <c r="S79" s="5">
        <v>140.5</v>
      </c>
      <c r="T79" s="5">
        <v>147.6</v>
      </c>
      <c r="U79" s="5">
        <v>150.6</v>
      </c>
      <c r="V79" s="5">
        <v>139.30000000000001</v>
      </c>
      <c r="W79" s="5">
        <v>144.19999999999999</v>
      </c>
      <c r="X79" s="5">
        <v>147.9</v>
      </c>
      <c r="Y79" s="5">
        <v>125.6</v>
      </c>
      <c r="Z79" s="5">
        <v>140.5</v>
      </c>
      <c r="AA79" s="5">
        <v>154</v>
      </c>
      <c r="AB79" s="5">
        <v>135.69999999999999</v>
      </c>
      <c r="AC79" s="5">
        <v>139.5</v>
      </c>
      <c r="AD79" s="6">
        <v>144.19999999999999</v>
      </c>
    </row>
    <row r="80" spans="1:30" hidden="1" x14ac:dyDescent="0.3">
      <c r="A80" s="9" t="s">
        <v>33</v>
      </c>
      <c r="B80" s="7">
        <v>2019</v>
      </c>
      <c r="C80" s="7" t="s">
        <v>40</v>
      </c>
      <c r="D80" s="7">
        <v>140.1</v>
      </c>
      <c r="E80" s="7">
        <v>160.6</v>
      </c>
      <c r="F80" s="7">
        <v>138.5</v>
      </c>
      <c r="G80" s="7">
        <v>144.69999999999999</v>
      </c>
      <c r="H80" s="7">
        <v>122.9</v>
      </c>
      <c r="I80" s="7">
        <v>149.4</v>
      </c>
      <c r="J80" s="7">
        <v>167.4</v>
      </c>
      <c r="K80" s="7">
        <v>130.9</v>
      </c>
      <c r="L80" s="7">
        <v>112</v>
      </c>
      <c r="M80" s="7">
        <v>142.6</v>
      </c>
      <c r="N80" s="7">
        <v>134.9</v>
      </c>
      <c r="O80" s="7">
        <v>156.6</v>
      </c>
      <c r="P80" s="7">
        <v>145.9</v>
      </c>
      <c r="Q80" s="7">
        <v>165.8</v>
      </c>
      <c r="R80" s="7">
        <v>149.1</v>
      </c>
      <c r="S80" s="7">
        <v>140.6</v>
      </c>
      <c r="T80" s="7">
        <v>147.9</v>
      </c>
      <c r="U80" s="7">
        <v>151.6</v>
      </c>
      <c r="V80" s="7">
        <v>138.5</v>
      </c>
      <c r="W80" s="7">
        <v>144.5</v>
      </c>
      <c r="X80" s="7">
        <v>148.5</v>
      </c>
      <c r="Y80" s="7">
        <v>125.8</v>
      </c>
      <c r="Z80" s="7">
        <v>140.9</v>
      </c>
      <c r="AA80" s="7">
        <v>154.9</v>
      </c>
      <c r="AB80" s="7">
        <v>138.4</v>
      </c>
      <c r="AC80" s="7">
        <v>140.19999999999999</v>
      </c>
      <c r="AD80" s="8">
        <v>145</v>
      </c>
    </row>
    <row r="81" spans="1:30" hidden="1" x14ac:dyDescent="0.3">
      <c r="A81" s="10" t="s">
        <v>33</v>
      </c>
      <c r="B81" s="5">
        <v>2019</v>
      </c>
      <c r="C81" s="5" t="s">
        <v>41</v>
      </c>
      <c r="D81" s="5">
        <v>140.9</v>
      </c>
      <c r="E81" s="5">
        <v>160.80000000000001</v>
      </c>
      <c r="F81" s="5">
        <v>139.6</v>
      </c>
      <c r="G81" s="5">
        <v>145.4</v>
      </c>
      <c r="H81" s="5">
        <v>123.5</v>
      </c>
      <c r="I81" s="5">
        <v>146.6</v>
      </c>
      <c r="J81" s="5">
        <v>173.2</v>
      </c>
      <c r="K81" s="5">
        <v>131.6</v>
      </c>
      <c r="L81" s="5">
        <v>113.2</v>
      </c>
      <c r="M81" s="5">
        <v>144.1</v>
      </c>
      <c r="N81" s="5">
        <v>135</v>
      </c>
      <c r="O81" s="5">
        <v>156.80000000000001</v>
      </c>
      <c r="P81" s="5">
        <v>147</v>
      </c>
      <c r="Q81" s="5">
        <v>166.5</v>
      </c>
      <c r="R81" s="5">
        <v>149.19999999999999</v>
      </c>
      <c r="S81" s="5">
        <v>140.6</v>
      </c>
      <c r="T81" s="5">
        <v>147.9</v>
      </c>
      <c r="U81" s="5">
        <v>152.19999999999999</v>
      </c>
      <c r="V81" s="5">
        <v>139.19999999999999</v>
      </c>
      <c r="W81" s="5">
        <v>144.6</v>
      </c>
      <c r="X81" s="5">
        <v>149</v>
      </c>
      <c r="Y81" s="5">
        <v>126.1</v>
      </c>
      <c r="Z81" s="5">
        <v>141.30000000000001</v>
      </c>
      <c r="AA81" s="5">
        <v>155.19999999999999</v>
      </c>
      <c r="AB81" s="5">
        <v>139.69999999999999</v>
      </c>
      <c r="AC81" s="5">
        <v>140.69999999999999</v>
      </c>
      <c r="AD81" s="6">
        <v>145.80000000000001</v>
      </c>
    </row>
    <row r="82" spans="1:30" hidden="1" x14ac:dyDescent="0.3">
      <c r="A82" s="9" t="s">
        <v>33</v>
      </c>
      <c r="B82" s="7">
        <v>2019</v>
      </c>
      <c r="C82" s="7" t="s">
        <v>42</v>
      </c>
      <c r="D82" s="7">
        <v>141.80000000000001</v>
      </c>
      <c r="E82" s="7">
        <v>161</v>
      </c>
      <c r="F82" s="7">
        <v>142.6</v>
      </c>
      <c r="G82" s="7">
        <v>146.19999999999999</v>
      </c>
      <c r="H82" s="7">
        <v>123.9</v>
      </c>
      <c r="I82" s="7">
        <v>148</v>
      </c>
      <c r="J82" s="7">
        <v>188.4</v>
      </c>
      <c r="K82" s="7">
        <v>132.5</v>
      </c>
      <c r="L82" s="7">
        <v>114</v>
      </c>
      <c r="M82" s="7">
        <v>145.4</v>
      </c>
      <c r="N82" s="7">
        <v>135.1</v>
      </c>
      <c r="O82" s="7">
        <v>157.1</v>
      </c>
      <c r="P82" s="7">
        <v>149.6</v>
      </c>
      <c r="Q82" s="7">
        <v>167.1</v>
      </c>
      <c r="R82" s="7">
        <v>149.4</v>
      </c>
      <c r="S82" s="7">
        <v>140.80000000000001</v>
      </c>
      <c r="T82" s="7">
        <v>148.19999999999999</v>
      </c>
      <c r="U82" s="7">
        <v>153</v>
      </c>
      <c r="V82" s="7">
        <v>140.6</v>
      </c>
      <c r="W82" s="7">
        <v>145</v>
      </c>
      <c r="X82" s="7">
        <v>149.4</v>
      </c>
      <c r="Y82" s="7">
        <v>126.3</v>
      </c>
      <c r="Z82" s="7">
        <v>141.69999999999999</v>
      </c>
      <c r="AA82" s="7">
        <v>155.4</v>
      </c>
      <c r="AB82" s="7">
        <v>140</v>
      </c>
      <c r="AC82" s="7">
        <v>141</v>
      </c>
      <c r="AD82" s="8">
        <v>147.19999999999999</v>
      </c>
    </row>
    <row r="83" spans="1:30" hidden="1" x14ac:dyDescent="0.3">
      <c r="A83" s="10" t="s">
        <v>33</v>
      </c>
      <c r="B83" s="5">
        <v>2019</v>
      </c>
      <c r="C83" s="5" t="s">
        <v>43</v>
      </c>
      <c r="D83" s="5">
        <v>142.5</v>
      </c>
      <c r="E83" s="5">
        <v>163.19999999999999</v>
      </c>
      <c r="F83" s="5">
        <v>145.6</v>
      </c>
      <c r="G83" s="5">
        <v>146.69999999999999</v>
      </c>
      <c r="H83" s="5">
        <v>124.3</v>
      </c>
      <c r="I83" s="5">
        <v>147.4</v>
      </c>
      <c r="J83" s="5">
        <v>199.6</v>
      </c>
      <c r="K83" s="5">
        <v>135.69999999999999</v>
      </c>
      <c r="L83" s="5">
        <v>114.2</v>
      </c>
      <c r="M83" s="5">
        <v>147</v>
      </c>
      <c r="N83" s="5">
        <v>135.30000000000001</v>
      </c>
      <c r="O83" s="5">
        <v>157.5</v>
      </c>
      <c r="P83" s="5">
        <v>151.9</v>
      </c>
      <c r="Q83" s="5">
        <v>167.9</v>
      </c>
      <c r="R83" s="5">
        <v>149.9</v>
      </c>
      <c r="S83" s="5">
        <v>141</v>
      </c>
      <c r="T83" s="5">
        <v>148.6</v>
      </c>
      <c r="U83" s="5">
        <v>153.5</v>
      </c>
      <c r="V83" s="5">
        <v>142.30000000000001</v>
      </c>
      <c r="W83" s="5">
        <v>145.30000000000001</v>
      </c>
      <c r="X83" s="5">
        <v>149.9</v>
      </c>
      <c r="Y83" s="5">
        <v>126.6</v>
      </c>
      <c r="Z83" s="5">
        <v>142.1</v>
      </c>
      <c r="AA83" s="5">
        <v>155.5</v>
      </c>
      <c r="AB83" s="5">
        <v>140.30000000000001</v>
      </c>
      <c r="AC83" s="5">
        <v>141.30000000000001</v>
      </c>
      <c r="AD83" s="6">
        <v>148.6</v>
      </c>
    </row>
    <row r="84" spans="1:30" hidden="1" x14ac:dyDescent="0.3">
      <c r="A84" s="9" t="s">
        <v>33</v>
      </c>
      <c r="B84" s="7">
        <v>2019</v>
      </c>
      <c r="C84" s="7" t="s">
        <v>44</v>
      </c>
      <c r="D84" s="7">
        <v>143.5</v>
      </c>
      <c r="E84" s="7">
        <v>165</v>
      </c>
      <c r="F84" s="7">
        <v>151.1</v>
      </c>
      <c r="G84" s="7">
        <v>148.30000000000001</v>
      </c>
      <c r="H84" s="7">
        <v>125.7</v>
      </c>
      <c r="I84" s="7">
        <v>145.69999999999999</v>
      </c>
      <c r="J84" s="7">
        <v>217</v>
      </c>
      <c r="K84" s="7">
        <v>138.30000000000001</v>
      </c>
      <c r="L84" s="7">
        <v>114</v>
      </c>
      <c r="M84" s="7">
        <v>148.69999999999999</v>
      </c>
      <c r="N84" s="7">
        <v>135.80000000000001</v>
      </c>
      <c r="O84" s="7">
        <v>158</v>
      </c>
      <c r="P84" s="7">
        <v>155</v>
      </c>
      <c r="Q84" s="7">
        <v>168.5</v>
      </c>
      <c r="R84" s="7">
        <v>150.30000000000001</v>
      </c>
      <c r="S84" s="7">
        <v>141.30000000000001</v>
      </c>
      <c r="T84" s="7">
        <v>149</v>
      </c>
      <c r="U84" s="7">
        <v>152.80000000000001</v>
      </c>
      <c r="V84" s="7">
        <v>143.69999999999999</v>
      </c>
      <c r="W84" s="7">
        <v>145.80000000000001</v>
      </c>
      <c r="X84" s="7">
        <v>150.4</v>
      </c>
      <c r="Y84" s="7">
        <v>129.80000000000001</v>
      </c>
      <c r="Z84" s="7">
        <v>142.30000000000001</v>
      </c>
      <c r="AA84" s="7">
        <v>155.69999999999999</v>
      </c>
      <c r="AB84" s="7">
        <v>140.4</v>
      </c>
      <c r="AC84" s="7">
        <v>142.5</v>
      </c>
      <c r="AD84" s="8">
        <v>150.4</v>
      </c>
    </row>
    <row r="85" spans="1:30" x14ac:dyDescent="0.3">
      <c r="A85" s="10" t="s">
        <v>33</v>
      </c>
      <c r="B85" s="5">
        <v>2020</v>
      </c>
      <c r="C85" s="5" t="s">
        <v>31</v>
      </c>
      <c r="D85" s="5">
        <v>144.30000000000001</v>
      </c>
      <c r="E85" s="5">
        <v>167.4</v>
      </c>
      <c r="F85" s="5">
        <v>154.9</v>
      </c>
      <c r="G85" s="5">
        <v>150.1</v>
      </c>
      <c r="H85" s="5">
        <v>129.9</v>
      </c>
      <c r="I85" s="5">
        <v>143.19999999999999</v>
      </c>
      <c r="J85" s="5">
        <v>197</v>
      </c>
      <c r="K85" s="5">
        <v>140.4</v>
      </c>
      <c r="L85" s="5">
        <v>114.1</v>
      </c>
      <c r="M85" s="5">
        <v>150.9</v>
      </c>
      <c r="N85" s="5">
        <v>136.1</v>
      </c>
      <c r="O85" s="5">
        <v>158.6</v>
      </c>
      <c r="P85" s="5">
        <v>153.5</v>
      </c>
      <c r="Q85" s="5">
        <v>169.2</v>
      </c>
      <c r="R85" s="5">
        <v>150.5</v>
      </c>
      <c r="S85" s="5">
        <v>141.5</v>
      </c>
      <c r="T85" s="5">
        <v>149.19999999999999</v>
      </c>
      <c r="U85" s="5">
        <v>153.9</v>
      </c>
      <c r="V85" s="5">
        <v>144.6</v>
      </c>
      <c r="W85" s="5">
        <v>146.19999999999999</v>
      </c>
      <c r="X85" s="5">
        <v>151.19999999999999</v>
      </c>
      <c r="Y85" s="5">
        <v>130.9</v>
      </c>
      <c r="Z85" s="5">
        <v>142.80000000000001</v>
      </c>
      <c r="AA85" s="5">
        <v>156.1</v>
      </c>
      <c r="AB85" s="5">
        <v>142.30000000000001</v>
      </c>
      <c r="AC85" s="5">
        <v>143.4</v>
      </c>
      <c r="AD85" s="6">
        <v>150.19999999999999</v>
      </c>
    </row>
    <row r="86" spans="1:30" x14ac:dyDescent="0.3">
      <c r="A86" s="9" t="s">
        <v>33</v>
      </c>
      <c r="B86" s="7">
        <v>2020</v>
      </c>
      <c r="C86" s="7" t="s">
        <v>34</v>
      </c>
      <c r="D86" s="7">
        <v>144.80000000000001</v>
      </c>
      <c r="E86" s="7">
        <v>167.5</v>
      </c>
      <c r="F86" s="7">
        <v>151.80000000000001</v>
      </c>
      <c r="G86" s="7">
        <v>150.80000000000001</v>
      </c>
      <c r="H86" s="7">
        <v>131.4</v>
      </c>
      <c r="I86" s="7">
        <v>141.80000000000001</v>
      </c>
      <c r="J86" s="7">
        <v>170.7</v>
      </c>
      <c r="K86" s="7">
        <v>141.1</v>
      </c>
      <c r="L86" s="7">
        <v>113.6</v>
      </c>
      <c r="M86" s="7">
        <v>152</v>
      </c>
      <c r="N86" s="7">
        <v>136.5</v>
      </c>
      <c r="O86" s="7">
        <v>159.1</v>
      </c>
      <c r="P86" s="7">
        <v>150.5</v>
      </c>
      <c r="Q86" s="7">
        <v>170.1</v>
      </c>
      <c r="R86" s="7">
        <v>150.80000000000001</v>
      </c>
      <c r="S86" s="7">
        <v>141.69999999999999</v>
      </c>
      <c r="T86" s="7">
        <v>149.5</v>
      </c>
      <c r="U86" s="7">
        <v>154.80000000000001</v>
      </c>
      <c r="V86" s="7">
        <v>147.19999999999999</v>
      </c>
      <c r="W86" s="7">
        <v>146.4</v>
      </c>
      <c r="X86" s="7">
        <v>151.69999999999999</v>
      </c>
      <c r="Y86" s="7">
        <v>130.30000000000001</v>
      </c>
      <c r="Z86" s="7">
        <v>143.19999999999999</v>
      </c>
      <c r="AA86" s="7">
        <v>156.19999999999999</v>
      </c>
      <c r="AB86" s="7">
        <v>143.4</v>
      </c>
      <c r="AC86" s="7">
        <v>143.6</v>
      </c>
      <c r="AD86" s="8">
        <v>149.1</v>
      </c>
    </row>
    <row r="87" spans="1:30" x14ac:dyDescent="0.3">
      <c r="A87" s="10" t="s">
        <v>33</v>
      </c>
      <c r="B87" s="5">
        <v>2020</v>
      </c>
      <c r="C87" s="5" t="s">
        <v>35</v>
      </c>
      <c r="D87" s="5">
        <v>145.1</v>
      </c>
      <c r="E87" s="5">
        <v>167</v>
      </c>
      <c r="F87" s="5">
        <v>148.1</v>
      </c>
      <c r="G87" s="5">
        <v>151.5</v>
      </c>
      <c r="H87" s="5">
        <v>131.19999999999999</v>
      </c>
      <c r="I87" s="5">
        <v>142.5</v>
      </c>
      <c r="J87" s="5">
        <v>157.30000000000001</v>
      </c>
      <c r="K87" s="5">
        <v>141.1</v>
      </c>
      <c r="L87" s="5">
        <v>113.2</v>
      </c>
      <c r="M87" s="5">
        <v>153.19999999999999</v>
      </c>
      <c r="N87" s="5">
        <v>136.69999999999999</v>
      </c>
      <c r="O87" s="5">
        <v>159.6</v>
      </c>
      <c r="P87" s="5">
        <v>148.9</v>
      </c>
      <c r="Q87" s="5">
        <v>171.2</v>
      </c>
      <c r="R87" s="5">
        <v>151.19999999999999</v>
      </c>
      <c r="S87" s="5">
        <v>141.9</v>
      </c>
      <c r="T87" s="5">
        <v>149.80000000000001</v>
      </c>
      <c r="U87" s="5">
        <v>154.5</v>
      </c>
      <c r="V87" s="5">
        <v>148.9</v>
      </c>
      <c r="W87" s="5">
        <v>146.4</v>
      </c>
      <c r="X87" s="5">
        <v>152.30000000000001</v>
      </c>
      <c r="Y87" s="5">
        <v>129.9</v>
      </c>
      <c r="Z87" s="5">
        <v>143.69999999999999</v>
      </c>
      <c r="AA87" s="5">
        <v>156.1</v>
      </c>
      <c r="AB87" s="5">
        <v>145.19999999999999</v>
      </c>
      <c r="AC87" s="5">
        <v>143.80000000000001</v>
      </c>
      <c r="AD87" s="6">
        <v>148.6</v>
      </c>
    </row>
    <row r="88" spans="1:30" x14ac:dyDescent="0.3">
      <c r="A88" s="9" t="s">
        <v>33</v>
      </c>
      <c r="B88" s="7">
        <v>2020</v>
      </c>
      <c r="C88" s="7" t="s">
        <v>36</v>
      </c>
      <c r="D88" s="7">
        <v>148.69999999999999</v>
      </c>
      <c r="E88" s="12">
        <v>179.70000000000002</v>
      </c>
      <c r="F88" s="7">
        <v>148.80000000000001</v>
      </c>
      <c r="G88" s="7">
        <v>155.6</v>
      </c>
      <c r="H88" s="7">
        <v>135.1</v>
      </c>
      <c r="I88" s="7">
        <v>149.9</v>
      </c>
      <c r="J88" s="7">
        <v>168.6</v>
      </c>
      <c r="K88" s="7">
        <v>150.4</v>
      </c>
      <c r="L88" s="7">
        <v>120.3</v>
      </c>
      <c r="M88" s="7">
        <v>157.1</v>
      </c>
      <c r="N88" s="7">
        <v>136.80000000000001</v>
      </c>
      <c r="O88" s="12">
        <v>160.5333333333333</v>
      </c>
      <c r="P88" s="7">
        <v>151.4</v>
      </c>
      <c r="Q88" s="12">
        <v>176.68333333333331</v>
      </c>
      <c r="R88" s="12">
        <v>151.76666666666668</v>
      </c>
      <c r="S88" s="12">
        <v>142.88333333333333</v>
      </c>
      <c r="T88" s="12">
        <v>150.5</v>
      </c>
      <c r="U88" s="7">
        <v>155.6</v>
      </c>
      <c r="V88" s="7">
        <v>144.1</v>
      </c>
      <c r="W88" s="12">
        <v>146.69999999999999</v>
      </c>
      <c r="X88" s="7">
        <v>150.69999999999999</v>
      </c>
      <c r="Y88" s="12">
        <v>133.26666666666668</v>
      </c>
      <c r="Z88" s="12">
        <v>145.38333333333333</v>
      </c>
      <c r="AA88" s="12">
        <v>156.61666666666665</v>
      </c>
      <c r="AB88" s="12">
        <v>148.06666666666669</v>
      </c>
      <c r="AC88" s="12">
        <v>145.63333333333333</v>
      </c>
      <c r="AD88" s="13">
        <v>150.9</v>
      </c>
    </row>
    <row r="89" spans="1:30" x14ac:dyDescent="0.3">
      <c r="A89" s="10" t="s">
        <v>33</v>
      </c>
      <c r="B89" s="5">
        <v>2020</v>
      </c>
      <c r="C89" s="5" t="s">
        <v>37</v>
      </c>
      <c r="D89" s="11">
        <v>147.78333333333333</v>
      </c>
      <c r="E89" s="11">
        <v>181.75000000000003</v>
      </c>
      <c r="F89" s="11">
        <v>150.38333333333333</v>
      </c>
      <c r="G89" s="11">
        <v>152.96666666666667</v>
      </c>
      <c r="H89" s="11">
        <v>134.61666666666665</v>
      </c>
      <c r="I89" s="11">
        <v>146.49999999999997</v>
      </c>
      <c r="J89" s="11">
        <v>164.61666666666665</v>
      </c>
      <c r="K89" s="11">
        <v>147.46666666666667</v>
      </c>
      <c r="L89" s="11">
        <v>115.10000000000001</v>
      </c>
      <c r="M89" s="11">
        <v>156.88333333333333</v>
      </c>
      <c r="N89" s="11">
        <v>138.23333333333332</v>
      </c>
      <c r="O89" s="11">
        <v>160.85555555555553</v>
      </c>
      <c r="P89" s="11">
        <v>152.63333333333333</v>
      </c>
      <c r="Q89" s="11">
        <v>177.93055555555554</v>
      </c>
      <c r="R89" s="11">
        <v>151.97777777777779</v>
      </c>
      <c r="S89" s="11">
        <v>143.11388888888888</v>
      </c>
      <c r="T89" s="11">
        <v>150.71666666666667</v>
      </c>
      <c r="U89" s="5">
        <v>0</v>
      </c>
      <c r="V89" s="11">
        <v>144.5</v>
      </c>
      <c r="W89" s="11">
        <v>146.78333333333333</v>
      </c>
      <c r="X89" s="11">
        <v>153.08333333333334</v>
      </c>
      <c r="Y89" s="11">
        <v>133.66111111111113</v>
      </c>
      <c r="Z89" s="11">
        <v>145.81388888888887</v>
      </c>
      <c r="AA89" s="11">
        <v>156.70277777777775</v>
      </c>
      <c r="AB89" s="11">
        <v>149.0277777777778</v>
      </c>
      <c r="AC89" s="11">
        <v>146.00555555555556</v>
      </c>
      <c r="AD89" s="14">
        <v>151.01666666666668</v>
      </c>
    </row>
    <row r="90" spans="1:30" x14ac:dyDescent="0.3">
      <c r="A90" s="9" t="s">
        <v>33</v>
      </c>
      <c r="B90" s="7">
        <v>2020</v>
      </c>
      <c r="C90" s="7" t="s">
        <v>38</v>
      </c>
      <c r="D90" s="7">
        <v>149.6</v>
      </c>
      <c r="E90" s="7">
        <v>192.7</v>
      </c>
      <c r="F90" s="7">
        <v>151.4</v>
      </c>
      <c r="G90" s="7">
        <v>153.30000000000001</v>
      </c>
      <c r="H90" s="7">
        <v>136.30000000000001</v>
      </c>
      <c r="I90" s="7">
        <v>147.19999999999999</v>
      </c>
      <c r="J90" s="7">
        <v>156.5</v>
      </c>
      <c r="K90" s="7">
        <v>150.9</v>
      </c>
      <c r="L90" s="7">
        <v>114.2</v>
      </c>
      <c r="M90" s="7">
        <v>159.5</v>
      </c>
      <c r="N90" s="7">
        <v>139.4</v>
      </c>
      <c r="O90" s="7">
        <v>161.80000000000001</v>
      </c>
      <c r="P90" s="7">
        <v>154</v>
      </c>
      <c r="Q90" s="7">
        <v>183.5</v>
      </c>
      <c r="R90" s="7">
        <v>152.5</v>
      </c>
      <c r="S90" s="7">
        <v>144.4</v>
      </c>
      <c r="T90" s="7">
        <v>151.4</v>
      </c>
      <c r="U90" s="7">
        <v>154.69999999999999</v>
      </c>
      <c r="V90" s="7">
        <v>141.9</v>
      </c>
      <c r="W90" s="7">
        <v>146.4</v>
      </c>
      <c r="X90" s="7">
        <v>154.4</v>
      </c>
      <c r="Y90" s="7">
        <v>135</v>
      </c>
      <c r="Z90" s="7">
        <v>148.30000000000001</v>
      </c>
      <c r="AA90" s="7">
        <v>156.4</v>
      </c>
      <c r="AB90" s="7">
        <v>151.6</v>
      </c>
      <c r="AC90" s="7">
        <v>147</v>
      </c>
      <c r="AD90" s="8">
        <v>151.80000000000001</v>
      </c>
    </row>
    <row r="91" spans="1:30" x14ac:dyDescent="0.3">
      <c r="A91" s="10" t="s">
        <v>33</v>
      </c>
      <c r="B91" s="5">
        <v>2020</v>
      </c>
      <c r="C91" s="5" t="s">
        <v>39</v>
      </c>
      <c r="D91" s="5">
        <v>149.6</v>
      </c>
      <c r="E91" s="5">
        <v>192.7</v>
      </c>
      <c r="F91" s="5">
        <v>151.4</v>
      </c>
      <c r="G91" s="5">
        <v>153.30000000000001</v>
      </c>
      <c r="H91" s="5">
        <v>136.30000000000001</v>
      </c>
      <c r="I91" s="5">
        <v>147.19999999999999</v>
      </c>
      <c r="J91" s="5">
        <v>156.5</v>
      </c>
      <c r="K91" s="5">
        <v>150.9</v>
      </c>
      <c r="L91" s="5">
        <v>114.2</v>
      </c>
      <c r="M91" s="5">
        <v>159.5</v>
      </c>
      <c r="N91" s="5">
        <v>139.4</v>
      </c>
      <c r="O91" s="5">
        <v>161.80000000000001</v>
      </c>
      <c r="P91" s="5">
        <v>154</v>
      </c>
      <c r="Q91" s="5">
        <v>183.5</v>
      </c>
      <c r="R91" s="5">
        <v>152.5</v>
      </c>
      <c r="S91" s="5">
        <v>144.4</v>
      </c>
      <c r="T91" s="5">
        <v>151.4</v>
      </c>
      <c r="U91" s="5">
        <v>154.69999999999999</v>
      </c>
      <c r="V91" s="5">
        <v>141.9</v>
      </c>
      <c r="W91" s="5">
        <v>146.4</v>
      </c>
      <c r="X91" s="5">
        <v>154.4</v>
      </c>
      <c r="Y91" s="5">
        <v>135</v>
      </c>
      <c r="Z91" s="5">
        <v>148.30000000000001</v>
      </c>
      <c r="AA91" s="5">
        <v>156.4</v>
      </c>
      <c r="AB91" s="5">
        <v>151.6</v>
      </c>
      <c r="AC91" s="5">
        <v>147</v>
      </c>
      <c r="AD91" s="6">
        <v>151.80000000000001</v>
      </c>
    </row>
    <row r="92" spans="1:30" x14ac:dyDescent="0.3">
      <c r="A92" s="9" t="s">
        <v>33</v>
      </c>
      <c r="B92" s="7">
        <v>2020</v>
      </c>
      <c r="C92" s="7" t="s">
        <v>40</v>
      </c>
      <c r="D92" s="7">
        <v>148.9</v>
      </c>
      <c r="E92" s="7">
        <v>190.9</v>
      </c>
      <c r="F92" s="7">
        <v>150.80000000000001</v>
      </c>
      <c r="G92" s="7">
        <v>153.30000000000001</v>
      </c>
      <c r="H92" s="7">
        <v>137.4</v>
      </c>
      <c r="I92" s="7">
        <v>150.4</v>
      </c>
      <c r="J92" s="7">
        <v>178.1</v>
      </c>
      <c r="K92" s="7">
        <v>150.4</v>
      </c>
      <c r="L92" s="7">
        <v>115.1</v>
      </c>
      <c r="M92" s="7">
        <v>160</v>
      </c>
      <c r="N92" s="7">
        <v>140.6</v>
      </c>
      <c r="O92" s="7">
        <v>162.30000000000001</v>
      </c>
      <c r="P92" s="7">
        <v>157</v>
      </c>
      <c r="Q92" s="7">
        <v>182.6</v>
      </c>
      <c r="R92" s="7">
        <v>153.1</v>
      </c>
      <c r="S92" s="7">
        <v>143.4</v>
      </c>
      <c r="T92" s="7">
        <v>151.69999999999999</v>
      </c>
      <c r="U92" s="7">
        <v>155.5</v>
      </c>
      <c r="V92" s="7">
        <v>143</v>
      </c>
      <c r="W92" s="7">
        <v>148.4</v>
      </c>
      <c r="X92" s="7">
        <v>155</v>
      </c>
      <c r="Y92" s="7">
        <v>138.5</v>
      </c>
      <c r="Z92" s="7">
        <v>146</v>
      </c>
      <c r="AA92" s="7">
        <v>158.5</v>
      </c>
      <c r="AB92" s="7">
        <v>154.30000000000001</v>
      </c>
      <c r="AC92" s="7">
        <v>149</v>
      </c>
      <c r="AD92" s="8">
        <v>153.9</v>
      </c>
    </row>
    <row r="93" spans="1:30" x14ac:dyDescent="0.3">
      <c r="A93" s="10" t="s">
        <v>33</v>
      </c>
      <c r="B93" s="5">
        <v>2020</v>
      </c>
      <c r="C93" s="5" t="s">
        <v>41</v>
      </c>
      <c r="D93" s="5">
        <v>148.4</v>
      </c>
      <c r="E93" s="5">
        <v>187.1</v>
      </c>
      <c r="F93" s="5">
        <v>152.5</v>
      </c>
      <c r="G93" s="5">
        <v>153.6</v>
      </c>
      <c r="H93" s="5">
        <v>138.19999999999999</v>
      </c>
      <c r="I93" s="5">
        <v>150.9</v>
      </c>
      <c r="J93" s="5">
        <v>186.7</v>
      </c>
      <c r="K93" s="5">
        <v>149.80000000000001</v>
      </c>
      <c r="L93" s="5">
        <v>116.4</v>
      </c>
      <c r="M93" s="5">
        <v>160.30000000000001</v>
      </c>
      <c r="N93" s="5">
        <v>142.19999999999999</v>
      </c>
      <c r="O93" s="5">
        <v>162.9</v>
      </c>
      <c r="P93" s="5">
        <v>158</v>
      </c>
      <c r="Q93" s="5">
        <v>184.4</v>
      </c>
      <c r="R93" s="5">
        <v>153.4</v>
      </c>
      <c r="S93" s="5">
        <v>144.30000000000001</v>
      </c>
      <c r="T93" s="5">
        <v>152</v>
      </c>
      <c r="U93" s="5">
        <v>156.30000000000001</v>
      </c>
      <c r="V93" s="5">
        <v>142.9</v>
      </c>
      <c r="W93" s="5">
        <v>148.69999999999999</v>
      </c>
      <c r="X93" s="5">
        <v>155.6</v>
      </c>
      <c r="Y93" s="5">
        <v>139.6</v>
      </c>
      <c r="Z93" s="5">
        <v>146.6</v>
      </c>
      <c r="AA93" s="5">
        <v>157.5</v>
      </c>
      <c r="AB93" s="5">
        <v>158.4</v>
      </c>
      <c r="AC93" s="5">
        <v>150</v>
      </c>
      <c r="AD93" s="6">
        <v>154.69999999999999</v>
      </c>
    </row>
    <row r="94" spans="1:30" x14ac:dyDescent="0.3">
      <c r="A94" s="9" t="s">
        <v>33</v>
      </c>
      <c r="B94" s="7">
        <v>2020</v>
      </c>
      <c r="C94" s="7" t="s">
        <v>42</v>
      </c>
      <c r="D94" s="7">
        <v>147.5</v>
      </c>
      <c r="E94" s="7">
        <v>188.9</v>
      </c>
      <c r="F94" s="7">
        <v>161.4</v>
      </c>
      <c r="G94" s="7">
        <v>153.6</v>
      </c>
      <c r="H94" s="7">
        <v>140.1</v>
      </c>
      <c r="I94" s="7">
        <v>151.19999999999999</v>
      </c>
      <c r="J94" s="7">
        <v>209.2</v>
      </c>
      <c r="K94" s="7">
        <v>150.9</v>
      </c>
      <c r="L94" s="7">
        <v>116.2</v>
      </c>
      <c r="M94" s="7">
        <v>161</v>
      </c>
      <c r="N94" s="7">
        <v>144</v>
      </c>
      <c r="O94" s="7">
        <v>163.19999999999999</v>
      </c>
      <c r="P94" s="7">
        <v>161.4</v>
      </c>
      <c r="Q94" s="7">
        <v>184.3</v>
      </c>
      <c r="R94" s="7">
        <v>153.69999999999999</v>
      </c>
      <c r="S94" s="7">
        <v>144.6</v>
      </c>
      <c r="T94" s="7">
        <v>152.30000000000001</v>
      </c>
      <c r="U94" s="7">
        <v>156.5</v>
      </c>
      <c r="V94" s="7">
        <v>143.1</v>
      </c>
      <c r="W94" s="7">
        <v>148.69999999999999</v>
      </c>
      <c r="X94" s="7">
        <v>156.30000000000001</v>
      </c>
      <c r="Y94" s="7">
        <v>140.6</v>
      </c>
      <c r="Z94" s="7">
        <v>146.5</v>
      </c>
      <c r="AA94" s="7">
        <v>158.5</v>
      </c>
      <c r="AB94" s="7">
        <v>157</v>
      </c>
      <c r="AC94" s="7">
        <v>150.4</v>
      </c>
      <c r="AD94" s="8">
        <v>156.4</v>
      </c>
    </row>
    <row r="95" spans="1:30" x14ac:dyDescent="0.3">
      <c r="A95" s="10" t="s">
        <v>33</v>
      </c>
      <c r="B95" s="5">
        <v>2020</v>
      </c>
      <c r="C95" s="5" t="s">
        <v>43</v>
      </c>
      <c r="D95" s="5">
        <v>146.80000000000001</v>
      </c>
      <c r="E95" s="5">
        <v>191</v>
      </c>
      <c r="F95" s="5">
        <v>173.6</v>
      </c>
      <c r="G95" s="5">
        <v>153.80000000000001</v>
      </c>
      <c r="H95" s="5">
        <v>142.69999999999999</v>
      </c>
      <c r="I95" s="5">
        <v>148.4</v>
      </c>
      <c r="J95" s="5">
        <v>230</v>
      </c>
      <c r="K95" s="5">
        <v>156.80000000000001</v>
      </c>
      <c r="L95" s="5">
        <v>115.7</v>
      </c>
      <c r="M95" s="5">
        <v>161.80000000000001</v>
      </c>
      <c r="N95" s="5">
        <v>146.5</v>
      </c>
      <c r="O95" s="5">
        <v>163.80000000000001</v>
      </c>
      <c r="P95" s="5">
        <v>164.7</v>
      </c>
      <c r="Q95" s="5">
        <v>184.8</v>
      </c>
      <c r="R95" s="5">
        <v>154.30000000000001</v>
      </c>
      <c r="S95" s="5">
        <v>144.9</v>
      </c>
      <c r="T95" s="5">
        <v>152.80000000000001</v>
      </c>
      <c r="U95" s="5">
        <v>158</v>
      </c>
      <c r="V95" s="5">
        <v>143.6</v>
      </c>
      <c r="W95" s="5">
        <v>149.19999999999999</v>
      </c>
      <c r="X95" s="5">
        <v>157.19999999999999</v>
      </c>
      <c r="Y95" s="5">
        <v>140.4</v>
      </c>
      <c r="Z95" s="5">
        <v>148.4</v>
      </c>
      <c r="AA95" s="5">
        <v>158.6</v>
      </c>
      <c r="AB95" s="5">
        <v>156.9</v>
      </c>
      <c r="AC95" s="5">
        <v>150.69999999999999</v>
      </c>
      <c r="AD95" s="6">
        <v>158.4</v>
      </c>
    </row>
    <row r="96" spans="1:30" x14ac:dyDescent="0.3">
      <c r="A96" s="9" t="s">
        <v>33</v>
      </c>
      <c r="B96" s="7">
        <v>2020</v>
      </c>
      <c r="C96" s="7" t="s">
        <v>44</v>
      </c>
      <c r="D96" s="7">
        <v>146</v>
      </c>
      <c r="E96" s="7">
        <v>191</v>
      </c>
      <c r="F96" s="7">
        <v>175.3</v>
      </c>
      <c r="G96" s="7">
        <v>154.1</v>
      </c>
      <c r="H96" s="7">
        <v>146.6</v>
      </c>
      <c r="I96" s="7">
        <v>147.69999999999999</v>
      </c>
      <c r="J96" s="7">
        <v>230.5</v>
      </c>
      <c r="K96" s="7">
        <v>160.19999999999999</v>
      </c>
      <c r="L96" s="7">
        <v>115.3</v>
      </c>
      <c r="M96" s="7">
        <v>163</v>
      </c>
      <c r="N96" s="7">
        <v>149.19999999999999</v>
      </c>
      <c r="O96" s="7">
        <v>164.8</v>
      </c>
      <c r="P96" s="7">
        <v>165.4</v>
      </c>
      <c r="Q96" s="7">
        <v>185.4</v>
      </c>
      <c r="R96" s="7">
        <v>155</v>
      </c>
      <c r="S96" s="7">
        <v>145.4</v>
      </c>
      <c r="T96" s="7">
        <v>153.6</v>
      </c>
      <c r="U96" s="7">
        <v>158.4</v>
      </c>
      <c r="V96" s="7">
        <v>144.6</v>
      </c>
      <c r="W96" s="7">
        <v>149.69999999999999</v>
      </c>
      <c r="X96" s="7">
        <v>158.30000000000001</v>
      </c>
      <c r="Y96" s="7">
        <v>140.69999999999999</v>
      </c>
      <c r="Z96" s="7">
        <v>148.5</v>
      </c>
      <c r="AA96" s="7">
        <v>159.4</v>
      </c>
      <c r="AB96" s="7">
        <v>157.1</v>
      </c>
      <c r="AC96" s="7">
        <v>151.19999999999999</v>
      </c>
      <c r="AD96" s="8">
        <v>158.9</v>
      </c>
    </row>
    <row r="97" spans="1:30" x14ac:dyDescent="0.3">
      <c r="A97" s="10" t="s">
        <v>33</v>
      </c>
      <c r="B97" s="5">
        <v>2021</v>
      </c>
      <c r="C97" s="5" t="s">
        <v>31</v>
      </c>
      <c r="D97" s="5">
        <v>144.9</v>
      </c>
      <c r="E97" s="5">
        <v>190.1</v>
      </c>
      <c r="F97" s="5">
        <v>175.3</v>
      </c>
      <c r="G97" s="5">
        <v>154.1</v>
      </c>
      <c r="H97" s="5">
        <v>150.9</v>
      </c>
      <c r="I97" s="5">
        <v>149.6</v>
      </c>
      <c r="J97" s="5">
        <v>194.2</v>
      </c>
      <c r="K97" s="5">
        <v>160.4</v>
      </c>
      <c r="L97" s="5">
        <v>114.6</v>
      </c>
      <c r="M97" s="5">
        <v>164</v>
      </c>
      <c r="N97" s="5">
        <v>151.80000000000001</v>
      </c>
      <c r="O97" s="5">
        <v>165.6</v>
      </c>
      <c r="P97" s="5">
        <v>161</v>
      </c>
      <c r="Q97" s="5">
        <v>186.5</v>
      </c>
      <c r="R97" s="5">
        <v>155.5</v>
      </c>
      <c r="S97" s="5">
        <v>146.1</v>
      </c>
      <c r="T97" s="5">
        <v>154.19999999999999</v>
      </c>
      <c r="U97" s="5">
        <v>157.69999999999999</v>
      </c>
      <c r="V97" s="5">
        <v>147.9</v>
      </c>
      <c r="W97" s="5">
        <v>150</v>
      </c>
      <c r="X97" s="5">
        <v>159.30000000000001</v>
      </c>
      <c r="Y97" s="5">
        <v>141.9</v>
      </c>
      <c r="Z97" s="5">
        <v>149.6</v>
      </c>
      <c r="AA97" s="5">
        <v>159.19999999999999</v>
      </c>
      <c r="AB97" s="5">
        <v>156.80000000000001</v>
      </c>
      <c r="AC97" s="5">
        <v>151.9</v>
      </c>
      <c r="AD97" s="6">
        <v>157.30000000000001</v>
      </c>
    </row>
    <row r="98" spans="1:30" x14ac:dyDescent="0.3">
      <c r="A98" s="9" t="s">
        <v>33</v>
      </c>
      <c r="B98" s="7">
        <v>2021</v>
      </c>
      <c r="C98" s="7" t="s">
        <v>34</v>
      </c>
      <c r="D98" s="7">
        <v>144.30000000000001</v>
      </c>
      <c r="E98" s="7">
        <v>186.5</v>
      </c>
      <c r="F98" s="7">
        <v>168.7</v>
      </c>
      <c r="G98" s="7">
        <v>154.69999999999999</v>
      </c>
      <c r="H98" s="7">
        <v>158.69999999999999</v>
      </c>
      <c r="I98" s="7">
        <v>150.69999999999999</v>
      </c>
      <c r="J98" s="7">
        <v>160</v>
      </c>
      <c r="K98" s="7">
        <v>158.80000000000001</v>
      </c>
      <c r="L98" s="7">
        <v>112.8</v>
      </c>
      <c r="M98" s="7">
        <v>164.2</v>
      </c>
      <c r="N98" s="7">
        <v>155.5</v>
      </c>
      <c r="O98" s="7">
        <v>167.5</v>
      </c>
      <c r="P98" s="7">
        <v>156.9</v>
      </c>
      <c r="Q98" s="7">
        <v>188.3</v>
      </c>
      <c r="R98" s="7">
        <v>157.19999999999999</v>
      </c>
      <c r="S98" s="7">
        <v>147.4</v>
      </c>
      <c r="T98" s="7">
        <v>155.80000000000001</v>
      </c>
      <c r="U98" s="7">
        <v>159.80000000000001</v>
      </c>
      <c r="V98" s="7">
        <v>152.4</v>
      </c>
      <c r="W98" s="7">
        <v>150.9</v>
      </c>
      <c r="X98" s="7">
        <v>161.30000000000001</v>
      </c>
      <c r="Y98" s="7">
        <v>145.1</v>
      </c>
      <c r="Z98" s="7">
        <v>151.5</v>
      </c>
      <c r="AA98" s="7">
        <v>159.5</v>
      </c>
      <c r="AB98" s="7">
        <v>155.80000000000001</v>
      </c>
      <c r="AC98" s="7">
        <v>153.4</v>
      </c>
      <c r="AD98" s="8">
        <v>156.6</v>
      </c>
    </row>
    <row r="99" spans="1:30" x14ac:dyDescent="0.3">
      <c r="A99" s="10" t="s">
        <v>33</v>
      </c>
      <c r="B99" s="5">
        <v>2021</v>
      </c>
      <c r="C99" s="5" t="s">
        <v>35</v>
      </c>
      <c r="D99" s="5">
        <v>144.1</v>
      </c>
      <c r="E99" s="5">
        <v>192.2</v>
      </c>
      <c r="F99" s="5">
        <v>163.80000000000001</v>
      </c>
      <c r="G99" s="5">
        <v>154.9</v>
      </c>
      <c r="H99" s="5">
        <v>163.9</v>
      </c>
      <c r="I99" s="5">
        <v>153.69999999999999</v>
      </c>
      <c r="J99" s="5">
        <v>149.5</v>
      </c>
      <c r="K99" s="5">
        <v>159.80000000000001</v>
      </c>
      <c r="L99" s="5">
        <v>112.6</v>
      </c>
      <c r="M99" s="5">
        <v>163.5</v>
      </c>
      <c r="N99" s="5">
        <v>156.5</v>
      </c>
      <c r="O99" s="5">
        <v>168.2</v>
      </c>
      <c r="P99" s="5">
        <v>156.69999999999999</v>
      </c>
      <c r="Q99" s="5">
        <v>188.1</v>
      </c>
      <c r="R99" s="5">
        <v>157.80000000000001</v>
      </c>
      <c r="S99" s="5">
        <v>147.9</v>
      </c>
      <c r="T99" s="5">
        <v>156.4</v>
      </c>
      <c r="U99" s="5">
        <v>159.9</v>
      </c>
      <c r="V99" s="5">
        <v>155.5</v>
      </c>
      <c r="W99" s="5">
        <v>151.19999999999999</v>
      </c>
      <c r="X99" s="5">
        <v>161.69999999999999</v>
      </c>
      <c r="Y99" s="5">
        <v>146.19999999999999</v>
      </c>
      <c r="Z99" s="5">
        <v>152.6</v>
      </c>
      <c r="AA99" s="5">
        <v>160.19999999999999</v>
      </c>
      <c r="AB99" s="5">
        <v>153.80000000000001</v>
      </c>
      <c r="AC99" s="5">
        <v>153.80000000000001</v>
      </c>
      <c r="AD99" s="6">
        <v>156.80000000000001</v>
      </c>
    </row>
    <row r="100" spans="1:30" x14ac:dyDescent="0.3">
      <c r="A100" s="9" t="s">
        <v>33</v>
      </c>
      <c r="B100" s="7">
        <v>2021</v>
      </c>
      <c r="C100" s="7" t="s">
        <v>36</v>
      </c>
      <c r="D100" s="7">
        <v>144.30000000000001</v>
      </c>
      <c r="E100" s="7">
        <v>198</v>
      </c>
      <c r="F100" s="7">
        <v>164.6</v>
      </c>
      <c r="G100" s="7">
        <v>155.4</v>
      </c>
      <c r="H100" s="7">
        <v>170.1</v>
      </c>
      <c r="I100" s="7">
        <v>164.4</v>
      </c>
      <c r="J100" s="7">
        <v>144.1</v>
      </c>
      <c r="K100" s="7">
        <v>161.69999999999999</v>
      </c>
      <c r="L100" s="7">
        <v>113.1</v>
      </c>
      <c r="M100" s="7">
        <v>163.9</v>
      </c>
      <c r="N100" s="7">
        <v>157.6</v>
      </c>
      <c r="O100" s="7">
        <v>168.9</v>
      </c>
      <c r="P100" s="7">
        <v>158</v>
      </c>
      <c r="Q100" s="7">
        <v>188.8</v>
      </c>
      <c r="R100" s="7">
        <v>158.80000000000001</v>
      </c>
      <c r="S100" s="7">
        <v>148.5</v>
      </c>
      <c r="T100" s="7">
        <v>157.30000000000001</v>
      </c>
      <c r="U100" s="7">
        <v>161.4</v>
      </c>
      <c r="V100" s="7">
        <v>155.6</v>
      </c>
      <c r="W100" s="7">
        <v>151.80000000000001</v>
      </c>
      <c r="X100" s="7">
        <v>162.30000000000001</v>
      </c>
      <c r="Y100" s="7">
        <v>146.6</v>
      </c>
      <c r="Z100" s="7">
        <v>153.19999999999999</v>
      </c>
      <c r="AA100" s="7">
        <v>160.30000000000001</v>
      </c>
      <c r="AB100" s="7">
        <v>155.4</v>
      </c>
      <c r="AC100" s="7">
        <v>154.4</v>
      </c>
      <c r="AD100" s="8">
        <v>157.80000000000001</v>
      </c>
    </row>
    <row r="101" spans="1:30" x14ac:dyDescent="0.3">
      <c r="A101" s="10" t="s">
        <v>33</v>
      </c>
      <c r="B101" s="5">
        <v>2021</v>
      </c>
      <c r="C101" s="5" t="s">
        <v>37</v>
      </c>
      <c r="D101" s="5">
        <v>146.30000000000001</v>
      </c>
      <c r="E101" s="5">
        <v>200.5</v>
      </c>
      <c r="F101" s="5">
        <v>170.3</v>
      </c>
      <c r="G101" s="5">
        <v>156.1</v>
      </c>
      <c r="H101" s="5">
        <v>178.7</v>
      </c>
      <c r="I101" s="5">
        <v>167.1</v>
      </c>
      <c r="J101" s="5">
        <v>147.9</v>
      </c>
      <c r="K101" s="5">
        <v>165.4</v>
      </c>
      <c r="L101" s="5">
        <v>114.8</v>
      </c>
      <c r="M101" s="5">
        <v>168.2</v>
      </c>
      <c r="N101" s="5">
        <v>159.30000000000001</v>
      </c>
      <c r="O101" s="5">
        <v>170.4</v>
      </c>
      <c r="P101" s="5">
        <v>160.69999999999999</v>
      </c>
      <c r="Q101" s="5">
        <v>191.9</v>
      </c>
      <c r="R101" s="5">
        <v>161.80000000000001</v>
      </c>
      <c r="S101" s="5">
        <v>152.1</v>
      </c>
      <c r="T101" s="5">
        <v>160.4</v>
      </c>
      <c r="U101" s="5">
        <v>161.6</v>
      </c>
      <c r="V101" s="5">
        <v>159.4</v>
      </c>
      <c r="W101" s="5">
        <v>154.69999999999999</v>
      </c>
      <c r="X101" s="5">
        <v>165.8</v>
      </c>
      <c r="Y101" s="5">
        <v>148.9</v>
      </c>
      <c r="Z101" s="5">
        <v>155.80000000000001</v>
      </c>
      <c r="AA101" s="5">
        <v>161.19999999999999</v>
      </c>
      <c r="AB101" s="5">
        <v>158.6</v>
      </c>
      <c r="AC101" s="5">
        <v>156.80000000000001</v>
      </c>
      <c r="AD101" s="6">
        <v>160.4</v>
      </c>
    </row>
    <row r="102" spans="1:30" x14ac:dyDescent="0.3">
      <c r="A102" s="9" t="s">
        <v>33</v>
      </c>
      <c r="B102" s="7">
        <v>2021</v>
      </c>
      <c r="C102" s="7" t="s">
        <v>38</v>
      </c>
      <c r="D102" s="7">
        <v>146.69999999999999</v>
      </c>
      <c r="E102" s="7">
        <v>202</v>
      </c>
      <c r="F102" s="7">
        <v>180.7</v>
      </c>
      <c r="G102" s="7">
        <v>156.19999999999999</v>
      </c>
      <c r="H102" s="7">
        <v>183.7</v>
      </c>
      <c r="I102" s="7">
        <v>164.6</v>
      </c>
      <c r="J102" s="7">
        <v>155.4</v>
      </c>
      <c r="K102" s="7">
        <v>166</v>
      </c>
      <c r="L102" s="7">
        <v>115.1</v>
      </c>
      <c r="M102" s="7">
        <v>168.5</v>
      </c>
      <c r="N102" s="7">
        <v>160</v>
      </c>
      <c r="O102" s="7">
        <v>172.4</v>
      </c>
      <c r="P102" s="7">
        <v>162.6</v>
      </c>
      <c r="Q102" s="7">
        <v>190.8</v>
      </c>
      <c r="R102" s="7">
        <v>162.19999999999999</v>
      </c>
      <c r="S102" s="7">
        <v>151.80000000000001</v>
      </c>
      <c r="T102" s="7">
        <v>160.69999999999999</v>
      </c>
      <c r="U102" s="7">
        <v>160.5</v>
      </c>
      <c r="V102" s="7">
        <v>159.80000000000001</v>
      </c>
      <c r="W102" s="7">
        <v>154.80000000000001</v>
      </c>
      <c r="X102" s="7">
        <v>166.3</v>
      </c>
      <c r="Y102" s="7">
        <v>150.69999999999999</v>
      </c>
      <c r="Z102" s="7">
        <v>154.9</v>
      </c>
      <c r="AA102" s="7">
        <v>161.69999999999999</v>
      </c>
      <c r="AB102" s="7">
        <v>158.80000000000001</v>
      </c>
      <c r="AC102" s="7">
        <v>157.6</v>
      </c>
      <c r="AD102" s="8">
        <v>161.30000000000001</v>
      </c>
    </row>
    <row r="103" spans="1:30" x14ac:dyDescent="0.3">
      <c r="A103" s="10" t="s">
        <v>33</v>
      </c>
      <c r="B103" s="5">
        <v>2021</v>
      </c>
      <c r="C103" s="5" t="s">
        <v>39</v>
      </c>
      <c r="D103" s="5">
        <v>146.4</v>
      </c>
      <c r="E103" s="5">
        <v>206.8</v>
      </c>
      <c r="F103" s="5">
        <v>182.2</v>
      </c>
      <c r="G103" s="5">
        <v>157.5</v>
      </c>
      <c r="H103" s="5">
        <v>182.1</v>
      </c>
      <c r="I103" s="5">
        <v>163.9</v>
      </c>
      <c r="J103" s="5">
        <v>164.2</v>
      </c>
      <c r="K103" s="5">
        <v>164</v>
      </c>
      <c r="L103" s="5">
        <v>114.5</v>
      </c>
      <c r="M103" s="5">
        <v>168.3</v>
      </c>
      <c r="N103" s="5">
        <v>160.9</v>
      </c>
      <c r="O103" s="5">
        <v>172.2</v>
      </c>
      <c r="P103" s="5">
        <v>164</v>
      </c>
      <c r="Q103" s="5">
        <v>191.2</v>
      </c>
      <c r="R103" s="5">
        <v>162.80000000000001</v>
      </c>
      <c r="S103" s="5">
        <v>153.1</v>
      </c>
      <c r="T103" s="5">
        <v>161.4</v>
      </c>
      <c r="U103" s="5">
        <v>161.5</v>
      </c>
      <c r="V103" s="5">
        <v>160.69999999999999</v>
      </c>
      <c r="W103" s="5">
        <v>155.80000000000001</v>
      </c>
      <c r="X103" s="5">
        <v>167</v>
      </c>
      <c r="Y103" s="5">
        <v>153.1</v>
      </c>
      <c r="Z103" s="5">
        <v>155.30000000000001</v>
      </c>
      <c r="AA103" s="5">
        <v>163.19999999999999</v>
      </c>
      <c r="AB103" s="5">
        <v>160.1</v>
      </c>
      <c r="AC103" s="5">
        <v>159</v>
      </c>
      <c r="AD103" s="6">
        <v>162.5</v>
      </c>
    </row>
    <row r="104" spans="1:30" x14ac:dyDescent="0.3">
      <c r="A104" s="9" t="s">
        <v>33</v>
      </c>
      <c r="B104" s="7">
        <v>2021</v>
      </c>
      <c r="C104" s="7" t="s">
        <v>40</v>
      </c>
      <c r="D104" s="7">
        <v>146.6</v>
      </c>
      <c r="E104" s="7">
        <v>204</v>
      </c>
      <c r="F104" s="7">
        <v>172.8</v>
      </c>
      <c r="G104" s="7">
        <v>158.4</v>
      </c>
      <c r="H104" s="7">
        <v>188</v>
      </c>
      <c r="I104" s="7">
        <v>156.80000000000001</v>
      </c>
      <c r="J104" s="7">
        <v>162.19999999999999</v>
      </c>
      <c r="K104" s="7">
        <v>164.1</v>
      </c>
      <c r="L104" s="7">
        <v>119.7</v>
      </c>
      <c r="M104" s="7">
        <v>168.8</v>
      </c>
      <c r="N104" s="7">
        <v>162.69999999999999</v>
      </c>
      <c r="O104" s="7">
        <v>173.9</v>
      </c>
      <c r="P104" s="7">
        <v>164</v>
      </c>
      <c r="Q104" s="7">
        <v>192.1</v>
      </c>
      <c r="R104" s="7">
        <v>164.5</v>
      </c>
      <c r="S104" s="7">
        <v>155.30000000000001</v>
      </c>
      <c r="T104" s="7">
        <v>163.19999999999999</v>
      </c>
      <c r="U104" s="7">
        <v>162.1</v>
      </c>
      <c r="V104" s="7">
        <v>162.6</v>
      </c>
      <c r="W104" s="7">
        <v>157.5</v>
      </c>
      <c r="X104" s="7">
        <v>168.4</v>
      </c>
      <c r="Y104" s="7">
        <v>154</v>
      </c>
      <c r="Z104" s="7">
        <v>157.6</v>
      </c>
      <c r="AA104" s="7">
        <v>163.80000000000001</v>
      </c>
      <c r="AB104" s="7">
        <v>160</v>
      </c>
      <c r="AC104" s="7">
        <v>160</v>
      </c>
      <c r="AD104" s="8">
        <v>163.19999999999999</v>
      </c>
    </row>
    <row r="105" spans="1:30" x14ac:dyDescent="0.3">
      <c r="A105" s="10" t="s">
        <v>33</v>
      </c>
      <c r="B105" s="5">
        <v>2021</v>
      </c>
      <c r="C105" s="5" t="s">
        <v>41</v>
      </c>
      <c r="D105" s="5">
        <v>146.6</v>
      </c>
      <c r="E105" s="5">
        <v>204</v>
      </c>
      <c r="F105" s="5">
        <v>172.8</v>
      </c>
      <c r="G105" s="5">
        <v>158.4</v>
      </c>
      <c r="H105" s="5">
        <v>188</v>
      </c>
      <c r="I105" s="5">
        <v>156.69999999999999</v>
      </c>
      <c r="J105" s="5">
        <v>162.30000000000001</v>
      </c>
      <c r="K105" s="5">
        <v>164.1</v>
      </c>
      <c r="L105" s="5">
        <v>119.7</v>
      </c>
      <c r="M105" s="5">
        <v>168.8</v>
      </c>
      <c r="N105" s="5">
        <v>162.69999999999999</v>
      </c>
      <c r="O105" s="5">
        <v>173.9</v>
      </c>
      <c r="P105" s="5">
        <v>164</v>
      </c>
      <c r="Q105" s="5">
        <v>192.1</v>
      </c>
      <c r="R105" s="5">
        <v>164.6</v>
      </c>
      <c r="S105" s="5">
        <v>155.30000000000001</v>
      </c>
      <c r="T105" s="5">
        <v>163.30000000000001</v>
      </c>
      <c r="U105" s="5">
        <v>162.1</v>
      </c>
      <c r="V105" s="5">
        <v>162.6</v>
      </c>
      <c r="W105" s="5">
        <v>157.5</v>
      </c>
      <c r="X105" s="5">
        <v>168.4</v>
      </c>
      <c r="Y105" s="5">
        <v>154</v>
      </c>
      <c r="Z105" s="5">
        <v>157.69999999999999</v>
      </c>
      <c r="AA105" s="5">
        <v>163.69999999999999</v>
      </c>
      <c r="AB105" s="5">
        <v>160</v>
      </c>
      <c r="AC105" s="5">
        <v>160</v>
      </c>
      <c r="AD105" s="6">
        <v>163.19999999999999</v>
      </c>
    </row>
    <row r="106" spans="1:30" x14ac:dyDescent="0.3">
      <c r="A106" s="9" t="s">
        <v>33</v>
      </c>
      <c r="B106" s="7">
        <v>2021</v>
      </c>
      <c r="C106" s="7" t="s">
        <v>42</v>
      </c>
      <c r="D106" s="7">
        <v>147.4</v>
      </c>
      <c r="E106" s="7">
        <v>204.6</v>
      </c>
      <c r="F106" s="7">
        <v>171.2</v>
      </c>
      <c r="G106" s="7">
        <v>158.69999999999999</v>
      </c>
      <c r="H106" s="7">
        <v>190.6</v>
      </c>
      <c r="I106" s="7">
        <v>155.69999999999999</v>
      </c>
      <c r="J106" s="7">
        <v>185.3</v>
      </c>
      <c r="K106" s="7">
        <v>165.2</v>
      </c>
      <c r="L106" s="7">
        <v>121.9</v>
      </c>
      <c r="M106" s="7">
        <v>169.3</v>
      </c>
      <c r="N106" s="7">
        <v>163.19999999999999</v>
      </c>
      <c r="O106" s="7">
        <v>174.7</v>
      </c>
      <c r="P106" s="7">
        <v>167.7</v>
      </c>
      <c r="Q106" s="7">
        <v>192.7</v>
      </c>
      <c r="R106" s="7">
        <v>165.7</v>
      </c>
      <c r="S106" s="7">
        <v>156.30000000000001</v>
      </c>
      <c r="T106" s="7">
        <v>164.3</v>
      </c>
      <c r="U106" s="7">
        <v>163.6</v>
      </c>
      <c r="V106" s="7">
        <v>164.2</v>
      </c>
      <c r="W106" s="7">
        <v>158.4</v>
      </c>
      <c r="X106" s="7">
        <v>169.1</v>
      </c>
      <c r="Y106" s="7">
        <v>155.69999999999999</v>
      </c>
      <c r="Z106" s="7">
        <v>158.6</v>
      </c>
      <c r="AA106" s="7">
        <v>163.9</v>
      </c>
      <c r="AB106" s="7">
        <v>160.80000000000001</v>
      </c>
      <c r="AC106" s="7">
        <v>161</v>
      </c>
      <c r="AD106" s="8">
        <v>165.5</v>
      </c>
    </row>
    <row r="107" spans="1:30" x14ac:dyDescent="0.3">
      <c r="A107" s="10" t="s">
        <v>33</v>
      </c>
      <c r="B107" s="5">
        <v>2021</v>
      </c>
      <c r="C107" s="5" t="s">
        <v>43</v>
      </c>
      <c r="D107" s="5">
        <v>148.19999999999999</v>
      </c>
      <c r="E107" s="5">
        <v>201.6</v>
      </c>
      <c r="F107" s="5">
        <v>173</v>
      </c>
      <c r="G107" s="5">
        <v>159.30000000000001</v>
      </c>
      <c r="H107" s="5">
        <v>190.1</v>
      </c>
      <c r="I107" s="5">
        <v>156.5</v>
      </c>
      <c r="J107" s="5">
        <v>199.2</v>
      </c>
      <c r="K107" s="5">
        <v>165.3</v>
      </c>
      <c r="L107" s="5">
        <v>122.4</v>
      </c>
      <c r="M107" s="5">
        <v>169.6</v>
      </c>
      <c r="N107" s="5">
        <v>163.69999999999999</v>
      </c>
      <c r="O107" s="5">
        <v>175.5</v>
      </c>
      <c r="P107" s="5">
        <v>169.7</v>
      </c>
      <c r="Q107" s="5">
        <v>192.9</v>
      </c>
      <c r="R107" s="5">
        <v>167.2</v>
      </c>
      <c r="S107" s="5">
        <v>157.4</v>
      </c>
      <c r="T107" s="5">
        <v>165.8</v>
      </c>
      <c r="U107" s="5">
        <v>164.2</v>
      </c>
      <c r="V107" s="5">
        <v>163.9</v>
      </c>
      <c r="W107" s="5">
        <v>159.30000000000001</v>
      </c>
      <c r="X107" s="5">
        <v>169.9</v>
      </c>
      <c r="Y107" s="5">
        <v>154.80000000000001</v>
      </c>
      <c r="Z107" s="5">
        <v>159.80000000000001</v>
      </c>
      <c r="AA107" s="5">
        <v>164.3</v>
      </c>
      <c r="AB107" s="5">
        <v>162.19999999999999</v>
      </c>
      <c r="AC107" s="5">
        <v>161.4</v>
      </c>
      <c r="AD107" s="6">
        <v>166.7</v>
      </c>
    </row>
    <row r="108" spans="1:30" x14ac:dyDescent="0.3">
      <c r="A108" s="9" t="s">
        <v>33</v>
      </c>
      <c r="B108" s="7">
        <v>2021</v>
      </c>
      <c r="C108" s="7" t="s">
        <v>44</v>
      </c>
      <c r="D108" s="7">
        <v>148.69999999999999</v>
      </c>
      <c r="E108" s="7">
        <v>198.8</v>
      </c>
      <c r="F108" s="7">
        <v>177.9</v>
      </c>
      <c r="G108" s="7">
        <v>159.9</v>
      </c>
      <c r="H108" s="7">
        <v>187.6</v>
      </c>
      <c r="I108" s="7">
        <v>154.9</v>
      </c>
      <c r="J108" s="7">
        <v>188.3</v>
      </c>
      <c r="K108" s="7">
        <v>164.4</v>
      </c>
      <c r="L108" s="7">
        <v>121</v>
      </c>
      <c r="M108" s="7">
        <v>170.5</v>
      </c>
      <c r="N108" s="7">
        <v>164.2</v>
      </c>
      <c r="O108" s="7">
        <v>176.5</v>
      </c>
      <c r="P108" s="7">
        <v>168.2</v>
      </c>
      <c r="Q108" s="7">
        <v>192.4</v>
      </c>
      <c r="R108" s="7">
        <v>168.5</v>
      </c>
      <c r="S108" s="7">
        <v>158.69999999999999</v>
      </c>
      <c r="T108" s="7">
        <v>167</v>
      </c>
      <c r="U108" s="7">
        <v>163.4</v>
      </c>
      <c r="V108" s="7">
        <v>164.1</v>
      </c>
      <c r="W108" s="7">
        <v>160.19999999999999</v>
      </c>
      <c r="X108" s="7">
        <v>170.6</v>
      </c>
      <c r="Y108" s="7">
        <v>155.69999999999999</v>
      </c>
      <c r="Z108" s="7">
        <v>160.6</v>
      </c>
      <c r="AA108" s="7">
        <v>164.4</v>
      </c>
      <c r="AB108" s="7">
        <v>162.6</v>
      </c>
      <c r="AC108" s="7">
        <v>162</v>
      </c>
      <c r="AD108" s="8">
        <v>166.2</v>
      </c>
    </row>
    <row r="109" spans="1:30" x14ac:dyDescent="0.3">
      <c r="A109" s="10" t="s">
        <v>33</v>
      </c>
      <c r="B109" s="5">
        <v>2022</v>
      </c>
      <c r="C109" s="5" t="s">
        <v>31</v>
      </c>
      <c r="D109" s="5">
        <v>149.5</v>
      </c>
      <c r="E109" s="5">
        <v>198.7</v>
      </c>
      <c r="F109" s="5">
        <v>178.8</v>
      </c>
      <c r="G109" s="5">
        <v>160.5</v>
      </c>
      <c r="H109" s="5">
        <v>184.7</v>
      </c>
      <c r="I109" s="5">
        <v>153.69999999999999</v>
      </c>
      <c r="J109" s="5">
        <v>174.3</v>
      </c>
      <c r="K109" s="5">
        <v>163.9</v>
      </c>
      <c r="L109" s="5">
        <v>120</v>
      </c>
      <c r="M109" s="5">
        <v>172.1</v>
      </c>
      <c r="N109" s="5">
        <v>164.3</v>
      </c>
      <c r="O109" s="5">
        <v>177.3</v>
      </c>
      <c r="P109" s="5">
        <v>166.4</v>
      </c>
      <c r="Q109" s="5">
        <v>192.2</v>
      </c>
      <c r="R109" s="5">
        <v>169.9</v>
      </c>
      <c r="S109" s="5">
        <v>160.69999999999999</v>
      </c>
      <c r="T109" s="5">
        <v>168.5</v>
      </c>
      <c r="U109" s="5">
        <v>164.5</v>
      </c>
      <c r="V109" s="5">
        <v>164.2</v>
      </c>
      <c r="W109" s="5">
        <v>161.1</v>
      </c>
      <c r="X109" s="5">
        <v>171.4</v>
      </c>
      <c r="Y109" s="5">
        <v>156.5</v>
      </c>
      <c r="Z109" s="5">
        <v>161.19999999999999</v>
      </c>
      <c r="AA109" s="5">
        <v>164.7</v>
      </c>
      <c r="AB109" s="5">
        <v>163</v>
      </c>
      <c r="AC109" s="5">
        <v>162.69999999999999</v>
      </c>
      <c r="AD109" s="6">
        <v>165.7</v>
      </c>
    </row>
    <row r="110" spans="1:30" x14ac:dyDescent="0.3">
      <c r="A110" s="9" t="s">
        <v>33</v>
      </c>
      <c r="B110" s="7">
        <v>2022</v>
      </c>
      <c r="C110" s="7" t="s">
        <v>34</v>
      </c>
      <c r="D110" s="7">
        <v>150</v>
      </c>
      <c r="E110" s="7">
        <v>200.6</v>
      </c>
      <c r="F110" s="7">
        <v>175.8</v>
      </c>
      <c r="G110" s="7">
        <v>160.69999999999999</v>
      </c>
      <c r="H110" s="7">
        <v>184.9</v>
      </c>
      <c r="I110" s="7">
        <v>153.69999999999999</v>
      </c>
      <c r="J110" s="7">
        <v>169.7</v>
      </c>
      <c r="K110" s="7">
        <v>163.69999999999999</v>
      </c>
      <c r="L110" s="7">
        <v>118.9</v>
      </c>
      <c r="M110" s="7">
        <v>174.3</v>
      </c>
      <c r="N110" s="7">
        <v>164.7</v>
      </c>
      <c r="O110" s="7">
        <v>178</v>
      </c>
      <c r="P110" s="7">
        <v>166.2</v>
      </c>
      <c r="Q110" s="7">
        <v>192.8</v>
      </c>
      <c r="R110" s="7">
        <v>170.8</v>
      </c>
      <c r="S110" s="7">
        <v>162.4</v>
      </c>
      <c r="T110" s="7">
        <v>169.6</v>
      </c>
      <c r="U110" s="7">
        <v>165.5</v>
      </c>
      <c r="V110" s="7">
        <v>165.7</v>
      </c>
      <c r="W110" s="7">
        <v>161.80000000000001</v>
      </c>
      <c r="X110" s="7">
        <v>172.2</v>
      </c>
      <c r="Y110" s="7">
        <v>156.9</v>
      </c>
      <c r="Z110" s="7">
        <v>162.1</v>
      </c>
      <c r="AA110" s="7">
        <v>165.4</v>
      </c>
      <c r="AB110" s="7">
        <v>164.4</v>
      </c>
      <c r="AC110" s="7">
        <v>163.5</v>
      </c>
      <c r="AD110" s="8">
        <v>166.1</v>
      </c>
    </row>
    <row r="111" spans="1:30" x14ac:dyDescent="0.3">
      <c r="A111" s="10" t="s">
        <v>33</v>
      </c>
      <c r="B111" s="5">
        <v>2022</v>
      </c>
      <c r="C111" s="5" t="s">
        <v>35</v>
      </c>
      <c r="D111" s="5">
        <v>151.30000000000001</v>
      </c>
      <c r="E111" s="5">
        <v>210.7</v>
      </c>
      <c r="F111" s="5">
        <v>167.8</v>
      </c>
      <c r="G111" s="5">
        <v>162.19999999999999</v>
      </c>
      <c r="H111" s="5">
        <v>194.6</v>
      </c>
      <c r="I111" s="5">
        <v>157.6</v>
      </c>
      <c r="J111" s="5">
        <v>166.9</v>
      </c>
      <c r="K111" s="5">
        <v>163.9</v>
      </c>
      <c r="L111" s="5">
        <v>118.8</v>
      </c>
      <c r="M111" s="5">
        <v>177.4</v>
      </c>
      <c r="N111" s="5">
        <v>165.3</v>
      </c>
      <c r="O111" s="5">
        <v>179.3</v>
      </c>
      <c r="P111" s="5">
        <v>168.4</v>
      </c>
      <c r="Q111" s="5">
        <v>193.7</v>
      </c>
      <c r="R111" s="5">
        <v>172.1</v>
      </c>
      <c r="S111" s="5">
        <v>164.6</v>
      </c>
      <c r="T111" s="5">
        <v>171.1</v>
      </c>
      <c r="U111" s="5">
        <v>165.3</v>
      </c>
      <c r="V111" s="5">
        <v>167.2</v>
      </c>
      <c r="W111" s="5">
        <v>162.80000000000001</v>
      </c>
      <c r="X111" s="5">
        <v>173</v>
      </c>
      <c r="Y111" s="5">
        <v>157.9</v>
      </c>
      <c r="Z111" s="5">
        <v>163.30000000000001</v>
      </c>
      <c r="AA111" s="5">
        <v>166</v>
      </c>
      <c r="AB111" s="5">
        <v>167.2</v>
      </c>
      <c r="AC111" s="5">
        <v>164.6</v>
      </c>
      <c r="AD111" s="6">
        <v>167.7</v>
      </c>
    </row>
    <row r="112" spans="1:30" x14ac:dyDescent="0.3">
      <c r="A112" s="9" t="s">
        <v>33</v>
      </c>
      <c r="B112" s="7">
        <v>2022</v>
      </c>
      <c r="C112" s="7" t="s">
        <v>36</v>
      </c>
      <c r="D112" s="7">
        <v>152.9</v>
      </c>
      <c r="E112" s="7">
        <v>211.8</v>
      </c>
      <c r="F112" s="7">
        <v>164.5</v>
      </c>
      <c r="G112" s="7">
        <v>163.9</v>
      </c>
      <c r="H112" s="7">
        <v>199.5</v>
      </c>
      <c r="I112" s="7">
        <v>172.6</v>
      </c>
      <c r="J112" s="7">
        <v>166.2</v>
      </c>
      <c r="K112" s="7">
        <v>164.7</v>
      </c>
      <c r="L112" s="7">
        <v>119</v>
      </c>
      <c r="M112" s="7">
        <v>181.3</v>
      </c>
      <c r="N112" s="7">
        <v>166.2</v>
      </c>
      <c r="O112" s="7">
        <v>180.9</v>
      </c>
      <c r="P112" s="7">
        <v>170.8</v>
      </c>
      <c r="Q112" s="7">
        <v>193.9</v>
      </c>
      <c r="R112" s="7">
        <v>173.9</v>
      </c>
      <c r="S112" s="7">
        <v>166.5</v>
      </c>
      <c r="T112" s="7">
        <v>172.8</v>
      </c>
      <c r="U112" s="7">
        <v>167</v>
      </c>
      <c r="V112" s="7">
        <v>172.2</v>
      </c>
      <c r="W112" s="7">
        <v>164</v>
      </c>
      <c r="X112" s="7">
        <v>174</v>
      </c>
      <c r="Y112" s="7">
        <v>162.6</v>
      </c>
      <c r="Z112" s="7">
        <v>164.4</v>
      </c>
      <c r="AA112" s="7">
        <v>166.9</v>
      </c>
      <c r="AB112" s="7">
        <v>168.8</v>
      </c>
      <c r="AC112" s="7">
        <v>166.8</v>
      </c>
      <c r="AD112" s="8">
        <v>170.1</v>
      </c>
    </row>
    <row r="113" spans="1:30" x14ac:dyDescent="0.3">
      <c r="A113" s="10" t="s">
        <v>33</v>
      </c>
      <c r="B113" s="5">
        <v>2022</v>
      </c>
      <c r="C113" s="5" t="s">
        <v>37</v>
      </c>
      <c r="D113" s="5">
        <v>154.1</v>
      </c>
      <c r="E113" s="5">
        <v>217</v>
      </c>
      <c r="F113" s="5">
        <v>162.4</v>
      </c>
      <c r="G113" s="5">
        <v>164.9</v>
      </c>
      <c r="H113" s="5">
        <v>202.4</v>
      </c>
      <c r="I113" s="5">
        <v>171</v>
      </c>
      <c r="J113" s="5">
        <v>174.9</v>
      </c>
      <c r="K113" s="5">
        <v>164.7</v>
      </c>
      <c r="L113" s="5">
        <v>119.7</v>
      </c>
      <c r="M113" s="5">
        <v>184.9</v>
      </c>
      <c r="N113" s="5">
        <v>167.1</v>
      </c>
      <c r="O113" s="5">
        <v>182.5</v>
      </c>
      <c r="P113" s="5">
        <v>173.3</v>
      </c>
      <c r="Q113" s="5">
        <v>194.1</v>
      </c>
      <c r="R113" s="5">
        <v>175.6</v>
      </c>
      <c r="S113" s="5">
        <v>168.4</v>
      </c>
      <c r="T113" s="5">
        <v>174.6</v>
      </c>
      <c r="U113" s="5">
        <v>167.5</v>
      </c>
      <c r="V113" s="5">
        <v>174.6</v>
      </c>
      <c r="W113" s="5">
        <v>165.2</v>
      </c>
      <c r="X113" s="5">
        <v>174.8</v>
      </c>
      <c r="Y113" s="5">
        <v>163</v>
      </c>
      <c r="Z113" s="5">
        <v>165.1</v>
      </c>
      <c r="AA113" s="5">
        <v>167.9</v>
      </c>
      <c r="AB113" s="5">
        <v>168.4</v>
      </c>
      <c r="AC113" s="5">
        <v>167.5</v>
      </c>
      <c r="AD113" s="6">
        <v>171.7</v>
      </c>
    </row>
    <row r="114" spans="1:30" x14ac:dyDescent="0.3">
      <c r="A114" s="9" t="s">
        <v>33</v>
      </c>
      <c r="B114" s="7">
        <v>2022</v>
      </c>
      <c r="C114" s="7" t="s">
        <v>38</v>
      </c>
      <c r="D114" s="7">
        <v>155</v>
      </c>
      <c r="E114" s="7">
        <v>219.4</v>
      </c>
      <c r="F114" s="7">
        <v>170.8</v>
      </c>
      <c r="G114" s="7">
        <v>165.8</v>
      </c>
      <c r="H114" s="7">
        <v>200.9</v>
      </c>
      <c r="I114" s="7">
        <v>169.7</v>
      </c>
      <c r="J114" s="7">
        <v>182.3</v>
      </c>
      <c r="K114" s="7">
        <v>164.3</v>
      </c>
      <c r="L114" s="7">
        <v>119.9</v>
      </c>
      <c r="M114" s="7">
        <v>187.1</v>
      </c>
      <c r="N114" s="7">
        <v>167.9</v>
      </c>
      <c r="O114" s="7">
        <v>183.9</v>
      </c>
      <c r="P114" s="7">
        <v>174.9</v>
      </c>
      <c r="Q114" s="7">
        <v>194.3</v>
      </c>
      <c r="R114" s="7">
        <v>177.1</v>
      </c>
      <c r="S114" s="7">
        <v>169.9</v>
      </c>
      <c r="T114" s="7">
        <v>176</v>
      </c>
      <c r="U114" s="7">
        <v>166.8</v>
      </c>
      <c r="V114" s="7">
        <v>176</v>
      </c>
      <c r="W114" s="7">
        <v>166.4</v>
      </c>
      <c r="X114" s="7">
        <v>175.4</v>
      </c>
      <c r="Y114" s="7">
        <v>161.1</v>
      </c>
      <c r="Z114" s="7">
        <v>165.8</v>
      </c>
      <c r="AA114" s="7">
        <v>169</v>
      </c>
      <c r="AB114" s="7">
        <v>169.4</v>
      </c>
      <c r="AC114" s="7">
        <v>167.5</v>
      </c>
      <c r="AD114" s="8">
        <v>172.6</v>
      </c>
    </row>
    <row r="115" spans="1:30" x14ac:dyDescent="0.3">
      <c r="A115" s="10" t="s">
        <v>33</v>
      </c>
      <c r="B115" s="5">
        <v>2022</v>
      </c>
      <c r="C115" s="5" t="s">
        <v>39</v>
      </c>
      <c r="D115" s="5">
        <v>156.5</v>
      </c>
      <c r="E115" s="5">
        <v>213</v>
      </c>
      <c r="F115" s="5">
        <v>175.2</v>
      </c>
      <c r="G115" s="5">
        <v>166.6</v>
      </c>
      <c r="H115" s="5">
        <v>195.8</v>
      </c>
      <c r="I115" s="5">
        <v>174.2</v>
      </c>
      <c r="J115" s="5">
        <v>182.1</v>
      </c>
      <c r="K115" s="5">
        <v>164.3</v>
      </c>
      <c r="L115" s="5">
        <v>120</v>
      </c>
      <c r="M115" s="5">
        <v>190</v>
      </c>
      <c r="N115" s="5">
        <v>168.4</v>
      </c>
      <c r="O115" s="5">
        <v>185.2</v>
      </c>
      <c r="P115" s="5">
        <v>175</v>
      </c>
      <c r="Q115" s="5">
        <v>194.6</v>
      </c>
      <c r="R115" s="5">
        <v>178.3</v>
      </c>
      <c r="S115" s="5">
        <v>171.3</v>
      </c>
      <c r="T115" s="5">
        <v>177.3</v>
      </c>
      <c r="U115" s="5">
        <v>167.8</v>
      </c>
      <c r="V115" s="5">
        <v>179.6</v>
      </c>
      <c r="W115" s="5">
        <v>167.4</v>
      </c>
      <c r="X115" s="5">
        <v>176.1</v>
      </c>
      <c r="Y115" s="5">
        <v>161.6</v>
      </c>
      <c r="Z115" s="5">
        <v>166.3</v>
      </c>
      <c r="AA115" s="5">
        <v>171.4</v>
      </c>
      <c r="AB115" s="5">
        <v>169.7</v>
      </c>
      <c r="AC115" s="5">
        <v>168.4</v>
      </c>
      <c r="AD115" s="6">
        <v>173.4</v>
      </c>
    </row>
    <row r="116" spans="1:30" x14ac:dyDescent="0.3">
      <c r="A116" s="9" t="s">
        <v>33</v>
      </c>
      <c r="B116" s="7">
        <v>2022</v>
      </c>
      <c r="C116" s="7" t="s">
        <v>40</v>
      </c>
      <c r="D116" s="7">
        <v>160.30000000000001</v>
      </c>
      <c r="E116" s="7">
        <v>206.5</v>
      </c>
      <c r="F116" s="7">
        <v>169.2</v>
      </c>
      <c r="G116" s="7">
        <v>168.1</v>
      </c>
      <c r="H116" s="7">
        <v>192.4</v>
      </c>
      <c r="I116" s="7">
        <v>172.9</v>
      </c>
      <c r="J116" s="7">
        <v>186.7</v>
      </c>
      <c r="K116" s="7">
        <v>167.2</v>
      </c>
      <c r="L116" s="7">
        <v>120.9</v>
      </c>
      <c r="M116" s="7">
        <v>193.6</v>
      </c>
      <c r="N116" s="7">
        <v>168.8</v>
      </c>
      <c r="O116" s="7">
        <v>186.3</v>
      </c>
      <c r="P116" s="7">
        <v>176.3</v>
      </c>
      <c r="Q116" s="7">
        <v>195</v>
      </c>
      <c r="R116" s="7">
        <v>179.5</v>
      </c>
      <c r="S116" s="7">
        <v>172.7</v>
      </c>
      <c r="T116" s="7">
        <v>178.5</v>
      </c>
      <c r="U116" s="7">
        <v>169</v>
      </c>
      <c r="V116" s="7">
        <v>178.8</v>
      </c>
      <c r="W116" s="7">
        <v>168.5</v>
      </c>
      <c r="X116" s="7">
        <v>176.8</v>
      </c>
      <c r="Y116" s="7">
        <v>161.9</v>
      </c>
      <c r="Z116" s="7">
        <v>166.9</v>
      </c>
      <c r="AA116" s="7">
        <v>172.3</v>
      </c>
      <c r="AB116" s="7">
        <v>171.2</v>
      </c>
      <c r="AC116" s="7">
        <v>169.1</v>
      </c>
      <c r="AD116" s="8">
        <v>174.3</v>
      </c>
    </row>
    <row r="117" spans="1:30" x14ac:dyDescent="0.3">
      <c r="A117" s="10" t="s">
        <v>33</v>
      </c>
      <c r="B117" s="5">
        <v>2022</v>
      </c>
      <c r="C117" s="5" t="s">
        <v>41</v>
      </c>
      <c r="D117" s="5">
        <v>163.5</v>
      </c>
      <c r="E117" s="5">
        <v>209.2</v>
      </c>
      <c r="F117" s="5">
        <v>169.7</v>
      </c>
      <c r="G117" s="5">
        <v>169.7</v>
      </c>
      <c r="H117" s="5">
        <v>188.7</v>
      </c>
      <c r="I117" s="5">
        <v>165.7</v>
      </c>
      <c r="J117" s="5">
        <v>191.8</v>
      </c>
      <c r="K117" s="5">
        <v>169.1</v>
      </c>
      <c r="L117" s="5">
        <v>121.6</v>
      </c>
      <c r="M117" s="5">
        <v>197.3</v>
      </c>
      <c r="N117" s="5">
        <v>169.4</v>
      </c>
      <c r="O117" s="5">
        <v>187.4</v>
      </c>
      <c r="P117" s="5">
        <v>177.8</v>
      </c>
      <c r="Q117" s="5">
        <v>195.9</v>
      </c>
      <c r="R117" s="5">
        <v>180.9</v>
      </c>
      <c r="S117" s="5">
        <v>174.3</v>
      </c>
      <c r="T117" s="5">
        <v>179.9</v>
      </c>
      <c r="U117" s="5">
        <v>169.5</v>
      </c>
      <c r="V117" s="5">
        <v>179.5</v>
      </c>
      <c r="W117" s="5">
        <v>169.5</v>
      </c>
      <c r="X117" s="5">
        <v>177.8</v>
      </c>
      <c r="Y117" s="5">
        <v>162.30000000000001</v>
      </c>
      <c r="Z117" s="5">
        <v>167.6</v>
      </c>
      <c r="AA117" s="5">
        <v>173.1</v>
      </c>
      <c r="AB117" s="5">
        <v>170.9</v>
      </c>
      <c r="AC117" s="5">
        <v>169.7</v>
      </c>
      <c r="AD117" s="6">
        <v>175.3</v>
      </c>
    </row>
    <row r="118" spans="1:30" x14ac:dyDescent="0.3">
      <c r="A118" s="9" t="s">
        <v>33</v>
      </c>
      <c r="B118" s="7">
        <v>2022</v>
      </c>
      <c r="C118" s="7" t="s">
        <v>42</v>
      </c>
      <c r="D118" s="7">
        <v>165.2</v>
      </c>
      <c r="E118" s="7">
        <v>210.9</v>
      </c>
      <c r="F118" s="7">
        <v>170.9</v>
      </c>
      <c r="G118" s="7">
        <v>170.9</v>
      </c>
      <c r="H118" s="7">
        <v>186.5</v>
      </c>
      <c r="I118" s="7">
        <v>163.80000000000001</v>
      </c>
      <c r="J118" s="7">
        <v>199.7</v>
      </c>
      <c r="K118" s="7">
        <v>169.8</v>
      </c>
      <c r="L118" s="7">
        <v>121.9</v>
      </c>
      <c r="M118" s="7">
        <v>199.9</v>
      </c>
      <c r="N118" s="7">
        <v>169.9</v>
      </c>
      <c r="O118" s="7">
        <v>188.3</v>
      </c>
      <c r="P118" s="7">
        <v>179.6</v>
      </c>
      <c r="Q118" s="7">
        <v>196.3</v>
      </c>
      <c r="R118" s="7">
        <v>181.9</v>
      </c>
      <c r="S118" s="7">
        <v>175.3</v>
      </c>
      <c r="T118" s="7">
        <v>181</v>
      </c>
      <c r="U118" s="7">
        <v>171.2</v>
      </c>
      <c r="V118" s="7">
        <v>180.5</v>
      </c>
      <c r="W118" s="7">
        <v>170.4</v>
      </c>
      <c r="X118" s="7">
        <v>178.7</v>
      </c>
      <c r="Y118" s="7">
        <v>162.9</v>
      </c>
      <c r="Z118" s="7">
        <v>168.2</v>
      </c>
      <c r="AA118" s="7">
        <v>173.4</v>
      </c>
      <c r="AB118" s="7">
        <v>172.1</v>
      </c>
      <c r="AC118" s="7">
        <v>170.5</v>
      </c>
      <c r="AD118" s="8">
        <v>176.7</v>
      </c>
    </row>
    <row r="119" spans="1:30" x14ac:dyDescent="0.3">
      <c r="A119" s="10" t="s">
        <v>33</v>
      </c>
      <c r="B119" s="5">
        <v>2022</v>
      </c>
      <c r="C119" s="5" t="s">
        <v>43</v>
      </c>
      <c r="D119" s="5">
        <v>167.4</v>
      </c>
      <c r="E119" s="5">
        <v>209.4</v>
      </c>
      <c r="F119" s="5">
        <v>181.4</v>
      </c>
      <c r="G119" s="5">
        <v>172.3</v>
      </c>
      <c r="H119" s="5">
        <v>188.9</v>
      </c>
      <c r="I119" s="5">
        <v>160.69999999999999</v>
      </c>
      <c r="J119" s="5">
        <v>183.1</v>
      </c>
      <c r="K119" s="5">
        <v>170.5</v>
      </c>
      <c r="L119" s="5">
        <v>122.1</v>
      </c>
      <c r="M119" s="5">
        <v>202.8</v>
      </c>
      <c r="N119" s="5">
        <v>170.4</v>
      </c>
      <c r="O119" s="5">
        <v>189.5</v>
      </c>
      <c r="P119" s="5">
        <v>178.3</v>
      </c>
      <c r="Q119" s="5">
        <v>196.9</v>
      </c>
      <c r="R119" s="5">
        <v>183.1</v>
      </c>
      <c r="S119" s="5">
        <v>176.2</v>
      </c>
      <c r="T119" s="5">
        <v>182.1</v>
      </c>
      <c r="U119" s="5">
        <v>171.8</v>
      </c>
      <c r="V119" s="5">
        <v>181.3</v>
      </c>
      <c r="W119" s="5">
        <v>171.4</v>
      </c>
      <c r="X119" s="5">
        <v>179.8</v>
      </c>
      <c r="Y119" s="5">
        <v>163</v>
      </c>
      <c r="Z119" s="5">
        <v>168.5</v>
      </c>
      <c r="AA119" s="5">
        <v>173.7</v>
      </c>
      <c r="AB119" s="5">
        <v>173.6</v>
      </c>
      <c r="AC119" s="5">
        <v>171.1</v>
      </c>
      <c r="AD119" s="6">
        <v>176.5</v>
      </c>
    </row>
    <row r="120" spans="1:30" x14ac:dyDescent="0.3">
      <c r="A120" s="9" t="s">
        <v>33</v>
      </c>
      <c r="B120" s="7">
        <v>2022</v>
      </c>
      <c r="C120" s="7" t="s">
        <v>44</v>
      </c>
      <c r="D120" s="7">
        <v>169.2</v>
      </c>
      <c r="E120" s="7">
        <v>209</v>
      </c>
      <c r="F120" s="7">
        <v>190.2</v>
      </c>
      <c r="G120" s="7">
        <v>173.6</v>
      </c>
      <c r="H120" s="7">
        <v>188.5</v>
      </c>
      <c r="I120" s="7">
        <v>158</v>
      </c>
      <c r="J120" s="7">
        <v>159.9</v>
      </c>
      <c r="K120" s="7">
        <v>170.8</v>
      </c>
      <c r="L120" s="7">
        <v>121.8</v>
      </c>
      <c r="M120" s="7">
        <v>205.2</v>
      </c>
      <c r="N120" s="7">
        <v>171</v>
      </c>
      <c r="O120" s="7">
        <v>190.3</v>
      </c>
      <c r="P120" s="7">
        <v>175.9</v>
      </c>
      <c r="Q120" s="7">
        <v>197.3</v>
      </c>
      <c r="R120" s="7">
        <v>184</v>
      </c>
      <c r="S120" s="7">
        <v>177</v>
      </c>
      <c r="T120" s="7">
        <v>183</v>
      </c>
      <c r="U120" s="7">
        <v>170.7</v>
      </c>
      <c r="V120" s="7">
        <v>182</v>
      </c>
      <c r="W120" s="7">
        <v>172.1</v>
      </c>
      <c r="X120" s="7">
        <v>181.1</v>
      </c>
      <c r="Y120" s="7">
        <v>163.4</v>
      </c>
      <c r="Z120" s="7">
        <v>168.9</v>
      </c>
      <c r="AA120" s="7">
        <v>174.1</v>
      </c>
      <c r="AB120" s="7">
        <v>175.8</v>
      </c>
      <c r="AC120" s="7">
        <v>172</v>
      </c>
      <c r="AD120" s="8">
        <v>175.7</v>
      </c>
    </row>
    <row r="121" spans="1:30" x14ac:dyDescent="0.3">
      <c r="A121" s="10" t="s">
        <v>33</v>
      </c>
      <c r="B121" s="5">
        <v>2023</v>
      </c>
      <c r="C121" s="5" t="s">
        <v>31</v>
      </c>
      <c r="D121" s="5">
        <v>173.8</v>
      </c>
      <c r="E121" s="5">
        <v>210.7</v>
      </c>
      <c r="F121" s="5">
        <v>194.5</v>
      </c>
      <c r="G121" s="5">
        <v>174.6</v>
      </c>
      <c r="H121" s="5">
        <v>187.2</v>
      </c>
      <c r="I121" s="5">
        <v>158.30000000000001</v>
      </c>
      <c r="J121" s="5">
        <v>153.9</v>
      </c>
      <c r="K121" s="5">
        <v>170.9</v>
      </c>
      <c r="L121" s="5">
        <v>121.1</v>
      </c>
      <c r="M121" s="5">
        <v>208.4</v>
      </c>
      <c r="N121" s="5">
        <v>171.4</v>
      </c>
      <c r="O121" s="5">
        <v>191.2</v>
      </c>
      <c r="P121" s="5">
        <v>176.7</v>
      </c>
      <c r="Q121" s="5">
        <v>198.2</v>
      </c>
      <c r="R121" s="5">
        <v>184.9</v>
      </c>
      <c r="S121" s="5">
        <v>177.6</v>
      </c>
      <c r="T121" s="5">
        <v>183.8</v>
      </c>
      <c r="U121" s="5">
        <v>172.1</v>
      </c>
      <c r="V121" s="5">
        <v>182</v>
      </c>
      <c r="W121" s="5">
        <v>172.9</v>
      </c>
      <c r="X121" s="5">
        <v>182.3</v>
      </c>
      <c r="Y121" s="5">
        <v>163.6</v>
      </c>
      <c r="Z121" s="5">
        <v>169.5</v>
      </c>
      <c r="AA121" s="5">
        <v>174.3</v>
      </c>
      <c r="AB121" s="5">
        <v>178.6</v>
      </c>
      <c r="AC121" s="5">
        <v>172.8</v>
      </c>
      <c r="AD121" s="6">
        <v>176.5</v>
      </c>
    </row>
    <row r="122" spans="1:30" x14ac:dyDescent="0.3">
      <c r="A122" s="9" t="s">
        <v>33</v>
      </c>
      <c r="B122" s="7">
        <v>2023</v>
      </c>
      <c r="C122" s="7" t="s">
        <v>34</v>
      </c>
      <c r="D122" s="7">
        <v>174.4</v>
      </c>
      <c r="E122" s="7">
        <v>207.7</v>
      </c>
      <c r="F122" s="7">
        <v>175.2</v>
      </c>
      <c r="G122" s="7">
        <v>177.3</v>
      </c>
      <c r="H122" s="7">
        <v>179.3</v>
      </c>
      <c r="I122" s="7">
        <v>169.5</v>
      </c>
      <c r="J122" s="7">
        <v>152.69999999999999</v>
      </c>
      <c r="K122" s="7">
        <v>171</v>
      </c>
      <c r="L122" s="7">
        <v>120</v>
      </c>
      <c r="M122" s="7">
        <v>209.7</v>
      </c>
      <c r="N122" s="7">
        <v>172.3</v>
      </c>
      <c r="O122" s="7">
        <v>193</v>
      </c>
      <c r="P122" s="7">
        <v>177</v>
      </c>
      <c r="Q122" s="7">
        <v>199.5</v>
      </c>
      <c r="R122" s="7">
        <v>186.2</v>
      </c>
      <c r="S122" s="7">
        <v>178.7</v>
      </c>
      <c r="T122" s="7">
        <v>185.1</v>
      </c>
      <c r="U122" s="7">
        <v>173.5</v>
      </c>
      <c r="V122" s="7">
        <v>182.1</v>
      </c>
      <c r="W122" s="7">
        <v>174.2</v>
      </c>
      <c r="X122" s="7">
        <v>184.4</v>
      </c>
      <c r="Y122" s="7">
        <v>164.2</v>
      </c>
      <c r="Z122" s="7">
        <v>170.3</v>
      </c>
      <c r="AA122" s="7">
        <v>175</v>
      </c>
      <c r="AB122" s="7">
        <v>181</v>
      </c>
      <c r="AC122" s="7">
        <v>174.1</v>
      </c>
      <c r="AD122" s="8">
        <v>177.2</v>
      </c>
    </row>
    <row r="123" spans="1:30" x14ac:dyDescent="0.3">
      <c r="A123" s="10" t="s">
        <v>33</v>
      </c>
      <c r="B123" s="5">
        <v>2023</v>
      </c>
      <c r="C123" s="5" t="s">
        <v>35</v>
      </c>
      <c r="D123" s="5">
        <v>174.4</v>
      </c>
      <c r="E123" s="5">
        <v>207.7</v>
      </c>
      <c r="F123" s="5">
        <v>175.2</v>
      </c>
      <c r="G123" s="5">
        <v>177.3</v>
      </c>
      <c r="H123" s="5">
        <v>179.2</v>
      </c>
      <c r="I123" s="5">
        <v>169.5</v>
      </c>
      <c r="J123" s="5">
        <v>152.80000000000001</v>
      </c>
      <c r="K123" s="5">
        <v>171.1</v>
      </c>
      <c r="L123" s="5">
        <v>120</v>
      </c>
      <c r="M123" s="5">
        <v>209.7</v>
      </c>
      <c r="N123" s="5">
        <v>172.3</v>
      </c>
      <c r="O123" s="5">
        <v>193</v>
      </c>
      <c r="P123" s="5">
        <v>177</v>
      </c>
      <c r="Q123" s="5">
        <v>199.5</v>
      </c>
      <c r="R123" s="5">
        <v>186.1</v>
      </c>
      <c r="S123" s="5">
        <v>178.7</v>
      </c>
      <c r="T123" s="5">
        <v>185.1</v>
      </c>
      <c r="U123" s="5">
        <v>173.5</v>
      </c>
      <c r="V123" s="5">
        <v>181.9</v>
      </c>
      <c r="W123" s="5">
        <v>174.2</v>
      </c>
      <c r="X123" s="5">
        <v>184.4</v>
      </c>
      <c r="Y123" s="5">
        <v>164.2</v>
      </c>
      <c r="Z123" s="5">
        <v>170.3</v>
      </c>
      <c r="AA123" s="5">
        <v>175</v>
      </c>
      <c r="AB123" s="5">
        <v>181</v>
      </c>
      <c r="AC123" s="5">
        <v>174.1</v>
      </c>
      <c r="AD123" s="6">
        <v>177.2</v>
      </c>
    </row>
    <row r="124" spans="1:30" x14ac:dyDescent="0.3">
      <c r="A124" s="9" t="s">
        <v>33</v>
      </c>
      <c r="B124" s="7">
        <v>2023</v>
      </c>
      <c r="C124" s="7" t="s">
        <v>36</v>
      </c>
      <c r="D124" s="7">
        <v>173.8</v>
      </c>
      <c r="E124" s="7">
        <v>209.3</v>
      </c>
      <c r="F124" s="7">
        <v>169.6</v>
      </c>
      <c r="G124" s="7">
        <v>178.4</v>
      </c>
      <c r="H124" s="7">
        <v>174.9</v>
      </c>
      <c r="I124" s="7">
        <v>176.3</v>
      </c>
      <c r="J124" s="7">
        <v>155.4</v>
      </c>
      <c r="K124" s="7">
        <v>173.4</v>
      </c>
      <c r="L124" s="7">
        <v>121.3</v>
      </c>
      <c r="M124" s="7">
        <v>212.9</v>
      </c>
      <c r="N124" s="7">
        <v>172.9</v>
      </c>
      <c r="O124" s="7">
        <v>193.5</v>
      </c>
      <c r="P124" s="7">
        <v>177.9</v>
      </c>
      <c r="Q124" s="7">
        <v>200.6</v>
      </c>
      <c r="R124" s="7">
        <v>186.9</v>
      </c>
      <c r="S124" s="7">
        <v>179.2</v>
      </c>
      <c r="T124" s="7">
        <v>185.7</v>
      </c>
      <c r="U124" s="7">
        <v>175.2</v>
      </c>
      <c r="V124" s="7">
        <v>181.7</v>
      </c>
      <c r="W124" s="7">
        <v>174.6</v>
      </c>
      <c r="X124" s="7">
        <v>185</v>
      </c>
      <c r="Y124" s="7">
        <v>164.5</v>
      </c>
      <c r="Z124" s="7">
        <v>170.7</v>
      </c>
      <c r="AA124" s="7">
        <v>176.4</v>
      </c>
      <c r="AB124" s="7">
        <v>184</v>
      </c>
      <c r="AC124" s="7">
        <v>175</v>
      </c>
      <c r="AD124" s="8">
        <v>178.1</v>
      </c>
    </row>
    <row r="125" spans="1:30" x14ac:dyDescent="0.3">
      <c r="A125" s="10" t="s">
        <v>33</v>
      </c>
      <c r="B125" s="5">
        <v>2023</v>
      </c>
      <c r="C125" s="5" t="s">
        <v>37</v>
      </c>
      <c r="D125" s="5">
        <v>173.7</v>
      </c>
      <c r="E125" s="5">
        <v>214.3</v>
      </c>
      <c r="F125" s="5">
        <v>173.2</v>
      </c>
      <c r="G125" s="5">
        <v>179.5</v>
      </c>
      <c r="H125" s="5">
        <v>170</v>
      </c>
      <c r="I125" s="5">
        <v>172.2</v>
      </c>
      <c r="J125" s="5">
        <v>161</v>
      </c>
      <c r="K125" s="5">
        <v>175.6</v>
      </c>
      <c r="L125" s="5">
        <v>122.7</v>
      </c>
      <c r="M125" s="5">
        <v>218</v>
      </c>
      <c r="N125" s="5">
        <v>173.4</v>
      </c>
      <c r="O125" s="5">
        <v>194.2</v>
      </c>
      <c r="P125" s="5">
        <v>179.1</v>
      </c>
      <c r="Q125" s="5">
        <v>201</v>
      </c>
      <c r="R125" s="5">
        <v>187.3</v>
      </c>
      <c r="S125" s="5">
        <v>179.7</v>
      </c>
      <c r="T125" s="5">
        <v>186.2</v>
      </c>
      <c r="U125" s="5">
        <v>175.6</v>
      </c>
      <c r="V125" s="5">
        <v>182.8</v>
      </c>
      <c r="W125" s="5">
        <v>175.2</v>
      </c>
      <c r="X125" s="5">
        <v>185.7</v>
      </c>
      <c r="Y125" s="5">
        <v>164.8</v>
      </c>
      <c r="Z125" s="5">
        <v>171.2</v>
      </c>
      <c r="AA125" s="5">
        <v>177.1</v>
      </c>
      <c r="AB125" s="5">
        <v>185.2</v>
      </c>
      <c r="AC125" s="5">
        <v>175.7</v>
      </c>
      <c r="AD125" s="6">
        <v>179.1</v>
      </c>
    </row>
    <row r="126" spans="1:30" hidden="1" x14ac:dyDescent="0.3">
      <c r="D126" s="36">
        <f>(D125-D114)/D114</f>
        <v>0.1206451612903225</v>
      </c>
      <c r="E126" s="36">
        <f t="shared" ref="E126:P126" si="0">(E125-E114)/E114</f>
        <v>-2.3245214220601614E-2</v>
      </c>
      <c r="F126" s="36">
        <f t="shared" si="0"/>
        <v>1.4051522248243426E-2</v>
      </c>
      <c r="G126" s="36">
        <f t="shared" si="0"/>
        <v>8.2629674306393175E-2</v>
      </c>
      <c r="H126" s="36">
        <f t="shared" si="0"/>
        <v>-0.15380786460925835</v>
      </c>
      <c r="I126" s="36">
        <f t="shared" si="0"/>
        <v>1.4731879787860933E-2</v>
      </c>
      <c r="J126" s="36">
        <f t="shared" si="0"/>
        <v>-0.11684037301151953</v>
      </c>
      <c r="K126" s="36">
        <f t="shared" si="0"/>
        <v>6.8776628119293873E-2</v>
      </c>
      <c r="L126" s="36">
        <f t="shared" si="0"/>
        <v>2.3352793994995805E-2</v>
      </c>
      <c r="M126" s="36">
        <f t="shared" si="0"/>
        <v>0.16515232495991453</v>
      </c>
      <c r="N126" s="36">
        <f t="shared" si="0"/>
        <v>3.2757593805836809E-2</v>
      </c>
      <c r="O126" s="36">
        <f t="shared" si="0"/>
        <v>5.6008700380641561E-2</v>
      </c>
      <c r="P126" s="36">
        <f t="shared" si="0"/>
        <v>2.4013722126929607E-2</v>
      </c>
    </row>
    <row r="127" spans="1:30" hidden="1" x14ac:dyDescent="0.3">
      <c r="D127">
        <v>0.1206451612903225</v>
      </c>
      <c r="E127">
        <v>-2.3245214220601614E-2</v>
      </c>
      <c r="F127">
        <v>1.4051522248243426E-2</v>
      </c>
      <c r="G127">
        <v>8.2629674306393175E-2</v>
      </c>
      <c r="H127">
        <v>-0.15380786460925835</v>
      </c>
      <c r="I127">
        <v>1.4731879787860933E-2</v>
      </c>
      <c r="J127">
        <v>-0.11684037301151953</v>
      </c>
      <c r="K127">
        <v>6.8776628119293873E-2</v>
      </c>
      <c r="L127">
        <v>2.3352793994995805E-2</v>
      </c>
      <c r="M127">
        <v>0.16515232495991453</v>
      </c>
      <c r="N127">
        <v>3.2757593805836809E-2</v>
      </c>
      <c r="O127">
        <v>5.6008700380641561E-2</v>
      </c>
      <c r="P127">
        <v>2.4013722126929607E-2</v>
      </c>
    </row>
  </sheetData>
  <autoFilter ref="A1:AD127" xr:uid="{42CF7AAE-B354-41A8-B025-0800ECC49EBC}">
    <filterColumn colId="1">
      <filters>
        <filter val="2020"/>
        <filter val="2021"/>
        <filter val="2022"/>
        <filter val="2023"/>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958C-2B0F-4637-BD79-80B62F6942DB}">
  <sheetPr filterMode="1"/>
  <dimension ref="A2:AD128"/>
  <sheetViews>
    <sheetView workbookViewId="0">
      <selection activeCell="D97" sqref="D97:AC124"/>
    </sheetView>
  </sheetViews>
  <sheetFormatPr defaultRowHeight="14.4" x14ac:dyDescent="0.3"/>
  <sheetData>
    <row r="2" spans="1:30" x14ac:dyDescent="0.3">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3" t="s">
        <v>29</v>
      </c>
    </row>
    <row r="3" spans="1:30" hidden="1" x14ac:dyDescent="0.3">
      <c r="A3" s="9" t="s">
        <v>30</v>
      </c>
      <c r="B3" s="7">
        <v>2013</v>
      </c>
      <c r="C3" s="7" t="s">
        <v>31</v>
      </c>
      <c r="D3" s="7">
        <v>107.5</v>
      </c>
      <c r="E3" s="7">
        <v>106.3</v>
      </c>
      <c r="F3" s="7">
        <v>108.1</v>
      </c>
      <c r="G3" s="7">
        <v>104.9</v>
      </c>
      <c r="H3" s="7">
        <v>106.1</v>
      </c>
      <c r="I3" s="7">
        <v>103.9</v>
      </c>
      <c r="J3" s="7">
        <v>101.9</v>
      </c>
      <c r="K3" s="7">
        <v>106.1</v>
      </c>
      <c r="L3" s="7">
        <v>106.8</v>
      </c>
      <c r="M3" s="7">
        <v>103.1</v>
      </c>
      <c r="N3" s="7">
        <v>104.8</v>
      </c>
      <c r="O3" s="7">
        <v>106.7</v>
      </c>
      <c r="P3" s="7">
        <v>105.5</v>
      </c>
      <c r="Q3" s="7">
        <v>105.1</v>
      </c>
      <c r="R3" s="7">
        <v>106.5</v>
      </c>
      <c r="S3" s="7">
        <v>105.8</v>
      </c>
      <c r="T3" s="7">
        <v>106.4</v>
      </c>
      <c r="U3" s="7">
        <v>0</v>
      </c>
      <c r="V3" s="7">
        <v>105.5</v>
      </c>
      <c r="W3" s="7">
        <v>104.8</v>
      </c>
      <c r="X3" s="7">
        <v>104</v>
      </c>
      <c r="Y3" s="7">
        <v>103.3</v>
      </c>
      <c r="Z3" s="7">
        <v>103.4</v>
      </c>
      <c r="AA3" s="7">
        <v>103.8</v>
      </c>
      <c r="AB3" s="7">
        <v>104.7</v>
      </c>
      <c r="AC3" s="7">
        <v>104</v>
      </c>
      <c r="AD3" s="8">
        <v>105.1</v>
      </c>
    </row>
    <row r="4" spans="1:30" hidden="1" x14ac:dyDescent="0.3">
      <c r="A4" s="10" t="s">
        <v>30</v>
      </c>
      <c r="B4" s="5">
        <v>2013</v>
      </c>
      <c r="C4" s="5" t="s">
        <v>34</v>
      </c>
      <c r="D4" s="5">
        <v>109.2</v>
      </c>
      <c r="E4" s="5">
        <v>108.7</v>
      </c>
      <c r="F4" s="5">
        <v>110.2</v>
      </c>
      <c r="G4" s="5">
        <v>105.4</v>
      </c>
      <c r="H4" s="5">
        <v>106.7</v>
      </c>
      <c r="I4" s="5">
        <v>104</v>
      </c>
      <c r="J4" s="5">
        <v>102.4</v>
      </c>
      <c r="K4" s="5">
        <v>105.9</v>
      </c>
      <c r="L4" s="5">
        <v>105.7</v>
      </c>
      <c r="M4" s="5">
        <v>103.1</v>
      </c>
      <c r="N4" s="5">
        <v>105.1</v>
      </c>
      <c r="O4" s="5">
        <v>107.7</v>
      </c>
      <c r="P4" s="5">
        <v>106.3</v>
      </c>
      <c r="Q4" s="5">
        <v>105.6</v>
      </c>
      <c r="R4" s="5">
        <v>107.1</v>
      </c>
      <c r="S4" s="5">
        <v>106.3</v>
      </c>
      <c r="T4" s="5">
        <v>107</v>
      </c>
      <c r="U4" s="5">
        <v>0</v>
      </c>
      <c r="V4" s="5">
        <v>106.2</v>
      </c>
      <c r="W4" s="5">
        <v>105.2</v>
      </c>
      <c r="X4" s="5">
        <v>104.4</v>
      </c>
      <c r="Y4" s="5">
        <v>103.9</v>
      </c>
      <c r="Z4" s="5">
        <v>104</v>
      </c>
      <c r="AA4" s="5">
        <v>104.1</v>
      </c>
      <c r="AB4" s="5">
        <v>104.6</v>
      </c>
      <c r="AC4" s="5">
        <v>104.4</v>
      </c>
      <c r="AD4" s="6">
        <v>105.8</v>
      </c>
    </row>
    <row r="5" spans="1:30" hidden="1" x14ac:dyDescent="0.3">
      <c r="A5" s="9" t="s">
        <v>30</v>
      </c>
      <c r="B5" s="7">
        <v>2013</v>
      </c>
      <c r="C5" s="7" t="s">
        <v>35</v>
      </c>
      <c r="D5" s="7">
        <v>110.2</v>
      </c>
      <c r="E5" s="7">
        <v>108.8</v>
      </c>
      <c r="F5" s="7">
        <v>109.9</v>
      </c>
      <c r="G5" s="7">
        <v>105.6</v>
      </c>
      <c r="H5" s="7">
        <v>106.2</v>
      </c>
      <c r="I5" s="7">
        <v>105.7</v>
      </c>
      <c r="J5" s="7">
        <v>101.4</v>
      </c>
      <c r="K5" s="7">
        <v>105.7</v>
      </c>
      <c r="L5" s="7">
        <v>105</v>
      </c>
      <c r="M5" s="7">
        <v>103.3</v>
      </c>
      <c r="N5" s="7">
        <v>105.6</v>
      </c>
      <c r="O5" s="7">
        <v>108.2</v>
      </c>
      <c r="P5" s="7">
        <v>106.6</v>
      </c>
      <c r="Q5" s="7">
        <v>106.5</v>
      </c>
      <c r="R5" s="7">
        <v>107.6</v>
      </c>
      <c r="S5" s="7">
        <v>106.8</v>
      </c>
      <c r="T5" s="7">
        <v>107.5</v>
      </c>
      <c r="U5" s="7">
        <v>0</v>
      </c>
      <c r="V5" s="7">
        <v>106.1</v>
      </c>
      <c r="W5" s="7">
        <v>105.6</v>
      </c>
      <c r="X5" s="7">
        <v>104.7</v>
      </c>
      <c r="Y5" s="7">
        <v>104.6</v>
      </c>
      <c r="Z5" s="7">
        <v>104</v>
      </c>
      <c r="AA5" s="7">
        <v>104.3</v>
      </c>
      <c r="AB5" s="7">
        <v>104.3</v>
      </c>
      <c r="AC5" s="7">
        <v>104.6</v>
      </c>
      <c r="AD5" s="8">
        <v>106</v>
      </c>
    </row>
    <row r="6" spans="1:30" hidden="1" x14ac:dyDescent="0.3">
      <c r="A6" s="10" t="s">
        <v>30</v>
      </c>
      <c r="B6" s="5">
        <v>2013</v>
      </c>
      <c r="C6" s="5" t="s">
        <v>36</v>
      </c>
      <c r="D6" s="5">
        <v>110.2</v>
      </c>
      <c r="E6" s="5">
        <v>109.5</v>
      </c>
      <c r="F6" s="5">
        <v>106.9</v>
      </c>
      <c r="G6" s="5">
        <v>106.3</v>
      </c>
      <c r="H6" s="5">
        <v>105.7</v>
      </c>
      <c r="I6" s="5">
        <v>108.3</v>
      </c>
      <c r="J6" s="5">
        <v>103.4</v>
      </c>
      <c r="K6" s="5">
        <v>105.7</v>
      </c>
      <c r="L6" s="5">
        <v>104.2</v>
      </c>
      <c r="M6" s="5">
        <v>103.2</v>
      </c>
      <c r="N6" s="5">
        <v>106.5</v>
      </c>
      <c r="O6" s="5">
        <v>108.8</v>
      </c>
      <c r="P6" s="5">
        <v>107.1</v>
      </c>
      <c r="Q6" s="5">
        <v>107.1</v>
      </c>
      <c r="R6" s="5">
        <v>108.1</v>
      </c>
      <c r="S6" s="5">
        <v>107.4</v>
      </c>
      <c r="T6" s="5">
        <v>108</v>
      </c>
      <c r="U6" s="5">
        <v>0</v>
      </c>
      <c r="V6" s="5">
        <v>106.5</v>
      </c>
      <c r="W6" s="5">
        <v>106.1</v>
      </c>
      <c r="X6" s="5">
        <v>105.1</v>
      </c>
      <c r="Y6" s="5">
        <v>104.4</v>
      </c>
      <c r="Z6" s="5">
        <v>104.5</v>
      </c>
      <c r="AA6" s="5">
        <v>104.8</v>
      </c>
      <c r="AB6" s="5">
        <v>102.7</v>
      </c>
      <c r="AC6" s="5">
        <v>104.6</v>
      </c>
      <c r="AD6" s="6">
        <v>106.4</v>
      </c>
    </row>
    <row r="7" spans="1:30" hidden="1" x14ac:dyDescent="0.3">
      <c r="A7" s="9" t="s">
        <v>30</v>
      </c>
      <c r="B7" s="7">
        <v>2013</v>
      </c>
      <c r="C7" s="7" t="s">
        <v>37</v>
      </c>
      <c r="D7" s="7">
        <v>110.9</v>
      </c>
      <c r="E7" s="7">
        <v>109.8</v>
      </c>
      <c r="F7" s="7">
        <v>105.9</v>
      </c>
      <c r="G7" s="7">
        <v>107.5</v>
      </c>
      <c r="H7" s="7">
        <v>105.3</v>
      </c>
      <c r="I7" s="7">
        <v>108.1</v>
      </c>
      <c r="J7" s="7">
        <v>107.3</v>
      </c>
      <c r="K7" s="7">
        <v>106.1</v>
      </c>
      <c r="L7" s="7">
        <v>103.7</v>
      </c>
      <c r="M7" s="7">
        <v>104</v>
      </c>
      <c r="N7" s="7">
        <v>107.4</v>
      </c>
      <c r="O7" s="7">
        <v>109.9</v>
      </c>
      <c r="P7" s="7">
        <v>108.1</v>
      </c>
      <c r="Q7" s="7">
        <v>108.1</v>
      </c>
      <c r="R7" s="7">
        <v>108.8</v>
      </c>
      <c r="S7" s="7">
        <v>107.9</v>
      </c>
      <c r="T7" s="7">
        <v>108.6</v>
      </c>
      <c r="U7" s="7">
        <v>0</v>
      </c>
      <c r="V7" s="7">
        <v>107.5</v>
      </c>
      <c r="W7" s="7">
        <v>106.8</v>
      </c>
      <c r="X7" s="7">
        <v>105.7</v>
      </c>
      <c r="Y7" s="7">
        <v>104.1</v>
      </c>
      <c r="Z7" s="7">
        <v>105</v>
      </c>
      <c r="AA7" s="7">
        <v>105.5</v>
      </c>
      <c r="AB7" s="7">
        <v>102.1</v>
      </c>
      <c r="AC7" s="7">
        <v>104.8</v>
      </c>
      <c r="AD7" s="8">
        <v>107.2</v>
      </c>
    </row>
    <row r="8" spans="1:30" hidden="1" x14ac:dyDescent="0.3">
      <c r="A8" s="10" t="s">
        <v>30</v>
      </c>
      <c r="B8" s="5">
        <v>2013</v>
      </c>
      <c r="C8" s="5" t="s">
        <v>38</v>
      </c>
      <c r="D8" s="5">
        <v>112.3</v>
      </c>
      <c r="E8" s="5">
        <v>112.1</v>
      </c>
      <c r="F8" s="5">
        <v>108.1</v>
      </c>
      <c r="G8" s="5">
        <v>108.3</v>
      </c>
      <c r="H8" s="5">
        <v>105.9</v>
      </c>
      <c r="I8" s="5">
        <v>109.2</v>
      </c>
      <c r="J8" s="5">
        <v>118</v>
      </c>
      <c r="K8" s="5">
        <v>106.8</v>
      </c>
      <c r="L8" s="5">
        <v>104.1</v>
      </c>
      <c r="M8" s="5">
        <v>105.4</v>
      </c>
      <c r="N8" s="5">
        <v>108.2</v>
      </c>
      <c r="O8" s="5">
        <v>111</v>
      </c>
      <c r="P8" s="5">
        <v>110.6</v>
      </c>
      <c r="Q8" s="5">
        <v>109</v>
      </c>
      <c r="R8" s="5">
        <v>109.7</v>
      </c>
      <c r="S8" s="5">
        <v>108.8</v>
      </c>
      <c r="T8" s="5">
        <v>109.5</v>
      </c>
      <c r="U8" s="5">
        <v>0</v>
      </c>
      <c r="V8" s="5">
        <v>108.5</v>
      </c>
      <c r="W8" s="5">
        <v>107.5</v>
      </c>
      <c r="X8" s="5">
        <v>106.3</v>
      </c>
      <c r="Y8" s="5">
        <v>105</v>
      </c>
      <c r="Z8" s="5">
        <v>105.6</v>
      </c>
      <c r="AA8" s="5">
        <v>106.5</v>
      </c>
      <c r="AB8" s="5">
        <v>102.5</v>
      </c>
      <c r="AC8" s="5">
        <v>105.5</v>
      </c>
      <c r="AD8" s="6">
        <v>108.9</v>
      </c>
    </row>
    <row r="9" spans="1:30" hidden="1" x14ac:dyDescent="0.3">
      <c r="A9" s="9" t="s">
        <v>30</v>
      </c>
      <c r="B9" s="7">
        <v>2013</v>
      </c>
      <c r="C9" s="7" t="s">
        <v>39</v>
      </c>
      <c r="D9" s="7">
        <v>113.4</v>
      </c>
      <c r="E9" s="7">
        <v>114.9</v>
      </c>
      <c r="F9" s="7">
        <v>110.5</v>
      </c>
      <c r="G9" s="7">
        <v>109.3</v>
      </c>
      <c r="H9" s="7">
        <v>106.2</v>
      </c>
      <c r="I9" s="7">
        <v>110.3</v>
      </c>
      <c r="J9" s="7">
        <v>129.19999999999999</v>
      </c>
      <c r="K9" s="7">
        <v>107.1</v>
      </c>
      <c r="L9" s="7">
        <v>104.3</v>
      </c>
      <c r="M9" s="7">
        <v>106.4</v>
      </c>
      <c r="N9" s="7">
        <v>109.1</v>
      </c>
      <c r="O9" s="7">
        <v>112.1</v>
      </c>
      <c r="P9" s="7">
        <v>113.1</v>
      </c>
      <c r="Q9" s="7">
        <v>109.8</v>
      </c>
      <c r="R9" s="7">
        <v>110.5</v>
      </c>
      <c r="S9" s="7">
        <v>109.5</v>
      </c>
      <c r="T9" s="7">
        <v>110.3</v>
      </c>
      <c r="U9" s="7">
        <v>0</v>
      </c>
      <c r="V9" s="7">
        <v>109.5</v>
      </c>
      <c r="W9" s="7">
        <v>108.3</v>
      </c>
      <c r="X9" s="7">
        <v>106.9</v>
      </c>
      <c r="Y9" s="7">
        <v>106.8</v>
      </c>
      <c r="Z9" s="7">
        <v>106.4</v>
      </c>
      <c r="AA9" s="7">
        <v>107.8</v>
      </c>
      <c r="AB9" s="7">
        <v>102.5</v>
      </c>
      <c r="AC9" s="7">
        <v>106.5</v>
      </c>
      <c r="AD9" s="8">
        <v>110.7</v>
      </c>
    </row>
    <row r="10" spans="1:30" hidden="1" x14ac:dyDescent="0.3">
      <c r="A10" s="10" t="s">
        <v>30</v>
      </c>
      <c r="B10" s="5">
        <v>2013</v>
      </c>
      <c r="C10" s="5" t="s">
        <v>40</v>
      </c>
      <c r="D10" s="5">
        <v>114.3</v>
      </c>
      <c r="E10" s="5">
        <v>115.4</v>
      </c>
      <c r="F10" s="5">
        <v>111.1</v>
      </c>
      <c r="G10" s="5">
        <v>110</v>
      </c>
      <c r="H10" s="5">
        <v>106.4</v>
      </c>
      <c r="I10" s="5">
        <v>110.8</v>
      </c>
      <c r="J10" s="5">
        <v>138.9</v>
      </c>
      <c r="K10" s="5">
        <v>107.4</v>
      </c>
      <c r="L10" s="5">
        <v>104.1</v>
      </c>
      <c r="M10" s="5">
        <v>106.9</v>
      </c>
      <c r="N10" s="5">
        <v>109.7</v>
      </c>
      <c r="O10" s="5">
        <v>112.6</v>
      </c>
      <c r="P10" s="5">
        <v>114.9</v>
      </c>
      <c r="Q10" s="5">
        <v>110.7</v>
      </c>
      <c r="R10" s="5">
        <v>111.3</v>
      </c>
      <c r="S10" s="5">
        <v>110.2</v>
      </c>
      <c r="T10" s="5">
        <v>111.1</v>
      </c>
      <c r="U10" s="5">
        <v>0</v>
      </c>
      <c r="V10" s="5">
        <v>109.9</v>
      </c>
      <c r="W10" s="5">
        <v>108.7</v>
      </c>
      <c r="X10" s="5">
        <v>107.5</v>
      </c>
      <c r="Y10" s="5">
        <v>107.8</v>
      </c>
      <c r="Z10" s="5">
        <v>106.8</v>
      </c>
      <c r="AA10" s="5">
        <v>108.7</v>
      </c>
      <c r="AB10" s="5">
        <v>105</v>
      </c>
      <c r="AC10" s="5">
        <v>107.5</v>
      </c>
      <c r="AD10" s="6">
        <v>112.1</v>
      </c>
    </row>
    <row r="11" spans="1:30" hidden="1" x14ac:dyDescent="0.3">
      <c r="A11" s="9" t="s">
        <v>30</v>
      </c>
      <c r="B11" s="7">
        <v>2013</v>
      </c>
      <c r="C11" s="7" t="s">
        <v>41</v>
      </c>
      <c r="D11" s="7">
        <v>115.4</v>
      </c>
      <c r="E11" s="7">
        <v>115.7</v>
      </c>
      <c r="F11" s="7">
        <v>111.7</v>
      </c>
      <c r="G11" s="7">
        <v>111</v>
      </c>
      <c r="H11" s="7">
        <v>107.4</v>
      </c>
      <c r="I11" s="7">
        <v>110.9</v>
      </c>
      <c r="J11" s="7">
        <v>154</v>
      </c>
      <c r="K11" s="7">
        <v>108.1</v>
      </c>
      <c r="L11" s="7">
        <v>104.2</v>
      </c>
      <c r="M11" s="7">
        <v>107.9</v>
      </c>
      <c r="N11" s="7">
        <v>110.4</v>
      </c>
      <c r="O11" s="7">
        <v>114</v>
      </c>
      <c r="P11" s="7">
        <v>117.8</v>
      </c>
      <c r="Q11" s="7">
        <v>111.7</v>
      </c>
      <c r="R11" s="7">
        <v>112.7</v>
      </c>
      <c r="S11" s="7">
        <v>111.4</v>
      </c>
      <c r="T11" s="7">
        <v>112.5</v>
      </c>
      <c r="U11" s="7">
        <v>0</v>
      </c>
      <c r="V11" s="7">
        <v>111.1</v>
      </c>
      <c r="W11" s="7">
        <v>109.6</v>
      </c>
      <c r="X11" s="7">
        <v>108.3</v>
      </c>
      <c r="Y11" s="7">
        <v>109.3</v>
      </c>
      <c r="Z11" s="7">
        <v>107.7</v>
      </c>
      <c r="AA11" s="7">
        <v>109.8</v>
      </c>
      <c r="AB11" s="7">
        <v>106.7</v>
      </c>
      <c r="AC11" s="7">
        <v>108.7</v>
      </c>
      <c r="AD11" s="8">
        <v>114.2</v>
      </c>
    </row>
    <row r="12" spans="1:30" hidden="1" x14ac:dyDescent="0.3">
      <c r="A12" s="10" t="s">
        <v>30</v>
      </c>
      <c r="B12" s="5">
        <v>2013</v>
      </c>
      <c r="C12" s="5" t="s">
        <v>42</v>
      </c>
      <c r="D12" s="5">
        <v>116.3</v>
      </c>
      <c r="E12" s="5">
        <v>115.4</v>
      </c>
      <c r="F12" s="5">
        <v>112.6</v>
      </c>
      <c r="G12" s="5">
        <v>111.7</v>
      </c>
      <c r="H12" s="5">
        <v>107.7</v>
      </c>
      <c r="I12" s="5">
        <v>113.2</v>
      </c>
      <c r="J12" s="5">
        <v>164.9</v>
      </c>
      <c r="K12" s="5">
        <v>108.3</v>
      </c>
      <c r="L12" s="5">
        <v>103.9</v>
      </c>
      <c r="M12" s="5">
        <v>108.2</v>
      </c>
      <c r="N12" s="5">
        <v>111.1</v>
      </c>
      <c r="O12" s="5">
        <v>114.9</v>
      </c>
      <c r="P12" s="5">
        <v>119.8</v>
      </c>
      <c r="Q12" s="5">
        <v>112.2</v>
      </c>
      <c r="R12" s="5">
        <v>113.6</v>
      </c>
      <c r="S12" s="5">
        <v>112.3</v>
      </c>
      <c r="T12" s="5">
        <v>113.4</v>
      </c>
      <c r="U12" s="5">
        <v>0</v>
      </c>
      <c r="V12" s="5">
        <v>111.6</v>
      </c>
      <c r="W12" s="5">
        <v>110.4</v>
      </c>
      <c r="X12" s="5">
        <v>108.9</v>
      </c>
      <c r="Y12" s="5">
        <v>109.3</v>
      </c>
      <c r="Z12" s="5">
        <v>108.3</v>
      </c>
      <c r="AA12" s="5">
        <v>110.2</v>
      </c>
      <c r="AB12" s="5">
        <v>107.5</v>
      </c>
      <c r="AC12" s="5">
        <v>109.1</v>
      </c>
      <c r="AD12" s="6">
        <v>115.5</v>
      </c>
    </row>
    <row r="13" spans="1:30" hidden="1" x14ac:dyDescent="0.3">
      <c r="A13" s="9" t="s">
        <v>30</v>
      </c>
      <c r="B13" s="7">
        <v>2013</v>
      </c>
      <c r="C13" s="7" t="s">
        <v>43</v>
      </c>
      <c r="D13" s="7">
        <v>117.3</v>
      </c>
      <c r="E13" s="7">
        <v>114.9</v>
      </c>
      <c r="F13" s="7">
        <v>116.2</v>
      </c>
      <c r="G13" s="7">
        <v>112.8</v>
      </c>
      <c r="H13" s="7">
        <v>108.9</v>
      </c>
      <c r="I13" s="7">
        <v>116.6</v>
      </c>
      <c r="J13" s="7">
        <v>178.1</v>
      </c>
      <c r="K13" s="7">
        <v>109.1</v>
      </c>
      <c r="L13" s="7">
        <v>103.6</v>
      </c>
      <c r="M13" s="7">
        <v>109</v>
      </c>
      <c r="N13" s="7">
        <v>111.8</v>
      </c>
      <c r="O13" s="7">
        <v>116</v>
      </c>
      <c r="P13" s="7">
        <v>122.5</v>
      </c>
      <c r="Q13" s="7">
        <v>112.8</v>
      </c>
      <c r="R13" s="7">
        <v>114.6</v>
      </c>
      <c r="S13" s="7">
        <v>113.1</v>
      </c>
      <c r="T13" s="7">
        <v>114.4</v>
      </c>
      <c r="U13" s="7">
        <v>0</v>
      </c>
      <c r="V13" s="7">
        <v>112.6</v>
      </c>
      <c r="W13" s="7">
        <v>111.3</v>
      </c>
      <c r="X13" s="7">
        <v>109.7</v>
      </c>
      <c r="Y13" s="7">
        <v>109.6</v>
      </c>
      <c r="Z13" s="7">
        <v>108.7</v>
      </c>
      <c r="AA13" s="7">
        <v>111</v>
      </c>
      <c r="AB13" s="7">
        <v>108.2</v>
      </c>
      <c r="AC13" s="7">
        <v>109.8</v>
      </c>
      <c r="AD13" s="8">
        <v>117.4</v>
      </c>
    </row>
    <row r="14" spans="1:30" hidden="1" x14ac:dyDescent="0.3">
      <c r="A14" s="10" t="s">
        <v>30</v>
      </c>
      <c r="B14" s="5">
        <v>2013</v>
      </c>
      <c r="C14" s="5" t="s">
        <v>44</v>
      </c>
      <c r="D14" s="5">
        <v>118.4</v>
      </c>
      <c r="E14" s="5">
        <v>115.9</v>
      </c>
      <c r="F14" s="5">
        <v>120.4</v>
      </c>
      <c r="G14" s="5">
        <v>113.8</v>
      </c>
      <c r="H14" s="5">
        <v>109.5</v>
      </c>
      <c r="I14" s="5">
        <v>115.5</v>
      </c>
      <c r="J14" s="5">
        <v>145.69999999999999</v>
      </c>
      <c r="K14" s="5">
        <v>109.5</v>
      </c>
      <c r="L14" s="5">
        <v>102.9</v>
      </c>
      <c r="M14" s="5">
        <v>109.8</v>
      </c>
      <c r="N14" s="5">
        <v>112.1</v>
      </c>
      <c r="O14" s="5">
        <v>116.8</v>
      </c>
      <c r="P14" s="5">
        <v>118.7</v>
      </c>
      <c r="Q14" s="5">
        <v>113.6</v>
      </c>
      <c r="R14" s="5">
        <v>115.8</v>
      </c>
      <c r="S14" s="5">
        <v>114</v>
      </c>
      <c r="T14" s="5">
        <v>115.5</v>
      </c>
      <c r="U14" s="5">
        <v>0</v>
      </c>
      <c r="V14" s="5">
        <v>112.8</v>
      </c>
      <c r="W14" s="5">
        <v>112.1</v>
      </c>
      <c r="X14" s="5">
        <v>110.1</v>
      </c>
      <c r="Y14" s="5">
        <v>109.9</v>
      </c>
      <c r="Z14" s="5">
        <v>109.2</v>
      </c>
      <c r="AA14" s="5">
        <v>111.6</v>
      </c>
      <c r="AB14" s="5">
        <v>108.1</v>
      </c>
      <c r="AC14" s="5">
        <v>110.1</v>
      </c>
      <c r="AD14" s="6">
        <v>115.5</v>
      </c>
    </row>
    <row r="15" spans="1:30" hidden="1" x14ac:dyDescent="0.3">
      <c r="A15" s="9" t="s">
        <v>30</v>
      </c>
      <c r="B15" s="7">
        <v>2014</v>
      </c>
      <c r="C15" s="7" t="s">
        <v>31</v>
      </c>
      <c r="D15" s="7">
        <v>118.9</v>
      </c>
      <c r="E15" s="7">
        <v>117.1</v>
      </c>
      <c r="F15" s="7">
        <v>120.5</v>
      </c>
      <c r="G15" s="7">
        <v>114.4</v>
      </c>
      <c r="H15" s="7">
        <v>109</v>
      </c>
      <c r="I15" s="7">
        <v>115.5</v>
      </c>
      <c r="J15" s="7">
        <v>123.9</v>
      </c>
      <c r="K15" s="7">
        <v>109.6</v>
      </c>
      <c r="L15" s="7">
        <v>101.8</v>
      </c>
      <c r="M15" s="7">
        <v>110.2</v>
      </c>
      <c r="N15" s="7">
        <v>112.4</v>
      </c>
      <c r="O15" s="7">
        <v>117.3</v>
      </c>
      <c r="P15" s="7">
        <v>116</v>
      </c>
      <c r="Q15" s="7">
        <v>114</v>
      </c>
      <c r="R15" s="7">
        <v>116.5</v>
      </c>
      <c r="S15" s="7">
        <v>114.5</v>
      </c>
      <c r="T15" s="7">
        <v>116.2</v>
      </c>
      <c r="U15" s="7">
        <v>0</v>
      </c>
      <c r="V15" s="7">
        <v>113</v>
      </c>
      <c r="W15" s="7">
        <v>112.6</v>
      </c>
      <c r="X15" s="7">
        <v>110.6</v>
      </c>
      <c r="Y15" s="7">
        <v>110.5</v>
      </c>
      <c r="Z15" s="7">
        <v>109.6</v>
      </c>
      <c r="AA15" s="7">
        <v>111.8</v>
      </c>
      <c r="AB15" s="7">
        <v>108.3</v>
      </c>
      <c r="AC15" s="7">
        <v>110.6</v>
      </c>
      <c r="AD15" s="8">
        <v>114.2</v>
      </c>
    </row>
    <row r="16" spans="1:30" hidden="1" x14ac:dyDescent="0.3">
      <c r="A16" s="10" t="s">
        <v>30</v>
      </c>
      <c r="B16" s="5">
        <v>2014</v>
      </c>
      <c r="C16" s="5" t="s">
        <v>34</v>
      </c>
      <c r="D16" s="5">
        <v>119.4</v>
      </c>
      <c r="E16" s="5">
        <v>117.7</v>
      </c>
      <c r="F16" s="5">
        <v>121.2</v>
      </c>
      <c r="G16" s="5">
        <v>115</v>
      </c>
      <c r="H16" s="5">
        <v>109</v>
      </c>
      <c r="I16" s="5">
        <v>116.6</v>
      </c>
      <c r="J16" s="5">
        <v>116</v>
      </c>
      <c r="K16" s="5">
        <v>109.8</v>
      </c>
      <c r="L16" s="5">
        <v>101.1</v>
      </c>
      <c r="M16" s="5">
        <v>110.4</v>
      </c>
      <c r="N16" s="5">
        <v>112.9</v>
      </c>
      <c r="O16" s="5">
        <v>117.8</v>
      </c>
      <c r="P16" s="5">
        <v>115.3</v>
      </c>
      <c r="Q16" s="5">
        <v>114.2</v>
      </c>
      <c r="R16" s="5">
        <v>117.1</v>
      </c>
      <c r="S16" s="5">
        <v>114.5</v>
      </c>
      <c r="T16" s="5">
        <v>116.7</v>
      </c>
      <c r="U16" s="5">
        <v>0</v>
      </c>
      <c r="V16" s="5">
        <v>113.2</v>
      </c>
      <c r="W16" s="5">
        <v>112.9</v>
      </c>
      <c r="X16" s="5">
        <v>110.9</v>
      </c>
      <c r="Y16" s="5">
        <v>110.8</v>
      </c>
      <c r="Z16" s="5">
        <v>109.9</v>
      </c>
      <c r="AA16" s="5">
        <v>112</v>
      </c>
      <c r="AB16" s="5">
        <v>108.7</v>
      </c>
      <c r="AC16" s="5">
        <v>110.9</v>
      </c>
      <c r="AD16" s="6">
        <v>114</v>
      </c>
    </row>
    <row r="17" spans="1:30" hidden="1" x14ac:dyDescent="0.3">
      <c r="A17" s="9" t="s">
        <v>30</v>
      </c>
      <c r="B17" s="7">
        <v>2014</v>
      </c>
      <c r="C17" s="7" t="s">
        <v>35</v>
      </c>
      <c r="D17" s="7">
        <v>120.1</v>
      </c>
      <c r="E17" s="7">
        <v>118.1</v>
      </c>
      <c r="F17" s="7">
        <v>120.7</v>
      </c>
      <c r="G17" s="7">
        <v>116.1</v>
      </c>
      <c r="H17" s="7">
        <v>109.3</v>
      </c>
      <c r="I17" s="7">
        <v>119.6</v>
      </c>
      <c r="J17" s="7">
        <v>117.9</v>
      </c>
      <c r="K17" s="7">
        <v>110.2</v>
      </c>
      <c r="L17" s="7">
        <v>101.2</v>
      </c>
      <c r="M17" s="7">
        <v>110.7</v>
      </c>
      <c r="N17" s="7">
        <v>113</v>
      </c>
      <c r="O17" s="7">
        <v>118.3</v>
      </c>
      <c r="P17" s="7">
        <v>116.2</v>
      </c>
      <c r="Q17" s="7">
        <v>114.6</v>
      </c>
      <c r="R17" s="7">
        <v>117.5</v>
      </c>
      <c r="S17" s="7">
        <v>114.9</v>
      </c>
      <c r="T17" s="7">
        <v>117.2</v>
      </c>
      <c r="U17" s="7">
        <v>0</v>
      </c>
      <c r="V17" s="7">
        <v>113.4</v>
      </c>
      <c r="W17" s="7">
        <v>113.4</v>
      </c>
      <c r="X17" s="7">
        <v>111.4</v>
      </c>
      <c r="Y17" s="7">
        <v>111.2</v>
      </c>
      <c r="Z17" s="7">
        <v>110.2</v>
      </c>
      <c r="AA17" s="7">
        <v>112.4</v>
      </c>
      <c r="AB17" s="7">
        <v>108.9</v>
      </c>
      <c r="AC17" s="7">
        <v>111.3</v>
      </c>
      <c r="AD17" s="8">
        <v>114.6</v>
      </c>
    </row>
    <row r="18" spans="1:30" hidden="1" x14ac:dyDescent="0.3">
      <c r="A18" s="10" t="s">
        <v>30</v>
      </c>
      <c r="B18" s="5">
        <v>2014</v>
      </c>
      <c r="C18" s="5" t="s">
        <v>36</v>
      </c>
      <c r="D18" s="5">
        <v>120.2</v>
      </c>
      <c r="E18" s="5">
        <v>118.9</v>
      </c>
      <c r="F18" s="5">
        <v>118.1</v>
      </c>
      <c r="G18" s="5">
        <v>117</v>
      </c>
      <c r="H18" s="5">
        <v>109.7</v>
      </c>
      <c r="I18" s="5">
        <v>125.5</v>
      </c>
      <c r="J18" s="5">
        <v>120.5</v>
      </c>
      <c r="K18" s="5">
        <v>111</v>
      </c>
      <c r="L18" s="5">
        <v>102.6</v>
      </c>
      <c r="M18" s="5">
        <v>111.2</v>
      </c>
      <c r="N18" s="5">
        <v>113.5</v>
      </c>
      <c r="O18" s="5">
        <v>118.7</v>
      </c>
      <c r="P18" s="5">
        <v>117.2</v>
      </c>
      <c r="Q18" s="5">
        <v>115.4</v>
      </c>
      <c r="R18" s="5">
        <v>118.1</v>
      </c>
      <c r="S18" s="5">
        <v>116.1</v>
      </c>
      <c r="T18" s="5">
        <v>117.8</v>
      </c>
      <c r="U18" s="5">
        <v>0</v>
      </c>
      <c r="V18" s="5">
        <v>113.4</v>
      </c>
      <c r="W18" s="5">
        <v>113.7</v>
      </c>
      <c r="X18" s="5">
        <v>111.8</v>
      </c>
      <c r="Y18" s="5">
        <v>111.2</v>
      </c>
      <c r="Z18" s="5">
        <v>110.5</v>
      </c>
      <c r="AA18" s="5">
        <v>113</v>
      </c>
      <c r="AB18" s="5">
        <v>108.9</v>
      </c>
      <c r="AC18" s="5">
        <v>111.5</v>
      </c>
      <c r="AD18" s="6">
        <v>115.4</v>
      </c>
    </row>
    <row r="19" spans="1:30" hidden="1" x14ac:dyDescent="0.3">
      <c r="A19" s="9" t="s">
        <v>30</v>
      </c>
      <c r="B19" s="7">
        <v>2014</v>
      </c>
      <c r="C19" s="7" t="s">
        <v>37</v>
      </c>
      <c r="D19" s="7">
        <v>120.3</v>
      </c>
      <c r="E19" s="7">
        <v>120.2</v>
      </c>
      <c r="F19" s="7">
        <v>116.9</v>
      </c>
      <c r="G19" s="7">
        <v>118</v>
      </c>
      <c r="H19" s="7">
        <v>110.1</v>
      </c>
      <c r="I19" s="7">
        <v>126.3</v>
      </c>
      <c r="J19" s="7">
        <v>123.9</v>
      </c>
      <c r="K19" s="7">
        <v>111.5</v>
      </c>
      <c r="L19" s="7">
        <v>103.5</v>
      </c>
      <c r="M19" s="7">
        <v>111.6</v>
      </c>
      <c r="N19" s="7">
        <v>114.2</v>
      </c>
      <c r="O19" s="7">
        <v>119.2</v>
      </c>
      <c r="P19" s="7">
        <v>118.2</v>
      </c>
      <c r="Q19" s="7">
        <v>116.3</v>
      </c>
      <c r="R19" s="7">
        <v>118.7</v>
      </c>
      <c r="S19" s="7">
        <v>116.8</v>
      </c>
      <c r="T19" s="7">
        <v>118.5</v>
      </c>
      <c r="U19" s="7">
        <v>0</v>
      </c>
      <c r="V19" s="7">
        <v>113.4</v>
      </c>
      <c r="W19" s="7">
        <v>114.1</v>
      </c>
      <c r="X19" s="7">
        <v>112.1</v>
      </c>
      <c r="Y19" s="7">
        <v>111.4</v>
      </c>
      <c r="Z19" s="7">
        <v>110.9</v>
      </c>
      <c r="AA19" s="7">
        <v>113.1</v>
      </c>
      <c r="AB19" s="7">
        <v>108.9</v>
      </c>
      <c r="AC19" s="7">
        <v>111.8</v>
      </c>
      <c r="AD19" s="8">
        <v>116</v>
      </c>
    </row>
    <row r="20" spans="1:30" hidden="1" x14ac:dyDescent="0.3">
      <c r="A20" s="10" t="s">
        <v>30</v>
      </c>
      <c r="B20" s="5">
        <v>2014</v>
      </c>
      <c r="C20" s="5" t="s">
        <v>38</v>
      </c>
      <c r="D20" s="5">
        <v>120.7</v>
      </c>
      <c r="E20" s="5">
        <v>121.6</v>
      </c>
      <c r="F20" s="5">
        <v>116.1</v>
      </c>
      <c r="G20" s="5">
        <v>119.3</v>
      </c>
      <c r="H20" s="5">
        <v>110.3</v>
      </c>
      <c r="I20" s="5">
        <v>125.8</v>
      </c>
      <c r="J20" s="5">
        <v>129.30000000000001</v>
      </c>
      <c r="K20" s="5">
        <v>112.2</v>
      </c>
      <c r="L20" s="5">
        <v>103.6</v>
      </c>
      <c r="M20" s="5">
        <v>112.3</v>
      </c>
      <c r="N20" s="5">
        <v>114.9</v>
      </c>
      <c r="O20" s="5">
        <v>120.1</v>
      </c>
      <c r="P20" s="5">
        <v>119.5</v>
      </c>
      <c r="Q20" s="5">
        <v>117.3</v>
      </c>
      <c r="R20" s="5">
        <v>119.7</v>
      </c>
      <c r="S20" s="5">
        <v>117.3</v>
      </c>
      <c r="T20" s="5">
        <v>119.3</v>
      </c>
      <c r="U20" s="5">
        <v>0</v>
      </c>
      <c r="V20" s="5">
        <v>114.4</v>
      </c>
      <c r="W20" s="5">
        <v>114.9</v>
      </c>
      <c r="X20" s="5">
        <v>112.8</v>
      </c>
      <c r="Y20" s="5">
        <v>112.2</v>
      </c>
      <c r="Z20" s="5">
        <v>111.4</v>
      </c>
      <c r="AA20" s="5">
        <v>114.3</v>
      </c>
      <c r="AB20" s="5">
        <v>108</v>
      </c>
      <c r="AC20" s="5">
        <v>112.3</v>
      </c>
      <c r="AD20" s="6">
        <v>117</v>
      </c>
    </row>
    <row r="21" spans="1:30" hidden="1" x14ac:dyDescent="0.3">
      <c r="A21" s="9" t="s">
        <v>30</v>
      </c>
      <c r="B21" s="7">
        <v>2014</v>
      </c>
      <c r="C21" s="7" t="s">
        <v>39</v>
      </c>
      <c r="D21" s="7">
        <v>121.7</v>
      </c>
      <c r="E21" s="7">
        <v>122.5</v>
      </c>
      <c r="F21" s="7">
        <v>117.7</v>
      </c>
      <c r="G21" s="7">
        <v>120.6</v>
      </c>
      <c r="H21" s="7">
        <v>110.4</v>
      </c>
      <c r="I21" s="7">
        <v>129.1</v>
      </c>
      <c r="J21" s="7">
        <v>150.1</v>
      </c>
      <c r="K21" s="7">
        <v>113.2</v>
      </c>
      <c r="L21" s="7">
        <v>104.8</v>
      </c>
      <c r="M21" s="7">
        <v>113.3</v>
      </c>
      <c r="N21" s="7">
        <v>115.6</v>
      </c>
      <c r="O21" s="7">
        <v>120.9</v>
      </c>
      <c r="P21" s="7">
        <v>123.3</v>
      </c>
      <c r="Q21" s="7">
        <v>118</v>
      </c>
      <c r="R21" s="7">
        <v>120.7</v>
      </c>
      <c r="S21" s="7">
        <v>118.3</v>
      </c>
      <c r="T21" s="7">
        <v>120.3</v>
      </c>
      <c r="U21" s="7">
        <v>0</v>
      </c>
      <c r="V21" s="7">
        <v>115.3</v>
      </c>
      <c r="W21" s="7">
        <v>115.4</v>
      </c>
      <c r="X21" s="7">
        <v>113.4</v>
      </c>
      <c r="Y21" s="7">
        <v>113.2</v>
      </c>
      <c r="Z21" s="7">
        <v>111.8</v>
      </c>
      <c r="AA21" s="7">
        <v>115.5</v>
      </c>
      <c r="AB21" s="7">
        <v>108.8</v>
      </c>
      <c r="AC21" s="7">
        <v>113.1</v>
      </c>
      <c r="AD21" s="8">
        <v>119.5</v>
      </c>
    </row>
    <row r="22" spans="1:30" hidden="1" x14ac:dyDescent="0.3">
      <c r="A22" s="10" t="s">
        <v>30</v>
      </c>
      <c r="B22" s="5">
        <v>2014</v>
      </c>
      <c r="C22" s="5" t="s">
        <v>40</v>
      </c>
      <c r="D22" s="5">
        <v>121.8</v>
      </c>
      <c r="E22" s="5">
        <v>122.8</v>
      </c>
      <c r="F22" s="5">
        <v>117.8</v>
      </c>
      <c r="G22" s="5">
        <v>121.9</v>
      </c>
      <c r="H22" s="5">
        <v>110.6</v>
      </c>
      <c r="I22" s="5">
        <v>129.69999999999999</v>
      </c>
      <c r="J22" s="5">
        <v>161.1</v>
      </c>
      <c r="K22" s="5">
        <v>114.1</v>
      </c>
      <c r="L22" s="5">
        <v>105.1</v>
      </c>
      <c r="M22" s="5">
        <v>114.6</v>
      </c>
      <c r="N22" s="5">
        <v>115.8</v>
      </c>
      <c r="O22" s="5">
        <v>121.7</v>
      </c>
      <c r="P22" s="5">
        <v>125.3</v>
      </c>
      <c r="Q22" s="5">
        <v>118.8</v>
      </c>
      <c r="R22" s="5">
        <v>120.9</v>
      </c>
      <c r="S22" s="5">
        <v>118.8</v>
      </c>
      <c r="T22" s="5">
        <v>120.7</v>
      </c>
      <c r="U22" s="5">
        <v>0</v>
      </c>
      <c r="V22" s="5">
        <v>115.4</v>
      </c>
      <c r="W22" s="5">
        <v>115.9</v>
      </c>
      <c r="X22" s="5">
        <v>114</v>
      </c>
      <c r="Y22" s="5">
        <v>113.2</v>
      </c>
      <c r="Z22" s="5">
        <v>112.2</v>
      </c>
      <c r="AA22" s="5">
        <v>116.2</v>
      </c>
      <c r="AB22" s="5">
        <v>109.4</v>
      </c>
      <c r="AC22" s="5">
        <v>113.5</v>
      </c>
      <c r="AD22" s="6">
        <v>120.7</v>
      </c>
    </row>
    <row r="23" spans="1:30" hidden="1" x14ac:dyDescent="0.3">
      <c r="A23" s="9" t="s">
        <v>30</v>
      </c>
      <c r="B23" s="7">
        <v>2014</v>
      </c>
      <c r="C23" s="7" t="s">
        <v>41</v>
      </c>
      <c r="D23" s="7">
        <v>122.3</v>
      </c>
      <c r="E23" s="7">
        <v>122.4</v>
      </c>
      <c r="F23" s="7">
        <v>117.8</v>
      </c>
      <c r="G23" s="7">
        <v>122.7</v>
      </c>
      <c r="H23" s="7">
        <v>110.4</v>
      </c>
      <c r="I23" s="7">
        <v>129.80000000000001</v>
      </c>
      <c r="J23" s="7">
        <v>158.80000000000001</v>
      </c>
      <c r="K23" s="7">
        <v>115</v>
      </c>
      <c r="L23" s="7">
        <v>104.7</v>
      </c>
      <c r="M23" s="7">
        <v>114.9</v>
      </c>
      <c r="N23" s="7">
        <v>116.5</v>
      </c>
      <c r="O23" s="7">
        <v>122.6</v>
      </c>
      <c r="P23" s="7">
        <v>125.3</v>
      </c>
      <c r="Q23" s="7">
        <v>119.5</v>
      </c>
      <c r="R23" s="7">
        <v>121.7</v>
      </c>
      <c r="S23" s="7">
        <v>119.2</v>
      </c>
      <c r="T23" s="7">
        <v>121.3</v>
      </c>
      <c r="U23" s="7">
        <v>0</v>
      </c>
      <c r="V23" s="7">
        <v>115.8</v>
      </c>
      <c r="W23" s="7">
        <v>116.7</v>
      </c>
      <c r="X23" s="7">
        <v>114.5</v>
      </c>
      <c r="Y23" s="7">
        <v>112.8</v>
      </c>
      <c r="Z23" s="7">
        <v>112.6</v>
      </c>
      <c r="AA23" s="7">
        <v>116.6</v>
      </c>
      <c r="AB23" s="7">
        <v>109.1</v>
      </c>
      <c r="AC23" s="7">
        <v>113.7</v>
      </c>
      <c r="AD23" s="8">
        <v>120.9</v>
      </c>
    </row>
    <row r="24" spans="1:30" hidden="1" x14ac:dyDescent="0.3">
      <c r="A24" s="10" t="s">
        <v>30</v>
      </c>
      <c r="B24" s="5">
        <v>2014</v>
      </c>
      <c r="C24" s="5" t="s">
        <v>42</v>
      </c>
      <c r="D24" s="5">
        <v>122.6</v>
      </c>
      <c r="E24" s="5">
        <v>122.5</v>
      </c>
      <c r="F24" s="5">
        <v>118.3</v>
      </c>
      <c r="G24" s="5">
        <v>123.2</v>
      </c>
      <c r="H24" s="5">
        <v>110.5</v>
      </c>
      <c r="I24" s="5">
        <v>128.9</v>
      </c>
      <c r="J24" s="5">
        <v>155.30000000000001</v>
      </c>
      <c r="K24" s="5">
        <v>115.5</v>
      </c>
      <c r="L24" s="5">
        <v>104</v>
      </c>
      <c r="M24" s="5">
        <v>115.3</v>
      </c>
      <c r="N24" s="5">
        <v>116.8</v>
      </c>
      <c r="O24" s="5">
        <v>123.2</v>
      </c>
      <c r="P24" s="5">
        <v>125.1</v>
      </c>
      <c r="Q24" s="5">
        <v>120</v>
      </c>
      <c r="R24" s="5">
        <v>122.7</v>
      </c>
      <c r="S24" s="5">
        <v>120.3</v>
      </c>
      <c r="T24" s="5">
        <v>122.3</v>
      </c>
      <c r="U24" s="5">
        <v>0</v>
      </c>
      <c r="V24" s="5">
        <v>116.4</v>
      </c>
      <c r="W24" s="5">
        <v>117.5</v>
      </c>
      <c r="X24" s="5">
        <v>115.3</v>
      </c>
      <c r="Y24" s="5">
        <v>112.6</v>
      </c>
      <c r="Z24" s="5">
        <v>113</v>
      </c>
      <c r="AA24" s="5">
        <v>116.9</v>
      </c>
      <c r="AB24" s="5">
        <v>109.3</v>
      </c>
      <c r="AC24" s="5">
        <v>114</v>
      </c>
      <c r="AD24" s="6">
        <v>121</v>
      </c>
    </row>
    <row r="25" spans="1:30" hidden="1" x14ac:dyDescent="0.3">
      <c r="A25" s="9" t="s">
        <v>30</v>
      </c>
      <c r="B25" s="7">
        <v>2014</v>
      </c>
      <c r="C25" s="7" t="s">
        <v>43</v>
      </c>
      <c r="D25" s="7">
        <v>122.7</v>
      </c>
      <c r="E25" s="7">
        <v>122.6</v>
      </c>
      <c r="F25" s="7">
        <v>119.9</v>
      </c>
      <c r="G25" s="7">
        <v>124</v>
      </c>
      <c r="H25" s="7">
        <v>110.5</v>
      </c>
      <c r="I25" s="7">
        <v>128.80000000000001</v>
      </c>
      <c r="J25" s="7">
        <v>152</v>
      </c>
      <c r="K25" s="7">
        <v>116.2</v>
      </c>
      <c r="L25" s="7">
        <v>103.3</v>
      </c>
      <c r="M25" s="7">
        <v>115.8</v>
      </c>
      <c r="N25" s="7">
        <v>116.8</v>
      </c>
      <c r="O25" s="7">
        <v>124.5</v>
      </c>
      <c r="P25" s="7">
        <v>124.9</v>
      </c>
      <c r="Q25" s="7">
        <v>120.8</v>
      </c>
      <c r="R25" s="7">
        <v>123.3</v>
      </c>
      <c r="S25" s="7">
        <v>120.5</v>
      </c>
      <c r="T25" s="7">
        <v>122.9</v>
      </c>
      <c r="U25" s="7">
        <v>0</v>
      </c>
      <c r="V25" s="7">
        <v>117.3</v>
      </c>
      <c r="W25" s="7">
        <v>118.1</v>
      </c>
      <c r="X25" s="7">
        <v>115.9</v>
      </c>
      <c r="Y25" s="7">
        <v>112</v>
      </c>
      <c r="Z25" s="7">
        <v>113.3</v>
      </c>
      <c r="AA25" s="7">
        <v>117.2</v>
      </c>
      <c r="AB25" s="7">
        <v>108.8</v>
      </c>
      <c r="AC25" s="7">
        <v>114.1</v>
      </c>
      <c r="AD25" s="8">
        <v>121.1</v>
      </c>
    </row>
    <row r="26" spans="1:30" hidden="1" x14ac:dyDescent="0.3">
      <c r="A26" s="10" t="s">
        <v>30</v>
      </c>
      <c r="B26" s="5">
        <v>2014</v>
      </c>
      <c r="C26" s="5" t="s">
        <v>44</v>
      </c>
      <c r="D26" s="5">
        <v>122.4</v>
      </c>
      <c r="E26" s="5">
        <v>122.4</v>
      </c>
      <c r="F26" s="5">
        <v>121.8</v>
      </c>
      <c r="G26" s="5">
        <v>124.2</v>
      </c>
      <c r="H26" s="5">
        <v>110.2</v>
      </c>
      <c r="I26" s="5">
        <v>128.6</v>
      </c>
      <c r="J26" s="5">
        <v>140.30000000000001</v>
      </c>
      <c r="K26" s="5">
        <v>116.3</v>
      </c>
      <c r="L26" s="5">
        <v>102</v>
      </c>
      <c r="M26" s="5">
        <v>116</v>
      </c>
      <c r="N26" s="5">
        <v>117.3</v>
      </c>
      <c r="O26" s="5">
        <v>124.8</v>
      </c>
      <c r="P26" s="5">
        <v>123.3</v>
      </c>
      <c r="Q26" s="5">
        <v>121.7</v>
      </c>
      <c r="R26" s="5">
        <v>123.8</v>
      </c>
      <c r="S26" s="5">
        <v>120.6</v>
      </c>
      <c r="T26" s="5">
        <v>123.3</v>
      </c>
      <c r="U26" s="5">
        <v>0</v>
      </c>
      <c r="V26" s="5">
        <v>117.4</v>
      </c>
      <c r="W26" s="5">
        <v>118.2</v>
      </c>
      <c r="X26" s="5">
        <v>116.2</v>
      </c>
      <c r="Y26" s="5">
        <v>111.5</v>
      </c>
      <c r="Z26" s="5">
        <v>113.3</v>
      </c>
      <c r="AA26" s="5">
        <v>117.7</v>
      </c>
      <c r="AB26" s="5">
        <v>109.4</v>
      </c>
      <c r="AC26" s="5">
        <v>114.2</v>
      </c>
      <c r="AD26" s="6">
        <v>120.3</v>
      </c>
    </row>
    <row r="27" spans="1:30" hidden="1" x14ac:dyDescent="0.3">
      <c r="A27" s="9" t="s">
        <v>30</v>
      </c>
      <c r="B27" s="7">
        <v>2015</v>
      </c>
      <c r="C27" s="7" t="s">
        <v>31</v>
      </c>
      <c r="D27" s="7">
        <v>123.1</v>
      </c>
      <c r="E27" s="7">
        <v>123.1</v>
      </c>
      <c r="F27" s="7">
        <v>122.1</v>
      </c>
      <c r="G27" s="7">
        <v>124.9</v>
      </c>
      <c r="H27" s="7">
        <v>111</v>
      </c>
      <c r="I27" s="7">
        <v>130.4</v>
      </c>
      <c r="J27" s="7">
        <v>132.30000000000001</v>
      </c>
      <c r="K27" s="7">
        <v>117.2</v>
      </c>
      <c r="L27" s="7">
        <v>100.5</v>
      </c>
      <c r="M27" s="7">
        <v>117.2</v>
      </c>
      <c r="N27" s="7">
        <v>117.9</v>
      </c>
      <c r="O27" s="7">
        <v>125.6</v>
      </c>
      <c r="P27" s="7">
        <v>122.8</v>
      </c>
      <c r="Q27" s="7">
        <v>122.7</v>
      </c>
      <c r="R27" s="7">
        <v>124.4</v>
      </c>
      <c r="S27" s="7">
        <v>121.6</v>
      </c>
      <c r="T27" s="7">
        <v>124</v>
      </c>
      <c r="U27" s="7">
        <v>0</v>
      </c>
      <c r="V27" s="7">
        <v>118.4</v>
      </c>
      <c r="W27" s="7">
        <v>118.9</v>
      </c>
      <c r="X27" s="7">
        <v>116.6</v>
      </c>
      <c r="Y27" s="7">
        <v>111</v>
      </c>
      <c r="Z27" s="7">
        <v>114</v>
      </c>
      <c r="AA27" s="7">
        <v>118.2</v>
      </c>
      <c r="AB27" s="7">
        <v>110.2</v>
      </c>
      <c r="AC27" s="7">
        <v>114.5</v>
      </c>
      <c r="AD27" s="8">
        <v>120.3</v>
      </c>
    </row>
    <row r="28" spans="1:30" hidden="1" x14ac:dyDescent="0.3">
      <c r="A28" s="10" t="s">
        <v>30</v>
      </c>
      <c r="B28" s="5">
        <v>2015</v>
      </c>
      <c r="C28" s="5" t="s">
        <v>34</v>
      </c>
      <c r="D28" s="5">
        <v>123.4</v>
      </c>
      <c r="E28" s="5">
        <v>124.4</v>
      </c>
      <c r="F28" s="5">
        <v>122.1</v>
      </c>
      <c r="G28" s="5">
        <v>125.8</v>
      </c>
      <c r="H28" s="5">
        <v>111.5</v>
      </c>
      <c r="I28" s="5">
        <v>129.4</v>
      </c>
      <c r="J28" s="5">
        <v>128.19999999999999</v>
      </c>
      <c r="K28" s="5">
        <v>118.8</v>
      </c>
      <c r="L28" s="5">
        <v>100</v>
      </c>
      <c r="M28" s="5">
        <v>118.6</v>
      </c>
      <c r="N28" s="5">
        <v>118.8</v>
      </c>
      <c r="O28" s="5">
        <v>126.8</v>
      </c>
      <c r="P28" s="5">
        <v>122.8</v>
      </c>
      <c r="Q28" s="5">
        <v>124.2</v>
      </c>
      <c r="R28" s="5">
        <v>125.4</v>
      </c>
      <c r="S28" s="5">
        <v>122.7</v>
      </c>
      <c r="T28" s="5">
        <v>125</v>
      </c>
      <c r="U28" s="5">
        <v>0</v>
      </c>
      <c r="V28" s="5">
        <v>120</v>
      </c>
      <c r="W28" s="5">
        <v>119.6</v>
      </c>
      <c r="X28" s="5">
        <v>117.7</v>
      </c>
      <c r="Y28" s="5">
        <v>110.9</v>
      </c>
      <c r="Z28" s="5">
        <v>114.8</v>
      </c>
      <c r="AA28" s="5">
        <v>118.7</v>
      </c>
      <c r="AB28" s="5">
        <v>110.8</v>
      </c>
      <c r="AC28" s="5">
        <v>115</v>
      </c>
      <c r="AD28" s="6">
        <v>120.6</v>
      </c>
    </row>
    <row r="29" spans="1:30" hidden="1" x14ac:dyDescent="0.3">
      <c r="A29" s="9" t="s">
        <v>30</v>
      </c>
      <c r="B29" s="7">
        <v>2015</v>
      </c>
      <c r="C29" s="7" t="s">
        <v>35</v>
      </c>
      <c r="D29" s="7">
        <v>123.3</v>
      </c>
      <c r="E29" s="7">
        <v>124.7</v>
      </c>
      <c r="F29" s="7">
        <v>118.9</v>
      </c>
      <c r="G29" s="7">
        <v>126</v>
      </c>
      <c r="H29" s="7">
        <v>111.8</v>
      </c>
      <c r="I29" s="7">
        <v>130.9</v>
      </c>
      <c r="J29" s="7">
        <v>128</v>
      </c>
      <c r="K29" s="7">
        <v>119.9</v>
      </c>
      <c r="L29" s="7">
        <v>98.9</v>
      </c>
      <c r="M29" s="7">
        <v>119.4</v>
      </c>
      <c r="N29" s="7">
        <v>118.9</v>
      </c>
      <c r="O29" s="7">
        <v>127.7</v>
      </c>
      <c r="P29" s="7">
        <v>123.1</v>
      </c>
      <c r="Q29" s="7">
        <v>124.7</v>
      </c>
      <c r="R29" s="7">
        <v>126</v>
      </c>
      <c r="S29" s="7">
        <v>122.9</v>
      </c>
      <c r="T29" s="7">
        <v>125.5</v>
      </c>
      <c r="U29" s="7">
        <v>0</v>
      </c>
      <c r="V29" s="7">
        <v>120.6</v>
      </c>
      <c r="W29" s="7">
        <v>120.2</v>
      </c>
      <c r="X29" s="7">
        <v>118.2</v>
      </c>
      <c r="Y29" s="7">
        <v>111.6</v>
      </c>
      <c r="Z29" s="7">
        <v>115.5</v>
      </c>
      <c r="AA29" s="7">
        <v>119.4</v>
      </c>
      <c r="AB29" s="7">
        <v>110.8</v>
      </c>
      <c r="AC29" s="7">
        <v>115.5</v>
      </c>
      <c r="AD29" s="8">
        <v>121.1</v>
      </c>
    </row>
    <row r="30" spans="1:30" hidden="1" x14ac:dyDescent="0.3">
      <c r="A30" s="10" t="s">
        <v>30</v>
      </c>
      <c r="B30" s="5">
        <v>2015</v>
      </c>
      <c r="C30" s="5" t="s">
        <v>36</v>
      </c>
      <c r="D30" s="5">
        <v>123.3</v>
      </c>
      <c r="E30" s="5">
        <v>125.5</v>
      </c>
      <c r="F30" s="5">
        <v>117.2</v>
      </c>
      <c r="G30" s="5">
        <v>126.8</v>
      </c>
      <c r="H30" s="5">
        <v>111.9</v>
      </c>
      <c r="I30" s="5">
        <v>134.19999999999999</v>
      </c>
      <c r="J30" s="5">
        <v>127.5</v>
      </c>
      <c r="K30" s="5">
        <v>121.5</v>
      </c>
      <c r="L30" s="5">
        <v>97.8</v>
      </c>
      <c r="M30" s="5">
        <v>119.8</v>
      </c>
      <c r="N30" s="5">
        <v>119.4</v>
      </c>
      <c r="O30" s="5">
        <v>128.69999999999999</v>
      </c>
      <c r="P30" s="5">
        <v>123.6</v>
      </c>
      <c r="Q30" s="5">
        <v>125.7</v>
      </c>
      <c r="R30" s="5">
        <v>126.4</v>
      </c>
      <c r="S30" s="5">
        <v>123.3</v>
      </c>
      <c r="T30" s="5">
        <v>126</v>
      </c>
      <c r="U30" s="5">
        <v>0</v>
      </c>
      <c r="V30" s="5">
        <v>121.2</v>
      </c>
      <c r="W30" s="5">
        <v>120.9</v>
      </c>
      <c r="X30" s="5">
        <v>118.6</v>
      </c>
      <c r="Y30" s="5">
        <v>111.9</v>
      </c>
      <c r="Z30" s="5">
        <v>116.2</v>
      </c>
      <c r="AA30" s="5">
        <v>119.9</v>
      </c>
      <c r="AB30" s="5">
        <v>111.6</v>
      </c>
      <c r="AC30" s="5">
        <v>116</v>
      </c>
      <c r="AD30" s="6">
        <v>121.5</v>
      </c>
    </row>
    <row r="31" spans="1:30" hidden="1" x14ac:dyDescent="0.3">
      <c r="A31" s="9" t="s">
        <v>30</v>
      </c>
      <c r="B31" s="7">
        <v>2015</v>
      </c>
      <c r="C31" s="7" t="s">
        <v>37</v>
      </c>
      <c r="D31" s="7">
        <v>123.5</v>
      </c>
      <c r="E31" s="7">
        <v>127.1</v>
      </c>
      <c r="F31" s="7">
        <v>117.3</v>
      </c>
      <c r="G31" s="7">
        <v>127.7</v>
      </c>
      <c r="H31" s="7">
        <v>112.5</v>
      </c>
      <c r="I31" s="7">
        <v>134.1</v>
      </c>
      <c r="J31" s="7">
        <v>128.5</v>
      </c>
      <c r="K31" s="7">
        <v>124.3</v>
      </c>
      <c r="L31" s="7">
        <v>97.6</v>
      </c>
      <c r="M31" s="7">
        <v>120.7</v>
      </c>
      <c r="N31" s="7">
        <v>120.2</v>
      </c>
      <c r="O31" s="7">
        <v>129.80000000000001</v>
      </c>
      <c r="P31" s="7">
        <v>124.4</v>
      </c>
      <c r="Q31" s="7">
        <v>126.7</v>
      </c>
      <c r="R31" s="7">
        <v>127.3</v>
      </c>
      <c r="S31" s="7">
        <v>124.1</v>
      </c>
      <c r="T31" s="7">
        <v>126.8</v>
      </c>
      <c r="U31" s="7">
        <v>0</v>
      </c>
      <c r="V31" s="7">
        <v>121.9</v>
      </c>
      <c r="W31" s="7">
        <v>121.5</v>
      </c>
      <c r="X31" s="7">
        <v>119.4</v>
      </c>
      <c r="Y31" s="7">
        <v>113.3</v>
      </c>
      <c r="Z31" s="7">
        <v>116.7</v>
      </c>
      <c r="AA31" s="7">
        <v>120.5</v>
      </c>
      <c r="AB31" s="7">
        <v>112.3</v>
      </c>
      <c r="AC31" s="7">
        <v>116.9</v>
      </c>
      <c r="AD31" s="8">
        <v>122.4</v>
      </c>
    </row>
    <row r="32" spans="1:30" hidden="1" x14ac:dyDescent="0.3">
      <c r="A32" s="10" t="s">
        <v>30</v>
      </c>
      <c r="B32" s="5">
        <v>2015</v>
      </c>
      <c r="C32" s="5" t="s">
        <v>38</v>
      </c>
      <c r="D32" s="5">
        <v>124.1</v>
      </c>
      <c r="E32" s="5">
        <v>130.4</v>
      </c>
      <c r="F32" s="5">
        <v>122.1</v>
      </c>
      <c r="G32" s="5">
        <v>128.69999999999999</v>
      </c>
      <c r="H32" s="5">
        <v>114.1</v>
      </c>
      <c r="I32" s="5">
        <v>133.19999999999999</v>
      </c>
      <c r="J32" s="5">
        <v>135.19999999999999</v>
      </c>
      <c r="K32" s="5">
        <v>131.9</v>
      </c>
      <c r="L32" s="5">
        <v>96.3</v>
      </c>
      <c r="M32" s="5">
        <v>123</v>
      </c>
      <c r="N32" s="5">
        <v>121.1</v>
      </c>
      <c r="O32" s="5">
        <v>131.19999999999999</v>
      </c>
      <c r="P32" s="5">
        <v>126.6</v>
      </c>
      <c r="Q32" s="5">
        <v>128.19999999999999</v>
      </c>
      <c r="R32" s="5">
        <v>128.4</v>
      </c>
      <c r="S32" s="5">
        <v>125.1</v>
      </c>
      <c r="T32" s="5">
        <v>128</v>
      </c>
      <c r="U32" s="5">
        <v>0</v>
      </c>
      <c r="V32" s="5">
        <v>122.6</v>
      </c>
      <c r="W32" s="5">
        <v>122.8</v>
      </c>
      <c r="X32" s="5">
        <v>120.4</v>
      </c>
      <c r="Y32" s="5">
        <v>114.2</v>
      </c>
      <c r="Z32" s="5">
        <v>117.9</v>
      </c>
      <c r="AA32" s="5">
        <v>122</v>
      </c>
      <c r="AB32" s="5">
        <v>113</v>
      </c>
      <c r="AC32" s="5">
        <v>117.9</v>
      </c>
      <c r="AD32" s="6">
        <v>124.1</v>
      </c>
    </row>
    <row r="33" spans="1:30" hidden="1" x14ac:dyDescent="0.3">
      <c r="A33" s="9" t="s">
        <v>30</v>
      </c>
      <c r="B33" s="7">
        <v>2015</v>
      </c>
      <c r="C33" s="7" t="s">
        <v>39</v>
      </c>
      <c r="D33" s="7">
        <v>124</v>
      </c>
      <c r="E33" s="7">
        <v>131.5</v>
      </c>
      <c r="F33" s="7">
        <v>122</v>
      </c>
      <c r="G33" s="7">
        <v>128.69999999999999</v>
      </c>
      <c r="H33" s="7">
        <v>113.5</v>
      </c>
      <c r="I33" s="7">
        <v>133.30000000000001</v>
      </c>
      <c r="J33" s="7">
        <v>140.80000000000001</v>
      </c>
      <c r="K33" s="7">
        <v>133.80000000000001</v>
      </c>
      <c r="L33" s="7">
        <v>94.1</v>
      </c>
      <c r="M33" s="7">
        <v>123.4</v>
      </c>
      <c r="N33" s="7">
        <v>121</v>
      </c>
      <c r="O33" s="7">
        <v>131.69999999999999</v>
      </c>
      <c r="P33" s="7">
        <v>127.5</v>
      </c>
      <c r="Q33" s="7">
        <v>129.4</v>
      </c>
      <c r="R33" s="7">
        <v>128.80000000000001</v>
      </c>
      <c r="S33" s="7">
        <v>125.5</v>
      </c>
      <c r="T33" s="7">
        <v>128.30000000000001</v>
      </c>
      <c r="U33" s="7">
        <v>0</v>
      </c>
      <c r="V33" s="7">
        <v>123</v>
      </c>
      <c r="W33" s="7">
        <v>123</v>
      </c>
      <c r="X33" s="7">
        <v>120.8</v>
      </c>
      <c r="Y33" s="7">
        <v>114.1</v>
      </c>
      <c r="Z33" s="7">
        <v>118</v>
      </c>
      <c r="AA33" s="7">
        <v>122.9</v>
      </c>
      <c r="AB33" s="7">
        <v>112.7</v>
      </c>
      <c r="AC33" s="7">
        <v>118.1</v>
      </c>
      <c r="AD33" s="8">
        <v>124.7</v>
      </c>
    </row>
    <row r="34" spans="1:30" hidden="1" x14ac:dyDescent="0.3">
      <c r="A34" s="10" t="s">
        <v>30</v>
      </c>
      <c r="B34" s="5">
        <v>2015</v>
      </c>
      <c r="C34" s="5" t="s">
        <v>40</v>
      </c>
      <c r="D34" s="5">
        <v>124.7</v>
      </c>
      <c r="E34" s="5">
        <v>131.30000000000001</v>
      </c>
      <c r="F34" s="5">
        <v>121.3</v>
      </c>
      <c r="G34" s="5">
        <v>128.80000000000001</v>
      </c>
      <c r="H34" s="5">
        <v>114</v>
      </c>
      <c r="I34" s="5">
        <v>134.19999999999999</v>
      </c>
      <c r="J34" s="5">
        <v>153.6</v>
      </c>
      <c r="K34" s="5">
        <v>137.9</v>
      </c>
      <c r="L34" s="5">
        <v>93.1</v>
      </c>
      <c r="M34" s="5">
        <v>123.9</v>
      </c>
      <c r="N34" s="5">
        <v>121.5</v>
      </c>
      <c r="O34" s="5">
        <v>132.5</v>
      </c>
      <c r="P34" s="5">
        <v>129.80000000000001</v>
      </c>
      <c r="Q34" s="5">
        <v>130.1</v>
      </c>
      <c r="R34" s="5">
        <v>129.5</v>
      </c>
      <c r="S34" s="5">
        <v>126.3</v>
      </c>
      <c r="T34" s="5">
        <v>129</v>
      </c>
      <c r="U34" s="5">
        <v>0</v>
      </c>
      <c r="V34" s="5">
        <v>123.8</v>
      </c>
      <c r="W34" s="5">
        <v>123.7</v>
      </c>
      <c r="X34" s="5">
        <v>121.1</v>
      </c>
      <c r="Y34" s="5">
        <v>113.6</v>
      </c>
      <c r="Z34" s="5">
        <v>118.5</v>
      </c>
      <c r="AA34" s="5">
        <v>123.6</v>
      </c>
      <c r="AB34" s="5">
        <v>112.5</v>
      </c>
      <c r="AC34" s="5">
        <v>118.2</v>
      </c>
      <c r="AD34" s="6">
        <v>126.1</v>
      </c>
    </row>
    <row r="35" spans="1:30" hidden="1" x14ac:dyDescent="0.3">
      <c r="A35" s="9" t="s">
        <v>30</v>
      </c>
      <c r="B35" s="7">
        <v>2015</v>
      </c>
      <c r="C35" s="7" t="s">
        <v>41</v>
      </c>
      <c r="D35" s="7">
        <v>125.1</v>
      </c>
      <c r="E35" s="7">
        <v>131.1</v>
      </c>
      <c r="F35" s="7">
        <v>120.7</v>
      </c>
      <c r="G35" s="7">
        <v>129.19999999999999</v>
      </c>
      <c r="H35" s="7">
        <v>114.7</v>
      </c>
      <c r="I35" s="7">
        <v>132.30000000000001</v>
      </c>
      <c r="J35" s="7">
        <v>158.9</v>
      </c>
      <c r="K35" s="7">
        <v>142.1</v>
      </c>
      <c r="L35" s="7">
        <v>92.5</v>
      </c>
      <c r="M35" s="7">
        <v>125.4</v>
      </c>
      <c r="N35" s="7">
        <v>121.9</v>
      </c>
      <c r="O35" s="7">
        <v>132.69999999999999</v>
      </c>
      <c r="P35" s="7">
        <v>131</v>
      </c>
      <c r="Q35" s="7">
        <v>131</v>
      </c>
      <c r="R35" s="7">
        <v>130.4</v>
      </c>
      <c r="S35" s="7">
        <v>126.8</v>
      </c>
      <c r="T35" s="7">
        <v>129.9</v>
      </c>
      <c r="U35" s="7">
        <v>0</v>
      </c>
      <c r="V35" s="7">
        <v>123.7</v>
      </c>
      <c r="W35" s="7">
        <v>124.5</v>
      </c>
      <c r="X35" s="7">
        <v>121.4</v>
      </c>
      <c r="Y35" s="7">
        <v>113.8</v>
      </c>
      <c r="Z35" s="7">
        <v>119.6</v>
      </c>
      <c r="AA35" s="7">
        <v>124.5</v>
      </c>
      <c r="AB35" s="7">
        <v>113.7</v>
      </c>
      <c r="AC35" s="7">
        <v>118.8</v>
      </c>
      <c r="AD35" s="8">
        <v>127</v>
      </c>
    </row>
    <row r="36" spans="1:30" hidden="1" x14ac:dyDescent="0.3">
      <c r="A36" s="10" t="s">
        <v>30</v>
      </c>
      <c r="B36" s="5">
        <v>2015</v>
      </c>
      <c r="C36" s="5" t="s">
        <v>42</v>
      </c>
      <c r="D36" s="5">
        <v>125.6</v>
      </c>
      <c r="E36" s="5">
        <v>130.4</v>
      </c>
      <c r="F36" s="5">
        <v>120.8</v>
      </c>
      <c r="G36" s="5">
        <v>129.4</v>
      </c>
      <c r="H36" s="5">
        <v>115.8</v>
      </c>
      <c r="I36" s="5">
        <v>133.19999999999999</v>
      </c>
      <c r="J36" s="5">
        <v>157.69999999999999</v>
      </c>
      <c r="K36" s="5">
        <v>154.19999999999999</v>
      </c>
      <c r="L36" s="5">
        <v>93.7</v>
      </c>
      <c r="M36" s="5">
        <v>126.6</v>
      </c>
      <c r="N36" s="5">
        <v>122.3</v>
      </c>
      <c r="O36" s="5">
        <v>133.1</v>
      </c>
      <c r="P36" s="5">
        <v>131.80000000000001</v>
      </c>
      <c r="Q36" s="5">
        <v>131.5</v>
      </c>
      <c r="R36" s="5">
        <v>131.1</v>
      </c>
      <c r="S36" s="5">
        <v>127.3</v>
      </c>
      <c r="T36" s="5">
        <v>130.6</v>
      </c>
      <c r="U36" s="5">
        <v>0</v>
      </c>
      <c r="V36" s="5">
        <v>124.4</v>
      </c>
      <c r="W36" s="5">
        <v>125.1</v>
      </c>
      <c r="X36" s="5">
        <v>122</v>
      </c>
      <c r="Y36" s="5">
        <v>113.8</v>
      </c>
      <c r="Z36" s="5">
        <v>120.1</v>
      </c>
      <c r="AA36" s="5">
        <v>125.1</v>
      </c>
      <c r="AB36" s="5">
        <v>114.2</v>
      </c>
      <c r="AC36" s="5">
        <v>119.2</v>
      </c>
      <c r="AD36" s="6">
        <v>127.7</v>
      </c>
    </row>
    <row r="37" spans="1:30" hidden="1" x14ac:dyDescent="0.3">
      <c r="A37" s="9" t="s">
        <v>30</v>
      </c>
      <c r="B37" s="7">
        <v>2015</v>
      </c>
      <c r="C37" s="7" t="s">
        <v>43</v>
      </c>
      <c r="D37" s="7">
        <v>126.1</v>
      </c>
      <c r="E37" s="7">
        <v>130.6</v>
      </c>
      <c r="F37" s="7">
        <v>121.7</v>
      </c>
      <c r="G37" s="7">
        <v>129.5</v>
      </c>
      <c r="H37" s="7">
        <v>117.8</v>
      </c>
      <c r="I37" s="7">
        <v>132.1</v>
      </c>
      <c r="J37" s="7">
        <v>155.19999999999999</v>
      </c>
      <c r="K37" s="7">
        <v>160.80000000000001</v>
      </c>
      <c r="L37" s="7">
        <v>94.5</v>
      </c>
      <c r="M37" s="7">
        <v>128.30000000000001</v>
      </c>
      <c r="N37" s="7">
        <v>123.1</v>
      </c>
      <c r="O37" s="7">
        <v>134.19999999999999</v>
      </c>
      <c r="P37" s="7">
        <v>132.4</v>
      </c>
      <c r="Q37" s="7">
        <v>132.19999999999999</v>
      </c>
      <c r="R37" s="7">
        <v>132.1</v>
      </c>
      <c r="S37" s="7">
        <v>128.19999999999999</v>
      </c>
      <c r="T37" s="7">
        <v>131.5</v>
      </c>
      <c r="U37" s="7">
        <v>0</v>
      </c>
      <c r="V37" s="7">
        <v>125.6</v>
      </c>
      <c r="W37" s="7">
        <v>125.6</v>
      </c>
      <c r="X37" s="7">
        <v>122.6</v>
      </c>
      <c r="Y37" s="7">
        <v>114</v>
      </c>
      <c r="Z37" s="7">
        <v>120.9</v>
      </c>
      <c r="AA37" s="7">
        <v>125.8</v>
      </c>
      <c r="AB37" s="7">
        <v>114.2</v>
      </c>
      <c r="AC37" s="7">
        <v>119.6</v>
      </c>
      <c r="AD37" s="8">
        <v>128.30000000000001</v>
      </c>
    </row>
    <row r="38" spans="1:30" hidden="1" x14ac:dyDescent="0.3">
      <c r="A38" s="10" t="s">
        <v>30</v>
      </c>
      <c r="B38" s="5">
        <v>2015</v>
      </c>
      <c r="C38" s="5" t="s">
        <v>44</v>
      </c>
      <c r="D38" s="5">
        <v>126.3</v>
      </c>
      <c r="E38" s="5">
        <v>131.30000000000001</v>
      </c>
      <c r="F38" s="5">
        <v>123.3</v>
      </c>
      <c r="G38" s="5">
        <v>129.80000000000001</v>
      </c>
      <c r="H38" s="5">
        <v>118.3</v>
      </c>
      <c r="I38" s="5">
        <v>131.6</v>
      </c>
      <c r="J38" s="5">
        <v>145.5</v>
      </c>
      <c r="K38" s="5">
        <v>162.1</v>
      </c>
      <c r="L38" s="5">
        <v>95.4</v>
      </c>
      <c r="M38" s="5">
        <v>128.9</v>
      </c>
      <c r="N38" s="5">
        <v>123.3</v>
      </c>
      <c r="O38" s="5">
        <v>135.1</v>
      </c>
      <c r="P38" s="5">
        <v>131.4</v>
      </c>
      <c r="Q38" s="5">
        <v>133.1</v>
      </c>
      <c r="R38" s="5">
        <v>132.5</v>
      </c>
      <c r="S38" s="5">
        <v>128.5</v>
      </c>
      <c r="T38" s="5">
        <v>131.9</v>
      </c>
      <c r="U38" s="5">
        <v>0</v>
      </c>
      <c r="V38" s="5">
        <v>125.7</v>
      </c>
      <c r="W38" s="5">
        <v>126</v>
      </c>
      <c r="X38" s="5">
        <v>123.1</v>
      </c>
      <c r="Y38" s="5">
        <v>114</v>
      </c>
      <c r="Z38" s="5">
        <v>121.6</v>
      </c>
      <c r="AA38" s="5">
        <v>125.6</v>
      </c>
      <c r="AB38" s="5">
        <v>114.1</v>
      </c>
      <c r="AC38" s="5">
        <v>119.8</v>
      </c>
      <c r="AD38" s="6">
        <v>127.9</v>
      </c>
    </row>
    <row r="39" spans="1:30" hidden="1" x14ac:dyDescent="0.3">
      <c r="A39" s="9" t="s">
        <v>30</v>
      </c>
      <c r="B39" s="7">
        <v>2016</v>
      </c>
      <c r="C39" s="7" t="s">
        <v>31</v>
      </c>
      <c r="D39" s="7">
        <v>126.8</v>
      </c>
      <c r="E39" s="7">
        <v>133.19999999999999</v>
      </c>
      <c r="F39" s="7">
        <v>126.5</v>
      </c>
      <c r="G39" s="7">
        <v>130.30000000000001</v>
      </c>
      <c r="H39" s="7">
        <v>118.9</v>
      </c>
      <c r="I39" s="7">
        <v>131.6</v>
      </c>
      <c r="J39" s="7">
        <v>140.1</v>
      </c>
      <c r="K39" s="7">
        <v>163.80000000000001</v>
      </c>
      <c r="L39" s="7">
        <v>97.7</v>
      </c>
      <c r="M39" s="7">
        <v>129.6</v>
      </c>
      <c r="N39" s="7">
        <v>124.3</v>
      </c>
      <c r="O39" s="7">
        <v>135.9</v>
      </c>
      <c r="P39" s="7">
        <v>131.4</v>
      </c>
      <c r="Q39" s="7">
        <v>133.6</v>
      </c>
      <c r="R39" s="7">
        <v>133.19999999999999</v>
      </c>
      <c r="S39" s="7">
        <v>128.9</v>
      </c>
      <c r="T39" s="7">
        <v>132.6</v>
      </c>
      <c r="U39" s="7">
        <v>0</v>
      </c>
      <c r="V39" s="7">
        <v>126.2</v>
      </c>
      <c r="W39" s="7">
        <v>126.6</v>
      </c>
      <c r="X39" s="7">
        <v>123.7</v>
      </c>
      <c r="Y39" s="7">
        <v>113.6</v>
      </c>
      <c r="Z39" s="7">
        <v>121.4</v>
      </c>
      <c r="AA39" s="7">
        <v>126.2</v>
      </c>
      <c r="AB39" s="7">
        <v>114.9</v>
      </c>
      <c r="AC39" s="7">
        <v>120.1</v>
      </c>
      <c r="AD39" s="8">
        <v>128.1</v>
      </c>
    </row>
    <row r="40" spans="1:30" hidden="1" x14ac:dyDescent="0.3">
      <c r="A40" s="10" t="s">
        <v>30</v>
      </c>
      <c r="B40" s="5">
        <v>2016</v>
      </c>
      <c r="C40" s="5" t="s">
        <v>34</v>
      </c>
      <c r="D40" s="5">
        <v>127.1</v>
      </c>
      <c r="E40" s="5">
        <v>133.69999999999999</v>
      </c>
      <c r="F40" s="5">
        <v>127.7</v>
      </c>
      <c r="G40" s="5">
        <v>130.69999999999999</v>
      </c>
      <c r="H40" s="5">
        <v>118.5</v>
      </c>
      <c r="I40" s="5">
        <v>130.4</v>
      </c>
      <c r="J40" s="5">
        <v>130.9</v>
      </c>
      <c r="K40" s="5">
        <v>162.80000000000001</v>
      </c>
      <c r="L40" s="5">
        <v>98.7</v>
      </c>
      <c r="M40" s="5">
        <v>130.6</v>
      </c>
      <c r="N40" s="5">
        <v>124.8</v>
      </c>
      <c r="O40" s="5">
        <v>136.4</v>
      </c>
      <c r="P40" s="5">
        <v>130.30000000000001</v>
      </c>
      <c r="Q40" s="5">
        <v>134.4</v>
      </c>
      <c r="R40" s="5">
        <v>133.9</v>
      </c>
      <c r="S40" s="5">
        <v>129.80000000000001</v>
      </c>
      <c r="T40" s="5">
        <v>133.4</v>
      </c>
      <c r="U40" s="5">
        <v>0</v>
      </c>
      <c r="V40" s="5">
        <v>127.5</v>
      </c>
      <c r="W40" s="5">
        <v>127.1</v>
      </c>
      <c r="X40" s="5">
        <v>124.3</v>
      </c>
      <c r="Y40" s="5">
        <v>113.9</v>
      </c>
      <c r="Z40" s="5">
        <v>122.3</v>
      </c>
      <c r="AA40" s="5">
        <v>127.1</v>
      </c>
      <c r="AB40" s="5">
        <v>116.8</v>
      </c>
      <c r="AC40" s="5">
        <v>120.9</v>
      </c>
      <c r="AD40" s="6">
        <v>127.9</v>
      </c>
    </row>
    <row r="41" spans="1:30" hidden="1" x14ac:dyDescent="0.3">
      <c r="A41" s="9" t="s">
        <v>30</v>
      </c>
      <c r="B41" s="7">
        <v>2016</v>
      </c>
      <c r="C41" s="7" t="s">
        <v>35</v>
      </c>
      <c r="D41" s="7">
        <v>127.3</v>
      </c>
      <c r="E41" s="7">
        <v>134.4</v>
      </c>
      <c r="F41" s="7">
        <v>125.1</v>
      </c>
      <c r="G41" s="7">
        <v>130.5</v>
      </c>
      <c r="H41" s="7">
        <v>118.3</v>
      </c>
      <c r="I41" s="7">
        <v>131.69999999999999</v>
      </c>
      <c r="J41" s="7">
        <v>130.69999999999999</v>
      </c>
      <c r="K41" s="7">
        <v>161.19999999999999</v>
      </c>
      <c r="L41" s="7">
        <v>100.4</v>
      </c>
      <c r="M41" s="7">
        <v>130.80000000000001</v>
      </c>
      <c r="N41" s="7">
        <v>124.9</v>
      </c>
      <c r="O41" s="7">
        <v>137</v>
      </c>
      <c r="P41" s="7">
        <v>130.4</v>
      </c>
      <c r="Q41" s="7">
        <v>135</v>
      </c>
      <c r="R41" s="7">
        <v>134.4</v>
      </c>
      <c r="S41" s="7">
        <v>130.19999999999999</v>
      </c>
      <c r="T41" s="7">
        <v>133.80000000000001</v>
      </c>
      <c r="U41" s="7">
        <v>0</v>
      </c>
      <c r="V41" s="7">
        <v>127</v>
      </c>
      <c r="W41" s="7">
        <v>127.7</v>
      </c>
      <c r="X41" s="7">
        <v>124.8</v>
      </c>
      <c r="Y41" s="7">
        <v>113.6</v>
      </c>
      <c r="Z41" s="7">
        <v>122.5</v>
      </c>
      <c r="AA41" s="7">
        <v>127.5</v>
      </c>
      <c r="AB41" s="7">
        <v>117.4</v>
      </c>
      <c r="AC41" s="7">
        <v>121.1</v>
      </c>
      <c r="AD41" s="8">
        <v>128</v>
      </c>
    </row>
    <row r="42" spans="1:30" hidden="1" x14ac:dyDescent="0.3">
      <c r="A42" s="10" t="s">
        <v>30</v>
      </c>
      <c r="B42" s="5">
        <v>2016</v>
      </c>
      <c r="C42" s="5" t="s">
        <v>36</v>
      </c>
      <c r="D42" s="5">
        <v>127.4</v>
      </c>
      <c r="E42" s="5">
        <v>135.4</v>
      </c>
      <c r="F42" s="5">
        <v>123.4</v>
      </c>
      <c r="G42" s="5">
        <v>131.30000000000001</v>
      </c>
      <c r="H42" s="5">
        <v>118.2</v>
      </c>
      <c r="I42" s="5">
        <v>138.1</v>
      </c>
      <c r="J42" s="5">
        <v>134.1</v>
      </c>
      <c r="K42" s="5">
        <v>162.69999999999999</v>
      </c>
      <c r="L42" s="5">
        <v>105</v>
      </c>
      <c r="M42" s="5">
        <v>131.4</v>
      </c>
      <c r="N42" s="5">
        <v>125.4</v>
      </c>
      <c r="O42" s="5">
        <v>137.4</v>
      </c>
      <c r="P42" s="5">
        <v>131.80000000000001</v>
      </c>
      <c r="Q42" s="5">
        <v>135.5</v>
      </c>
      <c r="R42" s="5">
        <v>135</v>
      </c>
      <c r="S42" s="5">
        <v>130.6</v>
      </c>
      <c r="T42" s="5">
        <v>134.4</v>
      </c>
      <c r="U42" s="5">
        <v>0</v>
      </c>
      <c r="V42" s="5">
        <v>127</v>
      </c>
      <c r="W42" s="5">
        <v>128</v>
      </c>
      <c r="X42" s="5">
        <v>125.2</v>
      </c>
      <c r="Y42" s="5">
        <v>114.4</v>
      </c>
      <c r="Z42" s="5">
        <v>123.2</v>
      </c>
      <c r="AA42" s="5">
        <v>127.9</v>
      </c>
      <c r="AB42" s="5">
        <v>118.4</v>
      </c>
      <c r="AC42" s="5">
        <v>121.7</v>
      </c>
      <c r="AD42" s="6">
        <v>129</v>
      </c>
    </row>
    <row r="43" spans="1:30" hidden="1" x14ac:dyDescent="0.3">
      <c r="A43" s="9" t="s">
        <v>30</v>
      </c>
      <c r="B43" s="7">
        <v>2016</v>
      </c>
      <c r="C43" s="7" t="s">
        <v>37</v>
      </c>
      <c r="D43" s="7">
        <v>127.6</v>
      </c>
      <c r="E43" s="7">
        <v>137.5</v>
      </c>
      <c r="F43" s="7">
        <v>124.4</v>
      </c>
      <c r="G43" s="7">
        <v>132.4</v>
      </c>
      <c r="H43" s="7">
        <v>118.2</v>
      </c>
      <c r="I43" s="7">
        <v>138.1</v>
      </c>
      <c r="J43" s="7">
        <v>141.80000000000001</v>
      </c>
      <c r="K43" s="7">
        <v>166</v>
      </c>
      <c r="L43" s="7">
        <v>107.5</v>
      </c>
      <c r="M43" s="7">
        <v>132.19999999999999</v>
      </c>
      <c r="N43" s="7">
        <v>126.1</v>
      </c>
      <c r="O43" s="7">
        <v>138.30000000000001</v>
      </c>
      <c r="P43" s="7">
        <v>133.6</v>
      </c>
      <c r="Q43" s="7">
        <v>136</v>
      </c>
      <c r="R43" s="7">
        <v>135.4</v>
      </c>
      <c r="S43" s="7">
        <v>131.1</v>
      </c>
      <c r="T43" s="7">
        <v>134.80000000000001</v>
      </c>
      <c r="U43" s="7">
        <v>0</v>
      </c>
      <c r="V43" s="7">
        <v>127.4</v>
      </c>
      <c r="W43" s="7">
        <v>128.5</v>
      </c>
      <c r="X43" s="7">
        <v>125.8</v>
      </c>
      <c r="Y43" s="7">
        <v>115.1</v>
      </c>
      <c r="Z43" s="7">
        <v>123.6</v>
      </c>
      <c r="AA43" s="7">
        <v>129.1</v>
      </c>
      <c r="AB43" s="7">
        <v>119.7</v>
      </c>
      <c r="AC43" s="7">
        <v>122.5</v>
      </c>
      <c r="AD43" s="8">
        <v>130.30000000000001</v>
      </c>
    </row>
    <row r="44" spans="1:30" hidden="1" x14ac:dyDescent="0.3">
      <c r="A44" s="10" t="s">
        <v>30</v>
      </c>
      <c r="B44" s="5">
        <v>2016</v>
      </c>
      <c r="C44" s="5" t="s">
        <v>38</v>
      </c>
      <c r="D44" s="5">
        <v>128.6</v>
      </c>
      <c r="E44" s="5">
        <v>138.6</v>
      </c>
      <c r="F44" s="5">
        <v>126.6</v>
      </c>
      <c r="G44" s="5">
        <v>133.6</v>
      </c>
      <c r="H44" s="5">
        <v>118.6</v>
      </c>
      <c r="I44" s="5">
        <v>137.4</v>
      </c>
      <c r="J44" s="5">
        <v>152.5</v>
      </c>
      <c r="K44" s="5">
        <v>169.2</v>
      </c>
      <c r="L44" s="5">
        <v>108.8</v>
      </c>
      <c r="M44" s="5">
        <v>133.1</v>
      </c>
      <c r="N44" s="5">
        <v>126.4</v>
      </c>
      <c r="O44" s="5">
        <v>139.19999999999999</v>
      </c>
      <c r="P44" s="5">
        <v>136</v>
      </c>
      <c r="Q44" s="5">
        <v>137.19999999999999</v>
      </c>
      <c r="R44" s="5">
        <v>136.30000000000001</v>
      </c>
      <c r="S44" s="5">
        <v>131.6</v>
      </c>
      <c r="T44" s="5">
        <v>135.6</v>
      </c>
      <c r="U44" s="5">
        <v>0</v>
      </c>
      <c r="V44" s="5">
        <v>128</v>
      </c>
      <c r="W44" s="5">
        <v>129.30000000000001</v>
      </c>
      <c r="X44" s="5">
        <v>126.2</v>
      </c>
      <c r="Y44" s="5">
        <v>116.3</v>
      </c>
      <c r="Z44" s="5">
        <v>124.1</v>
      </c>
      <c r="AA44" s="5">
        <v>130.19999999999999</v>
      </c>
      <c r="AB44" s="5">
        <v>119.9</v>
      </c>
      <c r="AC44" s="5">
        <v>123.3</v>
      </c>
      <c r="AD44" s="6">
        <v>131.9</v>
      </c>
    </row>
    <row r="45" spans="1:30" hidden="1" x14ac:dyDescent="0.3">
      <c r="A45" s="9" t="s">
        <v>30</v>
      </c>
      <c r="B45" s="7">
        <v>2016</v>
      </c>
      <c r="C45" s="7" t="s">
        <v>39</v>
      </c>
      <c r="D45" s="7">
        <v>129.30000000000001</v>
      </c>
      <c r="E45" s="7">
        <v>139.5</v>
      </c>
      <c r="F45" s="7">
        <v>129.6</v>
      </c>
      <c r="G45" s="7">
        <v>134.5</v>
      </c>
      <c r="H45" s="7">
        <v>119.5</v>
      </c>
      <c r="I45" s="7">
        <v>138.5</v>
      </c>
      <c r="J45" s="7">
        <v>158.19999999999999</v>
      </c>
      <c r="K45" s="7">
        <v>171.8</v>
      </c>
      <c r="L45" s="7">
        <v>110.3</v>
      </c>
      <c r="M45" s="7">
        <v>134.30000000000001</v>
      </c>
      <c r="N45" s="7">
        <v>127.3</v>
      </c>
      <c r="O45" s="7">
        <v>139.9</v>
      </c>
      <c r="P45" s="7">
        <v>137.6</v>
      </c>
      <c r="Q45" s="7">
        <v>138</v>
      </c>
      <c r="R45" s="7">
        <v>137.19999999999999</v>
      </c>
      <c r="S45" s="7">
        <v>132.19999999999999</v>
      </c>
      <c r="T45" s="7">
        <v>136.5</v>
      </c>
      <c r="U45" s="7">
        <v>0</v>
      </c>
      <c r="V45" s="7">
        <v>128.19999999999999</v>
      </c>
      <c r="W45" s="7">
        <v>130</v>
      </c>
      <c r="X45" s="7">
        <v>126.7</v>
      </c>
      <c r="Y45" s="7">
        <v>116.4</v>
      </c>
      <c r="Z45" s="7">
        <v>125.2</v>
      </c>
      <c r="AA45" s="7">
        <v>130.80000000000001</v>
      </c>
      <c r="AB45" s="7">
        <v>120.9</v>
      </c>
      <c r="AC45" s="7">
        <v>123.8</v>
      </c>
      <c r="AD45" s="8">
        <v>133</v>
      </c>
    </row>
    <row r="46" spans="1:30" hidden="1" x14ac:dyDescent="0.3">
      <c r="A46" s="10" t="s">
        <v>30</v>
      </c>
      <c r="B46" s="5">
        <v>2016</v>
      </c>
      <c r="C46" s="5" t="s">
        <v>40</v>
      </c>
      <c r="D46" s="5">
        <v>130.1</v>
      </c>
      <c r="E46" s="5">
        <v>138.80000000000001</v>
      </c>
      <c r="F46" s="5">
        <v>130.30000000000001</v>
      </c>
      <c r="G46" s="5">
        <v>135.30000000000001</v>
      </c>
      <c r="H46" s="5">
        <v>119.9</v>
      </c>
      <c r="I46" s="5">
        <v>140.19999999999999</v>
      </c>
      <c r="J46" s="5">
        <v>156.9</v>
      </c>
      <c r="K46" s="5">
        <v>172.2</v>
      </c>
      <c r="L46" s="5">
        <v>112.1</v>
      </c>
      <c r="M46" s="5">
        <v>134.9</v>
      </c>
      <c r="N46" s="5">
        <v>128.1</v>
      </c>
      <c r="O46" s="5">
        <v>140.69999999999999</v>
      </c>
      <c r="P46" s="5">
        <v>138</v>
      </c>
      <c r="Q46" s="5">
        <v>138.9</v>
      </c>
      <c r="R46" s="5">
        <v>137.80000000000001</v>
      </c>
      <c r="S46" s="5">
        <v>133</v>
      </c>
      <c r="T46" s="5">
        <v>137.1</v>
      </c>
      <c r="U46" s="5">
        <v>0</v>
      </c>
      <c r="V46" s="5">
        <v>129.1</v>
      </c>
      <c r="W46" s="5">
        <v>130.6</v>
      </c>
      <c r="X46" s="5">
        <v>127</v>
      </c>
      <c r="Y46" s="5">
        <v>116</v>
      </c>
      <c r="Z46" s="5">
        <v>125.5</v>
      </c>
      <c r="AA46" s="5">
        <v>131.9</v>
      </c>
      <c r="AB46" s="5">
        <v>122</v>
      </c>
      <c r="AC46" s="5">
        <v>124.2</v>
      </c>
      <c r="AD46" s="6">
        <v>133.5</v>
      </c>
    </row>
    <row r="47" spans="1:30" hidden="1" x14ac:dyDescent="0.3">
      <c r="A47" s="9" t="s">
        <v>30</v>
      </c>
      <c r="B47" s="7">
        <v>2016</v>
      </c>
      <c r="C47" s="7" t="s">
        <v>41</v>
      </c>
      <c r="D47" s="7">
        <v>130.80000000000001</v>
      </c>
      <c r="E47" s="7">
        <v>138.19999999999999</v>
      </c>
      <c r="F47" s="7">
        <v>130.5</v>
      </c>
      <c r="G47" s="7">
        <v>135.5</v>
      </c>
      <c r="H47" s="7">
        <v>120.2</v>
      </c>
      <c r="I47" s="7">
        <v>139.19999999999999</v>
      </c>
      <c r="J47" s="7">
        <v>149.5</v>
      </c>
      <c r="K47" s="7">
        <v>170.4</v>
      </c>
      <c r="L47" s="7">
        <v>113.1</v>
      </c>
      <c r="M47" s="7">
        <v>135.80000000000001</v>
      </c>
      <c r="N47" s="7">
        <v>128.80000000000001</v>
      </c>
      <c r="O47" s="7">
        <v>141.5</v>
      </c>
      <c r="P47" s="7">
        <v>137.19999999999999</v>
      </c>
      <c r="Q47" s="7">
        <v>139.9</v>
      </c>
      <c r="R47" s="7">
        <v>138.5</v>
      </c>
      <c r="S47" s="7">
        <v>133.5</v>
      </c>
      <c r="T47" s="7">
        <v>137.80000000000001</v>
      </c>
      <c r="U47" s="7">
        <v>0</v>
      </c>
      <c r="V47" s="7">
        <v>129.69999999999999</v>
      </c>
      <c r="W47" s="7">
        <v>131.1</v>
      </c>
      <c r="X47" s="7">
        <v>127.8</v>
      </c>
      <c r="Y47" s="7">
        <v>117</v>
      </c>
      <c r="Z47" s="7">
        <v>125.7</v>
      </c>
      <c r="AA47" s="7">
        <v>132.19999999999999</v>
      </c>
      <c r="AB47" s="7">
        <v>122.8</v>
      </c>
      <c r="AC47" s="7">
        <v>124.9</v>
      </c>
      <c r="AD47" s="8">
        <v>133.4</v>
      </c>
    </row>
    <row r="48" spans="1:30" hidden="1" x14ac:dyDescent="0.3">
      <c r="A48" s="10" t="s">
        <v>30</v>
      </c>
      <c r="B48" s="5">
        <v>2016</v>
      </c>
      <c r="C48" s="5" t="s">
        <v>42</v>
      </c>
      <c r="D48" s="5">
        <v>131.30000000000001</v>
      </c>
      <c r="E48" s="5">
        <v>137.6</v>
      </c>
      <c r="F48" s="5">
        <v>130.1</v>
      </c>
      <c r="G48" s="5">
        <v>136</v>
      </c>
      <c r="H48" s="5">
        <v>120.8</v>
      </c>
      <c r="I48" s="5">
        <v>138.4</v>
      </c>
      <c r="J48" s="5">
        <v>149.19999999999999</v>
      </c>
      <c r="K48" s="5">
        <v>170.2</v>
      </c>
      <c r="L48" s="5">
        <v>113.4</v>
      </c>
      <c r="M48" s="5">
        <v>136.30000000000001</v>
      </c>
      <c r="N48" s="5">
        <v>128.69999999999999</v>
      </c>
      <c r="O48" s="5">
        <v>142.4</v>
      </c>
      <c r="P48" s="5">
        <v>137.4</v>
      </c>
      <c r="Q48" s="5">
        <v>140.9</v>
      </c>
      <c r="R48" s="5">
        <v>139.6</v>
      </c>
      <c r="S48" s="5">
        <v>134.30000000000001</v>
      </c>
      <c r="T48" s="5">
        <v>138.80000000000001</v>
      </c>
      <c r="U48" s="5">
        <v>0</v>
      </c>
      <c r="V48" s="5">
        <v>129.80000000000001</v>
      </c>
      <c r="W48" s="5">
        <v>131.80000000000001</v>
      </c>
      <c r="X48" s="5">
        <v>128.69999999999999</v>
      </c>
      <c r="Y48" s="5">
        <v>117.8</v>
      </c>
      <c r="Z48" s="5">
        <v>126.5</v>
      </c>
      <c r="AA48" s="5">
        <v>133</v>
      </c>
      <c r="AB48" s="5">
        <v>123</v>
      </c>
      <c r="AC48" s="5">
        <v>125.7</v>
      </c>
      <c r="AD48" s="6">
        <v>133.80000000000001</v>
      </c>
    </row>
    <row r="49" spans="1:30" hidden="1" x14ac:dyDescent="0.3">
      <c r="A49" s="9" t="s">
        <v>30</v>
      </c>
      <c r="B49" s="7">
        <v>2016</v>
      </c>
      <c r="C49" s="7" t="s">
        <v>43</v>
      </c>
      <c r="D49" s="7">
        <v>132</v>
      </c>
      <c r="E49" s="7">
        <v>137.4</v>
      </c>
      <c r="F49" s="7">
        <v>130.6</v>
      </c>
      <c r="G49" s="7">
        <v>136.19999999999999</v>
      </c>
      <c r="H49" s="7">
        <v>121.1</v>
      </c>
      <c r="I49" s="7">
        <v>136.9</v>
      </c>
      <c r="J49" s="7">
        <v>141.80000000000001</v>
      </c>
      <c r="K49" s="7">
        <v>170</v>
      </c>
      <c r="L49" s="7">
        <v>113.4</v>
      </c>
      <c r="M49" s="7">
        <v>136.80000000000001</v>
      </c>
      <c r="N49" s="7">
        <v>128.69999999999999</v>
      </c>
      <c r="O49" s="7">
        <v>143.1</v>
      </c>
      <c r="P49" s="7">
        <v>136.6</v>
      </c>
      <c r="Q49" s="7">
        <v>141.19999999999999</v>
      </c>
      <c r="R49" s="7">
        <v>139.9</v>
      </c>
      <c r="S49" s="7">
        <v>134.5</v>
      </c>
      <c r="T49" s="7">
        <v>139.19999999999999</v>
      </c>
      <c r="U49" s="7">
        <v>0</v>
      </c>
      <c r="V49" s="7">
        <v>130.30000000000001</v>
      </c>
      <c r="W49" s="7">
        <v>132.1</v>
      </c>
      <c r="X49" s="7">
        <v>129.1</v>
      </c>
      <c r="Y49" s="7">
        <v>118.2</v>
      </c>
      <c r="Z49" s="7">
        <v>126.9</v>
      </c>
      <c r="AA49" s="7">
        <v>133.69999999999999</v>
      </c>
      <c r="AB49" s="7">
        <v>123.5</v>
      </c>
      <c r="AC49" s="7">
        <v>126.1</v>
      </c>
      <c r="AD49" s="8">
        <v>133.6</v>
      </c>
    </row>
    <row r="50" spans="1:30" hidden="1" x14ac:dyDescent="0.3">
      <c r="A50" s="10" t="s">
        <v>30</v>
      </c>
      <c r="B50" s="5">
        <v>2016</v>
      </c>
      <c r="C50" s="5" t="s">
        <v>44</v>
      </c>
      <c r="D50" s="5">
        <v>132.6</v>
      </c>
      <c r="E50" s="5">
        <v>137.30000000000001</v>
      </c>
      <c r="F50" s="5">
        <v>131.6</v>
      </c>
      <c r="G50" s="5">
        <v>136.30000000000001</v>
      </c>
      <c r="H50" s="5">
        <v>121.6</v>
      </c>
      <c r="I50" s="5">
        <v>135.6</v>
      </c>
      <c r="J50" s="5">
        <v>127.5</v>
      </c>
      <c r="K50" s="5">
        <v>167.9</v>
      </c>
      <c r="L50" s="5">
        <v>113.8</v>
      </c>
      <c r="M50" s="5">
        <v>137.5</v>
      </c>
      <c r="N50" s="5">
        <v>129.1</v>
      </c>
      <c r="O50" s="5">
        <v>143.6</v>
      </c>
      <c r="P50" s="5">
        <v>134.69999999999999</v>
      </c>
      <c r="Q50" s="5">
        <v>142.4</v>
      </c>
      <c r="R50" s="5">
        <v>140.4</v>
      </c>
      <c r="S50" s="5">
        <v>135.19999999999999</v>
      </c>
      <c r="T50" s="5">
        <v>139.69999999999999</v>
      </c>
      <c r="U50" s="5">
        <v>0</v>
      </c>
      <c r="V50" s="5">
        <v>132</v>
      </c>
      <c r="W50" s="5">
        <v>132.9</v>
      </c>
      <c r="X50" s="5">
        <v>129.69999999999999</v>
      </c>
      <c r="Y50" s="5">
        <v>118.6</v>
      </c>
      <c r="Z50" s="5">
        <v>127.3</v>
      </c>
      <c r="AA50" s="5">
        <v>134.19999999999999</v>
      </c>
      <c r="AB50" s="5">
        <v>121.9</v>
      </c>
      <c r="AC50" s="5">
        <v>126.3</v>
      </c>
      <c r="AD50" s="6">
        <v>132.80000000000001</v>
      </c>
    </row>
    <row r="51" spans="1:30" hidden="1" x14ac:dyDescent="0.3">
      <c r="A51" s="9" t="s">
        <v>30</v>
      </c>
      <c r="B51" s="7">
        <v>2017</v>
      </c>
      <c r="C51" s="7" t="s">
        <v>31</v>
      </c>
      <c r="D51" s="7">
        <v>133.1</v>
      </c>
      <c r="E51" s="7">
        <v>137.80000000000001</v>
      </c>
      <c r="F51" s="7">
        <v>131.9</v>
      </c>
      <c r="G51" s="7">
        <v>136.69999999999999</v>
      </c>
      <c r="H51" s="7">
        <v>122</v>
      </c>
      <c r="I51" s="7">
        <v>136</v>
      </c>
      <c r="J51" s="7">
        <v>119.8</v>
      </c>
      <c r="K51" s="7">
        <v>161.69999999999999</v>
      </c>
      <c r="L51" s="7">
        <v>114.8</v>
      </c>
      <c r="M51" s="7">
        <v>136.9</v>
      </c>
      <c r="N51" s="7">
        <v>129</v>
      </c>
      <c r="O51" s="7">
        <v>143.9</v>
      </c>
      <c r="P51" s="7">
        <v>133.69999999999999</v>
      </c>
      <c r="Q51" s="7">
        <v>143.1</v>
      </c>
      <c r="R51" s="7">
        <v>140.69999999999999</v>
      </c>
      <c r="S51" s="7">
        <v>135.80000000000001</v>
      </c>
      <c r="T51" s="7">
        <v>140</v>
      </c>
      <c r="U51" s="7">
        <v>0</v>
      </c>
      <c r="V51" s="7">
        <v>132.1</v>
      </c>
      <c r="W51" s="7">
        <v>133.19999999999999</v>
      </c>
      <c r="X51" s="7">
        <v>129.9</v>
      </c>
      <c r="Y51" s="7">
        <v>119.1</v>
      </c>
      <c r="Z51" s="7">
        <v>127</v>
      </c>
      <c r="AA51" s="7">
        <v>134.6</v>
      </c>
      <c r="AB51" s="7">
        <v>122.3</v>
      </c>
      <c r="AC51" s="7">
        <v>126.6</v>
      </c>
      <c r="AD51" s="8">
        <v>132.4</v>
      </c>
    </row>
    <row r="52" spans="1:30" hidden="1" x14ac:dyDescent="0.3">
      <c r="A52" s="10" t="s">
        <v>30</v>
      </c>
      <c r="B52" s="5">
        <v>2017</v>
      </c>
      <c r="C52" s="5" t="s">
        <v>34</v>
      </c>
      <c r="D52" s="5">
        <v>133.30000000000001</v>
      </c>
      <c r="E52" s="5">
        <v>138.30000000000001</v>
      </c>
      <c r="F52" s="5">
        <v>129.30000000000001</v>
      </c>
      <c r="G52" s="5">
        <v>137.19999999999999</v>
      </c>
      <c r="H52" s="5">
        <v>122.1</v>
      </c>
      <c r="I52" s="5">
        <v>138.69999999999999</v>
      </c>
      <c r="J52" s="5">
        <v>119.1</v>
      </c>
      <c r="K52" s="5">
        <v>156.9</v>
      </c>
      <c r="L52" s="5">
        <v>116.2</v>
      </c>
      <c r="M52" s="5">
        <v>136</v>
      </c>
      <c r="N52" s="5">
        <v>129.4</v>
      </c>
      <c r="O52" s="5">
        <v>144.4</v>
      </c>
      <c r="P52" s="5">
        <v>133.6</v>
      </c>
      <c r="Q52" s="5">
        <v>143.69999999999999</v>
      </c>
      <c r="R52" s="5">
        <v>140.9</v>
      </c>
      <c r="S52" s="5">
        <v>135.80000000000001</v>
      </c>
      <c r="T52" s="5">
        <v>140.19999999999999</v>
      </c>
      <c r="U52" s="5">
        <v>0</v>
      </c>
      <c r="V52" s="5">
        <v>133.19999999999999</v>
      </c>
      <c r="W52" s="5">
        <v>133.6</v>
      </c>
      <c r="X52" s="5">
        <v>130.1</v>
      </c>
      <c r="Y52" s="5">
        <v>119.5</v>
      </c>
      <c r="Z52" s="5">
        <v>127.7</v>
      </c>
      <c r="AA52" s="5">
        <v>134.9</v>
      </c>
      <c r="AB52" s="5">
        <v>123.2</v>
      </c>
      <c r="AC52" s="5">
        <v>127</v>
      </c>
      <c r="AD52" s="6">
        <v>132.6</v>
      </c>
    </row>
    <row r="53" spans="1:30" hidden="1" x14ac:dyDescent="0.3">
      <c r="A53" s="9" t="s">
        <v>30</v>
      </c>
      <c r="B53" s="7">
        <v>2017</v>
      </c>
      <c r="C53" s="7" t="s">
        <v>35</v>
      </c>
      <c r="D53" s="7">
        <v>133.6</v>
      </c>
      <c r="E53" s="7">
        <v>138.80000000000001</v>
      </c>
      <c r="F53" s="7">
        <v>128.80000000000001</v>
      </c>
      <c r="G53" s="7">
        <v>137.19999999999999</v>
      </c>
      <c r="H53" s="7">
        <v>121.6</v>
      </c>
      <c r="I53" s="7">
        <v>139.69999999999999</v>
      </c>
      <c r="J53" s="7">
        <v>119.7</v>
      </c>
      <c r="K53" s="7">
        <v>148</v>
      </c>
      <c r="L53" s="7">
        <v>116.9</v>
      </c>
      <c r="M53" s="7">
        <v>135.6</v>
      </c>
      <c r="N53" s="7">
        <v>129.80000000000001</v>
      </c>
      <c r="O53" s="7">
        <v>145.4</v>
      </c>
      <c r="P53" s="7">
        <v>133.4</v>
      </c>
      <c r="Q53" s="7">
        <v>144.19999999999999</v>
      </c>
      <c r="R53" s="7">
        <v>141.6</v>
      </c>
      <c r="S53" s="7">
        <v>136.19999999999999</v>
      </c>
      <c r="T53" s="7">
        <v>140.80000000000001</v>
      </c>
      <c r="U53" s="7">
        <v>0</v>
      </c>
      <c r="V53" s="7">
        <v>134.19999999999999</v>
      </c>
      <c r="W53" s="7">
        <v>134.1</v>
      </c>
      <c r="X53" s="7">
        <v>130.6</v>
      </c>
      <c r="Y53" s="7">
        <v>119.8</v>
      </c>
      <c r="Z53" s="7">
        <v>128.30000000000001</v>
      </c>
      <c r="AA53" s="7">
        <v>135.19999999999999</v>
      </c>
      <c r="AB53" s="7">
        <v>123.3</v>
      </c>
      <c r="AC53" s="7">
        <v>127.4</v>
      </c>
      <c r="AD53" s="8">
        <v>132.80000000000001</v>
      </c>
    </row>
    <row r="54" spans="1:30" hidden="1" x14ac:dyDescent="0.3">
      <c r="A54" s="10" t="s">
        <v>30</v>
      </c>
      <c r="B54" s="5">
        <v>2017</v>
      </c>
      <c r="C54" s="5" t="s">
        <v>36</v>
      </c>
      <c r="D54" s="5">
        <v>133.19999999999999</v>
      </c>
      <c r="E54" s="5">
        <v>138.69999999999999</v>
      </c>
      <c r="F54" s="5">
        <v>127.1</v>
      </c>
      <c r="G54" s="5">
        <v>137.69999999999999</v>
      </c>
      <c r="H54" s="5">
        <v>121.3</v>
      </c>
      <c r="I54" s="5">
        <v>141.80000000000001</v>
      </c>
      <c r="J54" s="5">
        <v>121.5</v>
      </c>
      <c r="K54" s="5">
        <v>144.5</v>
      </c>
      <c r="L54" s="5">
        <v>117.4</v>
      </c>
      <c r="M54" s="5">
        <v>134.1</v>
      </c>
      <c r="N54" s="5">
        <v>130</v>
      </c>
      <c r="O54" s="5">
        <v>145.5</v>
      </c>
      <c r="P54" s="5">
        <v>133.5</v>
      </c>
      <c r="Q54" s="5">
        <v>144.4</v>
      </c>
      <c r="R54" s="5">
        <v>142.4</v>
      </c>
      <c r="S54" s="5">
        <v>136.80000000000001</v>
      </c>
      <c r="T54" s="5">
        <v>141.6</v>
      </c>
      <c r="U54" s="5">
        <v>0</v>
      </c>
      <c r="V54" s="5">
        <v>135</v>
      </c>
      <c r="W54" s="5">
        <v>134.30000000000001</v>
      </c>
      <c r="X54" s="5">
        <v>131</v>
      </c>
      <c r="Y54" s="5">
        <v>119.2</v>
      </c>
      <c r="Z54" s="5">
        <v>128.30000000000001</v>
      </c>
      <c r="AA54" s="5">
        <v>135.69999999999999</v>
      </c>
      <c r="AB54" s="5">
        <v>123.7</v>
      </c>
      <c r="AC54" s="5">
        <v>127.5</v>
      </c>
      <c r="AD54" s="6">
        <v>132.9</v>
      </c>
    </row>
    <row r="55" spans="1:30" hidden="1" x14ac:dyDescent="0.3">
      <c r="A55" s="9" t="s">
        <v>30</v>
      </c>
      <c r="B55" s="7">
        <v>2017</v>
      </c>
      <c r="C55" s="7" t="s">
        <v>37</v>
      </c>
      <c r="D55" s="7">
        <v>133.1</v>
      </c>
      <c r="E55" s="7">
        <v>140.30000000000001</v>
      </c>
      <c r="F55" s="7">
        <v>126.8</v>
      </c>
      <c r="G55" s="7">
        <v>138.19999999999999</v>
      </c>
      <c r="H55" s="7">
        <v>120.8</v>
      </c>
      <c r="I55" s="7">
        <v>140.19999999999999</v>
      </c>
      <c r="J55" s="7">
        <v>123.8</v>
      </c>
      <c r="K55" s="7">
        <v>141.80000000000001</v>
      </c>
      <c r="L55" s="7">
        <v>118.6</v>
      </c>
      <c r="M55" s="7">
        <v>134</v>
      </c>
      <c r="N55" s="7">
        <v>130.30000000000001</v>
      </c>
      <c r="O55" s="7">
        <v>145.80000000000001</v>
      </c>
      <c r="P55" s="7">
        <v>133.80000000000001</v>
      </c>
      <c r="Q55" s="7">
        <v>145.5</v>
      </c>
      <c r="R55" s="7">
        <v>142.5</v>
      </c>
      <c r="S55" s="7">
        <v>137.30000000000001</v>
      </c>
      <c r="T55" s="7">
        <v>141.80000000000001</v>
      </c>
      <c r="U55" s="7">
        <v>0</v>
      </c>
      <c r="V55" s="7">
        <v>135</v>
      </c>
      <c r="W55" s="7">
        <v>134.9</v>
      </c>
      <c r="X55" s="7">
        <v>131.4</v>
      </c>
      <c r="Y55" s="7">
        <v>119.4</v>
      </c>
      <c r="Z55" s="7">
        <v>129.4</v>
      </c>
      <c r="AA55" s="7">
        <v>136.30000000000001</v>
      </c>
      <c r="AB55" s="7">
        <v>123.7</v>
      </c>
      <c r="AC55" s="7">
        <v>127.9</v>
      </c>
      <c r="AD55" s="8">
        <v>133.30000000000001</v>
      </c>
    </row>
    <row r="56" spans="1:30" hidden="1" x14ac:dyDescent="0.3">
      <c r="A56" s="10" t="s">
        <v>30</v>
      </c>
      <c r="B56" s="5">
        <v>2017</v>
      </c>
      <c r="C56" s="5" t="s">
        <v>38</v>
      </c>
      <c r="D56" s="5">
        <v>133.5</v>
      </c>
      <c r="E56" s="5">
        <v>143.69999999999999</v>
      </c>
      <c r="F56" s="5">
        <v>128</v>
      </c>
      <c r="G56" s="5">
        <v>138.6</v>
      </c>
      <c r="H56" s="5">
        <v>120.9</v>
      </c>
      <c r="I56" s="5">
        <v>140.9</v>
      </c>
      <c r="J56" s="5">
        <v>128.80000000000001</v>
      </c>
      <c r="K56" s="5">
        <v>140.19999999999999</v>
      </c>
      <c r="L56" s="5">
        <v>118.9</v>
      </c>
      <c r="M56" s="5">
        <v>133.5</v>
      </c>
      <c r="N56" s="5">
        <v>130.4</v>
      </c>
      <c r="O56" s="5">
        <v>146.5</v>
      </c>
      <c r="P56" s="5">
        <v>134.9</v>
      </c>
      <c r="Q56" s="5">
        <v>145.80000000000001</v>
      </c>
      <c r="R56" s="5">
        <v>143.1</v>
      </c>
      <c r="S56" s="5">
        <v>137.69999999999999</v>
      </c>
      <c r="T56" s="5">
        <v>142.30000000000001</v>
      </c>
      <c r="U56" s="5">
        <v>0</v>
      </c>
      <c r="V56" s="5">
        <v>134.80000000000001</v>
      </c>
      <c r="W56" s="5">
        <v>135.19999999999999</v>
      </c>
      <c r="X56" s="5">
        <v>131.30000000000001</v>
      </c>
      <c r="Y56" s="5">
        <v>119.4</v>
      </c>
      <c r="Z56" s="5">
        <v>129.80000000000001</v>
      </c>
      <c r="AA56" s="5">
        <v>136.9</v>
      </c>
      <c r="AB56" s="5">
        <v>124.1</v>
      </c>
      <c r="AC56" s="5">
        <v>128.1</v>
      </c>
      <c r="AD56" s="6">
        <v>133.9</v>
      </c>
    </row>
    <row r="57" spans="1:30" hidden="1" x14ac:dyDescent="0.3">
      <c r="A57" s="9" t="s">
        <v>30</v>
      </c>
      <c r="B57" s="7">
        <v>2017</v>
      </c>
      <c r="C57" s="7" t="s">
        <v>39</v>
      </c>
      <c r="D57" s="7">
        <v>134</v>
      </c>
      <c r="E57" s="7">
        <v>144.19999999999999</v>
      </c>
      <c r="F57" s="7">
        <v>129.80000000000001</v>
      </c>
      <c r="G57" s="7">
        <v>139</v>
      </c>
      <c r="H57" s="7">
        <v>120.9</v>
      </c>
      <c r="I57" s="7">
        <v>143.9</v>
      </c>
      <c r="J57" s="7">
        <v>151.5</v>
      </c>
      <c r="K57" s="7">
        <v>138.1</v>
      </c>
      <c r="L57" s="7">
        <v>120</v>
      </c>
      <c r="M57" s="7">
        <v>133.9</v>
      </c>
      <c r="N57" s="7">
        <v>131.4</v>
      </c>
      <c r="O57" s="7">
        <v>147.69999999999999</v>
      </c>
      <c r="P57" s="7">
        <v>138.5</v>
      </c>
      <c r="Q57" s="7">
        <v>147.4</v>
      </c>
      <c r="R57" s="7">
        <v>144.30000000000001</v>
      </c>
      <c r="S57" s="7">
        <v>138.1</v>
      </c>
      <c r="T57" s="7">
        <v>143.5</v>
      </c>
      <c r="U57" s="7">
        <v>0</v>
      </c>
      <c r="V57" s="7">
        <v>135.30000000000001</v>
      </c>
      <c r="W57" s="7">
        <v>136.1</v>
      </c>
      <c r="X57" s="7">
        <v>132.1</v>
      </c>
      <c r="Y57" s="7">
        <v>119.1</v>
      </c>
      <c r="Z57" s="7">
        <v>130.6</v>
      </c>
      <c r="AA57" s="7">
        <v>138.6</v>
      </c>
      <c r="AB57" s="7">
        <v>124.4</v>
      </c>
      <c r="AC57" s="7">
        <v>128.6</v>
      </c>
      <c r="AD57" s="8">
        <v>136.19999999999999</v>
      </c>
    </row>
    <row r="58" spans="1:30" hidden="1" x14ac:dyDescent="0.3">
      <c r="A58" s="10" t="s">
        <v>30</v>
      </c>
      <c r="B58" s="5">
        <v>2017</v>
      </c>
      <c r="C58" s="5" t="s">
        <v>40</v>
      </c>
      <c r="D58" s="5">
        <v>134.80000000000001</v>
      </c>
      <c r="E58" s="5">
        <v>143.1</v>
      </c>
      <c r="F58" s="5">
        <v>130</v>
      </c>
      <c r="G58" s="5">
        <v>139.4</v>
      </c>
      <c r="H58" s="5">
        <v>120.5</v>
      </c>
      <c r="I58" s="5">
        <v>148</v>
      </c>
      <c r="J58" s="5">
        <v>162.9</v>
      </c>
      <c r="K58" s="5">
        <v>137.4</v>
      </c>
      <c r="L58" s="5">
        <v>120.8</v>
      </c>
      <c r="M58" s="5">
        <v>134.69999999999999</v>
      </c>
      <c r="N58" s="5">
        <v>131.6</v>
      </c>
      <c r="O58" s="5">
        <v>148.69999999999999</v>
      </c>
      <c r="P58" s="5">
        <v>140.6</v>
      </c>
      <c r="Q58" s="5">
        <v>149</v>
      </c>
      <c r="R58" s="5">
        <v>145.30000000000001</v>
      </c>
      <c r="S58" s="5">
        <v>139.19999999999999</v>
      </c>
      <c r="T58" s="5">
        <v>144.5</v>
      </c>
      <c r="U58" s="5">
        <v>0</v>
      </c>
      <c r="V58" s="5">
        <v>136.4</v>
      </c>
      <c r="W58" s="5">
        <v>137.30000000000001</v>
      </c>
      <c r="X58" s="5">
        <v>133</v>
      </c>
      <c r="Y58" s="5">
        <v>120.3</v>
      </c>
      <c r="Z58" s="5">
        <v>131.5</v>
      </c>
      <c r="AA58" s="5">
        <v>140.19999999999999</v>
      </c>
      <c r="AB58" s="5">
        <v>125.4</v>
      </c>
      <c r="AC58" s="5">
        <v>129.69999999999999</v>
      </c>
      <c r="AD58" s="6">
        <v>137.80000000000001</v>
      </c>
    </row>
    <row r="59" spans="1:30" hidden="1" x14ac:dyDescent="0.3">
      <c r="A59" s="9" t="s">
        <v>30</v>
      </c>
      <c r="B59" s="7">
        <v>2017</v>
      </c>
      <c r="C59" s="7" t="s">
        <v>41</v>
      </c>
      <c r="D59" s="7">
        <v>135.19999999999999</v>
      </c>
      <c r="E59" s="7">
        <v>142</v>
      </c>
      <c r="F59" s="7">
        <v>130.5</v>
      </c>
      <c r="G59" s="7">
        <v>140.19999999999999</v>
      </c>
      <c r="H59" s="7">
        <v>120.7</v>
      </c>
      <c r="I59" s="7">
        <v>147.80000000000001</v>
      </c>
      <c r="J59" s="7">
        <v>154.5</v>
      </c>
      <c r="K59" s="7">
        <v>137.1</v>
      </c>
      <c r="L59" s="7">
        <v>121</v>
      </c>
      <c r="M59" s="7">
        <v>134.69999999999999</v>
      </c>
      <c r="N59" s="7">
        <v>131.69999999999999</v>
      </c>
      <c r="O59" s="7">
        <v>149.30000000000001</v>
      </c>
      <c r="P59" s="7">
        <v>139.6</v>
      </c>
      <c r="Q59" s="7">
        <v>149.80000000000001</v>
      </c>
      <c r="R59" s="7">
        <v>146.1</v>
      </c>
      <c r="S59" s="7">
        <v>139.69999999999999</v>
      </c>
      <c r="T59" s="7">
        <v>145.19999999999999</v>
      </c>
      <c r="U59" s="7">
        <v>0</v>
      </c>
      <c r="V59" s="7">
        <v>137.4</v>
      </c>
      <c r="W59" s="7">
        <v>137.9</v>
      </c>
      <c r="X59" s="7">
        <v>133.4</v>
      </c>
      <c r="Y59" s="7">
        <v>121.2</v>
      </c>
      <c r="Z59" s="7">
        <v>132.30000000000001</v>
      </c>
      <c r="AA59" s="7">
        <v>139.6</v>
      </c>
      <c r="AB59" s="7">
        <v>126.7</v>
      </c>
      <c r="AC59" s="7">
        <v>130.30000000000001</v>
      </c>
      <c r="AD59" s="8">
        <v>137.6</v>
      </c>
    </row>
    <row r="60" spans="1:30" hidden="1" x14ac:dyDescent="0.3">
      <c r="A60" s="10" t="s">
        <v>30</v>
      </c>
      <c r="B60" s="5">
        <v>2017</v>
      </c>
      <c r="C60" s="5" t="s">
        <v>42</v>
      </c>
      <c r="D60" s="5">
        <v>135.9</v>
      </c>
      <c r="E60" s="5">
        <v>141.9</v>
      </c>
      <c r="F60" s="5">
        <v>131</v>
      </c>
      <c r="G60" s="5">
        <v>141.5</v>
      </c>
      <c r="H60" s="5">
        <v>121.4</v>
      </c>
      <c r="I60" s="5">
        <v>146.69999999999999</v>
      </c>
      <c r="J60" s="5">
        <v>157.1</v>
      </c>
      <c r="K60" s="5">
        <v>136.4</v>
      </c>
      <c r="L60" s="5">
        <v>121.4</v>
      </c>
      <c r="M60" s="5">
        <v>135.6</v>
      </c>
      <c r="N60" s="5">
        <v>131.30000000000001</v>
      </c>
      <c r="O60" s="5">
        <v>150.30000000000001</v>
      </c>
      <c r="P60" s="5">
        <v>140.4</v>
      </c>
      <c r="Q60" s="5">
        <v>150.5</v>
      </c>
      <c r="R60" s="5">
        <v>147.19999999999999</v>
      </c>
      <c r="S60" s="5">
        <v>140.6</v>
      </c>
      <c r="T60" s="5">
        <v>146.19999999999999</v>
      </c>
      <c r="U60" s="5">
        <v>0</v>
      </c>
      <c r="V60" s="5">
        <v>138.1</v>
      </c>
      <c r="W60" s="5">
        <v>138.4</v>
      </c>
      <c r="X60" s="5">
        <v>134.19999999999999</v>
      </c>
      <c r="Y60" s="5">
        <v>121</v>
      </c>
      <c r="Z60" s="5">
        <v>133</v>
      </c>
      <c r="AA60" s="5">
        <v>140.1</v>
      </c>
      <c r="AB60" s="5">
        <v>127.4</v>
      </c>
      <c r="AC60" s="5">
        <v>130.69999999999999</v>
      </c>
      <c r="AD60" s="6">
        <v>138.30000000000001</v>
      </c>
    </row>
    <row r="61" spans="1:30" hidden="1" x14ac:dyDescent="0.3">
      <c r="A61" s="9" t="s">
        <v>30</v>
      </c>
      <c r="B61" s="7">
        <v>2017</v>
      </c>
      <c r="C61" s="7" t="s">
        <v>43</v>
      </c>
      <c r="D61" s="7">
        <v>136.30000000000001</v>
      </c>
      <c r="E61" s="7">
        <v>142.5</v>
      </c>
      <c r="F61" s="7">
        <v>140.5</v>
      </c>
      <c r="G61" s="7">
        <v>141.5</v>
      </c>
      <c r="H61" s="7">
        <v>121.6</v>
      </c>
      <c r="I61" s="7">
        <v>147.30000000000001</v>
      </c>
      <c r="J61" s="7">
        <v>168</v>
      </c>
      <c r="K61" s="7">
        <v>135.80000000000001</v>
      </c>
      <c r="L61" s="7">
        <v>122.5</v>
      </c>
      <c r="M61" s="7">
        <v>136</v>
      </c>
      <c r="N61" s="7">
        <v>131.9</v>
      </c>
      <c r="O61" s="7">
        <v>151.4</v>
      </c>
      <c r="P61" s="7">
        <v>142.4</v>
      </c>
      <c r="Q61" s="7">
        <v>152.1</v>
      </c>
      <c r="R61" s="7">
        <v>148.19999999999999</v>
      </c>
      <c r="S61" s="7">
        <v>141.5</v>
      </c>
      <c r="T61" s="7">
        <v>147.30000000000001</v>
      </c>
      <c r="U61" s="7">
        <v>0</v>
      </c>
      <c r="V61" s="7">
        <v>141.1</v>
      </c>
      <c r="W61" s="7">
        <v>139.4</v>
      </c>
      <c r="X61" s="7">
        <v>135.80000000000001</v>
      </c>
      <c r="Y61" s="7">
        <v>121.6</v>
      </c>
      <c r="Z61" s="7">
        <v>133.69999999999999</v>
      </c>
      <c r="AA61" s="7">
        <v>141.5</v>
      </c>
      <c r="AB61" s="7">
        <v>128.1</v>
      </c>
      <c r="AC61" s="7">
        <v>131.69999999999999</v>
      </c>
      <c r="AD61" s="8">
        <v>140</v>
      </c>
    </row>
    <row r="62" spans="1:30" hidden="1" x14ac:dyDescent="0.3">
      <c r="A62" s="10" t="s">
        <v>30</v>
      </c>
      <c r="B62" s="5">
        <v>2017</v>
      </c>
      <c r="C62" s="5" t="s">
        <v>44</v>
      </c>
      <c r="D62" s="5">
        <v>136.4</v>
      </c>
      <c r="E62" s="5">
        <v>143.69999999999999</v>
      </c>
      <c r="F62" s="5">
        <v>144.80000000000001</v>
      </c>
      <c r="G62" s="5">
        <v>141.9</v>
      </c>
      <c r="H62" s="5">
        <v>123.1</v>
      </c>
      <c r="I62" s="5">
        <v>147.19999999999999</v>
      </c>
      <c r="J62" s="5">
        <v>161</v>
      </c>
      <c r="K62" s="5">
        <v>133.80000000000001</v>
      </c>
      <c r="L62" s="5">
        <v>121.9</v>
      </c>
      <c r="M62" s="5">
        <v>135.80000000000001</v>
      </c>
      <c r="N62" s="5">
        <v>131.1</v>
      </c>
      <c r="O62" s="5">
        <v>151.4</v>
      </c>
      <c r="P62" s="5">
        <v>141.5</v>
      </c>
      <c r="Q62" s="5">
        <v>153.19999999999999</v>
      </c>
      <c r="R62" s="5">
        <v>148</v>
      </c>
      <c r="S62" s="5">
        <v>141.9</v>
      </c>
      <c r="T62" s="5">
        <v>147.19999999999999</v>
      </c>
      <c r="U62" s="5">
        <v>0</v>
      </c>
      <c r="V62" s="5">
        <v>142.6</v>
      </c>
      <c r="W62" s="5">
        <v>139.5</v>
      </c>
      <c r="X62" s="5">
        <v>136.1</v>
      </c>
      <c r="Y62" s="5">
        <v>122</v>
      </c>
      <c r="Z62" s="5">
        <v>133.4</v>
      </c>
      <c r="AA62" s="5">
        <v>141.1</v>
      </c>
      <c r="AB62" s="5">
        <v>127.8</v>
      </c>
      <c r="AC62" s="5">
        <v>131.9</v>
      </c>
      <c r="AD62" s="6">
        <v>139.80000000000001</v>
      </c>
    </row>
    <row r="63" spans="1:30" hidden="1" x14ac:dyDescent="0.3">
      <c r="A63" s="9" t="s">
        <v>30</v>
      </c>
      <c r="B63" s="7">
        <v>2018</v>
      </c>
      <c r="C63" s="7" t="s">
        <v>31</v>
      </c>
      <c r="D63" s="7">
        <v>136.6</v>
      </c>
      <c r="E63" s="7">
        <v>144.4</v>
      </c>
      <c r="F63" s="7">
        <v>143.80000000000001</v>
      </c>
      <c r="G63" s="7">
        <v>142</v>
      </c>
      <c r="H63" s="7">
        <v>123.2</v>
      </c>
      <c r="I63" s="7">
        <v>147.9</v>
      </c>
      <c r="J63" s="7">
        <v>152.1</v>
      </c>
      <c r="K63" s="7">
        <v>131.80000000000001</v>
      </c>
      <c r="L63" s="7">
        <v>119.5</v>
      </c>
      <c r="M63" s="7">
        <v>136</v>
      </c>
      <c r="N63" s="7">
        <v>131.19999999999999</v>
      </c>
      <c r="O63" s="7">
        <v>151.80000000000001</v>
      </c>
      <c r="P63" s="7">
        <v>140.4</v>
      </c>
      <c r="Q63" s="7">
        <v>153.6</v>
      </c>
      <c r="R63" s="7">
        <v>148.30000000000001</v>
      </c>
      <c r="S63" s="7">
        <v>142.30000000000001</v>
      </c>
      <c r="T63" s="7">
        <v>147.5</v>
      </c>
      <c r="U63" s="7">
        <v>0</v>
      </c>
      <c r="V63" s="7">
        <v>142.30000000000001</v>
      </c>
      <c r="W63" s="7">
        <v>139.80000000000001</v>
      </c>
      <c r="X63" s="7">
        <v>136</v>
      </c>
      <c r="Y63" s="7">
        <v>122.7</v>
      </c>
      <c r="Z63" s="7">
        <v>134.30000000000001</v>
      </c>
      <c r="AA63" s="7">
        <v>141.6</v>
      </c>
      <c r="AB63" s="7">
        <v>128.6</v>
      </c>
      <c r="AC63" s="7">
        <v>132.30000000000001</v>
      </c>
      <c r="AD63" s="8">
        <v>139.30000000000001</v>
      </c>
    </row>
    <row r="64" spans="1:30" hidden="1" x14ac:dyDescent="0.3">
      <c r="A64" s="10" t="s">
        <v>30</v>
      </c>
      <c r="B64" s="5">
        <v>2018</v>
      </c>
      <c r="C64" s="5" t="s">
        <v>34</v>
      </c>
      <c r="D64" s="5">
        <v>136.4</v>
      </c>
      <c r="E64" s="5">
        <v>143.69999999999999</v>
      </c>
      <c r="F64" s="5">
        <v>140.6</v>
      </c>
      <c r="G64" s="5">
        <v>141.5</v>
      </c>
      <c r="H64" s="5">
        <v>122.9</v>
      </c>
      <c r="I64" s="5">
        <v>149.4</v>
      </c>
      <c r="J64" s="5">
        <v>142.4</v>
      </c>
      <c r="K64" s="5">
        <v>130.19999999999999</v>
      </c>
      <c r="L64" s="5">
        <v>117.9</v>
      </c>
      <c r="M64" s="5">
        <v>135.6</v>
      </c>
      <c r="N64" s="5">
        <v>130.5</v>
      </c>
      <c r="O64" s="5">
        <v>151.69999999999999</v>
      </c>
      <c r="P64" s="5">
        <v>138.69999999999999</v>
      </c>
      <c r="Q64" s="5">
        <v>153.30000000000001</v>
      </c>
      <c r="R64" s="5">
        <v>148.69999999999999</v>
      </c>
      <c r="S64" s="5">
        <v>142.4</v>
      </c>
      <c r="T64" s="5">
        <v>147.80000000000001</v>
      </c>
      <c r="U64" s="5">
        <v>0</v>
      </c>
      <c r="V64" s="5">
        <v>142.4</v>
      </c>
      <c r="W64" s="5">
        <v>139.9</v>
      </c>
      <c r="X64" s="5">
        <v>136.19999999999999</v>
      </c>
      <c r="Y64" s="5">
        <v>123.3</v>
      </c>
      <c r="Z64" s="5">
        <v>134.30000000000001</v>
      </c>
      <c r="AA64" s="5">
        <v>141.5</v>
      </c>
      <c r="AB64" s="5">
        <v>128.80000000000001</v>
      </c>
      <c r="AC64" s="5">
        <v>132.5</v>
      </c>
      <c r="AD64" s="6">
        <v>138.5</v>
      </c>
    </row>
    <row r="65" spans="1:30" hidden="1" x14ac:dyDescent="0.3">
      <c r="A65" s="9" t="s">
        <v>30</v>
      </c>
      <c r="B65" s="7">
        <v>2018</v>
      </c>
      <c r="C65" s="7" t="s">
        <v>35</v>
      </c>
      <c r="D65" s="7">
        <v>136.80000000000001</v>
      </c>
      <c r="E65" s="7">
        <v>143.80000000000001</v>
      </c>
      <c r="F65" s="7">
        <v>140</v>
      </c>
      <c r="G65" s="7">
        <v>142</v>
      </c>
      <c r="H65" s="7">
        <v>123.2</v>
      </c>
      <c r="I65" s="7">
        <v>152.9</v>
      </c>
      <c r="J65" s="7">
        <v>138</v>
      </c>
      <c r="K65" s="7">
        <v>129.30000000000001</v>
      </c>
      <c r="L65" s="7">
        <v>117.1</v>
      </c>
      <c r="M65" s="7">
        <v>136.30000000000001</v>
      </c>
      <c r="N65" s="7">
        <v>131.19999999999999</v>
      </c>
      <c r="O65" s="7">
        <v>152.80000000000001</v>
      </c>
      <c r="P65" s="7">
        <v>138.6</v>
      </c>
      <c r="Q65" s="7">
        <v>155.1</v>
      </c>
      <c r="R65" s="7">
        <v>149.19999999999999</v>
      </c>
      <c r="S65" s="7">
        <v>143</v>
      </c>
      <c r="T65" s="7">
        <v>148.30000000000001</v>
      </c>
      <c r="U65" s="7">
        <v>0</v>
      </c>
      <c r="V65" s="7">
        <v>142.6</v>
      </c>
      <c r="W65" s="7">
        <v>139.9</v>
      </c>
      <c r="X65" s="7">
        <v>136.69999999999999</v>
      </c>
      <c r="Y65" s="7">
        <v>124.6</v>
      </c>
      <c r="Z65" s="7">
        <v>135.1</v>
      </c>
      <c r="AA65" s="7">
        <v>142.69999999999999</v>
      </c>
      <c r="AB65" s="7">
        <v>129.30000000000001</v>
      </c>
      <c r="AC65" s="7">
        <v>133.30000000000001</v>
      </c>
      <c r="AD65" s="8">
        <v>138.69999999999999</v>
      </c>
    </row>
    <row r="66" spans="1:30" hidden="1" x14ac:dyDescent="0.3">
      <c r="A66" s="10" t="s">
        <v>30</v>
      </c>
      <c r="B66" s="5">
        <v>2018</v>
      </c>
      <c r="C66" s="5" t="s">
        <v>36</v>
      </c>
      <c r="D66" s="5">
        <v>137.1</v>
      </c>
      <c r="E66" s="5">
        <v>144.5</v>
      </c>
      <c r="F66" s="5">
        <v>135.9</v>
      </c>
      <c r="G66" s="5">
        <v>142.4</v>
      </c>
      <c r="H66" s="5">
        <v>123.5</v>
      </c>
      <c r="I66" s="5">
        <v>156.4</v>
      </c>
      <c r="J66" s="5">
        <v>135.1</v>
      </c>
      <c r="K66" s="5">
        <v>128.4</v>
      </c>
      <c r="L66" s="5">
        <v>115.2</v>
      </c>
      <c r="M66" s="5">
        <v>137.19999999999999</v>
      </c>
      <c r="N66" s="5">
        <v>131.9</v>
      </c>
      <c r="O66" s="5">
        <v>153.80000000000001</v>
      </c>
      <c r="P66" s="5">
        <v>138.6</v>
      </c>
      <c r="Q66" s="5">
        <v>156.1</v>
      </c>
      <c r="R66" s="5">
        <v>150.1</v>
      </c>
      <c r="S66" s="5">
        <v>143.30000000000001</v>
      </c>
      <c r="T66" s="5">
        <v>149.1</v>
      </c>
      <c r="U66" s="5">
        <v>0</v>
      </c>
      <c r="V66" s="5">
        <v>143.80000000000001</v>
      </c>
      <c r="W66" s="5">
        <v>140.9</v>
      </c>
      <c r="X66" s="5">
        <v>137.6</v>
      </c>
      <c r="Y66" s="5">
        <v>125.3</v>
      </c>
      <c r="Z66" s="5">
        <v>136</v>
      </c>
      <c r="AA66" s="5">
        <v>143.69999999999999</v>
      </c>
      <c r="AB66" s="5">
        <v>130.4</v>
      </c>
      <c r="AC66" s="5">
        <v>134.19999999999999</v>
      </c>
      <c r="AD66" s="6">
        <v>139.1</v>
      </c>
    </row>
    <row r="67" spans="1:30" hidden="1" x14ac:dyDescent="0.3">
      <c r="A67" s="9" t="s">
        <v>30</v>
      </c>
      <c r="B67" s="7">
        <v>2018</v>
      </c>
      <c r="C67" s="7" t="s">
        <v>37</v>
      </c>
      <c r="D67" s="7">
        <v>137.4</v>
      </c>
      <c r="E67" s="7">
        <v>145.69999999999999</v>
      </c>
      <c r="F67" s="7">
        <v>135.5</v>
      </c>
      <c r="G67" s="7">
        <v>142.9</v>
      </c>
      <c r="H67" s="7">
        <v>123.6</v>
      </c>
      <c r="I67" s="7">
        <v>157.5</v>
      </c>
      <c r="J67" s="7">
        <v>137.80000000000001</v>
      </c>
      <c r="K67" s="7">
        <v>127.2</v>
      </c>
      <c r="L67" s="7">
        <v>111.8</v>
      </c>
      <c r="M67" s="7">
        <v>137.4</v>
      </c>
      <c r="N67" s="7">
        <v>132.19999999999999</v>
      </c>
      <c r="O67" s="7">
        <v>154.30000000000001</v>
      </c>
      <c r="P67" s="7">
        <v>139.1</v>
      </c>
      <c r="Q67" s="7">
        <v>157</v>
      </c>
      <c r="R67" s="7">
        <v>150.80000000000001</v>
      </c>
      <c r="S67" s="7">
        <v>144.1</v>
      </c>
      <c r="T67" s="7">
        <v>149.80000000000001</v>
      </c>
      <c r="U67" s="7">
        <v>0</v>
      </c>
      <c r="V67" s="7">
        <v>144.30000000000001</v>
      </c>
      <c r="W67" s="7">
        <v>141.80000000000001</v>
      </c>
      <c r="X67" s="7">
        <v>138.4</v>
      </c>
      <c r="Y67" s="7">
        <v>126.4</v>
      </c>
      <c r="Z67" s="7">
        <v>136.80000000000001</v>
      </c>
      <c r="AA67" s="7">
        <v>144.4</v>
      </c>
      <c r="AB67" s="7">
        <v>131.19999999999999</v>
      </c>
      <c r="AC67" s="7">
        <v>135.1</v>
      </c>
      <c r="AD67" s="8">
        <v>139.80000000000001</v>
      </c>
    </row>
    <row r="68" spans="1:30" hidden="1" x14ac:dyDescent="0.3">
      <c r="A68" s="10" t="s">
        <v>30</v>
      </c>
      <c r="B68" s="5">
        <v>2018</v>
      </c>
      <c r="C68" s="5" t="s">
        <v>38</v>
      </c>
      <c r="D68" s="5">
        <v>137.6</v>
      </c>
      <c r="E68" s="5">
        <v>148.1</v>
      </c>
      <c r="F68" s="5">
        <v>136.69999999999999</v>
      </c>
      <c r="G68" s="5">
        <v>143.19999999999999</v>
      </c>
      <c r="H68" s="5">
        <v>124</v>
      </c>
      <c r="I68" s="5">
        <v>154.1</v>
      </c>
      <c r="J68" s="5">
        <v>143.5</v>
      </c>
      <c r="K68" s="5">
        <v>126</v>
      </c>
      <c r="L68" s="5">
        <v>112.4</v>
      </c>
      <c r="M68" s="5">
        <v>137.6</v>
      </c>
      <c r="N68" s="5">
        <v>132.80000000000001</v>
      </c>
      <c r="O68" s="5">
        <v>154.30000000000001</v>
      </c>
      <c r="P68" s="5">
        <v>140</v>
      </c>
      <c r="Q68" s="5">
        <v>157.30000000000001</v>
      </c>
      <c r="R68" s="5">
        <v>151.30000000000001</v>
      </c>
      <c r="S68" s="5">
        <v>144.69999999999999</v>
      </c>
      <c r="T68" s="5">
        <v>150.30000000000001</v>
      </c>
      <c r="U68" s="5">
        <v>0</v>
      </c>
      <c r="V68" s="5">
        <v>145.1</v>
      </c>
      <c r="W68" s="5">
        <v>142.19999999999999</v>
      </c>
      <c r="X68" s="5">
        <v>138.4</v>
      </c>
      <c r="Y68" s="5">
        <v>127.4</v>
      </c>
      <c r="Z68" s="5">
        <v>137.80000000000001</v>
      </c>
      <c r="AA68" s="5">
        <v>145.1</v>
      </c>
      <c r="AB68" s="5">
        <v>131.4</v>
      </c>
      <c r="AC68" s="5">
        <v>135.6</v>
      </c>
      <c r="AD68" s="6">
        <v>140.5</v>
      </c>
    </row>
    <row r="69" spans="1:30" hidden="1" x14ac:dyDescent="0.3">
      <c r="A69" s="9" t="s">
        <v>30</v>
      </c>
      <c r="B69" s="7">
        <v>2018</v>
      </c>
      <c r="C69" s="7" t="s">
        <v>39</v>
      </c>
      <c r="D69" s="7">
        <v>138.4</v>
      </c>
      <c r="E69" s="7">
        <v>149.30000000000001</v>
      </c>
      <c r="F69" s="7">
        <v>139.30000000000001</v>
      </c>
      <c r="G69" s="7">
        <v>143.4</v>
      </c>
      <c r="H69" s="7">
        <v>124.1</v>
      </c>
      <c r="I69" s="7">
        <v>153.30000000000001</v>
      </c>
      <c r="J69" s="7">
        <v>154.19999999999999</v>
      </c>
      <c r="K69" s="7">
        <v>126.4</v>
      </c>
      <c r="L69" s="7">
        <v>114.3</v>
      </c>
      <c r="M69" s="7">
        <v>138.19999999999999</v>
      </c>
      <c r="N69" s="7">
        <v>132.80000000000001</v>
      </c>
      <c r="O69" s="7">
        <v>154.80000000000001</v>
      </c>
      <c r="P69" s="7">
        <v>142</v>
      </c>
      <c r="Q69" s="7">
        <v>156.1</v>
      </c>
      <c r="R69" s="7">
        <v>151.5</v>
      </c>
      <c r="S69" s="7">
        <v>145.1</v>
      </c>
      <c r="T69" s="7">
        <v>150.6</v>
      </c>
      <c r="U69" s="7">
        <v>0</v>
      </c>
      <c r="V69" s="7">
        <v>146.80000000000001</v>
      </c>
      <c r="W69" s="7">
        <v>143.1</v>
      </c>
      <c r="X69" s="7">
        <v>139</v>
      </c>
      <c r="Y69" s="7">
        <v>127.5</v>
      </c>
      <c r="Z69" s="7">
        <v>138.4</v>
      </c>
      <c r="AA69" s="7">
        <v>145.80000000000001</v>
      </c>
      <c r="AB69" s="7">
        <v>131.4</v>
      </c>
      <c r="AC69" s="7">
        <v>136</v>
      </c>
      <c r="AD69" s="8">
        <v>141.80000000000001</v>
      </c>
    </row>
    <row r="70" spans="1:30" hidden="1" x14ac:dyDescent="0.3">
      <c r="A70" s="10" t="s">
        <v>30</v>
      </c>
      <c r="B70" s="5">
        <v>2018</v>
      </c>
      <c r="C70" s="5" t="s">
        <v>40</v>
      </c>
      <c r="D70" s="5">
        <v>139.19999999999999</v>
      </c>
      <c r="E70" s="5">
        <v>148.80000000000001</v>
      </c>
      <c r="F70" s="5">
        <v>139.1</v>
      </c>
      <c r="G70" s="5">
        <v>143.5</v>
      </c>
      <c r="H70" s="5">
        <v>125</v>
      </c>
      <c r="I70" s="5">
        <v>154.4</v>
      </c>
      <c r="J70" s="5">
        <v>156.30000000000001</v>
      </c>
      <c r="K70" s="5">
        <v>126.8</v>
      </c>
      <c r="L70" s="5">
        <v>115.4</v>
      </c>
      <c r="M70" s="5">
        <v>138.6</v>
      </c>
      <c r="N70" s="5">
        <v>133.80000000000001</v>
      </c>
      <c r="O70" s="5">
        <v>155.19999999999999</v>
      </c>
      <c r="P70" s="5">
        <v>142.69999999999999</v>
      </c>
      <c r="Q70" s="5">
        <v>156.4</v>
      </c>
      <c r="R70" s="5">
        <v>152.1</v>
      </c>
      <c r="S70" s="5">
        <v>145.80000000000001</v>
      </c>
      <c r="T70" s="5">
        <v>151.30000000000001</v>
      </c>
      <c r="U70" s="5">
        <v>0</v>
      </c>
      <c r="V70" s="5">
        <v>147.69999999999999</v>
      </c>
      <c r="W70" s="5">
        <v>143.80000000000001</v>
      </c>
      <c r="X70" s="5">
        <v>139.4</v>
      </c>
      <c r="Y70" s="5">
        <v>128.30000000000001</v>
      </c>
      <c r="Z70" s="5">
        <v>138.6</v>
      </c>
      <c r="AA70" s="5">
        <v>146.9</v>
      </c>
      <c r="AB70" s="5">
        <v>131.30000000000001</v>
      </c>
      <c r="AC70" s="5">
        <v>136.6</v>
      </c>
      <c r="AD70" s="6">
        <v>142.5</v>
      </c>
    </row>
    <row r="71" spans="1:30" hidden="1" x14ac:dyDescent="0.3">
      <c r="A71" s="9" t="s">
        <v>30</v>
      </c>
      <c r="B71" s="7">
        <v>2018</v>
      </c>
      <c r="C71" s="7" t="s">
        <v>41</v>
      </c>
      <c r="D71" s="7">
        <v>139.4</v>
      </c>
      <c r="E71" s="7">
        <v>147.19999999999999</v>
      </c>
      <c r="F71" s="7">
        <v>136.6</v>
      </c>
      <c r="G71" s="7">
        <v>143.69999999999999</v>
      </c>
      <c r="H71" s="7">
        <v>124.6</v>
      </c>
      <c r="I71" s="7">
        <v>150.1</v>
      </c>
      <c r="J71" s="7">
        <v>149.4</v>
      </c>
      <c r="K71" s="7">
        <v>125.4</v>
      </c>
      <c r="L71" s="7">
        <v>114.4</v>
      </c>
      <c r="M71" s="7">
        <v>138.69999999999999</v>
      </c>
      <c r="N71" s="7">
        <v>133.1</v>
      </c>
      <c r="O71" s="7">
        <v>155.9</v>
      </c>
      <c r="P71" s="7">
        <v>141.30000000000001</v>
      </c>
      <c r="Q71" s="7">
        <v>157.69999999999999</v>
      </c>
      <c r="R71" s="7">
        <v>152.1</v>
      </c>
      <c r="S71" s="7">
        <v>146.1</v>
      </c>
      <c r="T71" s="7">
        <v>151.30000000000001</v>
      </c>
      <c r="U71" s="7">
        <v>0</v>
      </c>
      <c r="V71" s="7">
        <v>149</v>
      </c>
      <c r="W71" s="7">
        <v>144</v>
      </c>
      <c r="X71" s="7">
        <v>140</v>
      </c>
      <c r="Y71" s="7">
        <v>129.9</v>
      </c>
      <c r="Z71" s="7">
        <v>140</v>
      </c>
      <c r="AA71" s="7">
        <v>147.6</v>
      </c>
      <c r="AB71" s="7">
        <v>132</v>
      </c>
      <c r="AC71" s="7">
        <v>137.4</v>
      </c>
      <c r="AD71" s="8">
        <v>142.1</v>
      </c>
    </row>
    <row r="72" spans="1:30" hidden="1" x14ac:dyDescent="0.3">
      <c r="A72" s="10" t="s">
        <v>30</v>
      </c>
      <c r="B72" s="5">
        <v>2018</v>
      </c>
      <c r="C72" s="5" t="s">
        <v>42</v>
      </c>
      <c r="D72" s="5">
        <v>139.30000000000001</v>
      </c>
      <c r="E72" s="5">
        <v>147.6</v>
      </c>
      <c r="F72" s="5">
        <v>134.6</v>
      </c>
      <c r="G72" s="5">
        <v>141.9</v>
      </c>
      <c r="H72" s="5">
        <v>123.5</v>
      </c>
      <c r="I72" s="5">
        <v>144.5</v>
      </c>
      <c r="J72" s="5">
        <v>147.6</v>
      </c>
      <c r="K72" s="5">
        <v>121.4</v>
      </c>
      <c r="L72" s="5">
        <v>112.3</v>
      </c>
      <c r="M72" s="5">
        <v>139.5</v>
      </c>
      <c r="N72" s="5">
        <v>134.6</v>
      </c>
      <c r="O72" s="5">
        <v>155.19999999999999</v>
      </c>
      <c r="P72" s="5">
        <v>140.19999999999999</v>
      </c>
      <c r="Q72" s="5">
        <v>159.6</v>
      </c>
      <c r="R72" s="5">
        <v>150.69999999999999</v>
      </c>
      <c r="S72" s="5">
        <v>144.5</v>
      </c>
      <c r="T72" s="5">
        <v>149.80000000000001</v>
      </c>
      <c r="U72" s="5">
        <v>0</v>
      </c>
      <c r="V72" s="5">
        <v>149.69999999999999</v>
      </c>
      <c r="W72" s="5">
        <v>147.5</v>
      </c>
      <c r="X72" s="5">
        <v>144.80000000000001</v>
      </c>
      <c r="Y72" s="5">
        <v>130.80000000000001</v>
      </c>
      <c r="Z72" s="5">
        <v>140.1</v>
      </c>
      <c r="AA72" s="5">
        <v>148</v>
      </c>
      <c r="AB72" s="5">
        <v>134.4</v>
      </c>
      <c r="AC72" s="5">
        <v>139.80000000000001</v>
      </c>
      <c r="AD72" s="6">
        <v>142.19999999999999</v>
      </c>
    </row>
    <row r="73" spans="1:30" hidden="1" x14ac:dyDescent="0.3">
      <c r="A73" s="9" t="s">
        <v>30</v>
      </c>
      <c r="B73" s="7">
        <v>2018</v>
      </c>
      <c r="C73" s="7" t="s">
        <v>43</v>
      </c>
      <c r="D73" s="7">
        <v>137.1</v>
      </c>
      <c r="E73" s="7">
        <v>150.80000000000001</v>
      </c>
      <c r="F73" s="7">
        <v>136.69999999999999</v>
      </c>
      <c r="G73" s="7">
        <v>141.9</v>
      </c>
      <c r="H73" s="7">
        <v>122.8</v>
      </c>
      <c r="I73" s="7">
        <v>143.9</v>
      </c>
      <c r="J73" s="7">
        <v>147.5</v>
      </c>
      <c r="K73" s="7">
        <v>121</v>
      </c>
      <c r="L73" s="7">
        <v>111.6</v>
      </c>
      <c r="M73" s="7">
        <v>140.6</v>
      </c>
      <c r="N73" s="7">
        <v>137.5</v>
      </c>
      <c r="O73" s="7">
        <v>156.1</v>
      </c>
      <c r="P73" s="7">
        <v>140</v>
      </c>
      <c r="Q73" s="7">
        <v>161.9</v>
      </c>
      <c r="R73" s="7">
        <v>151.69999999999999</v>
      </c>
      <c r="S73" s="7">
        <v>145.5</v>
      </c>
      <c r="T73" s="7">
        <v>150.80000000000001</v>
      </c>
      <c r="U73" s="7">
        <v>0</v>
      </c>
      <c r="V73" s="7">
        <v>150.30000000000001</v>
      </c>
      <c r="W73" s="7">
        <v>148</v>
      </c>
      <c r="X73" s="7">
        <v>145.4</v>
      </c>
      <c r="Y73" s="7">
        <v>130.30000000000001</v>
      </c>
      <c r="Z73" s="7">
        <v>143.1</v>
      </c>
      <c r="AA73" s="7">
        <v>150.19999999999999</v>
      </c>
      <c r="AB73" s="7">
        <v>133.1</v>
      </c>
      <c r="AC73" s="7">
        <v>140.1</v>
      </c>
      <c r="AD73" s="8">
        <v>142.4</v>
      </c>
    </row>
    <row r="74" spans="1:30" hidden="1" x14ac:dyDescent="0.3">
      <c r="A74" s="10" t="s">
        <v>30</v>
      </c>
      <c r="B74" s="5">
        <v>2018</v>
      </c>
      <c r="C74" s="5" t="s">
        <v>44</v>
      </c>
      <c r="D74" s="5">
        <v>137.1</v>
      </c>
      <c r="E74" s="5">
        <v>151.9</v>
      </c>
      <c r="F74" s="5">
        <v>137.4</v>
      </c>
      <c r="G74" s="5">
        <v>142.4</v>
      </c>
      <c r="H74" s="5">
        <v>124.2</v>
      </c>
      <c r="I74" s="5">
        <v>140.19999999999999</v>
      </c>
      <c r="J74" s="5">
        <v>136.6</v>
      </c>
      <c r="K74" s="5">
        <v>120.9</v>
      </c>
      <c r="L74" s="5">
        <v>109.9</v>
      </c>
      <c r="M74" s="5">
        <v>140.19999999999999</v>
      </c>
      <c r="N74" s="5">
        <v>137.80000000000001</v>
      </c>
      <c r="O74" s="5">
        <v>156</v>
      </c>
      <c r="P74" s="5">
        <v>138.5</v>
      </c>
      <c r="Q74" s="5">
        <v>162.4</v>
      </c>
      <c r="R74" s="5">
        <v>151.6</v>
      </c>
      <c r="S74" s="5">
        <v>145.9</v>
      </c>
      <c r="T74" s="5">
        <v>150.80000000000001</v>
      </c>
      <c r="U74" s="5">
        <v>0</v>
      </c>
      <c r="V74" s="5">
        <v>149</v>
      </c>
      <c r="W74" s="5">
        <v>149.5</v>
      </c>
      <c r="X74" s="5">
        <v>149.6</v>
      </c>
      <c r="Y74" s="5">
        <v>128.9</v>
      </c>
      <c r="Z74" s="5">
        <v>143.30000000000001</v>
      </c>
      <c r="AA74" s="5">
        <v>155.1</v>
      </c>
      <c r="AB74" s="5">
        <v>133.19999999999999</v>
      </c>
      <c r="AC74" s="5">
        <v>141.6</v>
      </c>
      <c r="AD74" s="6">
        <v>141.9</v>
      </c>
    </row>
    <row r="75" spans="1:30" hidden="1" x14ac:dyDescent="0.3">
      <c r="A75" s="9" t="s">
        <v>30</v>
      </c>
      <c r="B75" s="7">
        <v>2019</v>
      </c>
      <c r="C75" s="7" t="s">
        <v>31</v>
      </c>
      <c r="D75" s="7">
        <v>136.6</v>
      </c>
      <c r="E75" s="7">
        <v>152.5</v>
      </c>
      <c r="F75" s="7">
        <v>138.19999999999999</v>
      </c>
      <c r="G75" s="7">
        <v>142.4</v>
      </c>
      <c r="H75" s="7">
        <v>123.9</v>
      </c>
      <c r="I75" s="7">
        <v>135.5</v>
      </c>
      <c r="J75" s="7">
        <v>131.69999999999999</v>
      </c>
      <c r="K75" s="7">
        <v>121.3</v>
      </c>
      <c r="L75" s="7">
        <v>108.4</v>
      </c>
      <c r="M75" s="7">
        <v>138.9</v>
      </c>
      <c r="N75" s="7">
        <v>137</v>
      </c>
      <c r="O75" s="7">
        <v>155.80000000000001</v>
      </c>
      <c r="P75" s="7">
        <v>137.4</v>
      </c>
      <c r="Q75" s="7">
        <v>162.69999999999999</v>
      </c>
      <c r="R75" s="7">
        <v>150.6</v>
      </c>
      <c r="S75" s="7">
        <v>145.1</v>
      </c>
      <c r="T75" s="7">
        <v>149.9</v>
      </c>
      <c r="U75" s="7">
        <v>0</v>
      </c>
      <c r="V75" s="7">
        <v>146.19999999999999</v>
      </c>
      <c r="W75" s="7">
        <v>150.1</v>
      </c>
      <c r="X75" s="7">
        <v>149.6</v>
      </c>
      <c r="Y75" s="7">
        <v>128.6</v>
      </c>
      <c r="Z75" s="7">
        <v>142.9</v>
      </c>
      <c r="AA75" s="7">
        <v>155.19999999999999</v>
      </c>
      <c r="AB75" s="7">
        <v>133.5</v>
      </c>
      <c r="AC75" s="7">
        <v>141.69999999999999</v>
      </c>
      <c r="AD75" s="8">
        <v>141</v>
      </c>
    </row>
    <row r="76" spans="1:30" hidden="1" x14ac:dyDescent="0.3">
      <c r="A76" s="10" t="s">
        <v>30</v>
      </c>
      <c r="B76" s="5">
        <v>2019</v>
      </c>
      <c r="C76" s="5" t="s">
        <v>34</v>
      </c>
      <c r="D76" s="5">
        <v>136.80000000000001</v>
      </c>
      <c r="E76" s="5">
        <v>153</v>
      </c>
      <c r="F76" s="5">
        <v>139.1</v>
      </c>
      <c r="G76" s="5">
        <v>142.5</v>
      </c>
      <c r="H76" s="5">
        <v>124.1</v>
      </c>
      <c r="I76" s="5">
        <v>135.80000000000001</v>
      </c>
      <c r="J76" s="5">
        <v>128.69999999999999</v>
      </c>
      <c r="K76" s="5">
        <v>121.5</v>
      </c>
      <c r="L76" s="5">
        <v>108.3</v>
      </c>
      <c r="M76" s="5">
        <v>139.19999999999999</v>
      </c>
      <c r="N76" s="5">
        <v>137.4</v>
      </c>
      <c r="O76" s="5">
        <v>156.19999999999999</v>
      </c>
      <c r="P76" s="5">
        <v>137.19999999999999</v>
      </c>
      <c r="Q76" s="5">
        <v>162.80000000000001</v>
      </c>
      <c r="R76" s="5">
        <v>150.5</v>
      </c>
      <c r="S76" s="5">
        <v>146.1</v>
      </c>
      <c r="T76" s="5">
        <v>149.9</v>
      </c>
      <c r="U76" s="5">
        <v>0</v>
      </c>
      <c r="V76" s="5">
        <v>145.30000000000001</v>
      </c>
      <c r="W76" s="5">
        <v>150.1</v>
      </c>
      <c r="X76" s="5">
        <v>149.9</v>
      </c>
      <c r="Y76" s="5">
        <v>129.19999999999999</v>
      </c>
      <c r="Z76" s="5">
        <v>143.4</v>
      </c>
      <c r="AA76" s="5">
        <v>155.5</v>
      </c>
      <c r="AB76" s="5">
        <v>134.9</v>
      </c>
      <c r="AC76" s="5">
        <v>142.19999999999999</v>
      </c>
      <c r="AD76" s="6">
        <v>141</v>
      </c>
    </row>
    <row r="77" spans="1:30" hidden="1" x14ac:dyDescent="0.3">
      <c r="A77" s="9" t="s">
        <v>30</v>
      </c>
      <c r="B77" s="7">
        <v>2019</v>
      </c>
      <c r="C77" s="7" t="s">
        <v>35</v>
      </c>
      <c r="D77" s="7">
        <v>136.9</v>
      </c>
      <c r="E77" s="7">
        <v>154.1</v>
      </c>
      <c r="F77" s="7">
        <v>138.69999999999999</v>
      </c>
      <c r="G77" s="7">
        <v>142.5</v>
      </c>
      <c r="H77" s="7">
        <v>124.1</v>
      </c>
      <c r="I77" s="7">
        <v>136.1</v>
      </c>
      <c r="J77" s="7">
        <v>128.19999999999999</v>
      </c>
      <c r="K77" s="7">
        <v>122.3</v>
      </c>
      <c r="L77" s="7">
        <v>108.3</v>
      </c>
      <c r="M77" s="7">
        <v>138.9</v>
      </c>
      <c r="N77" s="7">
        <v>137.4</v>
      </c>
      <c r="O77" s="7">
        <v>156.4</v>
      </c>
      <c r="P77" s="7">
        <v>137.30000000000001</v>
      </c>
      <c r="Q77" s="7">
        <v>162.9</v>
      </c>
      <c r="R77" s="7">
        <v>150.80000000000001</v>
      </c>
      <c r="S77" s="7">
        <v>146.1</v>
      </c>
      <c r="T77" s="7">
        <v>150.1</v>
      </c>
      <c r="U77" s="7">
        <v>0</v>
      </c>
      <c r="V77" s="7">
        <v>146.4</v>
      </c>
      <c r="W77" s="7">
        <v>150</v>
      </c>
      <c r="X77" s="7">
        <v>150.4</v>
      </c>
      <c r="Y77" s="7">
        <v>129.9</v>
      </c>
      <c r="Z77" s="7">
        <v>143.80000000000001</v>
      </c>
      <c r="AA77" s="7">
        <v>155.5</v>
      </c>
      <c r="AB77" s="7">
        <v>134</v>
      </c>
      <c r="AC77" s="7">
        <v>142.4</v>
      </c>
      <c r="AD77" s="8">
        <v>141.19999999999999</v>
      </c>
    </row>
    <row r="78" spans="1:30" hidden="1" x14ac:dyDescent="0.3">
      <c r="A78" s="10" t="s">
        <v>30</v>
      </c>
      <c r="B78" s="5">
        <v>2019</v>
      </c>
      <c r="C78" s="5" t="s">
        <v>37</v>
      </c>
      <c r="D78" s="5">
        <v>137.4</v>
      </c>
      <c r="E78" s="5">
        <v>159.5</v>
      </c>
      <c r="F78" s="5">
        <v>134.5</v>
      </c>
      <c r="G78" s="5">
        <v>142.6</v>
      </c>
      <c r="H78" s="5">
        <v>124</v>
      </c>
      <c r="I78" s="5">
        <v>143.69999999999999</v>
      </c>
      <c r="J78" s="5">
        <v>133.4</v>
      </c>
      <c r="K78" s="5">
        <v>125.1</v>
      </c>
      <c r="L78" s="5">
        <v>109.3</v>
      </c>
      <c r="M78" s="5">
        <v>139.30000000000001</v>
      </c>
      <c r="N78" s="5">
        <v>137.69999999999999</v>
      </c>
      <c r="O78" s="5">
        <v>156.4</v>
      </c>
      <c r="P78" s="5">
        <v>139.19999999999999</v>
      </c>
      <c r="Q78" s="5">
        <v>163.30000000000001</v>
      </c>
      <c r="R78" s="5">
        <v>151.30000000000001</v>
      </c>
      <c r="S78" s="5">
        <v>146.6</v>
      </c>
      <c r="T78" s="5">
        <v>150.69999999999999</v>
      </c>
      <c r="U78" s="5">
        <v>0</v>
      </c>
      <c r="V78" s="5">
        <v>146.9</v>
      </c>
      <c r="W78" s="5">
        <v>149.5</v>
      </c>
      <c r="X78" s="5">
        <v>151.30000000000001</v>
      </c>
      <c r="Y78" s="5">
        <v>130.19999999999999</v>
      </c>
      <c r="Z78" s="5">
        <v>145.9</v>
      </c>
      <c r="AA78" s="5">
        <v>156.69999999999999</v>
      </c>
      <c r="AB78" s="5">
        <v>133.9</v>
      </c>
      <c r="AC78" s="5">
        <v>142.9</v>
      </c>
      <c r="AD78" s="6">
        <v>142.4</v>
      </c>
    </row>
    <row r="79" spans="1:30" hidden="1" x14ac:dyDescent="0.3">
      <c r="A79" s="9" t="s">
        <v>30</v>
      </c>
      <c r="B79" s="7">
        <v>2019</v>
      </c>
      <c r="C79" s="7" t="s">
        <v>38</v>
      </c>
      <c r="D79" s="7">
        <v>137.80000000000001</v>
      </c>
      <c r="E79" s="7">
        <v>163.5</v>
      </c>
      <c r="F79" s="7">
        <v>136.19999999999999</v>
      </c>
      <c r="G79" s="7">
        <v>143.19999999999999</v>
      </c>
      <c r="H79" s="7">
        <v>124.3</v>
      </c>
      <c r="I79" s="7">
        <v>143.30000000000001</v>
      </c>
      <c r="J79" s="7">
        <v>140.6</v>
      </c>
      <c r="K79" s="7">
        <v>128.69999999999999</v>
      </c>
      <c r="L79" s="7">
        <v>110.6</v>
      </c>
      <c r="M79" s="7">
        <v>140.4</v>
      </c>
      <c r="N79" s="7">
        <v>138</v>
      </c>
      <c r="O79" s="7">
        <v>156.6</v>
      </c>
      <c r="P79" s="7">
        <v>141</v>
      </c>
      <c r="Q79" s="7">
        <v>164.2</v>
      </c>
      <c r="R79" s="7">
        <v>151.4</v>
      </c>
      <c r="S79" s="7">
        <v>146.5</v>
      </c>
      <c r="T79" s="7">
        <v>150.69999999999999</v>
      </c>
      <c r="U79" s="7">
        <v>0</v>
      </c>
      <c r="V79" s="7">
        <v>147.80000000000001</v>
      </c>
      <c r="W79" s="7">
        <v>149.6</v>
      </c>
      <c r="X79" s="7">
        <v>151.69999999999999</v>
      </c>
      <c r="Y79" s="7">
        <v>130.19999999999999</v>
      </c>
      <c r="Z79" s="7">
        <v>146.4</v>
      </c>
      <c r="AA79" s="7">
        <v>157.69999999999999</v>
      </c>
      <c r="AB79" s="7">
        <v>134.80000000000001</v>
      </c>
      <c r="AC79" s="7">
        <v>143.30000000000001</v>
      </c>
      <c r="AD79" s="8">
        <v>143.6</v>
      </c>
    </row>
    <row r="80" spans="1:30" hidden="1" x14ac:dyDescent="0.3">
      <c r="A80" s="10" t="s">
        <v>30</v>
      </c>
      <c r="B80" s="5">
        <v>2019</v>
      </c>
      <c r="C80" s="5" t="s">
        <v>39</v>
      </c>
      <c r="D80" s="5">
        <v>138.4</v>
      </c>
      <c r="E80" s="5">
        <v>164</v>
      </c>
      <c r="F80" s="5">
        <v>138.4</v>
      </c>
      <c r="G80" s="5">
        <v>143.9</v>
      </c>
      <c r="H80" s="5">
        <v>124.4</v>
      </c>
      <c r="I80" s="5">
        <v>146.4</v>
      </c>
      <c r="J80" s="5">
        <v>150.1</v>
      </c>
      <c r="K80" s="5">
        <v>130.6</v>
      </c>
      <c r="L80" s="5">
        <v>110.8</v>
      </c>
      <c r="M80" s="5">
        <v>141.69999999999999</v>
      </c>
      <c r="N80" s="5">
        <v>138.5</v>
      </c>
      <c r="O80" s="5">
        <v>156.69999999999999</v>
      </c>
      <c r="P80" s="5">
        <v>143</v>
      </c>
      <c r="Q80" s="5">
        <v>164.5</v>
      </c>
      <c r="R80" s="5">
        <v>151.6</v>
      </c>
      <c r="S80" s="5">
        <v>146.6</v>
      </c>
      <c r="T80" s="5">
        <v>150.9</v>
      </c>
      <c r="U80" s="5">
        <v>0</v>
      </c>
      <c r="V80" s="5">
        <v>146.80000000000001</v>
      </c>
      <c r="W80" s="5">
        <v>150</v>
      </c>
      <c r="X80" s="5">
        <v>152.19999999999999</v>
      </c>
      <c r="Y80" s="5">
        <v>131.19999999999999</v>
      </c>
      <c r="Z80" s="5">
        <v>147.5</v>
      </c>
      <c r="AA80" s="5">
        <v>159.1</v>
      </c>
      <c r="AB80" s="5">
        <v>136.1</v>
      </c>
      <c r="AC80" s="5">
        <v>144.19999999999999</v>
      </c>
      <c r="AD80" s="6">
        <v>144.9</v>
      </c>
    </row>
    <row r="81" spans="1:30" hidden="1" x14ac:dyDescent="0.3">
      <c r="A81" s="9" t="s">
        <v>30</v>
      </c>
      <c r="B81" s="7">
        <v>2019</v>
      </c>
      <c r="C81" s="7" t="s">
        <v>40</v>
      </c>
      <c r="D81" s="7">
        <v>139.19999999999999</v>
      </c>
      <c r="E81" s="7">
        <v>161.9</v>
      </c>
      <c r="F81" s="7">
        <v>137.1</v>
      </c>
      <c r="G81" s="7">
        <v>144.6</v>
      </c>
      <c r="H81" s="7">
        <v>124.7</v>
      </c>
      <c r="I81" s="7">
        <v>145.5</v>
      </c>
      <c r="J81" s="7">
        <v>156.19999999999999</v>
      </c>
      <c r="K81" s="7">
        <v>131.5</v>
      </c>
      <c r="L81" s="7">
        <v>111.7</v>
      </c>
      <c r="M81" s="7">
        <v>142.69999999999999</v>
      </c>
      <c r="N81" s="7">
        <v>138.5</v>
      </c>
      <c r="O81" s="7">
        <v>156.9</v>
      </c>
      <c r="P81" s="7">
        <v>144</v>
      </c>
      <c r="Q81" s="7">
        <v>165.1</v>
      </c>
      <c r="R81" s="7">
        <v>151.80000000000001</v>
      </c>
      <c r="S81" s="7">
        <v>146.6</v>
      </c>
      <c r="T81" s="7">
        <v>151.1</v>
      </c>
      <c r="U81" s="7">
        <v>0</v>
      </c>
      <c r="V81" s="7">
        <v>146.4</v>
      </c>
      <c r="W81" s="7">
        <v>150.19999999999999</v>
      </c>
      <c r="X81" s="7">
        <v>152.69999999999999</v>
      </c>
      <c r="Y81" s="7">
        <v>131.4</v>
      </c>
      <c r="Z81" s="7">
        <v>148</v>
      </c>
      <c r="AA81" s="7">
        <v>159.69999999999999</v>
      </c>
      <c r="AB81" s="7">
        <v>138.80000000000001</v>
      </c>
      <c r="AC81" s="7">
        <v>144.9</v>
      </c>
      <c r="AD81" s="8">
        <v>145.69999999999999</v>
      </c>
    </row>
    <row r="82" spans="1:30" hidden="1" x14ac:dyDescent="0.3">
      <c r="A82" s="10" t="s">
        <v>30</v>
      </c>
      <c r="B82" s="5">
        <v>2019</v>
      </c>
      <c r="C82" s="5" t="s">
        <v>41</v>
      </c>
      <c r="D82" s="5">
        <v>140.1</v>
      </c>
      <c r="E82" s="5">
        <v>161.9</v>
      </c>
      <c r="F82" s="5">
        <v>138.30000000000001</v>
      </c>
      <c r="G82" s="5">
        <v>145.69999999999999</v>
      </c>
      <c r="H82" s="5">
        <v>125.1</v>
      </c>
      <c r="I82" s="5">
        <v>143.80000000000001</v>
      </c>
      <c r="J82" s="5">
        <v>163.4</v>
      </c>
      <c r="K82" s="5">
        <v>132.19999999999999</v>
      </c>
      <c r="L82" s="5">
        <v>112.8</v>
      </c>
      <c r="M82" s="5">
        <v>144.19999999999999</v>
      </c>
      <c r="N82" s="5">
        <v>138.5</v>
      </c>
      <c r="O82" s="5">
        <v>157.19999999999999</v>
      </c>
      <c r="P82" s="5">
        <v>145.5</v>
      </c>
      <c r="Q82" s="5">
        <v>165.7</v>
      </c>
      <c r="R82" s="5">
        <v>151.69999999999999</v>
      </c>
      <c r="S82" s="5">
        <v>146.6</v>
      </c>
      <c r="T82" s="5">
        <v>151</v>
      </c>
      <c r="U82" s="5">
        <v>0</v>
      </c>
      <c r="V82" s="5">
        <v>146.9</v>
      </c>
      <c r="W82" s="5">
        <v>150.30000000000001</v>
      </c>
      <c r="X82" s="5">
        <v>153.4</v>
      </c>
      <c r="Y82" s="5">
        <v>131.6</v>
      </c>
      <c r="Z82" s="5">
        <v>148.30000000000001</v>
      </c>
      <c r="AA82" s="5">
        <v>160.19999999999999</v>
      </c>
      <c r="AB82" s="5">
        <v>140.19999999999999</v>
      </c>
      <c r="AC82" s="5">
        <v>145.4</v>
      </c>
      <c r="AD82" s="6">
        <v>146.69999999999999</v>
      </c>
    </row>
    <row r="83" spans="1:30" hidden="1" x14ac:dyDescent="0.3">
      <c r="A83" s="9" t="s">
        <v>30</v>
      </c>
      <c r="B83" s="7">
        <v>2019</v>
      </c>
      <c r="C83" s="7" t="s">
        <v>42</v>
      </c>
      <c r="D83" s="7">
        <v>141</v>
      </c>
      <c r="E83" s="7">
        <v>161.6</v>
      </c>
      <c r="F83" s="7">
        <v>141.19999999999999</v>
      </c>
      <c r="G83" s="7">
        <v>146.5</v>
      </c>
      <c r="H83" s="7">
        <v>125.6</v>
      </c>
      <c r="I83" s="7">
        <v>145.69999999999999</v>
      </c>
      <c r="J83" s="7">
        <v>178.8</v>
      </c>
      <c r="K83" s="7">
        <v>133.1</v>
      </c>
      <c r="L83" s="7">
        <v>113.6</v>
      </c>
      <c r="M83" s="7">
        <v>145.5</v>
      </c>
      <c r="N83" s="7">
        <v>138.6</v>
      </c>
      <c r="O83" s="7">
        <v>157.4</v>
      </c>
      <c r="P83" s="7">
        <v>148.30000000000001</v>
      </c>
      <c r="Q83" s="7">
        <v>166.3</v>
      </c>
      <c r="R83" s="7">
        <v>151.69999999999999</v>
      </c>
      <c r="S83" s="7">
        <v>146.69999999999999</v>
      </c>
      <c r="T83" s="7">
        <v>151</v>
      </c>
      <c r="U83" s="7">
        <v>0</v>
      </c>
      <c r="V83" s="7">
        <v>147.69999999999999</v>
      </c>
      <c r="W83" s="7">
        <v>150.6</v>
      </c>
      <c r="X83" s="7">
        <v>153.69999999999999</v>
      </c>
      <c r="Y83" s="7">
        <v>131.69999999999999</v>
      </c>
      <c r="Z83" s="7">
        <v>148.69999999999999</v>
      </c>
      <c r="AA83" s="7">
        <v>160.69999999999999</v>
      </c>
      <c r="AB83" s="7">
        <v>140.30000000000001</v>
      </c>
      <c r="AC83" s="7">
        <v>145.69999999999999</v>
      </c>
      <c r="AD83" s="8">
        <v>148.30000000000001</v>
      </c>
    </row>
    <row r="84" spans="1:30" hidden="1" x14ac:dyDescent="0.3">
      <c r="A84" s="10" t="s">
        <v>30</v>
      </c>
      <c r="B84" s="5">
        <v>2019</v>
      </c>
      <c r="C84" s="5" t="s">
        <v>43</v>
      </c>
      <c r="D84" s="5">
        <v>141.80000000000001</v>
      </c>
      <c r="E84" s="5">
        <v>163.69999999999999</v>
      </c>
      <c r="F84" s="5">
        <v>143.80000000000001</v>
      </c>
      <c r="G84" s="5">
        <v>147.1</v>
      </c>
      <c r="H84" s="5">
        <v>126</v>
      </c>
      <c r="I84" s="5">
        <v>146.19999999999999</v>
      </c>
      <c r="J84" s="5">
        <v>191.4</v>
      </c>
      <c r="K84" s="5">
        <v>136.19999999999999</v>
      </c>
      <c r="L84" s="5">
        <v>113.8</v>
      </c>
      <c r="M84" s="5">
        <v>147.30000000000001</v>
      </c>
      <c r="N84" s="5">
        <v>138.69999999999999</v>
      </c>
      <c r="O84" s="5">
        <v>157.69999999999999</v>
      </c>
      <c r="P84" s="5">
        <v>150.9</v>
      </c>
      <c r="Q84" s="5">
        <v>167.2</v>
      </c>
      <c r="R84" s="5">
        <v>152.30000000000001</v>
      </c>
      <c r="S84" s="5">
        <v>147</v>
      </c>
      <c r="T84" s="5">
        <v>151.5</v>
      </c>
      <c r="U84" s="5">
        <v>0</v>
      </c>
      <c r="V84" s="5">
        <v>148.4</v>
      </c>
      <c r="W84" s="5">
        <v>150.9</v>
      </c>
      <c r="X84" s="5">
        <v>154.30000000000001</v>
      </c>
      <c r="Y84" s="5">
        <v>132.1</v>
      </c>
      <c r="Z84" s="5">
        <v>149.1</v>
      </c>
      <c r="AA84" s="5">
        <v>160.80000000000001</v>
      </c>
      <c r="AB84" s="5">
        <v>140.6</v>
      </c>
      <c r="AC84" s="5">
        <v>146.1</v>
      </c>
      <c r="AD84" s="6">
        <v>149.9</v>
      </c>
    </row>
    <row r="85" spans="1:30" hidden="1" x14ac:dyDescent="0.3">
      <c r="A85" s="9" t="s">
        <v>30</v>
      </c>
      <c r="B85" s="7">
        <v>2019</v>
      </c>
      <c r="C85" s="7" t="s">
        <v>44</v>
      </c>
      <c r="D85" s="7">
        <v>142.80000000000001</v>
      </c>
      <c r="E85" s="7">
        <v>165.3</v>
      </c>
      <c r="F85" s="7">
        <v>149.5</v>
      </c>
      <c r="G85" s="7">
        <v>148.69999999999999</v>
      </c>
      <c r="H85" s="7">
        <v>127.5</v>
      </c>
      <c r="I85" s="7">
        <v>144.30000000000001</v>
      </c>
      <c r="J85" s="7">
        <v>209.5</v>
      </c>
      <c r="K85" s="7">
        <v>138.80000000000001</v>
      </c>
      <c r="L85" s="7">
        <v>113.6</v>
      </c>
      <c r="M85" s="7">
        <v>149.1</v>
      </c>
      <c r="N85" s="7">
        <v>139.30000000000001</v>
      </c>
      <c r="O85" s="7">
        <v>158.30000000000001</v>
      </c>
      <c r="P85" s="7">
        <v>154.30000000000001</v>
      </c>
      <c r="Q85" s="7">
        <v>167.8</v>
      </c>
      <c r="R85" s="7">
        <v>152.6</v>
      </c>
      <c r="S85" s="7">
        <v>147.30000000000001</v>
      </c>
      <c r="T85" s="7">
        <v>151.9</v>
      </c>
      <c r="U85" s="7">
        <v>0</v>
      </c>
      <c r="V85" s="7">
        <v>149.9</v>
      </c>
      <c r="W85" s="7">
        <v>151.19999999999999</v>
      </c>
      <c r="X85" s="7">
        <v>154.80000000000001</v>
      </c>
      <c r="Y85" s="7">
        <v>135</v>
      </c>
      <c r="Z85" s="7">
        <v>149.5</v>
      </c>
      <c r="AA85" s="7">
        <v>161.1</v>
      </c>
      <c r="AB85" s="7">
        <v>140.6</v>
      </c>
      <c r="AC85" s="7">
        <v>147.1</v>
      </c>
      <c r="AD85" s="8">
        <v>152.30000000000001</v>
      </c>
    </row>
    <row r="86" spans="1:30" x14ac:dyDescent="0.3">
      <c r="A86" s="10" t="s">
        <v>30</v>
      </c>
      <c r="B86" s="5">
        <v>2020</v>
      </c>
      <c r="C86" s="5" t="s">
        <v>31</v>
      </c>
      <c r="D86" s="5">
        <v>143.69999999999999</v>
      </c>
      <c r="E86" s="5">
        <v>167.3</v>
      </c>
      <c r="F86" s="5">
        <v>153.5</v>
      </c>
      <c r="G86" s="5">
        <v>150.5</v>
      </c>
      <c r="H86" s="5">
        <v>132</v>
      </c>
      <c r="I86" s="5">
        <v>142.19999999999999</v>
      </c>
      <c r="J86" s="5">
        <v>191.5</v>
      </c>
      <c r="K86" s="5">
        <v>141.1</v>
      </c>
      <c r="L86" s="5">
        <v>113.8</v>
      </c>
      <c r="M86" s="5">
        <v>151.6</v>
      </c>
      <c r="N86" s="5">
        <v>139.69999999999999</v>
      </c>
      <c r="O86" s="5">
        <v>158.69999999999999</v>
      </c>
      <c r="P86" s="5">
        <v>153</v>
      </c>
      <c r="Q86" s="5">
        <v>168.6</v>
      </c>
      <c r="R86" s="5">
        <v>152.80000000000001</v>
      </c>
      <c r="S86" s="5">
        <v>147.4</v>
      </c>
      <c r="T86" s="5">
        <v>152.1</v>
      </c>
      <c r="U86" s="5">
        <v>0</v>
      </c>
      <c r="V86" s="5">
        <v>150.4</v>
      </c>
      <c r="W86" s="5">
        <v>151.69999999999999</v>
      </c>
      <c r="X86" s="5">
        <v>155.69999999999999</v>
      </c>
      <c r="Y86" s="5">
        <v>136.30000000000001</v>
      </c>
      <c r="Z86" s="5">
        <v>150.1</v>
      </c>
      <c r="AA86" s="5">
        <v>161.69999999999999</v>
      </c>
      <c r="AB86" s="5">
        <v>142.5</v>
      </c>
      <c r="AC86" s="5">
        <v>148.1</v>
      </c>
      <c r="AD86" s="6">
        <v>151.9</v>
      </c>
    </row>
    <row r="87" spans="1:30" x14ac:dyDescent="0.3">
      <c r="A87" s="9" t="s">
        <v>30</v>
      </c>
      <c r="B87" s="7">
        <v>2020</v>
      </c>
      <c r="C87" s="7" t="s">
        <v>34</v>
      </c>
      <c r="D87" s="7">
        <v>144.19999999999999</v>
      </c>
      <c r="E87" s="7">
        <v>167.5</v>
      </c>
      <c r="F87" s="7">
        <v>150.9</v>
      </c>
      <c r="G87" s="7">
        <v>150.9</v>
      </c>
      <c r="H87" s="7">
        <v>133.69999999999999</v>
      </c>
      <c r="I87" s="7">
        <v>140.69999999999999</v>
      </c>
      <c r="J87" s="7">
        <v>165.1</v>
      </c>
      <c r="K87" s="7">
        <v>141.80000000000001</v>
      </c>
      <c r="L87" s="7">
        <v>113.1</v>
      </c>
      <c r="M87" s="7">
        <v>152.80000000000001</v>
      </c>
      <c r="N87" s="7">
        <v>140.1</v>
      </c>
      <c r="O87" s="7">
        <v>159.19999999999999</v>
      </c>
      <c r="P87" s="7">
        <v>149.80000000000001</v>
      </c>
      <c r="Q87" s="7">
        <v>169.4</v>
      </c>
      <c r="R87" s="7">
        <v>153</v>
      </c>
      <c r="S87" s="7">
        <v>147.5</v>
      </c>
      <c r="T87" s="7">
        <v>152.30000000000001</v>
      </c>
      <c r="U87" s="7">
        <v>0</v>
      </c>
      <c r="V87" s="7">
        <v>152.30000000000001</v>
      </c>
      <c r="W87" s="7">
        <v>151.80000000000001</v>
      </c>
      <c r="X87" s="7">
        <v>156.19999999999999</v>
      </c>
      <c r="Y87" s="7">
        <v>136</v>
      </c>
      <c r="Z87" s="7">
        <v>150.4</v>
      </c>
      <c r="AA87" s="7">
        <v>161.9</v>
      </c>
      <c r="AB87" s="7">
        <v>143.4</v>
      </c>
      <c r="AC87" s="7">
        <v>148.4</v>
      </c>
      <c r="AD87" s="8">
        <v>150.4</v>
      </c>
    </row>
    <row r="88" spans="1:30" x14ac:dyDescent="0.3">
      <c r="A88" s="10" t="s">
        <v>30</v>
      </c>
      <c r="B88" s="5">
        <v>2020</v>
      </c>
      <c r="C88" s="5" t="s">
        <v>35</v>
      </c>
      <c r="D88" s="5">
        <v>144.4</v>
      </c>
      <c r="E88" s="5">
        <v>166.8</v>
      </c>
      <c r="F88" s="5">
        <v>147.6</v>
      </c>
      <c r="G88" s="5">
        <v>151.69999999999999</v>
      </c>
      <c r="H88" s="5">
        <v>133.30000000000001</v>
      </c>
      <c r="I88" s="5">
        <v>141.80000000000001</v>
      </c>
      <c r="J88" s="5">
        <v>152.30000000000001</v>
      </c>
      <c r="K88" s="5">
        <v>141.80000000000001</v>
      </c>
      <c r="L88" s="5">
        <v>112.6</v>
      </c>
      <c r="M88" s="5">
        <v>154</v>
      </c>
      <c r="N88" s="5">
        <v>140.1</v>
      </c>
      <c r="O88" s="5">
        <v>160</v>
      </c>
      <c r="P88" s="5">
        <v>148.19999999999999</v>
      </c>
      <c r="Q88" s="5">
        <v>170.5</v>
      </c>
      <c r="R88" s="5">
        <v>153.4</v>
      </c>
      <c r="S88" s="5">
        <v>147.6</v>
      </c>
      <c r="T88" s="5">
        <v>152.5</v>
      </c>
      <c r="U88" s="5">
        <v>0</v>
      </c>
      <c r="V88" s="5">
        <v>153.4</v>
      </c>
      <c r="W88" s="5">
        <v>151.5</v>
      </c>
      <c r="X88" s="5">
        <v>156.69999999999999</v>
      </c>
      <c r="Y88" s="5">
        <v>135.80000000000001</v>
      </c>
      <c r="Z88" s="5">
        <v>151.19999999999999</v>
      </c>
      <c r="AA88" s="5">
        <v>161.19999999999999</v>
      </c>
      <c r="AB88" s="5">
        <v>145.1</v>
      </c>
      <c r="AC88" s="5">
        <v>148.6</v>
      </c>
      <c r="AD88" s="6">
        <v>149.80000000000001</v>
      </c>
    </row>
    <row r="89" spans="1:30" x14ac:dyDescent="0.3">
      <c r="A89" s="9" t="s">
        <v>30</v>
      </c>
      <c r="B89" s="7">
        <v>2020</v>
      </c>
      <c r="C89" s="7" t="s">
        <v>36</v>
      </c>
      <c r="D89" s="7">
        <v>147.19999999999999</v>
      </c>
      <c r="E89" s="12">
        <v>178.23333333333335</v>
      </c>
      <c r="F89" s="7">
        <v>146.9</v>
      </c>
      <c r="G89" s="7">
        <v>155.6</v>
      </c>
      <c r="H89" s="7">
        <v>137.1</v>
      </c>
      <c r="I89" s="7">
        <v>147.30000000000001</v>
      </c>
      <c r="J89" s="7">
        <v>162.69999999999999</v>
      </c>
      <c r="K89" s="7">
        <v>150.19999999999999</v>
      </c>
      <c r="L89" s="7">
        <v>119.8</v>
      </c>
      <c r="M89" s="7">
        <v>158.69999999999999</v>
      </c>
      <c r="N89" s="7">
        <v>139.19999999999999</v>
      </c>
      <c r="O89" s="12">
        <v>160.5</v>
      </c>
      <c r="P89" s="7">
        <v>150.1</v>
      </c>
      <c r="Q89" s="12">
        <v>175.70000000000002</v>
      </c>
      <c r="R89" s="12">
        <v>153.94999999999999</v>
      </c>
      <c r="S89" s="12">
        <v>148.63333333333333</v>
      </c>
      <c r="T89" s="12">
        <v>153.23333333333335</v>
      </c>
      <c r="U89" s="7">
        <v>0</v>
      </c>
      <c r="V89" s="7">
        <v>148.4</v>
      </c>
      <c r="W89" s="12">
        <v>151.71666666666667</v>
      </c>
      <c r="X89" s="7">
        <v>154.30000000000001</v>
      </c>
      <c r="Y89" s="12">
        <v>139.08333333333334</v>
      </c>
      <c r="Z89" s="12">
        <v>151.7166666666667</v>
      </c>
      <c r="AA89" s="12">
        <v>161.85000000000002</v>
      </c>
      <c r="AB89" s="12">
        <v>147.83333333333334</v>
      </c>
      <c r="AC89" s="12">
        <v>150.25</v>
      </c>
      <c r="AD89" s="13">
        <v>152.03333333333333</v>
      </c>
    </row>
    <row r="90" spans="1:30" x14ac:dyDescent="0.3">
      <c r="A90" s="10" t="s">
        <v>30</v>
      </c>
      <c r="B90" s="5">
        <v>2020</v>
      </c>
      <c r="C90" s="5" t="s">
        <v>37</v>
      </c>
      <c r="D90" s="11">
        <v>146.63333333333335</v>
      </c>
      <c r="E90" s="11">
        <v>180.05555555555554</v>
      </c>
      <c r="F90" s="11">
        <v>148.76666666666665</v>
      </c>
      <c r="G90" s="11">
        <v>153.01666666666665</v>
      </c>
      <c r="H90" s="11">
        <v>136.71666666666667</v>
      </c>
      <c r="I90" s="11">
        <v>143.85</v>
      </c>
      <c r="J90" s="11">
        <v>158.15</v>
      </c>
      <c r="K90" s="11">
        <v>147.38333333333335</v>
      </c>
      <c r="L90" s="11">
        <v>114.35000000000001</v>
      </c>
      <c r="M90" s="11">
        <v>157.51666666666665</v>
      </c>
      <c r="N90" s="11">
        <v>141.18333333333334</v>
      </c>
      <c r="O90" s="11">
        <v>160.79999999999998</v>
      </c>
      <c r="P90" s="11">
        <v>151.33333333333334</v>
      </c>
      <c r="Q90" s="11">
        <v>176.88333333333333</v>
      </c>
      <c r="R90" s="11">
        <v>154.14166666666668</v>
      </c>
      <c r="S90" s="11">
        <v>148.83888888888887</v>
      </c>
      <c r="T90" s="11">
        <v>153.42222222222222</v>
      </c>
      <c r="U90" s="5">
        <v>0</v>
      </c>
      <c r="V90" s="11">
        <v>148.28333333333333</v>
      </c>
      <c r="W90" s="11">
        <v>151.71944444444446</v>
      </c>
      <c r="X90" s="11">
        <v>157.06666666666663</v>
      </c>
      <c r="Y90" s="11">
        <v>139.54722222222222</v>
      </c>
      <c r="Z90" s="11">
        <v>151.98611111111111</v>
      </c>
      <c r="AA90" s="11">
        <v>161.875</v>
      </c>
      <c r="AB90" s="11">
        <v>148.72222222222223</v>
      </c>
      <c r="AC90" s="11">
        <v>150.60833333333335</v>
      </c>
      <c r="AD90" s="14">
        <v>152.05555555555557</v>
      </c>
    </row>
    <row r="91" spans="1:30" x14ac:dyDescent="0.3">
      <c r="A91" s="9" t="s">
        <v>30</v>
      </c>
      <c r="B91" s="7">
        <v>2020</v>
      </c>
      <c r="C91" s="7" t="s">
        <v>38</v>
      </c>
      <c r="D91" s="7">
        <v>148.19999999999999</v>
      </c>
      <c r="E91" s="7">
        <v>190.3</v>
      </c>
      <c r="F91" s="7">
        <v>149.4</v>
      </c>
      <c r="G91" s="7">
        <v>153.30000000000001</v>
      </c>
      <c r="H91" s="7">
        <v>138.19999999999999</v>
      </c>
      <c r="I91" s="7">
        <v>143.19999999999999</v>
      </c>
      <c r="J91" s="7">
        <v>148.9</v>
      </c>
      <c r="K91" s="7">
        <v>150.30000000000001</v>
      </c>
      <c r="L91" s="7">
        <v>113.2</v>
      </c>
      <c r="M91" s="7">
        <v>159.80000000000001</v>
      </c>
      <c r="N91" s="7">
        <v>142.1</v>
      </c>
      <c r="O91" s="7">
        <v>161.80000000000001</v>
      </c>
      <c r="P91" s="7">
        <v>152.30000000000001</v>
      </c>
      <c r="Q91" s="7">
        <v>182.4</v>
      </c>
      <c r="R91" s="7">
        <v>154.69999999999999</v>
      </c>
      <c r="S91" s="7">
        <v>150</v>
      </c>
      <c r="T91" s="7">
        <v>154.1</v>
      </c>
      <c r="U91" s="7">
        <v>0</v>
      </c>
      <c r="V91" s="7">
        <v>144.9</v>
      </c>
      <c r="W91" s="7">
        <v>151.69999999999999</v>
      </c>
      <c r="X91" s="7">
        <v>158.19999999999999</v>
      </c>
      <c r="Y91" s="7">
        <v>141.4</v>
      </c>
      <c r="Z91" s="7">
        <v>153.19999999999999</v>
      </c>
      <c r="AA91" s="7">
        <v>161.80000000000001</v>
      </c>
      <c r="AB91" s="7">
        <v>151.19999999999999</v>
      </c>
      <c r="AC91" s="7">
        <v>151.69999999999999</v>
      </c>
      <c r="AD91" s="8">
        <v>152.69999999999999</v>
      </c>
    </row>
    <row r="92" spans="1:30" x14ac:dyDescent="0.3">
      <c r="A92" s="10" t="s">
        <v>30</v>
      </c>
      <c r="B92" s="5">
        <v>2020</v>
      </c>
      <c r="C92" s="5" t="s">
        <v>39</v>
      </c>
      <c r="D92" s="5">
        <v>148.19999999999999</v>
      </c>
      <c r="E92" s="5">
        <v>190.3</v>
      </c>
      <c r="F92" s="5">
        <v>149.4</v>
      </c>
      <c r="G92" s="5">
        <v>153.30000000000001</v>
      </c>
      <c r="H92" s="5">
        <v>138.19999999999999</v>
      </c>
      <c r="I92" s="5">
        <v>143.19999999999999</v>
      </c>
      <c r="J92" s="5">
        <v>148.9</v>
      </c>
      <c r="K92" s="5">
        <v>150.30000000000001</v>
      </c>
      <c r="L92" s="5">
        <v>113.2</v>
      </c>
      <c r="M92" s="5">
        <v>159.80000000000001</v>
      </c>
      <c r="N92" s="5">
        <v>142.1</v>
      </c>
      <c r="O92" s="5">
        <v>161.80000000000001</v>
      </c>
      <c r="P92" s="5">
        <v>152.30000000000001</v>
      </c>
      <c r="Q92" s="5">
        <v>182.4</v>
      </c>
      <c r="R92" s="5">
        <v>154.69999999999999</v>
      </c>
      <c r="S92" s="5">
        <v>150</v>
      </c>
      <c r="T92" s="5">
        <v>154.1</v>
      </c>
      <c r="U92" s="5">
        <v>0</v>
      </c>
      <c r="V92" s="5">
        <v>144.9</v>
      </c>
      <c r="W92" s="5">
        <v>151.69999999999999</v>
      </c>
      <c r="X92" s="5">
        <v>158.19999999999999</v>
      </c>
      <c r="Y92" s="5">
        <v>141.4</v>
      </c>
      <c r="Z92" s="5">
        <v>153.19999999999999</v>
      </c>
      <c r="AA92" s="5">
        <v>161.80000000000001</v>
      </c>
      <c r="AB92" s="5">
        <v>151.19999999999999</v>
      </c>
      <c r="AC92" s="5">
        <v>151.69999999999999</v>
      </c>
      <c r="AD92" s="6">
        <v>152.69999999999999</v>
      </c>
    </row>
    <row r="93" spans="1:30" x14ac:dyDescent="0.3">
      <c r="A93" s="9" t="s">
        <v>30</v>
      </c>
      <c r="B93" s="7">
        <v>2020</v>
      </c>
      <c r="C93" s="7" t="s">
        <v>40</v>
      </c>
      <c r="D93" s="7">
        <v>147.6</v>
      </c>
      <c r="E93" s="7">
        <v>187.2</v>
      </c>
      <c r="F93" s="7">
        <v>148.4</v>
      </c>
      <c r="G93" s="7">
        <v>153.30000000000001</v>
      </c>
      <c r="H93" s="7">
        <v>139.80000000000001</v>
      </c>
      <c r="I93" s="7">
        <v>146.9</v>
      </c>
      <c r="J93" s="7">
        <v>171</v>
      </c>
      <c r="K93" s="7">
        <v>149.9</v>
      </c>
      <c r="L93" s="7">
        <v>114.2</v>
      </c>
      <c r="M93" s="7">
        <v>160</v>
      </c>
      <c r="N93" s="7">
        <v>143.5</v>
      </c>
      <c r="O93" s="7">
        <v>161.5</v>
      </c>
      <c r="P93" s="7">
        <v>155.30000000000001</v>
      </c>
      <c r="Q93" s="7">
        <v>180.9</v>
      </c>
      <c r="R93" s="7">
        <v>155.1</v>
      </c>
      <c r="S93" s="7">
        <v>149.30000000000001</v>
      </c>
      <c r="T93" s="7">
        <v>154.30000000000001</v>
      </c>
      <c r="U93" s="7">
        <v>0</v>
      </c>
      <c r="V93" s="7">
        <v>145.80000000000001</v>
      </c>
      <c r="W93" s="7">
        <v>151.9</v>
      </c>
      <c r="X93" s="7">
        <v>158.80000000000001</v>
      </c>
      <c r="Y93" s="7">
        <v>143.6</v>
      </c>
      <c r="Z93" s="7">
        <v>152.19999999999999</v>
      </c>
      <c r="AA93" s="7">
        <v>162.69999999999999</v>
      </c>
      <c r="AB93" s="7">
        <v>153.6</v>
      </c>
      <c r="AC93" s="7">
        <v>153</v>
      </c>
      <c r="AD93" s="8">
        <v>154.69999999999999</v>
      </c>
    </row>
    <row r="94" spans="1:30" x14ac:dyDescent="0.3">
      <c r="A94" s="10" t="s">
        <v>30</v>
      </c>
      <c r="B94" s="5">
        <v>2020</v>
      </c>
      <c r="C94" s="5" t="s">
        <v>41</v>
      </c>
      <c r="D94" s="5">
        <v>146.9</v>
      </c>
      <c r="E94" s="5">
        <v>183.9</v>
      </c>
      <c r="F94" s="5">
        <v>149.5</v>
      </c>
      <c r="G94" s="5">
        <v>153.4</v>
      </c>
      <c r="H94" s="5">
        <v>140.4</v>
      </c>
      <c r="I94" s="5">
        <v>147</v>
      </c>
      <c r="J94" s="5">
        <v>178.8</v>
      </c>
      <c r="K94" s="5">
        <v>149.30000000000001</v>
      </c>
      <c r="L94" s="5">
        <v>115.1</v>
      </c>
      <c r="M94" s="5">
        <v>160</v>
      </c>
      <c r="N94" s="5">
        <v>145.4</v>
      </c>
      <c r="O94" s="5">
        <v>161.6</v>
      </c>
      <c r="P94" s="5">
        <v>156.1</v>
      </c>
      <c r="Q94" s="5">
        <v>182.9</v>
      </c>
      <c r="R94" s="5">
        <v>155.4</v>
      </c>
      <c r="S94" s="5">
        <v>149.9</v>
      </c>
      <c r="T94" s="5">
        <v>154.6</v>
      </c>
      <c r="U94" s="5">
        <v>0</v>
      </c>
      <c r="V94" s="5">
        <v>146.4</v>
      </c>
      <c r="W94" s="5">
        <v>151.6</v>
      </c>
      <c r="X94" s="5">
        <v>159.1</v>
      </c>
      <c r="Y94" s="5">
        <v>144.6</v>
      </c>
      <c r="Z94" s="5">
        <v>152.80000000000001</v>
      </c>
      <c r="AA94" s="5">
        <v>161.1</v>
      </c>
      <c r="AB94" s="5">
        <v>157.4</v>
      </c>
      <c r="AC94" s="5">
        <v>153.69999999999999</v>
      </c>
      <c r="AD94" s="6">
        <v>155.4</v>
      </c>
    </row>
    <row r="95" spans="1:30" x14ac:dyDescent="0.3">
      <c r="A95" s="9" t="s">
        <v>30</v>
      </c>
      <c r="B95" s="7">
        <v>2020</v>
      </c>
      <c r="C95" s="7" t="s">
        <v>42</v>
      </c>
      <c r="D95" s="7">
        <v>146</v>
      </c>
      <c r="E95" s="7">
        <v>186.3</v>
      </c>
      <c r="F95" s="7">
        <v>159.19999999999999</v>
      </c>
      <c r="G95" s="7">
        <v>153.6</v>
      </c>
      <c r="H95" s="7">
        <v>142.6</v>
      </c>
      <c r="I95" s="7">
        <v>147.19999999999999</v>
      </c>
      <c r="J95" s="7">
        <v>200.6</v>
      </c>
      <c r="K95" s="7">
        <v>150.30000000000001</v>
      </c>
      <c r="L95" s="7">
        <v>115.3</v>
      </c>
      <c r="M95" s="7">
        <v>160.9</v>
      </c>
      <c r="N95" s="7">
        <v>147.4</v>
      </c>
      <c r="O95" s="7">
        <v>161.9</v>
      </c>
      <c r="P95" s="7">
        <v>159.6</v>
      </c>
      <c r="Q95" s="7">
        <v>182.7</v>
      </c>
      <c r="R95" s="7">
        <v>155.69999999999999</v>
      </c>
      <c r="S95" s="7">
        <v>150.6</v>
      </c>
      <c r="T95" s="7">
        <v>155</v>
      </c>
      <c r="U95" s="7">
        <v>0</v>
      </c>
      <c r="V95" s="7">
        <v>146.80000000000001</v>
      </c>
      <c r="W95" s="7">
        <v>152</v>
      </c>
      <c r="X95" s="7">
        <v>159.5</v>
      </c>
      <c r="Y95" s="7">
        <v>146.4</v>
      </c>
      <c r="Z95" s="7">
        <v>152.4</v>
      </c>
      <c r="AA95" s="7">
        <v>162.5</v>
      </c>
      <c r="AB95" s="7">
        <v>156.19999999999999</v>
      </c>
      <c r="AC95" s="7">
        <v>154.30000000000001</v>
      </c>
      <c r="AD95" s="8">
        <v>157.5</v>
      </c>
    </row>
    <row r="96" spans="1:30" x14ac:dyDescent="0.3">
      <c r="A96" s="10" t="s">
        <v>30</v>
      </c>
      <c r="B96" s="5">
        <v>2020</v>
      </c>
      <c r="C96" s="5" t="s">
        <v>43</v>
      </c>
      <c r="D96" s="5">
        <v>145.4</v>
      </c>
      <c r="E96" s="5">
        <v>188.6</v>
      </c>
      <c r="F96" s="5">
        <v>171.6</v>
      </c>
      <c r="G96" s="5">
        <v>153.80000000000001</v>
      </c>
      <c r="H96" s="5">
        <v>145.4</v>
      </c>
      <c r="I96" s="5">
        <v>146.5</v>
      </c>
      <c r="J96" s="5">
        <v>222.2</v>
      </c>
      <c r="K96" s="5">
        <v>155.9</v>
      </c>
      <c r="L96" s="5">
        <v>114.9</v>
      </c>
      <c r="M96" s="5">
        <v>162</v>
      </c>
      <c r="N96" s="5">
        <v>150</v>
      </c>
      <c r="O96" s="5">
        <v>162.69999999999999</v>
      </c>
      <c r="P96" s="5">
        <v>163.4</v>
      </c>
      <c r="Q96" s="5">
        <v>183.4</v>
      </c>
      <c r="R96" s="5">
        <v>156.30000000000001</v>
      </c>
      <c r="S96" s="5">
        <v>151</v>
      </c>
      <c r="T96" s="5">
        <v>155.5</v>
      </c>
      <c r="U96" s="5">
        <v>0</v>
      </c>
      <c r="V96" s="5">
        <v>147.5</v>
      </c>
      <c r="W96" s="5">
        <v>152.80000000000001</v>
      </c>
      <c r="X96" s="5">
        <v>160.4</v>
      </c>
      <c r="Y96" s="5">
        <v>146.1</v>
      </c>
      <c r="Z96" s="5">
        <v>153.6</v>
      </c>
      <c r="AA96" s="5">
        <v>161.6</v>
      </c>
      <c r="AB96" s="5">
        <v>156.19999999999999</v>
      </c>
      <c r="AC96" s="5">
        <v>154.5</v>
      </c>
      <c r="AD96" s="6">
        <v>159.80000000000001</v>
      </c>
    </row>
    <row r="97" spans="1:30" x14ac:dyDescent="0.3">
      <c r="A97" s="9" t="s">
        <v>30</v>
      </c>
      <c r="B97" s="7">
        <v>2020</v>
      </c>
      <c r="C97" s="7" t="s">
        <v>44</v>
      </c>
      <c r="D97" s="7">
        <v>144.6</v>
      </c>
      <c r="E97" s="7">
        <v>188.5</v>
      </c>
      <c r="F97" s="7">
        <v>173.4</v>
      </c>
      <c r="G97" s="7">
        <v>154</v>
      </c>
      <c r="H97" s="7">
        <v>150</v>
      </c>
      <c r="I97" s="7">
        <v>145.9</v>
      </c>
      <c r="J97" s="7">
        <v>225.2</v>
      </c>
      <c r="K97" s="7">
        <v>159.5</v>
      </c>
      <c r="L97" s="7">
        <v>114.4</v>
      </c>
      <c r="M97" s="7">
        <v>163.5</v>
      </c>
      <c r="N97" s="7">
        <v>153.4</v>
      </c>
      <c r="O97" s="7">
        <v>163.6</v>
      </c>
      <c r="P97" s="7">
        <v>164.5</v>
      </c>
      <c r="Q97" s="7">
        <v>183.6</v>
      </c>
      <c r="R97" s="7">
        <v>157</v>
      </c>
      <c r="S97" s="7">
        <v>151.6</v>
      </c>
      <c r="T97" s="7">
        <v>156.30000000000001</v>
      </c>
      <c r="U97" s="7">
        <v>0</v>
      </c>
      <c r="V97" s="7">
        <v>148.69999999999999</v>
      </c>
      <c r="W97" s="7">
        <v>153.4</v>
      </c>
      <c r="X97" s="7">
        <v>161.6</v>
      </c>
      <c r="Y97" s="7">
        <v>146.4</v>
      </c>
      <c r="Z97" s="7">
        <v>153.9</v>
      </c>
      <c r="AA97" s="7">
        <v>162.9</v>
      </c>
      <c r="AB97" s="7">
        <v>156.6</v>
      </c>
      <c r="AC97" s="7">
        <v>155.19999999999999</v>
      </c>
      <c r="AD97" s="8">
        <v>160.69999999999999</v>
      </c>
    </row>
    <row r="98" spans="1:30" x14ac:dyDescent="0.3">
      <c r="A98" s="10" t="s">
        <v>30</v>
      </c>
      <c r="B98" s="5">
        <v>2021</v>
      </c>
      <c r="C98" s="5" t="s">
        <v>31</v>
      </c>
      <c r="D98" s="5">
        <v>143.4</v>
      </c>
      <c r="E98" s="5">
        <v>187.5</v>
      </c>
      <c r="F98" s="5">
        <v>173.4</v>
      </c>
      <c r="G98" s="5">
        <v>154</v>
      </c>
      <c r="H98" s="5">
        <v>154.80000000000001</v>
      </c>
      <c r="I98" s="5">
        <v>147</v>
      </c>
      <c r="J98" s="5">
        <v>187.8</v>
      </c>
      <c r="K98" s="5">
        <v>159.5</v>
      </c>
      <c r="L98" s="5">
        <v>113.8</v>
      </c>
      <c r="M98" s="5">
        <v>164.5</v>
      </c>
      <c r="N98" s="5">
        <v>156.1</v>
      </c>
      <c r="O98" s="5">
        <v>164.3</v>
      </c>
      <c r="P98" s="5">
        <v>159.6</v>
      </c>
      <c r="Q98" s="5">
        <v>184.6</v>
      </c>
      <c r="R98" s="5">
        <v>157.5</v>
      </c>
      <c r="S98" s="5">
        <v>152.4</v>
      </c>
      <c r="T98" s="5">
        <v>156.80000000000001</v>
      </c>
      <c r="U98" s="5">
        <v>0</v>
      </c>
      <c r="V98" s="5">
        <v>150.9</v>
      </c>
      <c r="W98" s="5">
        <v>153.9</v>
      </c>
      <c r="X98" s="5">
        <v>162.5</v>
      </c>
      <c r="Y98" s="5">
        <v>147.5</v>
      </c>
      <c r="Z98" s="5">
        <v>155.1</v>
      </c>
      <c r="AA98" s="5">
        <v>163.5</v>
      </c>
      <c r="AB98" s="5">
        <v>156.19999999999999</v>
      </c>
      <c r="AC98" s="5">
        <v>155.9</v>
      </c>
      <c r="AD98" s="6">
        <v>158.5</v>
      </c>
    </row>
    <row r="99" spans="1:30" x14ac:dyDescent="0.3">
      <c r="A99" s="9" t="s">
        <v>30</v>
      </c>
      <c r="B99" s="7">
        <v>2021</v>
      </c>
      <c r="C99" s="7" t="s">
        <v>34</v>
      </c>
      <c r="D99" s="7">
        <v>142.80000000000001</v>
      </c>
      <c r="E99" s="7">
        <v>184</v>
      </c>
      <c r="F99" s="7">
        <v>168</v>
      </c>
      <c r="G99" s="7">
        <v>154.4</v>
      </c>
      <c r="H99" s="7">
        <v>163</v>
      </c>
      <c r="I99" s="7">
        <v>147.80000000000001</v>
      </c>
      <c r="J99" s="7">
        <v>149.69999999999999</v>
      </c>
      <c r="K99" s="7">
        <v>158.30000000000001</v>
      </c>
      <c r="L99" s="7">
        <v>111.8</v>
      </c>
      <c r="M99" s="7">
        <v>165</v>
      </c>
      <c r="N99" s="7">
        <v>160</v>
      </c>
      <c r="O99" s="7">
        <v>165.8</v>
      </c>
      <c r="P99" s="7">
        <v>154.69999999999999</v>
      </c>
      <c r="Q99" s="7">
        <v>186.5</v>
      </c>
      <c r="R99" s="7">
        <v>159.1</v>
      </c>
      <c r="S99" s="7">
        <v>153.9</v>
      </c>
      <c r="T99" s="7">
        <v>158.4</v>
      </c>
      <c r="U99" s="7">
        <v>0</v>
      </c>
      <c r="V99" s="7">
        <v>154.4</v>
      </c>
      <c r="W99" s="7">
        <v>154.80000000000001</v>
      </c>
      <c r="X99" s="7">
        <v>164.3</v>
      </c>
      <c r="Y99" s="7">
        <v>150.19999999999999</v>
      </c>
      <c r="Z99" s="7">
        <v>157</v>
      </c>
      <c r="AA99" s="7">
        <v>163.6</v>
      </c>
      <c r="AB99" s="7">
        <v>155.19999999999999</v>
      </c>
      <c r="AC99" s="7">
        <v>157.19999999999999</v>
      </c>
      <c r="AD99" s="8">
        <v>156.69999999999999</v>
      </c>
    </row>
    <row r="100" spans="1:30" x14ac:dyDescent="0.3">
      <c r="A100" s="10" t="s">
        <v>30</v>
      </c>
      <c r="B100" s="5">
        <v>2021</v>
      </c>
      <c r="C100" s="5" t="s">
        <v>35</v>
      </c>
      <c r="D100" s="5">
        <v>142.5</v>
      </c>
      <c r="E100" s="5">
        <v>189.4</v>
      </c>
      <c r="F100" s="5">
        <v>163.19999999999999</v>
      </c>
      <c r="G100" s="5">
        <v>154.5</v>
      </c>
      <c r="H100" s="5">
        <v>168.2</v>
      </c>
      <c r="I100" s="5">
        <v>150.5</v>
      </c>
      <c r="J100" s="5">
        <v>141</v>
      </c>
      <c r="K100" s="5">
        <v>159.19999999999999</v>
      </c>
      <c r="L100" s="5">
        <v>111.7</v>
      </c>
      <c r="M100" s="5">
        <v>164</v>
      </c>
      <c r="N100" s="5">
        <v>160.6</v>
      </c>
      <c r="O100" s="5">
        <v>166.4</v>
      </c>
      <c r="P100" s="5">
        <v>154.5</v>
      </c>
      <c r="Q100" s="5">
        <v>186.1</v>
      </c>
      <c r="R100" s="5">
        <v>159.6</v>
      </c>
      <c r="S100" s="5">
        <v>154.4</v>
      </c>
      <c r="T100" s="5">
        <v>158.9</v>
      </c>
      <c r="U100" s="5">
        <v>0</v>
      </c>
      <c r="V100" s="5">
        <v>156</v>
      </c>
      <c r="W100" s="5">
        <v>154.80000000000001</v>
      </c>
      <c r="X100" s="5">
        <v>164.6</v>
      </c>
      <c r="Y100" s="5">
        <v>151.30000000000001</v>
      </c>
      <c r="Z100" s="5">
        <v>157.80000000000001</v>
      </c>
      <c r="AA100" s="5">
        <v>163.80000000000001</v>
      </c>
      <c r="AB100" s="5">
        <v>153.1</v>
      </c>
      <c r="AC100" s="5">
        <v>157.30000000000001</v>
      </c>
      <c r="AD100" s="6">
        <v>156.69999999999999</v>
      </c>
    </row>
    <row r="101" spans="1:30" x14ac:dyDescent="0.3">
      <c r="A101" s="9" t="s">
        <v>30</v>
      </c>
      <c r="B101" s="7">
        <v>2021</v>
      </c>
      <c r="C101" s="7" t="s">
        <v>36</v>
      </c>
      <c r="D101" s="7">
        <v>142.69999999999999</v>
      </c>
      <c r="E101" s="7">
        <v>195.5</v>
      </c>
      <c r="F101" s="7">
        <v>163.4</v>
      </c>
      <c r="G101" s="7">
        <v>155</v>
      </c>
      <c r="H101" s="7">
        <v>175.2</v>
      </c>
      <c r="I101" s="7">
        <v>160.6</v>
      </c>
      <c r="J101" s="7">
        <v>135.1</v>
      </c>
      <c r="K101" s="7">
        <v>161.1</v>
      </c>
      <c r="L101" s="7">
        <v>112.2</v>
      </c>
      <c r="M101" s="7">
        <v>164.4</v>
      </c>
      <c r="N101" s="7">
        <v>161.9</v>
      </c>
      <c r="O101" s="7">
        <v>166.8</v>
      </c>
      <c r="P101" s="7">
        <v>155.6</v>
      </c>
      <c r="Q101" s="7">
        <v>186.8</v>
      </c>
      <c r="R101" s="7">
        <v>160.69999999999999</v>
      </c>
      <c r="S101" s="7">
        <v>155.1</v>
      </c>
      <c r="T101" s="7">
        <v>159.9</v>
      </c>
      <c r="U101" s="7">
        <v>0</v>
      </c>
      <c r="V101" s="7">
        <v>156</v>
      </c>
      <c r="W101" s="7">
        <v>155.5</v>
      </c>
      <c r="X101" s="7">
        <v>165.3</v>
      </c>
      <c r="Y101" s="7">
        <v>151.69999999999999</v>
      </c>
      <c r="Z101" s="7">
        <v>158.6</v>
      </c>
      <c r="AA101" s="7">
        <v>164.1</v>
      </c>
      <c r="AB101" s="7">
        <v>154.6</v>
      </c>
      <c r="AC101" s="7">
        <v>158</v>
      </c>
      <c r="AD101" s="8">
        <v>157.6</v>
      </c>
    </row>
    <row r="102" spans="1:30" x14ac:dyDescent="0.3">
      <c r="A102" s="10" t="s">
        <v>30</v>
      </c>
      <c r="B102" s="5">
        <v>2021</v>
      </c>
      <c r="C102" s="5" t="s">
        <v>37</v>
      </c>
      <c r="D102" s="5">
        <v>145.1</v>
      </c>
      <c r="E102" s="5">
        <v>198.5</v>
      </c>
      <c r="F102" s="5">
        <v>168.6</v>
      </c>
      <c r="G102" s="5">
        <v>155.80000000000001</v>
      </c>
      <c r="H102" s="5">
        <v>184.4</v>
      </c>
      <c r="I102" s="5">
        <v>162.30000000000001</v>
      </c>
      <c r="J102" s="5">
        <v>138.4</v>
      </c>
      <c r="K102" s="5">
        <v>165.1</v>
      </c>
      <c r="L102" s="5">
        <v>114.3</v>
      </c>
      <c r="M102" s="5">
        <v>169.7</v>
      </c>
      <c r="N102" s="5">
        <v>164.6</v>
      </c>
      <c r="O102" s="5">
        <v>169.8</v>
      </c>
      <c r="P102" s="5">
        <v>158.69999999999999</v>
      </c>
      <c r="Q102" s="5">
        <v>189.6</v>
      </c>
      <c r="R102" s="5">
        <v>165.3</v>
      </c>
      <c r="S102" s="5">
        <v>160.6</v>
      </c>
      <c r="T102" s="5">
        <v>164.5</v>
      </c>
      <c r="U102" s="5">
        <v>0</v>
      </c>
      <c r="V102" s="5">
        <v>161.69999999999999</v>
      </c>
      <c r="W102" s="5">
        <v>158.80000000000001</v>
      </c>
      <c r="X102" s="5">
        <v>169.1</v>
      </c>
      <c r="Y102" s="5">
        <v>153.19999999999999</v>
      </c>
      <c r="Z102" s="5">
        <v>160</v>
      </c>
      <c r="AA102" s="5">
        <v>167.6</v>
      </c>
      <c r="AB102" s="5">
        <v>159.30000000000001</v>
      </c>
      <c r="AC102" s="5">
        <v>161.1</v>
      </c>
      <c r="AD102" s="6">
        <v>161.1</v>
      </c>
    </row>
    <row r="103" spans="1:30" x14ac:dyDescent="0.3">
      <c r="A103" s="9" t="s">
        <v>30</v>
      </c>
      <c r="B103" s="7">
        <v>2021</v>
      </c>
      <c r="C103" s="7" t="s">
        <v>38</v>
      </c>
      <c r="D103" s="7">
        <v>145.6</v>
      </c>
      <c r="E103" s="7">
        <v>200.1</v>
      </c>
      <c r="F103" s="7">
        <v>179.3</v>
      </c>
      <c r="G103" s="7">
        <v>156.1</v>
      </c>
      <c r="H103" s="7">
        <v>190.4</v>
      </c>
      <c r="I103" s="7">
        <v>158.6</v>
      </c>
      <c r="J103" s="7">
        <v>144.69999999999999</v>
      </c>
      <c r="K103" s="7">
        <v>165.5</v>
      </c>
      <c r="L103" s="7">
        <v>114.6</v>
      </c>
      <c r="M103" s="7">
        <v>170</v>
      </c>
      <c r="N103" s="7">
        <v>165.5</v>
      </c>
      <c r="O103" s="7">
        <v>171.7</v>
      </c>
      <c r="P103" s="7">
        <v>160.5</v>
      </c>
      <c r="Q103" s="7">
        <v>189.1</v>
      </c>
      <c r="R103" s="7">
        <v>165.3</v>
      </c>
      <c r="S103" s="7">
        <v>159.9</v>
      </c>
      <c r="T103" s="7">
        <v>164.6</v>
      </c>
      <c r="U103" s="7">
        <v>0</v>
      </c>
      <c r="V103" s="7">
        <v>162.1</v>
      </c>
      <c r="W103" s="7">
        <v>159.19999999999999</v>
      </c>
      <c r="X103" s="7">
        <v>169.7</v>
      </c>
      <c r="Y103" s="7">
        <v>154.19999999999999</v>
      </c>
      <c r="Z103" s="7">
        <v>160.4</v>
      </c>
      <c r="AA103" s="7">
        <v>166.8</v>
      </c>
      <c r="AB103" s="7">
        <v>159.4</v>
      </c>
      <c r="AC103" s="7">
        <v>161.5</v>
      </c>
      <c r="AD103" s="8">
        <v>162.1</v>
      </c>
    </row>
    <row r="104" spans="1:30" x14ac:dyDescent="0.3">
      <c r="A104" s="10" t="s">
        <v>30</v>
      </c>
      <c r="B104" s="5">
        <v>2021</v>
      </c>
      <c r="C104" s="5" t="s">
        <v>39</v>
      </c>
      <c r="D104" s="5">
        <v>145.1</v>
      </c>
      <c r="E104" s="5">
        <v>204.5</v>
      </c>
      <c r="F104" s="5">
        <v>180.4</v>
      </c>
      <c r="G104" s="5">
        <v>157.1</v>
      </c>
      <c r="H104" s="5">
        <v>188.7</v>
      </c>
      <c r="I104" s="5">
        <v>157.69999999999999</v>
      </c>
      <c r="J104" s="5">
        <v>152.80000000000001</v>
      </c>
      <c r="K104" s="5">
        <v>163.6</v>
      </c>
      <c r="L104" s="5">
        <v>113.9</v>
      </c>
      <c r="M104" s="5">
        <v>169.7</v>
      </c>
      <c r="N104" s="5">
        <v>166.2</v>
      </c>
      <c r="O104" s="5">
        <v>171</v>
      </c>
      <c r="P104" s="5">
        <v>161.69999999999999</v>
      </c>
      <c r="Q104" s="5">
        <v>189.7</v>
      </c>
      <c r="R104" s="5">
        <v>166</v>
      </c>
      <c r="S104" s="5">
        <v>161.1</v>
      </c>
      <c r="T104" s="5">
        <v>165.3</v>
      </c>
      <c r="U104" s="5">
        <v>0</v>
      </c>
      <c r="V104" s="5">
        <v>162.5</v>
      </c>
      <c r="W104" s="5">
        <v>160.30000000000001</v>
      </c>
      <c r="X104" s="5">
        <v>170.4</v>
      </c>
      <c r="Y104" s="5">
        <v>157.1</v>
      </c>
      <c r="Z104" s="5">
        <v>160.69999999999999</v>
      </c>
      <c r="AA104" s="5">
        <v>167.2</v>
      </c>
      <c r="AB104" s="5">
        <v>160.4</v>
      </c>
      <c r="AC104" s="5">
        <v>162.80000000000001</v>
      </c>
      <c r="AD104" s="6">
        <v>163.19999999999999</v>
      </c>
    </row>
    <row r="105" spans="1:30" x14ac:dyDescent="0.3">
      <c r="A105" s="9" t="s">
        <v>30</v>
      </c>
      <c r="B105" s="7">
        <v>2021</v>
      </c>
      <c r="C105" s="7" t="s">
        <v>40</v>
      </c>
      <c r="D105" s="7">
        <v>144.9</v>
      </c>
      <c r="E105" s="7">
        <v>202.3</v>
      </c>
      <c r="F105" s="7">
        <v>176.5</v>
      </c>
      <c r="G105" s="7">
        <v>157.5</v>
      </c>
      <c r="H105" s="7">
        <v>190.9</v>
      </c>
      <c r="I105" s="7">
        <v>155.69999999999999</v>
      </c>
      <c r="J105" s="7">
        <v>153.9</v>
      </c>
      <c r="K105" s="7">
        <v>162.80000000000001</v>
      </c>
      <c r="L105" s="7">
        <v>115.2</v>
      </c>
      <c r="M105" s="7">
        <v>169.8</v>
      </c>
      <c r="N105" s="7">
        <v>167.6</v>
      </c>
      <c r="O105" s="7">
        <v>171.9</v>
      </c>
      <c r="P105" s="7">
        <v>161.80000000000001</v>
      </c>
      <c r="Q105" s="7">
        <v>190.2</v>
      </c>
      <c r="R105" s="7">
        <v>167</v>
      </c>
      <c r="S105" s="7">
        <v>162.6</v>
      </c>
      <c r="T105" s="7">
        <v>166.3</v>
      </c>
      <c r="U105" s="7">
        <v>0</v>
      </c>
      <c r="V105" s="7">
        <v>163.1</v>
      </c>
      <c r="W105" s="7">
        <v>160.9</v>
      </c>
      <c r="X105" s="7">
        <v>171.1</v>
      </c>
      <c r="Y105" s="7">
        <v>157.69999999999999</v>
      </c>
      <c r="Z105" s="7">
        <v>161.1</v>
      </c>
      <c r="AA105" s="7">
        <v>167.5</v>
      </c>
      <c r="AB105" s="7">
        <v>160.30000000000001</v>
      </c>
      <c r="AC105" s="7">
        <v>163.30000000000001</v>
      </c>
      <c r="AD105" s="8">
        <v>163.6</v>
      </c>
    </row>
    <row r="106" spans="1:30" x14ac:dyDescent="0.3">
      <c r="A106" s="10" t="s">
        <v>30</v>
      </c>
      <c r="B106" s="5">
        <v>2021</v>
      </c>
      <c r="C106" s="5" t="s">
        <v>41</v>
      </c>
      <c r="D106" s="5">
        <v>145.4</v>
      </c>
      <c r="E106" s="5">
        <v>202.1</v>
      </c>
      <c r="F106" s="5">
        <v>172</v>
      </c>
      <c r="G106" s="5">
        <v>158</v>
      </c>
      <c r="H106" s="5">
        <v>195.5</v>
      </c>
      <c r="I106" s="5">
        <v>152.69999999999999</v>
      </c>
      <c r="J106" s="5">
        <v>151.4</v>
      </c>
      <c r="K106" s="5">
        <v>163.9</v>
      </c>
      <c r="L106" s="5">
        <v>119.3</v>
      </c>
      <c r="M106" s="5">
        <v>170.1</v>
      </c>
      <c r="N106" s="5">
        <v>168.3</v>
      </c>
      <c r="O106" s="5">
        <v>172.8</v>
      </c>
      <c r="P106" s="5">
        <v>162.1</v>
      </c>
      <c r="Q106" s="5">
        <v>190.5</v>
      </c>
      <c r="R106" s="5">
        <v>167.7</v>
      </c>
      <c r="S106" s="5">
        <v>163.6</v>
      </c>
      <c r="T106" s="5">
        <v>167.1</v>
      </c>
      <c r="U106" s="5">
        <v>0</v>
      </c>
      <c r="V106" s="5">
        <v>163.69999999999999</v>
      </c>
      <c r="W106" s="5">
        <v>161.30000000000001</v>
      </c>
      <c r="X106" s="5">
        <v>171.9</v>
      </c>
      <c r="Y106" s="5">
        <v>157.80000000000001</v>
      </c>
      <c r="Z106" s="5">
        <v>162.69999999999999</v>
      </c>
      <c r="AA106" s="5">
        <v>168.5</v>
      </c>
      <c r="AB106" s="5">
        <v>160.19999999999999</v>
      </c>
      <c r="AC106" s="5">
        <v>163.80000000000001</v>
      </c>
      <c r="AD106" s="6">
        <v>164</v>
      </c>
    </row>
    <row r="107" spans="1:30" x14ac:dyDescent="0.3">
      <c r="A107" s="9" t="s">
        <v>30</v>
      </c>
      <c r="B107" s="7">
        <v>2021</v>
      </c>
      <c r="C107" s="7" t="s">
        <v>42</v>
      </c>
      <c r="D107" s="7">
        <v>146.1</v>
      </c>
      <c r="E107" s="7">
        <v>202.5</v>
      </c>
      <c r="F107" s="7">
        <v>170.1</v>
      </c>
      <c r="G107" s="7">
        <v>158.4</v>
      </c>
      <c r="H107" s="7">
        <v>198.8</v>
      </c>
      <c r="I107" s="7">
        <v>152.6</v>
      </c>
      <c r="J107" s="7">
        <v>170.4</v>
      </c>
      <c r="K107" s="7">
        <v>165.2</v>
      </c>
      <c r="L107" s="7">
        <v>121.6</v>
      </c>
      <c r="M107" s="7">
        <v>170.6</v>
      </c>
      <c r="N107" s="7">
        <v>168.8</v>
      </c>
      <c r="O107" s="7">
        <v>173.6</v>
      </c>
      <c r="P107" s="7">
        <v>165.5</v>
      </c>
      <c r="Q107" s="7">
        <v>191.2</v>
      </c>
      <c r="R107" s="7">
        <v>168.9</v>
      </c>
      <c r="S107" s="7">
        <v>164.8</v>
      </c>
      <c r="T107" s="7">
        <v>168.3</v>
      </c>
      <c r="U107" s="7">
        <v>0</v>
      </c>
      <c r="V107" s="7">
        <v>165.5</v>
      </c>
      <c r="W107" s="7">
        <v>162</v>
      </c>
      <c r="X107" s="7">
        <v>172.5</v>
      </c>
      <c r="Y107" s="7">
        <v>159.5</v>
      </c>
      <c r="Z107" s="7">
        <v>163.19999999999999</v>
      </c>
      <c r="AA107" s="7">
        <v>169</v>
      </c>
      <c r="AB107" s="7">
        <v>161.1</v>
      </c>
      <c r="AC107" s="7">
        <v>164.7</v>
      </c>
      <c r="AD107" s="8">
        <v>166.3</v>
      </c>
    </row>
    <row r="108" spans="1:30" x14ac:dyDescent="0.3">
      <c r="A108" s="10" t="s">
        <v>30</v>
      </c>
      <c r="B108" s="5">
        <v>2021</v>
      </c>
      <c r="C108" s="5" t="s">
        <v>43</v>
      </c>
      <c r="D108" s="5">
        <v>146.9</v>
      </c>
      <c r="E108" s="5">
        <v>199.8</v>
      </c>
      <c r="F108" s="5">
        <v>171.5</v>
      </c>
      <c r="G108" s="5">
        <v>159.1</v>
      </c>
      <c r="H108" s="5">
        <v>198.4</v>
      </c>
      <c r="I108" s="5">
        <v>153.19999999999999</v>
      </c>
      <c r="J108" s="5">
        <v>183.9</v>
      </c>
      <c r="K108" s="5">
        <v>165.4</v>
      </c>
      <c r="L108" s="5">
        <v>122.1</v>
      </c>
      <c r="M108" s="5">
        <v>170.8</v>
      </c>
      <c r="N108" s="5">
        <v>169.1</v>
      </c>
      <c r="O108" s="5">
        <v>174.3</v>
      </c>
      <c r="P108" s="5">
        <v>167.5</v>
      </c>
      <c r="Q108" s="5">
        <v>191.4</v>
      </c>
      <c r="R108" s="5">
        <v>170.4</v>
      </c>
      <c r="S108" s="5">
        <v>166</v>
      </c>
      <c r="T108" s="5">
        <v>169.8</v>
      </c>
      <c r="U108" s="5">
        <v>0</v>
      </c>
      <c r="V108" s="5">
        <v>165.3</v>
      </c>
      <c r="W108" s="5">
        <v>162.9</v>
      </c>
      <c r="X108" s="5">
        <v>173.4</v>
      </c>
      <c r="Y108" s="5">
        <v>158.9</v>
      </c>
      <c r="Z108" s="5">
        <v>163.80000000000001</v>
      </c>
      <c r="AA108" s="5">
        <v>169.3</v>
      </c>
      <c r="AB108" s="5">
        <v>162.4</v>
      </c>
      <c r="AC108" s="5">
        <v>165.2</v>
      </c>
      <c r="AD108" s="6">
        <v>167.6</v>
      </c>
    </row>
    <row r="109" spans="1:30" x14ac:dyDescent="0.3">
      <c r="A109" s="9" t="s">
        <v>30</v>
      </c>
      <c r="B109" s="7">
        <v>2021</v>
      </c>
      <c r="C109" s="7" t="s">
        <v>44</v>
      </c>
      <c r="D109" s="7">
        <v>147.4</v>
      </c>
      <c r="E109" s="7">
        <v>197</v>
      </c>
      <c r="F109" s="7">
        <v>176.5</v>
      </c>
      <c r="G109" s="7">
        <v>159.80000000000001</v>
      </c>
      <c r="H109" s="7">
        <v>195.8</v>
      </c>
      <c r="I109" s="7">
        <v>152</v>
      </c>
      <c r="J109" s="7">
        <v>172.3</v>
      </c>
      <c r="K109" s="7">
        <v>164.5</v>
      </c>
      <c r="L109" s="7">
        <v>120.6</v>
      </c>
      <c r="M109" s="7">
        <v>171.7</v>
      </c>
      <c r="N109" s="7">
        <v>169.7</v>
      </c>
      <c r="O109" s="7">
        <v>175.1</v>
      </c>
      <c r="P109" s="7">
        <v>165.8</v>
      </c>
      <c r="Q109" s="7">
        <v>190.8</v>
      </c>
      <c r="R109" s="7">
        <v>171.8</v>
      </c>
      <c r="S109" s="7">
        <v>167.3</v>
      </c>
      <c r="T109" s="7">
        <v>171.2</v>
      </c>
      <c r="U109" s="7">
        <v>0</v>
      </c>
      <c r="V109" s="7">
        <v>165.6</v>
      </c>
      <c r="W109" s="7">
        <v>163.9</v>
      </c>
      <c r="X109" s="7">
        <v>174</v>
      </c>
      <c r="Y109" s="7">
        <v>160.1</v>
      </c>
      <c r="Z109" s="7">
        <v>164.5</v>
      </c>
      <c r="AA109" s="7">
        <v>169.7</v>
      </c>
      <c r="AB109" s="7">
        <v>162.80000000000001</v>
      </c>
      <c r="AC109" s="7">
        <v>166</v>
      </c>
      <c r="AD109" s="8">
        <v>167</v>
      </c>
    </row>
    <row r="110" spans="1:30" x14ac:dyDescent="0.3">
      <c r="A110" s="10" t="s">
        <v>30</v>
      </c>
      <c r="B110" s="5">
        <v>2022</v>
      </c>
      <c r="C110" s="5" t="s">
        <v>31</v>
      </c>
      <c r="D110" s="5">
        <v>148.30000000000001</v>
      </c>
      <c r="E110" s="5">
        <v>196.9</v>
      </c>
      <c r="F110" s="5">
        <v>178</v>
      </c>
      <c r="G110" s="5">
        <v>160.5</v>
      </c>
      <c r="H110" s="5">
        <v>192.6</v>
      </c>
      <c r="I110" s="5">
        <v>151.19999999999999</v>
      </c>
      <c r="J110" s="5">
        <v>159.19999999999999</v>
      </c>
      <c r="K110" s="5">
        <v>164</v>
      </c>
      <c r="L110" s="5">
        <v>119.3</v>
      </c>
      <c r="M110" s="5">
        <v>173.3</v>
      </c>
      <c r="N110" s="5">
        <v>169.8</v>
      </c>
      <c r="O110" s="5">
        <v>175.8</v>
      </c>
      <c r="P110" s="5">
        <v>164.1</v>
      </c>
      <c r="Q110" s="5">
        <v>190.7</v>
      </c>
      <c r="R110" s="5">
        <v>173.2</v>
      </c>
      <c r="S110" s="5">
        <v>169.3</v>
      </c>
      <c r="T110" s="5">
        <v>172.7</v>
      </c>
      <c r="U110" s="5">
        <v>0</v>
      </c>
      <c r="V110" s="5">
        <v>165.8</v>
      </c>
      <c r="W110" s="5">
        <v>164.9</v>
      </c>
      <c r="X110" s="5">
        <v>174.7</v>
      </c>
      <c r="Y110" s="5">
        <v>160.80000000000001</v>
      </c>
      <c r="Z110" s="5">
        <v>164.9</v>
      </c>
      <c r="AA110" s="5">
        <v>169.9</v>
      </c>
      <c r="AB110" s="5">
        <v>163.19999999999999</v>
      </c>
      <c r="AC110" s="5">
        <v>166.6</v>
      </c>
      <c r="AD110" s="6">
        <v>166.4</v>
      </c>
    </row>
    <row r="111" spans="1:30" x14ac:dyDescent="0.3">
      <c r="A111" s="9" t="s">
        <v>30</v>
      </c>
      <c r="B111" s="7">
        <v>2022</v>
      </c>
      <c r="C111" s="7" t="s">
        <v>34</v>
      </c>
      <c r="D111" s="7">
        <v>148.80000000000001</v>
      </c>
      <c r="E111" s="7">
        <v>198.1</v>
      </c>
      <c r="F111" s="7">
        <v>175.5</v>
      </c>
      <c r="G111" s="7">
        <v>160.69999999999999</v>
      </c>
      <c r="H111" s="7">
        <v>192.6</v>
      </c>
      <c r="I111" s="7">
        <v>151.4</v>
      </c>
      <c r="J111" s="7">
        <v>155.19999999999999</v>
      </c>
      <c r="K111" s="7">
        <v>163.9</v>
      </c>
      <c r="L111" s="7">
        <v>118.1</v>
      </c>
      <c r="M111" s="7">
        <v>175.4</v>
      </c>
      <c r="N111" s="7">
        <v>170.5</v>
      </c>
      <c r="O111" s="7">
        <v>176.3</v>
      </c>
      <c r="P111" s="7">
        <v>163.9</v>
      </c>
      <c r="Q111" s="7">
        <v>191.5</v>
      </c>
      <c r="R111" s="7">
        <v>174.1</v>
      </c>
      <c r="S111" s="7">
        <v>171</v>
      </c>
      <c r="T111" s="7">
        <v>173.7</v>
      </c>
      <c r="U111" s="7">
        <v>0</v>
      </c>
      <c r="V111" s="7">
        <v>167.4</v>
      </c>
      <c r="W111" s="7">
        <v>165.7</v>
      </c>
      <c r="X111" s="7">
        <v>175.3</v>
      </c>
      <c r="Y111" s="7">
        <v>161.19999999999999</v>
      </c>
      <c r="Z111" s="7">
        <v>165.5</v>
      </c>
      <c r="AA111" s="7">
        <v>170.3</v>
      </c>
      <c r="AB111" s="7">
        <v>164.5</v>
      </c>
      <c r="AC111" s="7">
        <v>167.3</v>
      </c>
      <c r="AD111" s="8">
        <v>166.7</v>
      </c>
    </row>
    <row r="112" spans="1:30" x14ac:dyDescent="0.3">
      <c r="A112" s="10" t="s">
        <v>30</v>
      </c>
      <c r="B112" s="5">
        <v>2022</v>
      </c>
      <c r="C112" s="5" t="s">
        <v>35</v>
      </c>
      <c r="D112" s="5">
        <v>150.19999999999999</v>
      </c>
      <c r="E112" s="5">
        <v>208</v>
      </c>
      <c r="F112" s="5">
        <v>167.9</v>
      </c>
      <c r="G112" s="5">
        <v>162</v>
      </c>
      <c r="H112" s="5">
        <v>203.1</v>
      </c>
      <c r="I112" s="5">
        <v>155.9</v>
      </c>
      <c r="J112" s="5">
        <v>155.80000000000001</v>
      </c>
      <c r="K112" s="5">
        <v>164.2</v>
      </c>
      <c r="L112" s="5">
        <v>118.1</v>
      </c>
      <c r="M112" s="5">
        <v>178.7</v>
      </c>
      <c r="N112" s="5">
        <v>171.2</v>
      </c>
      <c r="O112" s="5">
        <v>177.4</v>
      </c>
      <c r="P112" s="5">
        <v>166.6</v>
      </c>
      <c r="Q112" s="5">
        <v>192.3</v>
      </c>
      <c r="R112" s="5">
        <v>175.4</v>
      </c>
      <c r="S112" s="5">
        <v>173.2</v>
      </c>
      <c r="T112" s="5">
        <v>175.1</v>
      </c>
      <c r="U112" s="5">
        <v>0</v>
      </c>
      <c r="V112" s="5">
        <v>168.9</v>
      </c>
      <c r="W112" s="5">
        <v>166.5</v>
      </c>
      <c r="X112" s="5">
        <v>176</v>
      </c>
      <c r="Y112" s="5">
        <v>162</v>
      </c>
      <c r="Z112" s="5">
        <v>166.6</v>
      </c>
      <c r="AA112" s="5">
        <v>170.6</v>
      </c>
      <c r="AB112" s="5">
        <v>167.4</v>
      </c>
      <c r="AC112" s="5">
        <v>168.3</v>
      </c>
      <c r="AD112" s="6">
        <v>168.7</v>
      </c>
    </row>
    <row r="113" spans="1:30" x14ac:dyDescent="0.3">
      <c r="A113" s="9" t="s">
        <v>30</v>
      </c>
      <c r="B113" s="7">
        <v>2022</v>
      </c>
      <c r="C113" s="7" t="s">
        <v>36</v>
      </c>
      <c r="D113" s="7">
        <v>151.80000000000001</v>
      </c>
      <c r="E113" s="7">
        <v>209.7</v>
      </c>
      <c r="F113" s="7">
        <v>164.5</v>
      </c>
      <c r="G113" s="7">
        <v>163.80000000000001</v>
      </c>
      <c r="H113" s="7">
        <v>207.4</v>
      </c>
      <c r="I113" s="7">
        <v>169.7</v>
      </c>
      <c r="J113" s="7">
        <v>153.6</v>
      </c>
      <c r="K113" s="7">
        <v>165.1</v>
      </c>
      <c r="L113" s="7">
        <v>118.2</v>
      </c>
      <c r="M113" s="7">
        <v>182.9</v>
      </c>
      <c r="N113" s="7">
        <v>172.4</v>
      </c>
      <c r="O113" s="7">
        <v>178.9</v>
      </c>
      <c r="P113" s="7">
        <v>168.6</v>
      </c>
      <c r="Q113" s="7">
        <v>192.8</v>
      </c>
      <c r="R113" s="7">
        <v>177.5</v>
      </c>
      <c r="S113" s="7">
        <v>175.1</v>
      </c>
      <c r="T113" s="7">
        <v>177.1</v>
      </c>
      <c r="U113" s="7">
        <v>0</v>
      </c>
      <c r="V113" s="7">
        <v>173.3</v>
      </c>
      <c r="W113" s="7">
        <v>167.7</v>
      </c>
      <c r="X113" s="7">
        <v>177</v>
      </c>
      <c r="Y113" s="7">
        <v>166.2</v>
      </c>
      <c r="Z113" s="7">
        <v>167.2</v>
      </c>
      <c r="AA113" s="7">
        <v>170.9</v>
      </c>
      <c r="AB113" s="7">
        <v>169</v>
      </c>
      <c r="AC113" s="7">
        <v>170.2</v>
      </c>
      <c r="AD113" s="8">
        <v>170.8</v>
      </c>
    </row>
    <row r="114" spans="1:30" x14ac:dyDescent="0.3">
      <c r="A114" s="10" t="s">
        <v>30</v>
      </c>
      <c r="B114" s="5">
        <v>2022</v>
      </c>
      <c r="C114" s="5" t="s">
        <v>37</v>
      </c>
      <c r="D114" s="5">
        <v>152.9</v>
      </c>
      <c r="E114" s="5">
        <v>214.7</v>
      </c>
      <c r="F114" s="5">
        <v>161.4</v>
      </c>
      <c r="G114" s="5">
        <v>164.6</v>
      </c>
      <c r="H114" s="5">
        <v>209.9</v>
      </c>
      <c r="I114" s="5">
        <v>168</v>
      </c>
      <c r="J114" s="5">
        <v>160.4</v>
      </c>
      <c r="K114" s="5">
        <v>165</v>
      </c>
      <c r="L114" s="5">
        <v>118.9</v>
      </c>
      <c r="M114" s="5">
        <v>186.6</v>
      </c>
      <c r="N114" s="5">
        <v>173.2</v>
      </c>
      <c r="O114" s="5">
        <v>180.4</v>
      </c>
      <c r="P114" s="5">
        <v>170.8</v>
      </c>
      <c r="Q114" s="5">
        <v>192.9</v>
      </c>
      <c r="R114" s="5">
        <v>179.3</v>
      </c>
      <c r="S114" s="5">
        <v>177.2</v>
      </c>
      <c r="T114" s="5">
        <v>179</v>
      </c>
      <c r="U114" s="5">
        <v>0</v>
      </c>
      <c r="V114" s="5">
        <v>175.3</v>
      </c>
      <c r="W114" s="5">
        <v>168.9</v>
      </c>
      <c r="X114" s="5">
        <v>177.7</v>
      </c>
      <c r="Y114" s="5">
        <v>167.1</v>
      </c>
      <c r="Z114" s="5">
        <v>167.6</v>
      </c>
      <c r="AA114" s="5">
        <v>171.8</v>
      </c>
      <c r="AB114" s="5">
        <v>168.5</v>
      </c>
      <c r="AC114" s="5">
        <v>170.9</v>
      </c>
      <c r="AD114" s="6">
        <v>172.5</v>
      </c>
    </row>
    <row r="115" spans="1:30" x14ac:dyDescent="0.3">
      <c r="A115" s="9" t="s">
        <v>30</v>
      </c>
      <c r="B115" s="7">
        <v>2022</v>
      </c>
      <c r="C115" s="7" t="s">
        <v>38</v>
      </c>
      <c r="D115" s="7">
        <v>153.80000000000001</v>
      </c>
      <c r="E115" s="7">
        <v>217.2</v>
      </c>
      <c r="F115" s="7">
        <v>169.6</v>
      </c>
      <c r="G115" s="7">
        <v>165.4</v>
      </c>
      <c r="H115" s="7">
        <v>208.1</v>
      </c>
      <c r="I115" s="7">
        <v>165.8</v>
      </c>
      <c r="J115" s="7">
        <v>167.3</v>
      </c>
      <c r="K115" s="7">
        <v>164.6</v>
      </c>
      <c r="L115" s="7">
        <v>119.1</v>
      </c>
      <c r="M115" s="7">
        <v>188.9</v>
      </c>
      <c r="N115" s="7">
        <v>174.2</v>
      </c>
      <c r="O115" s="7">
        <v>181.9</v>
      </c>
      <c r="P115" s="7">
        <v>172.4</v>
      </c>
      <c r="Q115" s="7">
        <v>192.9</v>
      </c>
      <c r="R115" s="7">
        <v>180.7</v>
      </c>
      <c r="S115" s="7">
        <v>178.7</v>
      </c>
      <c r="T115" s="7">
        <v>180.4</v>
      </c>
      <c r="U115" s="7">
        <v>0</v>
      </c>
      <c r="V115" s="7">
        <v>176.7</v>
      </c>
      <c r="W115" s="7">
        <v>170.3</v>
      </c>
      <c r="X115" s="7">
        <v>178.2</v>
      </c>
      <c r="Y115" s="7">
        <v>165.5</v>
      </c>
      <c r="Z115" s="7">
        <v>168</v>
      </c>
      <c r="AA115" s="7">
        <v>172.6</v>
      </c>
      <c r="AB115" s="7">
        <v>169.5</v>
      </c>
      <c r="AC115" s="7">
        <v>171</v>
      </c>
      <c r="AD115" s="8">
        <v>173.6</v>
      </c>
    </row>
    <row r="116" spans="1:30" x14ac:dyDescent="0.3">
      <c r="A116" s="10" t="s">
        <v>30</v>
      </c>
      <c r="B116" s="5">
        <v>2022</v>
      </c>
      <c r="C116" s="5" t="s">
        <v>39</v>
      </c>
      <c r="D116" s="5">
        <v>155.19999999999999</v>
      </c>
      <c r="E116" s="5">
        <v>210.8</v>
      </c>
      <c r="F116" s="5">
        <v>174.3</v>
      </c>
      <c r="G116" s="5">
        <v>166.3</v>
      </c>
      <c r="H116" s="5">
        <v>202.2</v>
      </c>
      <c r="I116" s="5">
        <v>169.6</v>
      </c>
      <c r="J116" s="5">
        <v>168.6</v>
      </c>
      <c r="K116" s="5">
        <v>164.4</v>
      </c>
      <c r="L116" s="5">
        <v>119.2</v>
      </c>
      <c r="M116" s="5">
        <v>191.8</v>
      </c>
      <c r="N116" s="5">
        <v>174.5</v>
      </c>
      <c r="O116" s="5">
        <v>183.1</v>
      </c>
      <c r="P116" s="5">
        <v>172.5</v>
      </c>
      <c r="Q116" s="5">
        <v>193.2</v>
      </c>
      <c r="R116" s="5">
        <v>182</v>
      </c>
      <c r="S116" s="5">
        <v>180.3</v>
      </c>
      <c r="T116" s="5">
        <v>181.7</v>
      </c>
      <c r="U116" s="5">
        <v>0</v>
      </c>
      <c r="V116" s="5">
        <v>179.6</v>
      </c>
      <c r="W116" s="5">
        <v>171.3</v>
      </c>
      <c r="X116" s="5">
        <v>178.8</v>
      </c>
      <c r="Y116" s="5">
        <v>166.3</v>
      </c>
      <c r="Z116" s="5">
        <v>168.6</v>
      </c>
      <c r="AA116" s="5">
        <v>174.7</v>
      </c>
      <c r="AB116" s="5">
        <v>169.7</v>
      </c>
      <c r="AC116" s="5">
        <v>171.8</v>
      </c>
      <c r="AD116" s="6">
        <v>174.3</v>
      </c>
    </row>
    <row r="117" spans="1:30" x14ac:dyDescent="0.3">
      <c r="A117" s="9" t="s">
        <v>30</v>
      </c>
      <c r="B117" s="7">
        <v>2022</v>
      </c>
      <c r="C117" s="7" t="s">
        <v>40</v>
      </c>
      <c r="D117" s="7">
        <v>159.5</v>
      </c>
      <c r="E117" s="7">
        <v>204.1</v>
      </c>
      <c r="F117" s="7">
        <v>168.3</v>
      </c>
      <c r="G117" s="7">
        <v>167.9</v>
      </c>
      <c r="H117" s="7">
        <v>198.1</v>
      </c>
      <c r="I117" s="7">
        <v>169.2</v>
      </c>
      <c r="J117" s="7">
        <v>173.1</v>
      </c>
      <c r="K117" s="7">
        <v>167.1</v>
      </c>
      <c r="L117" s="7">
        <v>120.2</v>
      </c>
      <c r="M117" s="7">
        <v>195.6</v>
      </c>
      <c r="N117" s="7">
        <v>174.8</v>
      </c>
      <c r="O117" s="7">
        <v>184</v>
      </c>
      <c r="P117" s="7">
        <v>173.9</v>
      </c>
      <c r="Q117" s="7">
        <v>193.7</v>
      </c>
      <c r="R117" s="7">
        <v>183.2</v>
      </c>
      <c r="S117" s="7">
        <v>181.7</v>
      </c>
      <c r="T117" s="7">
        <v>183</v>
      </c>
      <c r="U117" s="7">
        <v>0</v>
      </c>
      <c r="V117" s="7">
        <v>179.1</v>
      </c>
      <c r="W117" s="7">
        <v>172.3</v>
      </c>
      <c r="X117" s="7">
        <v>179.4</v>
      </c>
      <c r="Y117" s="7">
        <v>166.6</v>
      </c>
      <c r="Z117" s="7">
        <v>169.3</v>
      </c>
      <c r="AA117" s="7">
        <v>175.7</v>
      </c>
      <c r="AB117" s="7">
        <v>171.1</v>
      </c>
      <c r="AC117" s="7">
        <v>172.6</v>
      </c>
      <c r="AD117" s="8">
        <v>175.3</v>
      </c>
    </row>
    <row r="118" spans="1:30" x14ac:dyDescent="0.3">
      <c r="A118" s="10" t="s">
        <v>30</v>
      </c>
      <c r="B118" s="5">
        <v>2022</v>
      </c>
      <c r="C118" s="5" t="s">
        <v>41</v>
      </c>
      <c r="D118" s="5">
        <v>162.9</v>
      </c>
      <c r="E118" s="5">
        <v>206.7</v>
      </c>
      <c r="F118" s="5">
        <v>169</v>
      </c>
      <c r="G118" s="5">
        <v>169.5</v>
      </c>
      <c r="H118" s="5">
        <v>194.1</v>
      </c>
      <c r="I118" s="5">
        <v>164.1</v>
      </c>
      <c r="J118" s="5">
        <v>176.9</v>
      </c>
      <c r="K118" s="5">
        <v>169</v>
      </c>
      <c r="L118" s="5">
        <v>120.8</v>
      </c>
      <c r="M118" s="5">
        <v>199.1</v>
      </c>
      <c r="N118" s="5">
        <v>175.4</v>
      </c>
      <c r="O118" s="5">
        <v>184.8</v>
      </c>
      <c r="P118" s="5">
        <v>175.5</v>
      </c>
      <c r="Q118" s="5">
        <v>194.5</v>
      </c>
      <c r="R118" s="5">
        <v>184.7</v>
      </c>
      <c r="S118" s="5">
        <v>183.3</v>
      </c>
      <c r="T118" s="5">
        <v>184.5</v>
      </c>
      <c r="U118" s="5">
        <v>0</v>
      </c>
      <c r="V118" s="5">
        <v>179.7</v>
      </c>
      <c r="W118" s="5">
        <v>173.6</v>
      </c>
      <c r="X118" s="5">
        <v>180.2</v>
      </c>
      <c r="Y118" s="5">
        <v>166.9</v>
      </c>
      <c r="Z118" s="5">
        <v>170</v>
      </c>
      <c r="AA118" s="5">
        <v>176.2</v>
      </c>
      <c r="AB118" s="5">
        <v>170.8</v>
      </c>
      <c r="AC118" s="5">
        <v>173.1</v>
      </c>
      <c r="AD118" s="6">
        <v>176.4</v>
      </c>
    </row>
    <row r="119" spans="1:30" x14ac:dyDescent="0.3">
      <c r="A119" s="9" t="s">
        <v>30</v>
      </c>
      <c r="B119" s="7">
        <v>2022</v>
      </c>
      <c r="C119" s="7" t="s">
        <v>42</v>
      </c>
      <c r="D119" s="7">
        <v>164.7</v>
      </c>
      <c r="E119" s="7">
        <v>208.8</v>
      </c>
      <c r="F119" s="7">
        <v>170.3</v>
      </c>
      <c r="G119" s="7">
        <v>170.9</v>
      </c>
      <c r="H119" s="7">
        <v>191.6</v>
      </c>
      <c r="I119" s="7">
        <v>162.19999999999999</v>
      </c>
      <c r="J119" s="7">
        <v>184.8</v>
      </c>
      <c r="K119" s="7">
        <v>169.7</v>
      </c>
      <c r="L119" s="7">
        <v>121.1</v>
      </c>
      <c r="M119" s="7">
        <v>201.6</v>
      </c>
      <c r="N119" s="7">
        <v>175.8</v>
      </c>
      <c r="O119" s="7">
        <v>185.6</v>
      </c>
      <c r="P119" s="7">
        <v>177.4</v>
      </c>
      <c r="Q119" s="7">
        <v>194.9</v>
      </c>
      <c r="R119" s="7">
        <v>186.1</v>
      </c>
      <c r="S119" s="7">
        <v>184.4</v>
      </c>
      <c r="T119" s="7">
        <v>185.9</v>
      </c>
      <c r="U119" s="7">
        <v>0</v>
      </c>
      <c r="V119" s="7">
        <v>180.8</v>
      </c>
      <c r="W119" s="7">
        <v>174.4</v>
      </c>
      <c r="X119" s="7">
        <v>181.2</v>
      </c>
      <c r="Y119" s="7">
        <v>167.4</v>
      </c>
      <c r="Z119" s="7">
        <v>170.6</v>
      </c>
      <c r="AA119" s="7">
        <v>176.5</v>
      </c>
      <c r="AB119" s="7">
        <v>172</v>
      </c>
      <c r="AC119" s="7">
        <v>173.9</v>
      </c>
      <c r="AD119" s="8">
        <v>177.9</v>
      </c>
    </row>
    <row r="120" spans="1:30" x14ac:dyDescent="0.3">
      <c r="A120" s="10" t="s">
        <v>30</v>
      </c>
      <c r="B120" s="5">
        <v>2022</v>
      </c>
      <c r="C120" s="5" t="s">
        <v>43</v>
      </c>
      <c r="D120" s="5">
        <v>166.9</v>
      </c>
      <c r="E120" s="5">
        <v>207.2</v>
      </c>
      <c r="F120" s="5">
        <v>180.2</v>
      </c>
      <c r="G120" s="5">
        <v>172.3</v>
      </c>
      <c r="H120" s="5">
        <v>194</v>
      </c>
      <c r="I120" s="5">
        <v>159.1</v>
      </c>
      <c r="J120" s="5">
        <v>171.6</v>
      </c>
      <c r="K120" s="5">
        <v>170.2</v>
      </c>
      <c r="L120" s="5">
        <v>121.5</v>
      </c>
      <c r="M120" s="5">
        <v>204.8</v>
      </c>
      <c r="N120" s="5">
        <v>176.4</v>
      </c>
      <c r="O120" s="5">
        <v>186.9</v>
      </c>
      <c r="P120" s="5">
        <v>176.6</v>
      </c>
      <c r="Q120" s="5">
        <v>195.5</v>
      </c>
      <c r="R120" s="5">
        <v>187.2</v>
      </c>
      <c r="S120" s="5">
        <v>185.2</v>
      </c>
      <c r="T120" s="5">
        <v>186.9</v>
      </c>
      <c r="U120" s="5">
        <v>0</v>
      </c>
      <c r="V120" s="5">
        <v>181.9</v>
      </c>
      <c r="W120" s="5">
        <v>175.5</v>
      </c>
      <c r="X120" s="5">
        <v>182.3</v>
      </c>
      <c r="Y120" s="5">
        <v>167.5</v>
      </c>
      <c r="Z120" s="5">
        <v>170.8</v>
      </c>
      <c r="AA120" s="5">
        <v>176.9</v>
      </c>
      <c r="AB120" s="5">
        <v>173.4</v>
      </c>
      <c r="AC120" s="5">
        <v>174.6</v>
      </c>
      <c r="AD120" s="6">
        <v>177.8</v>
      </c>
    </row>
    <row r="121" spans="1:30" x14ac:dyDescent="0.3">
      <c r="A121" s="9" t="s">
        <v>30</v>
      </c>
      <c r="B121" s="7">
        <v>2022</v>
      </c>
      <c r="C121" s="7" t="s">
        <v>44</v>
      </c>
      <c r="D121" s="7">
        <v>168.8</v>
      </c>
      <c r="E121" s="7">
        <v>206.9</v>
      </c>
      <c r="F121" s="7">
        <v>189.1</v>
      </c>
      <c r="G121" s="7">
        <v>173.4</v>
      </c>
      <c r="H121" s="7">
        <v>193.9</v>
      </c>
      <c r="I121" s="7">
        <v>156.69999999999999</v>
      </c>
      <c r="J121" s="7">
        <v>150.19999999999999</v>
      </c>
      <c r="K121" s="7">
        <v>170.5</v>
      </c>
      <c r="L121" s="7">
        <v>121.2</v>
      </c>
      <c r="M121" s="7">
        <v>207.5</v>
      </c>
      <c r="N121" s="7">
        <v>176.8</v>
      </c>
      <c r="O121" s="7">
        <v>187.7</v>
      </c>
      <c r="P121" s="7">
        <v>174.4</v>
      </c>
      <c r="Q121" s="7">
        <v>195.9</v>
      </c>
      <c r="R121" s="7">
        <v>188.1</v>
      </c>
      <c r="S121" s="7">
        <v>185.9</v>
      </c>
      <c r="T121" s="7">
        <v>187.8</v>
      </c>
      <c r="U121" s="7">
        <v>0</v>
      </c>
      <c r="V121" s="7">
        <v>182.8</v>
      </c>
      <c r="W121" s="7">
        <v>176.4</v>
      </c>
      <c r="X121" s="7">
        <v>183.5</v>
      </c>
      <c r="Y121" s="7">
        <v>167.8</v>
      </c>
      <c r="Z121" s="7">
        <v>171.2</v>
      </c>
      <c r="AA121" s="7">
        <v>177.3</v>
      </c>
      <c r="AB121" s="7">
        <v>175.7</v>
      </c>
      <c r="AC121" s="7">
        <v>175.5</v>
      </c>
      <c r="AD121" s="8">
        <v>177.1</v>
      </c>
    </row>
    <row r="122" spans="1:30" x14ac:dyDescent="0.3">
      <c r="A122" s="10" t="s">
        <v>30</v>
      </c>
      <c r="B122" s="5">
        <v>2023</v>
      </c>
      <c r="C122" s="5" t="s">
        <v>31</v>
      </c>
      <c r="D122" s="5">
        <v>174</v>
      </c>
      <c r="E122" s="5">
        <v>208.3</v>
      </c>
      <c r="F122" s="5">
        <v>192.9</v>
      </c>
      <c r="G122" s="5">
        <v>174.3</v>
      </c>
      <c r="H122" s="5">
        <v>192.6</v>
      </c>
      <c r="I122" s="5">
        <v>156.30000000000001</v>
      </c>
      <c r="J122" s="5">
        <v>142.9</v>
      </c>
      <c r="K122" s="5">
        <v>170.7</v>
      </c>
      <c r="L122" s="5">
        <v>120.3</v>
      </c>
      <c r="M122" s="5">
        <v>210.5</v>
      </c>
      <c r="N122" s="5">
        <v>176.9</v>
      </c>
      <c r="O122" s="5">
        <v>188.5</v>
      </c>
      <c r="P122" s="5">
        <v>175</v>
      </c>
      <c r="Q122" s="5">
        <v>196.9</v>
      </c>
      <c r="R122" s="5">
        <v>189</v>
      </c>
      <c r="S122" s="5">
        <v>186.3</v>
      </c>
      <c r="T122" s="5">
        <v>188.6</v>
      </c>
      <c r="U122" s="5">
        <v>0</v>
      </c>
      <c r="V122" s="5">
        <v>183.2</v>
      </c>
      <c r="W122" s="5">
        <v>177.2</v>
      </c>
      <c r="X122" s="5">
        <v>184.7</v>
      </c>
      <c r="Y122" s="5">
        <v>168.2</v>
      </c>
      <c r="Z122" s="5">
        <v>171.8</v>
      </c>
      <c r="AA122" s="5">
        <v>177.8</v>
      </c>
      <c r="AB122" s="5">
        <v>178.4</v>
      </c>
      <c r="AC122" s="5">
        <v>176.5</v>
      </c>
      <c r="AD122" s="6">
        <v>177.8</v>
      </c>
    </row>
    <row r="123" spans="1:30" x14ac:dyDescent="0.3">
      <c r="A123" s="9" t="s">
        <v>30</v>
      </c>
      <c r="B123" s="7">
        <v>2023</v>
      </c>
      <c r="C123" s="7" t="s">
        <v>34</v>
      </c>
      <c r="D123" s="7">
        <v>174.2</v>
      </c>
      <c r="E123" s="7">
        <v>205.2</v>
      </c>
      <c r="F123" s="7">
        <v>173.9</v>
      </c>
      <c r="G123" s="7">
        <v>177</v>
      </c>
      <c r="H123" s="7">
        <v>183.4</v>
      </c>
      <c r="I123" s="7">
        <v>167.2</v>
      </c>
      <c r="J123" s="7">
        <v>140.9</v>
      </c>
      <c r="K123" s="7">
        <v>170.4</v>
      </c>
      <c r="L123" s="7">
        <v>119.1</v>
      </c>
      <c r="M123" s="7">
        <v>212.1</v>
      </c>
      <c r="N123" s="7">
        <v>177.6</v>
      </c>
      <c r="O123" s="7">
        <v>189.9</v>
      </c>
      <c r="P123" s="7">
        <v>174.8</v>
      </c>
      <c r="Q123" s="7">
        <v>198.3</v>
      </c>
      <c r="R123" s="7">
        <v>190</v>
      </c>
      <c r="S123" s="7">
        <v>187</v>
      </c>
      <c r="T123" s="7">
        <v>189.6</v>
      </c>
      <c r="U123" s="7">
        <v>0</v>
      </c>
      <c r="V123" s="7">
        <v>181.6</v>
      </c>
      <c r="W123" s="7">
        <v>178.6</v>
      </c>
      <c r="X123" s="7">
        <v>186.6</v>
      </c>
      <c r="Y123" s="7">
        <v>169</v>
      </c>
      <c r="Z123" s="7">
        <v>172.8</v>
      </c>
      <c r="AA123" s="7">
        <v>178.5</v>
      </c>
      <c r="AB123" s="7">
        <v>180.7</v>
      </c>
      <c r="AC123" s="7">
        <v>177.9</v>
      </c>
      <c r="AD123" s="8">
        <v>178</v>
      </c>
    </row>
    <row r="124" spans="1:30" x14ac:dyDescent="0.3">
      <c r="A124" s="10" t="s">
        <v>30</v>
      </c>
      <c r="B124" s="5">
        <v>2023</v>
      </c>
      <c r="C124" s="5" t="s">
        <v>35</v>
      </c>
      <c r="D124" s="5">
        <v>174.3</v>
      </c>
      <c r="E124" s="5">
        <v>205.2</v>
      </c>
      <c r="F124" s="5">
        <v>173.9</v>
      </c>
      <c r="G124" s="5">
        <v>177</v>
      </c>
      <c r="H124" s="5">
        <v>183.3</v>
      </c>
      <c r="I124" s="5">
        <v>167.2</v>
      </c>
      <c r="J124" s="5">
        <v>140.9</v>
      </c>
      <c r="K124" s="5">
        <v>170.5</v>
      </c>
      <c r="L124" s="5">
        <v>119.1</v>
      </c>
      <c r="M124" s="5">
        <v>212.1</v>
      </c>
      <c r="N124" s="5">
        <v>177.6</v>
      </c>
      <c r="O124" s="5">
        <v>189.9</v>
      </c>
      <c r="P124" s="5">
        <v>174.8</v>
      </c>
      <c r="Q124" s="5">
        <v>198.4</v>
      </c>
      <c r="R124" s="5">
        <v>190</v>
      </c>
      <c r="S124" s="5">
        <v>187</v>
      </c>
      <c r="T124" s="5">
        <v>189.6</v>
      </c>
      <c r="U124" s="5">
        <v>0</v>
      </c>
      <c r="V124" s="5">
        <v>181.4</v>
      </c>
      <c r="W124" s="5">
        <v>178.6</v>
      </c>
      <c r="X124" s="5">
        <v>186.6</v>
      </c>
      <c r="Y124" s="5">
        <v>169</v>
      </c>
      <c r="Z124" s="5">
        <v>172.8</v>
      </c>
      <c r="AA124" s="5">
        <v>178.5</v>
      </c>
      <c r="AB124" s="5">
        <v>180.7</v>
      </c>
      <c r="AC124" s="5">
        <v>177.9</v>
      </c>
      <c r="AD124" s="6">
        <v>178</v>
      </c>
    </row>
    <row r="125" spans="1:30" x14ac:dyDescent="0.3">
      <c r="A125" s="9" t="s">
        <v>30</v>
      </c>
      <c r="B125" s="7">
        <v>2023</v>
      </c>
      <c r="C125" s="7" t="s">
        <v>36</v>
      </c>
      <c r="D125" s="7">
        <v>173.3</v>
      </c>
      <c r="E125" s="7">
        <v>206.9</v>
      </c>
      <c r="F125" s="7">
        <v>167.9</v>
      </c>
      <c r="G125" s="7">
        <v>178.2</v>
      </c>
      <c r="H125" s="7">
        <v>178.5</v>
      </c>
      <c r="I125" s="7">
        <v>173.7</v>
      </c>
      <c r="J125" s="7">
        <v>142.80000000000001</v>
      </c>
      <c r="K125" s="7">
        <v>172.8</v>
      </c>
      <c r="L125" s="7">
        <v>120.4</v>
      </c>
      <c r="M125" s="7">
        <v>215.5</v>
      </c>
      <c r="N125" s="7">
        <v>178.2</v>
      </c>
      <c r="O125" s="7">
        <v>190.5</v>
      </c>
      <c r="P125" s="7">
        <v>175.5</v>
      </c>
      <c r="Q125" s="7">
        <v>199.5</v>
      </c>
      <c r="R125" s="7">
        <v>190.7</v>
      </c>
      <c r="S125" s="7">
        <v>187.3</v>
      </c>
      <c r="T125" s="7">
        <v>190.2</v>
      </c>
      <c r="U125" s="7">
        <v>0</v>
      </c>
      <c r="V125" s="7">
        <v>181.5</v>
      </c>
      <c r="W125" s="7">
        <v>179.1</v>
      </c>
      <c r="X125" s="7">
        <v>187.2</v>
      </c>
      <c r="Y125" s="7">
        <v>169.4</v>
      </c>
      <c r="Z125" s="7">
        <v>173.2</v>
      </c>
      <c r="AA125" s="7">
        <v>179.4</v>
      </c>
      <c r="AB125" s="7">
        <v>183.8</v>
      </c>
      <c r="AC125" s="7">
        <v>178.9</v>
      </c>
      <c r="AD125" s="8">
        <v>178.8</v>
      </c>
    </row>
    <row r="126" spans="1:30" x14ac:dyDescent="0.3">
      <c r="A126" s="10" t="s">
        <v>30</v>
      </c>
      <c r="B126" s="5">
        <v>2023</v>
      </c>
      <c r="C126" s="5" t="s">
        <v>37</v>
      </c>
      <c r="D126" s="5">
        <v>173.2</v>
      </c>
      <c r="E126" s="5">
        <v>211.5</v>
      </c>
      <c r="F126" s="5">
        <v>171</v>
      </c>
      <c r="G126" s="5">
        <v>179.6</v>
      </c>
      <c r="H126" s="5">
        <v>173.3</v>
      </c>
      <c r="I126" s="5">
        <v>169</v>
      </c>
      <c r="J126" s="5">
        <v>148.69999999999999</v>
      </c>
      <c r="K126" s="5">
        <v>174.9</v>
      </c>
      <c r="L126" s="5">
        <v>121.9</v>
      </c>
      <c r="M126" s="5">
        <v>221</v>
      </c>
      <c r="N126" s="5">
        <v>178.7</v>
      </c>
      <c r="O126" s="5">
        <v>191.1</v>
      </c>
      <c r="P126" s="5">
        <v>176.8</v>
      </c>
      <c r="Q126" s="5">
        <v>199.9</v>
      </c>
      <c r="R126" s="5">
        <v>191.2</v>
      </c>
      <c r="S126" s="5">
        <v>187.9</v>
      </c>
      <c r="T126" s="5">
        <v>190.8</v>
      </c>
      <c r="U126" s="5">
        <v>0</v>
      </c>
      <c r="V126" s="5">
        <v>182.5</v>
      </c>
      <c r="W126" s="5">
        <v>179.8</v>
      </c>
      <c r="X126" s="5">
        <v>187.8</v>
      </c>
      <c r="Y126" s="5">
        <v>169.7</v>
      </c>
      <c r="Z126" s="5">
        <v>173.8</v>
      </c>
      <c r="AA126" s="5">
        <v>180.3</v>
      </c>
      <c r="AB126" s="5">
        <v>184.9</v>
      </c>
      <c r="AC126" s="5">
        <v>179.5</v>
      </c>
      <c r="AD126" s="6">
        <v>179.8</v>
      </c>
    </row>
    <row r="127" spans="1:30" hidden="1" x14ac:dyDescent="0.3">
      <c r="D127" s="36">
        <f>(D126-D115)/D115</f>
        <v>0.12613784135240558</v>
      </c>
      <c r="E127" s="36">
        <f t="shared" ref="E127:P127" si="0">(E126-E115)/E115</f>
        <v>-2.6243093922651884E-2</v>
      </c>
      <c r="F127" s="36">
        <f t="shared" si="0"/>
        <v>8.2547169811321101E-3</v>
      </c>
      <c r="G127" s="36">
        <f t="shared" si="0"/>
        <v>8.5852478839177682E-2</v>
      </c>
      <c r="H127" s="36">
        <f t="shared" si="0"/>
        <v>-0.16722729456991822</v>
      </c>
      <c r="I127" s="36">
        <f t="shared" si="0"/>
        <v>1.9300361881785213E-2</v>
      </c>
      <c r="J127" s="36">
        <f t="shared" si="0"/>
        <v>-0.11117752540346695</v>
      </c>
      <c r="K127" s="36">
        <f t="shared" si="0"/>
        <v>6.2575941676792299E-2</v>
      </c>
      <c r="L127" s="36">
        <f t="shared" si="0"/>
        <v>2.350965575146945E-2</v>
      </c>
      <c r="M127" s="36">
        <f t="shared" si="0"/>
        <v>0.16993118051879297</v>
      </c>
      <c r="N127" s="36">
        <f t="shared" si="0"/>
        <v>2.5832376578645237E-2</v>
      </c>
      <c r="O127" s="36">
        <f t="shared" si="0"/>
        <v>5.0577240241891086E-2</v>
      </c>
      <c r="P127" s="36">
        <f t="shared" si="0"/>
        <v>2.5522041763341101E-2</v>
      </c>
    </row>
    <row r="128" spans="1:30" hidden="1" x14ac:dyDescent="0.3">
      <c r="D128">
        <v>0.12613784135240558</v>
      </c>
      <c r="E128">
        <v>-2.6243093922651884E-2</v>
      </c>
      <c r="F128">
        <v>8.2547169811321101E-3</v>
      </c>
      <c r="G128">
        <v>8.5852478839177682E-2</v>
      </c>
      <c r="H128">
        <v>-0.16722729456991822</v>
      </c>
      <c r="I128">
        <v>1.9300361881785213E-2</v>
      </c>
      <c r="J128">
        <v>-0.11117752540346695</v>
      </c>
      <c r="K128">
        <v>6.2575941676792299E-2</v>
      </c>
      <c r="L128">
        <v>2.350965575146945E-2</v>
      </c>
      <c r="M128">
        <v>0.16993118051879297</v>
      </c>
      <c r="N128">
        <v>2.5832376578645237E-2</v>
      </c>
      <c r="O128">
        <v>5.0577240241891086E-2</v>
      </c>
      <c r="P128">
        <v>2.5522041763341101E-2</v>
      </c>
    </row>
  </sheetData>
  <autoFilter ref="A2:AD128" xr:uid="{977F958C-2B0F-4637-BD79-80B62F6942DB}">
    <filterColumn colId="1">
      <filters>
        <filter val="2020"/>
        <filter val="2021"/>
        <filter val="2022"/>
        <filter val="2023"/>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E21C-432C-49A9-80A5-B57CF7820A10}">
  <sheetPr filterMode="1"/>
  <dimension ref="A1:AD127"/>
  <sheetViews>
    <sheetView topLeftCell="M88" workbookViewId="0">
      <selection activeCell="D96" sqref="D96:AC123"/>
    </sheetView>
  </sheetViews>
  <sheetFormatPr defaultRowHeight="14.4" x14ac:dyDescent="0.3"/>
  <sheetData>
    <row r="1" spans="1:30"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row>
    <row r="2" spans="1:30" hidden="1" x14ac:dyDescent="0.3">
      <c r="A2" s="9" t="s">
        <v>32</v>
      </c>
      <c r="B2" s="7">
        <v>2013</v>
      </c>
      <c r="C2" s="7" t="s">
        <v>31</v>
      </c>
      <c r="D2" s="7">
        <v>110.5</v>
      </c>
      <c r="E2" s="7">
        <v>109.1</v>
      </c>
      <c r="F2" s="7">
        <v>113</v>
      </c>
      <c r="G2" s="7">
        <v>103.6</v>
      </c>
      <c r="H2" s="7">
        <v>103.4</v>
      </c>
      <c r="I2" s="7">
        <v>102.3</v>
      </c>
      <c r="J2" s="7">
        <v>102.9</v>
      </c>
      <c r="K2" s="7">
        <v>105.8</v>
      </c>
      <c r="L2" s="7">
        <v>105.1</v>
      </c>
      <c r="M2" s="7">
        <v>101.8</v>
      </c>
      <c r="N2" s="7">
        <v>105.1</v>
      </c>
      <c r="O2" s="7">
        <v>107.9</v>
      </c>
      <c r="P2" s="7">
        <v>105.9</v>
      </c>
      <c r="Q2" s="7">
        <v>105.2</v>
      </c>
      <c r="R2" s="7">
        <v>105.9</v>
      </c>
      <c r="S2" s="7">
        <v>105</v>
      </c>
      <c r="T2" s="7">
        <v>105.8</v>
      </c>
      <c r="U2" s="7">
        <v>100.3</v>
      </c>
      <c r="V2" s="7">
        <v>105.4</v>
      </c>
      <c r="W2" s="7">
        <v>104.8</v>
      </c>
      <c r="X2" s="7">
        <v>104.1</v>
      </c>
      <c r="Y2" s="7">
        <v>103.2</v>
      </c>
      <c r="Z2" s="7">
        <v>102.9</v>
      </c>
      <c r="AA2" s="7">
        <v>103.5</v>
      </c>
      <c r="AB2" s="7">
        <v>104.3</v>
      </c>
      <c r="AC2" s="7">
        <v>103.7</v>
      </c>
      <c r="AD2" s="8">
        <v>104</v>
      </c>
    </row>
    <row r="3" spans="1:30" hidden="1" x14ac:dyDescent="0.3">
      <c r="A3" s="10" t="s">
        <v>32</v>
      </c>
      <c r="B3" s="5">
        <v>2013</v>
      </c>
      <c r="C3" s="5" t="s">
        <v>34</v>
      </c>
      <c r="D3" s="5">
        <v>112.9</v>
      </c>
      <c r="E3" s="5">
        <v>112.9</v>
      </c>
      <c r="F3" s="5">
        <v>116.9</v>
      </c>
      <c r="G3" s="5">
        <v>104</v>
      </c>
      <c r="H3" s="5">
        <v>103.5</v>
      </c>
      <c r="I3" s="5">
        <v>103.1</v>
      </c>
      <c r="J3" s="5">
        <v>104.9</v>
      </c>
      <c r="K3" s="5">
        <v>104.1</v>
      </c>
      <c r="L3" s="5">
        <v>103.8</v>
      </c>
      <c r="M3" s="5">
        <v>102.3</v>
      </c>
      <c r="N3" s="5">
        <v>106</v>
      </c>
      <c r="O3" s="5">
        <v>109</v>
      </c>
      <c r="P3" s="5">
        <v>107.2</v>
      </c>
      <c r="Q3" s="5">
        <v>106</v>
      </c>
      <c r="R3" s="5">
        <v>106.6</v>
      </c>
      <c r="S3" s="5">
        <v>105.5</v>
      </c>
      <c r="T3" s="5">
        <v>106.4</v>
      </c>
      <c r="U3" s="5">
        <v>100.4</v>
      </c>
      <c r="V3" s="5">
        <v>105.7</v>
      </c>
      <c r="W3" s="5">
        <v>105.2</v>
      </c>
      <c r="X3" s="5">
        <v>104.7</v>
      </c>
      <c r="Y3" s="5">
        <v>104.4</v>
      </c>
      <c r="Z3" s="5">
        <v>103.3</v>
      </c>
      <c r="AA3" s="5">
        <v>103.7</v>
      </c>
      <c r="AB3" s="5">
        <v>104.3</v>
      </c>
      <c r="AC3" s="5">
        <v>104.3</v>
      </c>
      <c r="AD3" s="6">
        <v>104.7</v>
      </c>
    </row>
    <row r="4" spans="1:30" hidden="1" x14ac:dyDescent="0.3">
      <c r="A4" s="9" t="s">
        <v>32</v>
      </c>
      <c r="B4" s="7">
        <v>2013</v>
      </c>
      <c r="C4" s="7" t="s">
        <v>35</v>
      </c>
      <c r="D4" s="7">
        <v>113.9</v>
      </c>
      <c r="E4" s="7">
        <v>111.4</v>
      </c>
      <c r="F4" s="7">
        <v>113.2</v>
      </c>
      <c r="G4" s="7">
        <v>104.3</v>
      </c>
      <c r="H4" s="7">
        <v>102.7</v>
      </c>
      <c r="I4" s="7">
        <v>104.9</v>
      </c>
      <c r="J4" s="7">
        <v>103.8</v>
      </c>
      <c r="K4" s="7">
        <v>103.5</v>
      </c>
      <c r="L4" s="7">
        <v>102.6</v>
      </c>
      <c r="M4" s="7">
        <v>102.4</v>
      </c>
      <c r="N4" s="7">
        <v>107</v>
      </c>
      <c r="O4" s="7">
        <v>109.8</v>
      </c>
      <c r="P4" s="7">
        <v>107.3</v>
      </c>
      <c r="Q4" s="7">
        <v>106.8</v>
      </c>
      <c r="R4" s="7">
        <v>107.2</v>
      </c>
      <c r="S4" s="7">
        <v>106</v>
      </c>
      <c r="T4" s="7">
        <v>107</v>
      </c>
      <c r="U4" s="7">
        <v>100.4</v>
      </c>
      <c r="V4" s="7">
        <v>106</v>
      </c>
      <c r="W4" s="7">
        <v>105.7</v>
      </c>
      <c r="X4" s="7">
        <v>105.2</v>
      </c>
      <c r="Y4" s="7">
        <v>105.5</v>
      </c>
      <c r="Z4" s="7">
        <v>103.5</v>
      </c>
      <c r="AA4" s="7">
        <v>103.8</v>
      </c>
      <c r="AB4" s="7">
        <v>104.2</v>
      </c>
      <c r="AC4" s="7">
        <v>104.9</v>
      </c>
      <c r="AD4" s="8">
        <v>105</v>
      </c>
    </row>
    <row r="5" spans="1:30" hidden="1" x14ac:dyDescent="0.3">
      <c r="A5" s="10" t="s">
        <v>32</v>
      </c>
      <c r="B5" s="5">
        <v>2013</v>
      </c>
      <c r="C5" s="5" t="s">
        <v>36</v>
      </c>
      <c r="D5" s="5">
        <v>114.6</v>
      </c>
      <c r="E5" s="5">
        <v>113.4</v>
      </c>
      <c r="F5" s="5">
        <v>106</v>
      </c>
      <c r="G5" s="5">
        <v>104.7</v>
      </c>
      <c r="H5" s="5">
        <v>102.1</v>
      </c>
      <c r="I5" s="5">
        <v>109.5</v>
      </c>
      <c r="J5" s="5">
        <v>109.7</v>
      </c>
      <c r="K5" s="5">
        <v>104.6</v>
      </c>
      <c r="L5" s="5">
        <v>102</v>
      </c>
      <c r="M5" s="5">
        <v>103.5</v>
      </c>
      <c r="N5" s="5">
        <v>108.2</v>
      </c>
      <c r="O5" s="5">
        <v>110.6</v>
      </c>
      <c r="P5" s="5">
        <v>108.8</v>
      </c>
      <c r="Q5" s="5">
        <v>108.5</v>
      </c>
      <c r="R5" s="5">
        <v>107.9</v>
      </c>
      <c r="S5" s="5">
        <v>106.4</v>
      </c>
      <c r="T5" s="5">
        <v>107.7</v>
      </c>
      <c r="U5" s="5">
        <v>100.5</v>
      </c>
      <c r="V5" s="5">
        <v>106.4</v>
      </c>
      <c r="W5" s="5">
        <v>106.5</v>
      </c>
      <c r="X5" s="5">
        <v>105.7</v>
      </c>
      <c r="Y5" s="5">
        <v>105</v>
      </c>
      <c r="Z5" s="5">
        <v>104</v>
      </c>
      <c r="AA5" s="5">
        <v>105.2</v>
      </c>
      <c r="AB5" s="5">
        <v>103.2</v>
      </c>
      <c r="AC5" s="5">
        <v>105.1</v>
      </c>
      <c r="AD5" s="6">
        <v>105.7</v>
      </c>
    </row>
    <row r="6" spans="1:30" hidden="1" x14ac:dyDescent="0.3">
      <c r="A6" s="9" t="s">
        <v>32</v>
      </c>
      <c r="B6" s="7">
        <v>2013</v>
      </c>
      <c r="C6" s="7" t="s">
        <v>37</v>
      </c>
      <c r="D6" s="7">
        <v>115.4</v>
      </c>
      <c r="E6" s="7">
        <v>114.2</v>
      </c>
      <c r="F6" s="7">
        <v>102.7</v>
      </c>
      <c r="G6" s="7">
        <v>105.5</v>
      </c>
      <c r="H6" s="7">
        <v>101.5</v>
      </c>
      <c r="I6" s="7">
        <v>110.6</v>
      </c>
      <c r="J6" s="7">
        <v>123.7</v>
      </c>
      <c r="K6" s="7">
        <v>105.2</v>
      </c>
      <c r="L6" s="7">
        <v>101.9</v>
      </c>
      <c r="M6" s="7">
        <v>105</v>
      </c>
      <c r="N6" s="7">
        <v>109.1</v>
      </c>
      <c r="O6" s="7">
        <v>111.3</v>
      </c>
      <c r="P6" s="7">
        <v>111.1</v>
      </c>
      <c r="Q6" s="7">
        <v>109.8</v>
      </c>
      <c r="R6" s="7">
        <v>108.5</v>
      </c>
      <c r="S6" s="7">
        <v>106.7</v>
      </c>
      <c r="T6" s="7">
        <v>108.3</v>
      </c>
      <c r="U6" s="7">
        <v>100.5</v>
      </c>
      <c r="V6" s="7">
        <v>107.2</v>
      </c>
      <c r="W6" s="7">
        <v>107.1</v>
      </c>
      <c r="X6" s="7">
        <v>106.2</v>
      </c>
      <c r="Y6" s="7">
        <v>103.9</v>
      </c>
      <c r="Z6" s="7">
        <v>104.6</v>
      </c>
      <c r="AA6" s="7">
        <v>105.7</v>
      </c>
      <c r="AB6" s="7">
        <v>102.6</v>
      </c>
      <c r="AC6" s="7">
        <v>104.9</v>
      </c>
      <c r="AD6" s="8">
        <v>106.6</v>
      </c>
    </row>
    <row r="7" spans="1:30" hidden="1" x14ac:dyDescent="0.3">
      <c r="A7" s="10" t="s">
        <v>32</v>
      </c>
      <c r="B7" s="5">
        <v>2013</v>
      </c>
      <c r="C7" s="5" t="s">
        <v>38</v>
      </c>
      <c r="D7" s="5">
        <v>117</v>
      </c>
      <c r="E7" s="5">
        <v>120.1</v>
      </c>
      <c r="F7" s="5">
        <v>112.5</v>
      </c>
      <c r="G7" s="5">
        <v>107.3</v>
      </c>
      <c r="H7" s="5">
        <v>101.3</v>
      </c>
      <c r="I7" s="5">
        <v>112.4</v>
      </c>
      <c r="J7" s="5">
        <v>143.6</v>
      </c>
      <c r="K7" s="5">
        <v>105.4</v>
      </c>
      <c r="L7" s="5">
        <v>101.4</v>
      </c>
      <c r="M7" s="5">
        <v>106.4</v>
      </c>
      <c r="N7" s="5">
        <v>110</v>
      </c>
      <c r="O7" s="5">
        <v>112.2</v>
      </c>
      <c r="P7" s="5">
        <v>115</v>
      </c>
      <c r="Q7" s="5">
        <v>110.9</v>
      </c>
      <c r="R7" s="5">
        <v>109.2</v>
      </c>
      <c r="S7" s="5">
        <v>107.2</v>
      </c>
      <c r="T7" s="5">
        <v>108.9</v>
      </c>
      <c r="U7" s="5">
        <v>106.6</v>
      </c>
      <c r="V7" s="5">
        <v>108</v>
      </c>
      <c r="W7" s="5">
        <v>107.7</v>
      </c>
      <c r="X7" s="5">
        <v>106.5</v>
      </c>
      <c r="Y7" s="5">
        <v>105.2</v>
      </c>
      <c r="Z7" s="5">
        <v>105.2</v>
      </c>
      <c r="AA7" s="5">
        <v>108.1</v>
      </c>
      <c r="AB7" s="5">
        <v>103.3</v>
      </c>
      <c r="AC7" s="5">
        <v>106.1</v>
      </c>
      <c r="AD7" s="6">
        <v>109.7</v>
      </c>
    </row>
    <row r="8" spans="1:30" hidden="1" x14ac:dyDescent="0.3">
      <c r="A8" s="9" t="s">
        <v>32</v>
      </c>
      <c r="B8" s="7">
        <v>2013</v>
      </c>
      <c r="C8" s="7" t="s">
        <v>39</v>
      </c>
      <c r="D8" s="7">
        <v>117.8</v>
      </c>
      <c r="E8" s="7">
        <v>119.2</v>
      </c>
      <c r="F8" s="7">
        <v>114</v>
      </c>
      <c r="G8" s="7">
        <v>108.3</v>
      </c>
      <c r="H8" s="7">
        <v>101.1</v>
      </c>
      <c r="I8" s="7">
        <v>113.2</v>
      </c>
      <c r="J8" s="7">
        <v>160.9</v>
      </c>
      <c r="K8" s="7">
        <v>105.1</v>
      </c>
      <c r="L8" s="7">
        <v>101.3</v>
      </c>
      <c r="M8" s="7">
        <v>107.5</v>
      </c>
      <c r="N8" s="7">
        <v>110.4</v>
      </c>
      <c r="O8" s="7">
        <v>113.1</v>
      </c>
      <c r="P8" s="7">
        <v>117.5</v>
      </c>
      <c r="Q8" s="7">
        <v>111.7</v>
      </c>
      <c r="R8" s="7">
        <v>109.8</v>
      </c>
      <c r="S8" s="7">
        <v>107.8</v>
      </c>
      <c r="T8" s="7">
        <v>109.5</v>
      </c>
      <c r="U8" s="7">
        <v>107.7</v>
      </c>
      <c r="V8" s="7">
        <v>108.6</v>
      </c>
      <c r="W8" s="7">
        <v>108.1</v>
      </c>
      <c r="X8" s="7">
        <v>107.1</v>
      </c>
      <c r="Y8" s="7">
        <v>107.3</v>
      </c>
      <c r="Z8" s="7">
        <v>105.9</v>
      </c>
      <c r="AA8" s="7">
        <v>110.1</v>
      </c>
      <c r="AB8" s="7">
        <v>103.2</v>
      </c>
      <c r="AC8" s="7">
        <v>107.3</v>
      </c>
      <c r="AD8" s="8">
        <v>111.4</v>
      </c>
    </row>
    <row r="9" spans="1:30" hidden="1" x14ac:dyDescent="0.3">
      <c r="A9" s="10" t="s">
        <v>32</v>
      </c>
      <c r="B9" s="5">
        <v>2013</v>
      </c>
      <c r="C9" s="5" t="s">
        <v>40</v>
      </c>
      <c r="D9" s="5">
        <v>118.3</v>
      </c>
      <c r="E9" s="5">
        <v>120.4</v>
      </c>
      <c r="F9" s="5">
        <v>112.7</v>
      </c>
      <c r="G9" s="5">
        <v>108.9</v>
      </c>
      <c r="H9" s="5">
        <v>101.1</v>
      </c>
      <c r="I9" s="5">
        <v>108.7</v>
      </c>
      <c r="J9" s="5">
        <v>177</v>
      </c>
      <c r="K9" s="5">
        <v>104.7</v>
      </c>
      <c r="L9" s="5">
        <v>101</v>
      </c>
      <c r="M9" s="5">
        <v>108.5</v>
      </c>
      <c r="N9" s="5">
        <v>110.9</v>
      </c>
      <c r="O9" s="5">
        <v>114.3</v>
      </c>
      <c r="P9" s="5">
        <v>119.6</v>
      </c>
      <c r="Q9" s="5">
        <v>112.4</v>
      </c>
      <c r="R9" s="5">
        <v>110.6</v>
      </c>
      <c r="S9" s="5">
        <v>108.3</v>
      </c>
      <c r="T9" s="5">
        <v>110.2</v>
      </c>
      <c r="U9" s="5">
        <v>108.9</v>
      </c>
      <c r="V9" s="5">
        <v>109.3</v>
      </c>
      <c r="W9" s="5">
        <v>108.7</v>
      </c>
      <c r="X9" s="5">
        <v>107.6</v>
      </c>
      <c r="Y9" s="5">
        <v>108.1</v>
      </c>
      <c r="Z9" s="5">
        <v>106.5</v>
      </c>
      <c r="AA9" s="5">
        <v>110.8</v>
      </c>
      <c r="AB9" s="5">
        <v>106</v>
      </c>
      <c r="AC9" s="5">
        <v>108.3</v>
      </c>
      <c r="AD9" s="6">
        <v>112.7</v>
      </c>
    </row>
    <row r="10" spans="1:30" hidden="1" x14ac:dyDescent="0.3">
      <c r="A10" s="9" t="s">
        <v>32</v>
      </c>
      <c r="B10" s="7">
        <v>2013</v>
      </c>
      <c r="C10" s="7" t="s">
        <v>41</v>
      </c>
      <c r="D10" s="7">
        <v>118.6</v>
      </c>
      <c r="E10" s="7">
        <v>119.1</v>
      </c>
      <c r="F10" s="7">
        <v>113.2</v>
      </c>
      <c r="G10" s="7">
        <v>109.6</v>
      </c>
      <c r="H10" s="7">
        <v>101.7</v>
      </c>
      <c r="I10" s="7">
        <v>103.2</v>
      </c>
      <c r="J10" s="7">
        <v>174.3</v>
      </c>
      <c r="K10" s="7">
        <v>105.1</v>
      </c>
      <c r="L10" s="7">
        <v>100.8</v>
      </c>
      <c r="M10" s="7">
        <v>109.1</v>
      </c>
      <c r="N10" s="7">
        <v>111.1</v>
      </c>
      <c r="O10" s="7">
        <v>115.4</v>
      </c>
      <c r="P10" s="7">
        <v>119.2</v>
      </c>
      <c r="Q10" s="7">
        <v>112.9</v>
      </c>
      <c r="R10" s="7">
        <v>111.4</v>
      </c>
      <c r="S10" s="7">
        <v>109</v>
      </c>
      <c r="T10" s="7">
        <v>111.1</v>
      </c>
      <c r="U10" s="7">
        <v>109.7</v>
      </c>
      <c r="V10" s="7">
        <v>109.5</v>
      </c>
      <c r="W10" s="7">
        <v>109.6</v>
      </c>
      <c r="X10" s="7">
        <v>107.9</v>
      </c>
      <c r="Y10" s="7">
        <v>110.4</v>
      </c>
      <c r="Z10" s="7">
        <v>107.4</v>
      </c>
      <c r="AA10" s="7">
        <v>111.2</v>
      </c>
      <c r="AB10" s="7">
        <v>106.9</v>
      </c>
      <c r="AC10" s="7">
        <v>109.4</v>
      </c>
      <c r="AD10" s="8">
        <v>113.2</v>
      </c>
    </row>
    <row r="11" spans="1:30" hidden="1" x14ac:dyDescent="0.3">
      <c r="A11" s="10" t="s">
        <v>32</v>
      </c>
      <c r="B11" s="5">
        <v>2013</v>
      </c>
      <c r="C11" s="5" t="s">
        <v>42</v>
      </c>
      <c r="D11" s="5">
        <v>118.9</v>
      </c>
      <c r="E11" s="5">
        <v>118.1</v>
      </c>
      <c r="F11" s="5">
        <v>114.5</v>
      </c>
      <c r="G11" s="5">
        <v>110.4</v>
      </c>
      <c r="H11" s="5">
        <v>102.3</v>
      </c>
      <c r="I11" s="5">
        <v>106.2</v>
      </c>
      <c r="J11" s="5">
        <v>183.5</v>
      </c>
      <c r="K11" s="5">
        <v>105.3</v>
      </c>
      <c r="L11" s="5">
        <v>100.2</v>
      </c>
      <c r="M11" s="5">
        <v>109.6</v>
      </c>
      <c r="N11" s="5">
        <v>111.4</v>
      </c>
      <c r="O11" s="5">
        <v>116</v>
      </c>
      <c r="P11" s="5">
        <v>120.8</v>
      </c>
      <c r="Q11" s="5">
        <v>113.5</v>
      </c>
      <c r="R11" s="5">
        <v>112.5</v>
      </c>
      <c r="S11" s="5">
        <v>109.7</v>
      </c>
      <c r="T11" s="5">
        <v>112</v>
      </c>
      <c r="U11" s="5">
        <v>110.5</v>
      </c>
      <c r="V11" s="5">
        <v>109.7</v>
      </c>
      <c r="W11" s="5">
        <v>110.2</v>
      </c>
      <c r="X11" s="5">
        <v>108.2</v>
      </c>
      <c r="Y11" s="5">
        <v>109.7</v>
      </c>
      <c r="Z11" s="5">
        <v>108</v>
      </c>
      <c r="AA11" s="5">
        <v>111.3</v>
      </c>
      <c r="AB11" s="5">
        <v>107.3</v>
      </c>
      <c r="AC11" s="5">
        <v>109.4</v>
      </c>
      <c r="AD11" s="6">
        <v>114</v>
      </c>
    </row>
    <row r="12" spans="1:30" hidden="1" x14ac:dyDescent="0.3">
      <c r="A12" s="9" t="s">
        <v>32</v>
      </c>
      <c r="B12" s="7">
        <v>2013</v>
      </c>
      <c r="C12" s="7" t="s">
        <v>43</v>
      </c>
      <c r="D12" s="7">
        <v>119.8</v>
      </c>
      <c r="E12" s="7">
        <v>116.3</v>
      </c>
      <c r="F12" s="7">
        <v>122.6</v>
      </c>
      <c r="G12" s="7">
        <v>112</v>
      </c>
      <c r="H12" s="7">
        <v>103.2</v>
      </c>
      <c r="I12" s="7">
        <v>110</v>
      </c>
      <c r="J12" s="7">
        <v>192.8</v>
      </c>
      <c r="K12" s="7">
        <v>106.3</v>
      </c>
      <c r="L12" s="7">
        <v>99.5</v>
      </c>
      <c r="M12" s="7">
        <v>110.3</v>
      </c>
      <c r="N12" s="7">
        <v>111.8</v>
      </c>
      <c r="O12" s="7">
        <v>117.1</v>
      </c>
      <c r="P12" s="7">
        <v>122.9</v>
      </c>
      <c r="Q12" s="7">
        <v>114.1</v>
      </c>
      <c r="R12" s="7">
        <v>113.5</v>
      </c>
      <c r="S12" s="7">
        <v>110.3</v>
      </c>
      <c r="T12" s="7">
        <v>113</v>
      </c>
      <c r="U12" s="7">
        <v>111.1</v>
      </c>
      <c r="V12" s="7">
        <v>110</v>
      </c>
      <c r="W12" s="7">
        <v>110.9</v>
      </c>
      <c r="X12" s="7">
        <v>108.6</v>
      </c>
      <c r="Y12" s="7">
        <v>109.5</v>
      </c>
      <c r="Z12" s="7">
        <v>108.5</v>
      </c>
      <c r="AA12" s="7">
        <v>111.3</v>
      </c>
      <c r="AB12" s="7">
        <v>107.9</v>
      </c>
      <c r="AC12" s="7">
        <v>109.6</v>
      </c>
      <c r="AD12" s="8">
        <v>115</v>
      </c>
    </row>
    <row r="13" spans="1:30" hidden="1" x14ac:dyDescent="0.3">
      <c r="A13" s="10" t="s">
        <v>32</v>
      </c>
      <c r="B13" s="5">
        <v>2013</v>
      </c>
      <c r="C13" s="5" t="s">
        <v>44</v>
      </c>
      <c r="D13" s="5">
        <v>120.5</v>
      </c>
      <c r="E13" s="5">
        <v>118.1</v>
      </c>
      <c r="F13" s="5">
        <v>128.5</v>
      </c>
      <c r="G13" s="5">
        <v>112.8</v>
      </c>
      <c r="H13" s="5">
        <v>103.4</v>
      </c>
      <c r="I13" s="5">
        <v>110.7</v>
      </c>
      <c r="J13" s="5">
        <v>144.80000000000001</v>
      </c>
      <c r="K13" s="5">
        <v>107.1</v>
      </c>
      <c r="L13" s="5">
        <v>98.6</v>
      </c>
      <c r="M13" s="5">
        <v>111.9</v>
      </c>
      <c r="N13" s="5">
        <v>112.1</v>
      </c>
      <c r="O13" s="5">
        <v>118.1</v>
      </c>
      <c r="P13" s="5">
        <v>117.8</v>
      </c>
      <c r="Q13" s="5">
        <v>115</v>
      </c>
      <c r="R13" s="5">
        <v>114.2</v>
      </c>
      <c r="S13" s="5">
        <v>110.9</v>
      </c>
      <c r="T13" s="5">
        <v>113.7</v>
      </c>
      <c r="U13" s="5">
        <v>110.7</v>
      </c>
      <c r="V13" s="5">
        <v>110.4</v>
      </c>
      <c r="W13" s="5">
        <v>111.3</v>
      </c>
      <c r="X13" s="5">
        <v>109</v>
      </c>
      <c r="Y13" s="5">
        <v>109.7</v>
      </c>
      <c r="Z13" s="5">
        <v>108.9</v>
      </c>
      <c r="AA13" s="5">
        <v>111.4</v>
      </c>
      <c r="AB13" s="5">
        <v>107.7</v>
      </c>
      <c r="AC13" s="5">
        <v>109.8</v>
      </c>
      <c r="AD13" s="6">
        <v>113.3</v>
      </c>
    </row>
    <row r="14" spans="1:30" hidden="1" x14ac:dyDescent="0.3">
      <c r="A14" s="9" t="s">
        <v>32</v>
      </c>
      <c r="B14" s="7">
        <v>2014</v>
      </c>
      <c r="C14" s="7" t="s">
        <v>31</v>
      </c>
      <c r="D14" s="7">
        <v>121.2</v>
      </c>
      <c r="E14" s="7">
        <v>122</v>
      </c>
      <c r="F14" s="7">
        <v>129.9</v>
      </c>
      <c r="G14" s="7">
        <v>113.6</v>
      </c>
      <c r="H14" s="7">
        <v>102.9</v>
      </c>
      <c r="I14" s="7">
        <v>112.1</v>
      </c>
      <c r="J14" s="7">
        <v>118.9</v>
      </c>
      <c r="K14" s="7">
        <v>107.5</v>
      </c>
      <c r="L14" s="7">
        <v>96.9</v>
      </c>
      <c r="M14" s="7">
        <v>112.7</v>
      </c>
      <c r="N14" s="7">
        <v>112.1</v>
      </c>
      <c r="O14" s="7">
        <v>119</v>
      </c>
      <c r="P14" s="7">
        <v>115.5</v>
      </c>
      <c r="Q14" s="7">
        <v>115.7</v>
      </c>
      <c r="R14" s="7">
        <v>114.8</v>
      </c>
      <c r="S14" s="7">
        <v>111.3</v>
      </c>
      <c r="T14" s="7">
        <v>114.3</v>
      </c>
      <c r="U14" s="7">
        <v>111.6</v>
      </c>
      <c r="V14" s="7">
        <v>111</v>
      </c>
      <c r="W14" s="7">
        <v>111.9</v>
      </c>
      <c r="X14" s="7">
        <v>109.7</v>
      </c>
      <c r="Y14" s="7">
        <v>110.8</v>
      </c>
      <c r="Z14" s="7">
        <v>109.8</v>
      </c>
      <c r="AA14" s="7">
        <v>111.5</v>
      </c>
      <c r="AB14" s="7">
        <v>108</v>
      </c>
      <c r="AC14" s="7">
        <v>110.5</v>
      </c>
      <c r="AD14" s="8">
        <v>112.9</v>
      </c>
    </row>
    <row r="15" spans="1:30" hidden="1" x14ac:dyDescent="0.3">
      <c r="A15" s="10" t="s">
        <v>32</v>
      </c>
      <c r="B15" s="5">
        <v>2014</v>
      </c>
      <c r="C15" s="5" t="s">
        <v>34</v>
      </c>
      <c r="D15" s="5">
        <v>121.9</v>
      </c>
      <c r="E15" s="5">
        <v>122</v>
      </c>
      <c r="F15" s="5">
        <v>124.5</v>
      </c>
      <c r="G15" s="5">
        <v>115.2</v>
      </c>
      <c r="H15" s="5">
        <v>102.5</v>
      </c>
      <c r="I15" s="5">
        <v>114.1</v>
      </c>
      <c r="J15" s="5">
        <v>111.5</v>
      </c>
      <c r="K15" s="5">
        <v>108.2</v>
      </c>
      <c r="L15" s="5">
        <v>95.4</v>
      </c>
      <c r="M15" s="5">
        <v>113.5</v>
      </c>
      <c r="N15" s="5">
        <v>112.1</v>
      </c>
      <c r="O15" s="5">
        <v>119.9</v>
      </c>
      <c r="P15" s="5">
        <v>115.2</v>
      </c>
      <c r="Q15" s="5">
        <v>116.2</v>
      </c>
      <c r="R15" s="5">
        <v>115.3</v>
      </c>
      <c r="S15" s="5">
        <v>111.7</v>
      </c>
      <c r="T15" s="5">
        <v>114.7</v>
      </c>
      <c r="U15" s="5">
        <v>112.5</v>
      </c>
      <c r="V15" s="5">
        <v>111.1</v>
      </c>
      <c r="W15" s="5">
        <v>112.6</v>
      </c>
      <c r="X15" s="5">
        <v>110.4</v>
      </c>
      <c r="Y15" s="5">
        <v>111.3</v>
      </c>
      <c r="Z15" s="5">
        <v>110.3</v>
      </c>
      <c r="AA15" s="5">
        <v>111.6</v>
      </c>
      <c r="AB15" s="5">
        <v>108.7</v>
      </c>
      <c r="AC15" s="5">
        <v>111</v>
      </c>
      <c r="AD15" s="6">
        <v>113.1</v>
      </c>
    </row>
    <row r="16" spans="1:30" hidden="1" x14ac:dyDescent="0.3">
      <c r="A16" s="9" t="s">
        <v>32</v>
      </c>
      <c r="B16" s="7">
        <v>2014</v>
      </c>
      <c r="C16" s="7" t="s">
        <v>35</v>
      </c>
      <c r="D16" s="7">
        <v>122.1</v>
      </c>
      <c r="E16" s="7">
        <v>121.4</v>
      </c>
      <c r="F16" s="7">
        <v>121.5</v>
      </c>
      <c r="G16" s="7">
        <v>116.2</v>
      </c>
      <c r="H16" s="7">
        <v>102.8</v>
      </c>
      <c r="I16" s="7">
        <v>117.7</v>
      </c>
      <c r="J16" s="7">
        <v>113.3</v>
      </c>
      <c r="K16" s="7">
        <v>108.9</v>
      </c>
      <c r="L16" s="7">
        <v>96.3</v>
      </c>
      <c r="M16" s="7">
        <v>114.1</v>
      </c>
      <c r="N16" s="7">
        <v>112.2</v>
      </c>
      <c r="O16" s="7">
        <v>120.5</v>
      </c>
      <c r="P16" s="7">
        <v>116</v>
      </c>
      <c r="Q16" s="7">
        <v>116.7</v>
      </c>
      <c r="R16" s="7">
        <v>115.8</v>
      </c>
      <c r="S16" s="7">
        <v>112.1</v>
      </c>
      <c r="T16" s="7">
        <v>115.2</v>
      </c>
      <c r="U16" s="7">
        <v>113.2</v>
      </c>
      <c r="V16" s="7">
        <v>110.9</v>
      </c>
      <c r="W16" s="7">
        <v>113</v>
      </c>
      <c r="X16" s="7">
        <v>110.8</v>
      </c>
      <c r="Y16" s="7">
        <v>111.6</v>
      </c>
      <c r="Z16" s="7">
        <v>110.9</v>
      </c>
      <c r="AA16" s="7">
        <v>111.8</v>
      </c>
      <c r="AB16" s="7">
        <v>109.2</v>
      </c>
      <c r="AC16" s="7">
        <v>111.4</v>
      </c>
      <c r="AD16" s="8">
        <v>113.7</v>
      </c>
    </row>
    <row r="17" spans="1:30" hidden="1" x14ac:dyDescent="0.3">
      <c r="A17" s="10" t="s">
        <v>32</v>
      </c>
      <c r="B17" s="5">
        <v>2014</v>
      </c>
      <c r="C17" s="5" t="s">
        <v>36</v>
      </c>
      <c r="D17" s="5">
        <v>122.5</v>
      </c>
      <c r="E17" s="5">
        <v>121.7</v>
      </c>
      <c r="F17" s="5">
        <v>113.3</v>
      </c>
      <c r="G17" s="5">
        <v>117</v>
      </c>
      <c r="H17" s="5">
        <v>103.1</v>
      </c>
      <c r="I17" s="5">
        <v>126.7</v>
      </c>
      <c r="J17" s="5">
        <v>121.2</v>
      </c>
      <c r="K17" s="5">
        <v>111</v>
      </c>
      <c r="L17" s="5">
        <v>100.3</v>
      </c>
      <c r="M17" s="5">
        <v>115.3</v>
      </c>
      <c r="N17" s="5">
        <v>112.7</v>
      </c>
      <c r="O17" s="5">
        <v>121</v>
      </c>
      <c r="P17" s="5">
        <v>118.2</v>
      </c>
      <c r="Q17" s="5">
        <v>117.6</v>
      </c>
      <c r="R17" s="5">
        <v>116.3</v>
      </c>
      <c r="S17" s="5">
        <v>112.5</v>
      </c>
      <c r="T17" s="5">
        <v>115.7</v>
      </c>
      <c r="U17" s="5">
        <v>113.9</v>
      </c>
      <c r="V17" s="5">
        <v>110.9</v>
      </c>
      <c r="W17" s="5">
        <v>113.4</v>
      </c>
      <c r="X17" s="5">
        <v>111</v>
      </c>
      <c r="Y17" s="5">
        <v>111.2</v>
      </c>
      <c r="Z17" s="5">
        <v>111.2</v>
      </c>
      <c r="AA17" s="5">
        <v>112.5</v>
      </c>
      <c r="AB17" s="5">
        <v>109.1</v>
      </c>
      <c r="AC17" s="5">
        <v>111.4</v>
      </c>
      <c r="AD17" s="6">
        <v>114.7</v>
      </c>
    </row>
    <row r="18" spans="1:30" hidden="1" x14ac:dyDescent="0.3">
      <c r="A18" s="9" t="s">
        <v>32</v>
      </c>
      <c r="B18" s="7">
        <v>2014</v>
      </c>
      <c r="C18" s="7" t="s">
        <v>37</v>
      </c>
      <c r="D18" s="7">
        <v>122.7</v>
      </c>
      <c r="E18" s="7">
        <v>124.1</v>
      </c>
      <c r="F18" s="7">
        <v>114.2</v>
      </c>
      <c r="G18" s="7">
        <v>119.1</v>
      </c>
      <c r="H18" s="7">
        <v>103.5</v>
      </c>
      <c r="I18" s="7">
        <v>129.19999999999999</v>
      </c>
      <c r="J18" s="7">
        <v>127</v>
      </c>
      <c r="K18" s="7">
        <v>112.6</v>
      </c>
      <c r="L18" s="7">
        <v>101.3</v>
      </c>
      <c r="M18" s="7">
        <v>117</v>
      </c>
      <c r="N18" s="7">
        <v>112.9</v>
      </c>
      <c r="O18" s="7">
        <v>121.7</v>
      </c>
      <c r="P18" s="7">
        <v>120</v>
      </c>
      <c r="Q18" s="7">
        <v>118.3</v>
      </c>
      <c r="R18" s="7">
        <v>116.8</v>
      </c>
      <c r="S18" s="7">
        <v>112.9</v>
      </c>
      <c r="T18" s="7">
        <v>116.2</v>
      </c>
      <c r="U18" s="7">
        <v>114.3</v>
      </c>
      <c r="V18" s="7">
        <v>111.1</v>
      </c>
      <c r="W18" s="7">
        <v>114.1</v>
      </c>
      <c r="X18" s="7">
        <v>111.2</v>
      </c>
      <c r="Y18" s="7">
        <v>111.3</v>
      </c>
      <c r="Z18" s="7">
        <v>111.5</v>
      </c>
      <c r="AA18" s="7">
        <v>112.9</v>
      </c>
      <c r="AB18" s="7">
        <v>109.3</v>
      </c>
      <c r="AC18" s="7">
        <v>111.7</v>
      </c>
      <c r="AD18" s="8">
        <v>115.6</v>
      </c>
    </row>
    <row r="19" spans="1:30" hidden="1" x14ac:dyDescent="0.3">
      <c r="A19" s="10" t="s">
        <v>32</v>
      </c>
      <c r="B19" s="5">
        <v>2014</v>
      </c>
      <c r="C19" s="5" t="s">
        <v>38</v>
      </c>
      <c r="D19" s="5">
        <v>123.1</v>
      </c>
      <c r="E19" s="5">
        <v>125.9</v>
      </c>
      <c r="F19" s="5">
        <v>115.4</v>
      </c>
      <c r="G19" s="5">
        <v>120.4</v>
      </c>
      <c r="H19" s="5">
        <v>103.4</v>
      </c>
      <c r="I19" s="5">
        <v>131.19999999999999</v>
      </c>
      <c r="J19" s="5">
        <v>137.5</v>
      </c>
      <c r="K19" s="5">
        <v>112.8</v>
      </c>
      <c r="L19" s="5">
        <v>101.4</v>
      </c>
      <c r="M19" s="5">
        <v>118.3</v>
      </c>
      <c r="N19" s="5">
        <v>113.2</v>
      </c>
      <c r="O19" s="5">
        <v>122.4</v>
      </c>
      <c r="P19" s="5">
        <v>122</v>
      </c>
      <c r="Q19" s="5">
        <v>119</v>
      </c>
      <c r="R19" s="5">
        <v>117.4</v>
      </c>
      <c r="S19" s="5">
        <v>113.2</v>
      </c>
      <c r="T19" s="5">
        <v>116.7</v>
      </c>
      <c r="U19" s="5">
        <v>113.9</v>
      </c>
      <c r="V19" s="5">
        <v>111.2</v>
      </c>
      <c r="W19" s="5">
        <v>114.3</v>
      </c>
      <c r="X19" s="5">
        <v>111.4</v>
      </c>
      <c r="Y19" s="5">
        <v>111.5</v>
      </c>
      <c r="Z19" s="5">
        <v>111.8</v>
      </c>
      <c r="AA19" s="5">
        <v>115.1</v>
      </c>
      <c r="AB19" s="5">
        <v>108.7</v>
      </c>
      <c r="AC19" s="5">
        <v>112.2</v>
      </c>
      <c r="AD19" s="6">
        <v>116.4</v>
      </c>
    </row>
    <row r="20" spans="1:30" hidden="1" x14ac:dyDescent="0.3">
      <c r="A20" s="9" t="s">
        <v>32</v>
      </c>
      <c r="B20" s="7">
        <v>2014</v>
      </c>
      <c r="C20" s="7" t="s">
        <v>39</v>
      </c>
      <c r="D20" s="7">
        <v>123.8</v>
      </c>
      <c r="E20" s="7">
        <v>126.4</v>
      </c>
      <c r="F20" s="7">
        <v>118</v>
      </c>
      <c r="G20" s="7">
        <v>121.6</v>
      </c>
      <c r="H20" s="7">
        <v>103.5</v>
      </c>
      <c r="I20" s="7">
        <v>133.69999999999999</v>
      </c>
      <c r="J20" s="7">
        <v>172.4</v>
      </c>
      <c r="K20" s="7">
        <v>113.1</v>
      </c>
      <c r="L20" s="7">
        <v>102.7</v>
      </c>
      <c r="M20" s="7">
        <v>120</v>
      </c>
      <c r="N20" s="7">
        <v>113.8</v>
      </c>
      <c r="O20" s="7">
        <v>123.4</v>
      </c>
      <c r="P20" s="7">
        <v>127.1</v>
      </c>
      <c r="Q20" s="7">
        <v>121</v>
      </c>
      <c r="R20" s="7">
        <v>118</v>
      </c>
      <c r="S20" s="7">
        <v>113.6</v>
      </c>
      <c r="T20" s="7">
        <v>117.4</v>
      </c>
      <c r="U20" s="7">
        <v>114.8</v>
      </c>
      <c r="V20" s="7">
        <v>111.6</v>
      </c>
      <c r="W20" s="7">
        <v>114.9</v>
      </c>
      <c r="X20" s="7">
        <v>111.5</v>
      </c>
      <c r="Y20" s="7">
        <v>113</v>
      </c>
      <c r="Z20" s="7">
        <v>112.4</v>
      </c>
      <c r="AA20" s="7">
        <v>117.8</v>
      </c>
      <c r="AB20" s="7">
        <v>109.7</v>
      </c>
      <c r="AC20" s="7">
        <v>113.5</v>
      </c>
      <c r="AD20" s="8">
        <v>118.9</v>
      </c>
    </row>
    <row r="21" spans="1:30" hidden="1" x14ac:dyDescent="0.3">
      <c r="A21" s="10" t="s">
        <v>32</v>
      </c>
      <c r="B21" s="5">
        <v>2014</v>
      </c>
      <c r="C21" s="5" t="s">
        <v>40</v>
      </c>
      <c r="D21" s="5">
        <v>124.8</v>
      </c>
      <c r="E21" s="5">
        <v>127.3</v>
      </c>
      <c r="F21" s="5">
        <v>116.5</v>
      </c>
      <c r="G21" s="5">
        <v>122.2</v>
      </c>
      <c r="H21" s="5">
        <v>103.6</v>
      </c>
      <c r="I21" s="5">
        <v>132.69999999999999</v>
      </c>
      <c r="J21" s="5">
        <v>181.9</v>
      </c>
      <c r="K21" s="5">
        <v>115.2</v>
      </c>
      <c r="L21" s="5">
        <v>102.7</v>
      </c>
      <c r="M21" s="5">
        <v>122.1</v>
      </c>
      <c r="N21" s="5">
        <v>114.4</v>
      </c>
      <c r="O21" s="5">
        <v>124.7</v>
      </c>
      <c r="P21" s="5">
        <v>128.9</v>
      </c>
      <c r="Q21" s="5">
        <v>123</v>
      </c>
      <c r="R21" s="5">
        <v>118.6</v>
      </c>
      <c r="S21" s="5">
        <v>114.1</v>
      </c>
      <c r="T21" s="5">
        <v>117.9</v>
      </c>
      <c r="U21" s="5">
        <v>115.5</v>
      </c>
      <c r="V21" s="5">
        <v>111.8</v>
      </c>
      <c r="W21" s="5">
        <v>115.3</v>
      </c>
      <c r="X21" s="5">
        <v>112.2</v>
      </c>
      <c r="Y21" s="5">
        <v>112.5</v>
      </c>
      <c r="Z21" s="5">
        <v>112.9</v>
      </c>
      <c r="AA21" s="5">
        <v>119.2</v>
      </c>
      <c r="AB21" s="5">
        <v>110.5</v>
      </c>
      <c r="AC21" s="5">
        <v>113.9</v>
      </c>
      <c r="AD21" s="6">
        <v>119.9</v>
      </c>
    </row>
    <row r="22" spans="1:30" hidden="1" x14ac:dyDescent="0.3">
      <c r="A22" s="9" t="s">
        <v>32</v>
      </c>
      <c r="B22" s="7">
        <v>2014</v>
      </c>
      <c r="C22" s="7" t="s">
        <v>41</v>
      </c>
      <c r="D22" s="7">
        <v>124.2</v>
      </c>
      <c r="E22" s="7">
        <v>125.4</v>
      </c>
      <c r="F22" s="7">
        <v>116.4</v>
      </c>
      <c r="G22" s="7">
        <v>122.7</v>
      </c>
      <c r="H22" s="7">
        <v>103.5</v>
      </c>
      <c r="I22" s="7">
        <v>124.5</v>
      </c>
      <c r="J22" s="7">
        <v>168.6</v>
      </c>
      <c r="K22" s="7">
        <v>116.9</v>
      </c>
      <c r="L22" s="7">
        <v>101.9</v>
      </c>
      <c r="M22" s="7">
        <v>122.9</v>
      </c>
      <c r="N22" s="7">
        <v>114.8</v>
      </c>
      <c r="O22" s="7">
        <v>125.2</v>
      </c>
      <c r="P22" s="7">
        <v>126.7</v>
      </c>
      <c r="Q22" s="7">
        <v>124.3</v>
      </c>
      <c r="R22" s="7">
        <v>119.2</v>
      </c>
      <c r="S22" s="7">
        <v>114.5</v>
      </c>
      <c r="T22" s="7">
        <v>118.4</v>
      </c>
      <c r="U22" s="7">
        <v>116.1</v>
      </c>
      <c r="V22" s="7">
        <v>111.8</v>
      </c>
      <c r="W22" s="7">
        <v>115.5</v>
      </c>
      <c r="X22" s="7">
        <v>112.3</v>
      </c>
      <c r="Y22" s="7">
        <v>111.2</v>
      </c>
      <c r="Z22" s="7">
        <v>113.4</v>
      </c>
      <c r="AA22" s="7">
        <v>120</v>
      </c>
      <c r="AB22" s="7">
        <v>110</v>
      </c>
      <c r="AC22" s="7">
        <v>113.6</v>
      </c>
      <c r="AD22" s="8">
        <v>119.2</v>
      </c>
    </row>
    <row r="23" spans="1:30" hidden="1" x14ac:dyDescent="0.3">
      <c r="A23" s="10" t="s">
        <v>32</v>
      </c>
      <c r="B23" s="5">
        <v>2014</v>
      </c>
      <c r="C23" s="5" t="s">
        <v>42</v>
      </c>
      <c r="D23" s="5">
        <v>124.6</v>
      </c>
      <c r="E23" s="5">
        <v>126.1</v>
      </c>
      <c r="F23" s="5">
        <v>117.8</v>
      </c>
      <c r="G23" s="5">
        <v>123.1</v>
      </c>
      <c r="H23" s="5">
        <v>103.5</v>
      </c>
      <c r="I23" s="5">
        <v>123.5</v>
      </c>
      <c r="J23" s="5">
        <v>159.6</v>
      </c>
      <c r="K23" s="5">
        <v>117.4</v>
      </c>
      <c r="L23" s="5">
        <v>101.2</v>
      </c>
      <c r="M23" s="5">
        <v>123.8</v>
      </c>
      <c r="N23" s="5">
        <v>115.2</v>
      </c>
      <c r="O23" s="5">
        <v>125.9</v>
      </c>
      <c r="P23" s="5">
        <v>125.8</v>
      </c>
      <c r="Q23" s="5">
        <v>124.3</v>
      </c>
      <c r="R23" s="5">
        <v>119.6</v>
      </c>
      <c r="S23" s="5">
        <v>114.9</v>
      </c>
      <c r="T23" s="5">
        <v>118.9</v>
      </c>
      <c r="U23" s="5">
        <v>116.7</v>
      </c>
      <c r="V23" s="5">
        <v>112</v>
      </c>
      <c r="W23" s="5">
        <v>115.8</v>
      </c>
      <c r="X23" s="5">
        <v>112.6</v>
      </c>
      <c r="Y23" s="5">
        <v>111</v>
      </c>
      <c r="Z23" s="5">
        <v>113.6</v>
      </c>
      <c r="AA23" s="5">
        <v>120.2</v>
      </c>
      <c r="AB23" s="5">
        <v>110.1</v>
      </c>
      <c r="AC23" s="5">
        <v>113.7</v>
      </c>
      <c r="AD23" s="6">
        <v>119.1</v>
      </c>
    </row>
    <row r="24" spans="1:30" hidden="1" x14ac:dyDescent="0.3">
      <c r="A24" s="9" t="s">
        <v>32</v>
      </c>
      <c r="B24" s="7">
        <v>2014</v>
      </c>
      <c r="C24" s="7" t="s">
        <v>43</v>
      </c>
      <c r="D24" s="7">
        <v>124.5</v>
      </c>
      <c r="E24" s="7">
        <v>125.6</v>
      </c>
      <c r="F24" s="7">
        <v>122.7</v>
      </c>
      <c r="G24" s="7">
        <v>124.6</v>
      </c>
      <c r="H24" s="7">
        <v>103.2</v>
      </c>
      <c r="I24" s="7">
        <v>122.2</v>
      </c>
      <c r="J24" s="7">
        <v>153.19999999999999</v>
      </c>
      <c r="K24" s="7">
        <v>119.3</v>
      </c>
      <c r="L24" s="7">
        <v>99.8</v>
      </c>
      <c r="M24" s="7">
        <v>124.6</v>
      </c>
      <c r="N24" s="7">
        <v>115.8</v>
      </c>
      <c r="O24" s="7">
        <v>126.9</v>
      </c>
      <c r="P24" s="7">
        <v>125.4</v>
      </c>
      <c r="Q24" s="7">
        <v>125.8</v>
      </c>
      <c r="R24" s="7">
        <v>120.3</v>
      </c>
      <c r="S24" s="7">
        <v>115.4</v>
      </c>
      <c r="T24" s="7">
        <v>119.5</v>
      </c>
      <c r="U24" s="7">
        <v>117.1</v>
      </c>
      <c r="V24" s="7">
        <v>112.6</v>
      </c>
      <c r="W24" s="7">
        <v>116.4</v>
      </c>
      <c r="X24" s="7">
        <v>113</v>
      </c>
      <c r="Y24" s="7">
        <v>109.7</v>
      </c>
      <c r="Z24" s="7">
        <v>114</v>
      </c>
      <c r="AA24" s="7">
        <v>120.3</v>
      </c>
      <c r="AB24" s="7">
        <v>109.6</v>
      </c>
      <c r="AC24" s="7">
        <v>113.4</v>
      </c>
      <c r="AD24" s="8">
        <v>119</v>
      </c>
    </row>
    <row r="25" spans="1:30" hidden="1" x14ac:dyDescent="0.3">
      <c r="A25" s="10" t="s">
        <v>32</v>
      </c>
      <c r="B25" s="5">
        <v>2014</v>
      </c>
      <c r="C25" s="5" t="s">
        <v>44</v>
      </c>
      <c r="D25" s="5">
        <v>124</v>
      </c>
      <c r="E25" s="5">
        <v>124.7</v>
      </c>
      <c r="F25" s="5">
        <v>126.3</v>
      </c>
      <c r="G25" s="5">
        <v>124.9</v>
      </c>
      <c r="H25" s="5">
        <v>103</v>
      </c>
      <c r="I25" s="5">
        <v>122.3</v>
      </c>
      <c r="J25" s="5">
        <v>141</v>
      </c>
      <c r="K25" s="5">
        <v>120.1</v>
      </c>
      <c r="L25" s="5">
        <v>97.8</v>
      </c>
      <c r="M25" s="5">
        <v>125.4</v>
      </c>
      <c r="N25" s="5">
        <v>116.1</v>
      </c>
      <c r="O25" s="5">
        <v>127.6</v>
      </c>
      <c r="P25" s="5">
        <v>124</v>
      </c>
      <c r="Q25" s="5">
        <v>126.4</v>
      </c>
      <c r="R25" s="5">
        <v>120.7</v>
      </c>
      <c r="S25" s="5">
        <v>115.8</v>
      </c>
      <c r="T25" s="5">
        <v>120</v>
      </c>
      <c r="U25" s="5">
        <v>116.5</v>
      </c>
      <c r="V25" s="5">
        <v>113</v>
      </c>
      <c r="W25" s="5">
        <v>116.8</v>
      </c>
      <c r="X25" s="5">
        <v>113.2</v>
      </c>
      <c r="Y25" s="5">
        <v>108.8</v>
      </c>
      <c r="Z25" s="5">
        <v>114.3</v>
      </c>
      <c r="AA25" s="5">
        <v>120.7</v>
      </c>
      <c r="AB25" s="5">
        <v>110.4</v>
      </c>
      <c r="AC25" s="5">
        <v>113.4</v>
      </c>
      <c r="AD25" s="6">
        <v>118.4</v>
      </c>
    </row>
    <row r="26" spans="1:30" hidden="1" x14ac:dyDescent="0.3">
      <c r="A26" s="9" t="s">
        <v>32</v>
      </c>
      <c r="B26" s="7">
        <v>2015</v>
      </c>
      <c r="C26" s="7" t="s">
        <v>31</v>
      </c>
      <c r="D26" s="7">
        <v>124</v>
      </c>
      <c r="E26" s="7">
        <v>125.5</v>
      </c>
      <c r="F26" s="7">
        <v>126.6</v>
      </c>
      <c r="G26" s="7">
        <v>125.2</v>
      </c>
      <c r="H26" s="7">
        <v>104.3</v>
      </c>
      <c r="I26" s="7">
        <v>121.3</v>
      </c>
      <c r="J26" s="7">
        <v>134.4</v>
      </c>
      <c r="K26" s="7">
        <v>122.9</v>
      </c>
      <c r="L26" s="7">
        <v>96.1</v>
      </c>
      <c r="M26" s="7">
        <v>126.6</v>
      </c>
      <c r="N26" s="7">
        <v>116.5</v>
      </c>
      <c r="O26" s="7">
        <v>128</v>
      </c>
      <c r="P26" s="7">
        <v>123.5</v>
      </c>
      <c r="Q26" s="7">
        <v>127.4</v>
      </c>
      <c r="R26" s="7">
        <v>121</v>
      </c>
      <c r="S26" s="7">
        <v>116.1</v>
      </c>
      <c r="T26" s="7">
        <v>120.2</v>
      </c>
      <c r="U26" s="7">
        <v>117.3</v>
      </c>
      <c r="V26" s="7">
        <v>113.4</v>
      </c>
      <c r="W26" s="7">
        <v>117.2</v>
      </c>
      <c r="X26" s="7">
        <v>113.7</v>
      </c>
      <c r="Y26" s="7">
        <v>107.9</v>
      </c>
      <c r="Z26" s="7">
        <v>114.6</v>
      </c>
      <c r="AA26" s="7">
        <v>120.8</v>
      </c>
      <c r="AB26" s="7">
        <v>111.4</v>
      </c>
      <c r="AC26" s="7">
        <v>113.4</v>
      </c>
      <c r="AD26" s="8">
        <v>118.5</v>
      </c>
    </row>
    <row r="27" spans="1:30" hidden="1" x14ac:dyDescent="0.3">
      <c r="A27" s="10" t="s">
        <v>32</v>
      </c>
      <c r="B27" s="5">
        <v>2015</v>
      </c>
      <c r="C27" s="5" t="s">
        <v>34</v>
      </c>
      <c r="D27" s="5">
        <v>124.3</v>
      </c>
      <c r="E27" s="5">
        <v>126.5</v>
      </c>
      <c r="F27" s="5">
        <v>119.5</v>
      </c>
      <c r="G27" s="5">
        <v>125.6</v>
      </c>
      <c r="H27" s="5">
        <v>104.9</v>
      </c>
      <c r="I27" s="5">
        <v>121.6</v>
      </c>
      <c r="J27" s="5">
        <v>131.80000000000001</v>
      </c>
      <c r="K27" s="5">
        <v>125.1</v>
      </c>
      <c r="L27" s="5">
        <v>95</v>
      </c>
      <c r="M27" s="5">
        <v>127.7</v>
      </c>
      <c r="N27" s="5">
        <v>116.8</v>
      </c>
      <c r="O27" s="5">
        <v>128.6</v>
      </c>
      <c r="P27" s="5">
        <v>123.7</v>
      </c>
      <c r="Q27" s="5">
        <v>128.1</v>
      </c>
      <c r="R27" s="5">
        <v>121.3</v>
      </c>
      <c r="S27" s="5">
        <v>116.5</v>
      </c>
      <c r="T27" s="5">
        <v>120.6</v>
      </c>
      <c r="U27" s="5">
        <v>118.1</v>
      </c>
      <c r="V27" s="5">
        <v>114</v>
      </c>
      <c r="W27" s="5">
        <v>117.7</v>
      </c>
      <c r="X27" s="5">
        <v>114.1</v>
      </c>
      <c r="Y27" s="5">
        <v>106.8</v>
      </c>
      <c r="Z27" s="5">
        <v>114.9</v>
      </c>
      <c r="AA27" s="5">
        <v>120.4</v>
      </c>
      <c r="AB27" s="5">
        <v>111.7</v>
      </c>
      <c r="AC27" s="5">
        <v>113.2</v>
      </c>
      <c r="AD27" s="6">
        <v>118.7</v>
      </c>
    </row>
    <row r="28" spans="1:30" hidden="1" x14ac:dyDescent="0.3">
      <c r="A28" s="9" t="s">
        <v>32</v>
      </c>
      <c r="B28" s="7">
        <v>2015</v>
      </c>
      <c r="C28" s="7" t="s">
        <v>35</v>
      </c>
      <c r="D28" s="7">
        <v>124</v>
      </c>
      <c r="E28" s="7">
        <v>126.7</v>
      </c>
      <c r="F28" s="7">
        <v>113.5</v>
      </c>
      <c r="G28" s="7">
        <v>125.9</v>
      </c>
      <c r="H28" s="7">
        <v>104.8</v>
      </c>
      <c r="I28" s="7">
        <v>123.8</v>
      </c>
      <c r="J28" s="7">
        <v>131.4</v>
      </c>
      <c r="K28" s="7">
        <v>127.2</v>
      </c>
      <c r="L28" s="7">
        <v>93.2</v>
      </c>
      <c r="M28" s="7">
        <v>127.4</v>
      </c>
      <c r="N28" s="7">
        <v>117</v>
      </c>
      <c r="O28" s="7">
        <v>129.19999999999999</v>
      </c>
      <c r="P28" s="7">
        <v>123.9</v>
      </c>
      <c r="Q28" s="7">
        <v>128.80000000000001</v>
      </c>
      <c r="R28" s="7">
        <v>121.7</v>
      </c>
      <c r="S28" s="7">
        <v>116.9</v>
      </c>
      <c r="T28" s="7">
        <v>120.9</v>
      </c>
      <c r="U28" s="7">
        <v>118.6</v>
      </c>
      <c r="V28" s="7">
        <v>114.4</v>
      </c>
      <c r="W28" s="7">
        <v>118</v>
      </c>
      <c r="X28" s="7">
        <v>114.3</v>
      </c>
      <c r="Y28" s="7">
        <v>108.4</v>
      </c>
      <c r="Z28" s="7">
        <v>115.4</v>
      </c>
      <c r="AA28" s="7">
        <v>120.6</v>
      </c>
      <c r="AB28" s="7">
        <v>111.3</v>
      </c>
      <c r="AC28" s="7">
        <v>113.8</v>
      </c>
      <c r="AD28" s="8">
        <v>119.1</v>
      </c>
    </row>
    <row r="29" spans="1:30" hidden="1" x14ac:dyDescent="0.3">
      <c r="A29" s="10" t="s">
        <v>32</v>
      </c>
      <c r="B29" s="5">
        <v>2015</v>
      </c>
      <c r="C29" s="5" t="s">
        <v>36</v>
      </c>
      <c r="D29" s="5">
        <v>123.8</v>
      </c>
      <c r="E29" s="5">
        <v>128.19999999999999</v>
      </c>
      <c r="F29" s="5">
        <v>110</v>
      </c>
      <c r="G29" s="5">
        <v>126.3</v>
      </c>
      <c r="H29" s="5">
        <v>104.5</v>
      </c>
      <c r="I29" s="5">
        <v>130.6</v>
      </c>
      <c r="J29" s="5">
        <v>130.80000000000001</v>
      </c>
      <c r="K29" s="5">
        <v>131.30000000000001</v>
      </c>
      <c r="L29" s="5">
        <v>91.6</v>
      </c>
      <c r="M29" s="5">
        <v>127.7</v>
      </c>
      <c r="N29" s="5">
        <v>117.2</v>
      </c>
      <c r="O29" s="5">
        <v>129.5</v>
      </c>
      <c r="P29" s="5">
        <v>124.6</v>
      </c>
      <c r="Q29" s="5">
        <v>130.1</v>
      </c>
      <c r="R29" s="5">
        <v>122.1</v>
      </c>
      <c r="S29" s="5">
        <v>117.2</v>
      </c>
      <c r="T29" s="5">
        <v>121.3</v>
      </c>
      <c r="U29" s="5">
        <v>119.2</v>
      </c>
      <c r="V29" s="5">
        <v>114.7</v>
      </c>
      <c r="W29" s="5">
        <v>118.4</v>
      </c>
      <c r="X29" s="5">
        <v>114.6</v>
      </c>
      <c r="Y29" s="5">
        <v>108.4</v>
      </c>
      <c r="Z29" s="5">
        <v>115.6</v>
      </c>
      <c r="AA29" s="5">
        <v>121.7</v>
      </c>
      <c r="AB29" s="5">
        <v>111.8</v>
      </c>
      <c r="AC29" s="5">
        <v>114.2</v>
      </c>
      <c r="AD29" s="6">
        <v>119.7</v>
      </c>
    </row>
    <row r="30" spans="1:30" hidden="1" x14ac:dyDescent="0.3">
      <c r="A30" s="9" t="s">
        <v>32</v>
      </c>
      <c r="B30" s="7">
        <v>2015</v>
      </c>
      <c r="C30" s="7" t="s">
        <v>37</v>
      </c>
      <c r="D30" s="7">
        <v>123.8</v>
      </c>
      <c r="E30" s="7">
        <v>129.69999999999999</v>
      </c>
      <c r="F30" s="7">
        <v>111.3</v>
      </c>
      <c r="G30" s="7">
        <v>126.6</v>
      </c>
      <c r="H30" s="7">
        <v>105.2</v>
      </c>
      <c r="I30" s="7">
        <v>130.80000000000001</v>
      </c>
      <c r="J30" s="7">
        <v>135.6</v>
      </c>
      <c r="K30" s="7">
        <v>142.6</v>
      </c>
      <c r="L30" s="7">
        <v>90.8</v>
      </c>
      <c r="M30" s="7">
        <v>128.80000000000001</v>
      </c>
      <c r="N30" s="7">
        <v>117.7</v>
      </c>
      <c r="O30" s="7">
        <v>129.9</v>
      </c>
      <c r="P30" s="7">
        <v>126.1</v>
      </c>
      <c r="Q30" s="7">
        <v>131.30000000000001</v>
      </c>
      <c r="R30" s="7">
        <v>122.4</v>
      </c>
      <c r="S30" s="7">
        <v>117.4</v>
      </c>
      <c r="T30" s="7">
        <v>121.6</v>
      </c>
      <c r="U30" s="7">
        <v>119.6</v>
      </c>
      <c r="V30" s="7">
        <v>114.9</v>
      </c>
      <c r="W30" s="7">
        <v>118.7</v>
      </c>
      <c r="X30" s="7">
        <v>114.9</v>
      </c>
      <c r="Y30" s="7">
        <v>110.8</v>
      </c>
      <c r="Z30" s="7">
        <v>116</v>
      </c>
      <c r="AA30" s="7">
        <v>122</v>
      </c>
      <c r="AB30" s="7">
        <v>112.4</v>
      </c>
      <c r="AC30" s="7">
        <v>115.2</v>
      </c>
      <c r="AD30" s="8">
        <v>120.7</v>
      </c>
    </row>
    <row r="31" spans="1:30" hidden="1" x14ac:dyDescent="0.3">
      <c r="A31" s="10" t="s">
        <v>32</v>
      </c>
      <c r="B31" s="5">
        <v>2015</v>
      </c>
      <c r="C31" s="5" t="s">
        <v>38</v>
      </c>
      <c r="D31" s="5">
        <v>123.6</v>
      </c>
      <c r="E31" s="5">
        <v>134.4</v>
      </c>
      <c r="F31" s="5">
        <v>120.9</v>
      </c>
      <c r="G31" s="5">
        <v>127.3</v>
      </c>
      <c r="H31" s="5">
        <v>106</v>
      </c>
      <c r="I31" s="5">
        <v>132.30000000000001</v>
      </c>
      <c r="J31" s="5">
        <v>146.69999999999999</v>
      </c>
      <c r="K31" s="5">
        <v>148.1</v>
      </c>
      <c r="L31" s="5">
        <v>89.8</v>
      </c>
      <c r="M31" s="5">
        <v>130.5</v>
      </c>
      <c r="N31" s="5">
        <v>118</v>
      </c>
      <c r="O31" s="5">
        <v>130.5</v>
      </c>
      <c r="P31" s="5">
        <v>128.5</v>
      </c>
      <c r="Q31" s="5">
        <v>132.1</v>
      </c>
      <c r="R31" s="5">
        <v>123.2</v>
      </c>
      <c r="S31" s="5">
        <v>117.6</v>
      </c>
      <c r="T31" s="5">
        <v>122.3</v>
      </c>
      <c r="U31" s="5">
        <v>119</v>
      </c>
      <c r="V31" s="5">
        <v>115.1</v>
      </c>
      <c r="W31" s="5">
        <v>119.2</v>
      </c>
      <c r="X31" s="5">
        <v>115.4</v>
      </c>
      <c r="Y31" s="5">
        <v>111.7</v>
      </c>
      <c r="Z31" s="5">
        <v>116.2</v>
      </c>
      <c r="AA31" s="5">
        <v>123.8</v>
      </c>
      <c r="AB31" s="5">
        <v>112.5</v>
      </c>
      <c r="AC31" s="5">
        <v>116</v>
      </c>
      <c r="AD31" s="6">
        <v>121.7</v>
      </c>
    </row>
    <row r="32" spans="1:30" hidden="1" x14ac:dyDescent="0.3">
      <c r="A32" s="9" t="s">
        <v>32</v>
      </c>
      <c r="B32" s="7">
        <v>2015</v>
      </c>
      <c r="C32" s="7" t="s">
        <v>39</v>
      </c>
      <c r="D32" s="7">
        <v>123.2</v>
      </c>
      <c r="E32" s="7">
        <v>134.30000000000001</v>
      </c>
      <c r="F32" s="7">
        <v>119.5</v>
      </c>
      <c r="G32" s="7">
        <v>127.7</v>
      </c>
      <c r="H32" s="7">
        <v>106.3</v>
      </c>
      <c r="I32" s="7">
        <v>132.80000000000001</v>
      </c>
      <c r="J32" s="7">
        <v>153.5</v>
      </c>
      <c r="K32" s="7">
        <v>149.5</v>
      </c>
      <c r="L32" s="7">
        <v>85.7</v>
      </c>
      <c r="M32" s="7">
        <v>131.5</v>
      </c>
      <c r="N32" s="7">
        <v>118.3</v>
      </c>
      <c r="O32" s="7">
        <v>131.1</v>
      </c>
      <c r="P32" s="7">
        <v>129.5</v>
      </c>
      <c r="Q32" s="7">
        <v>133.1</v>
      </c>
      <c r="R32" s="7">
        <v>123.5</v>
      </c>
      <c r="S32" s="7">
        <v>117.9</v>
      </c>
      <c r="T32" s="7">
        <v>122.7</v>
      </c>
      <c r="U32" s="7">
        <v>119.9</v>
      </c>
      <c r="V32" s="7">
        <v>115.3</v>
      </c>
      <c r="W32" s="7">
        <v>119.5</v>
      </c>
      <c r="X32" s="7">
        <v>116</v>
      </c>
      <c r="Y32" s="7">
        <v>111.5</v>
      </c>
      <c r="Z32" s="7">
        <v>116.6</v>
      </c>
      <c r="AA32" s="7">
        <v>125.4</v>
      </c>
      <c r="AB32" s="7">
        <v>111.7</v>
      </c>
      <c r="AC32" s="7">
        <v>116.3</v>
      </c>
      <c r="AD32" s="8">
        <v>122.4</v>
      </c>
    </row>
    <row r="33" spans="1:30" hidden="1" x14ac:dyDescent="0.3">
      <c r="A33" s="10" t="s">
        <v>32</v>
      </c>
      <c r="B33" s="5">
        <v>2015</v>
      </c>
      <c r="C33" s="5" t="s">
        <v>40</v>
      </c>
      <c r="D33" s="5">
        <v>123.1</v>
      </c>
      <c r="E33" s="5">
        <v>131.69999999999999</v>
      </c>
      <c r="F33" s="5">
        <v>118.1</v>
      </c>
      <c r="G33" s="5">
        <v>128</v>
      </c>
      <c r="H33" s="5">
        <v>106.8</v>
      </c>
      <c r="I33" s="5">
        <v>130.1</v>
      </c>
      <c r="J33" s="5">
        <v>165.5</v>
      </c>
      <c r="K33" s="5">
        <v>156</v>
      </c>
      <c r="L33" s="5">
        <v>85.3</v>
      </c>
      <c r="M33" s="5">
        <v>132.69999999999999</v>
      </c>
      <c r="N33" s="5">
        <v>118.8</v>
      </c>
      <c r="O33" s="5">
        <v>131.69999999999999</v>
      </c>
      <c r="P33" s="5">
        <v>131.1</v>
      </c>
      <c r="Q33" s="5">
        <v>134.19999999999999</v>
      </c>
      <c r="R33" s="5">
        <v>123.7</v>
      </c>
      <c r="S33" s="5">
        <v>118.2</v>
      </c>
      <c r="T33" s="5">
        <v>122.9</v>
      </c>
      <c r="U33" s="5">
        <v>120.9</v>
      </c>
      <c r="V33" s="5">
        <v>115.3</v>
      </c>
      <c r="W33" s="5">
        <v>120</v>
      </c>
      <c r="X33" s="5">
        <v>116.6</v>
      </c>
      <c r="Y33" s="5">
        <v>109.9</v>
      </c>
      <c r="Z33" s="5">
        <v>117.2</v>
      </c>
      <c r="AA33" s="5">
        <v>126.2</v>
      </c>
      <c r="AB33" s="5">
        <v>112</v>
      </c>
      <c r="AC33" s="5">
        <v>116.2</v>
      </c>
      <c r="AD33" s="6">
        <v>123.2</v>
      </c>
    </row>
    <row r="34" spans="1:30" hidden="1" x14ac:dyDescent="0.3">
      <c r="A34" s="9" t="s">
        <v>32</v>
      </c>
      <c r="B34" s="7">
        <v>2015</v>
      </c>
      <c r="C34" s="7" t="s">
        <v>41</v>
      </c>
      <c r="D34" s="7">
        <v>123.4</v>
      </c>
      <c r="E34" s="7">
        <v>129</v>
      </c>
      <c r="F34" s="7">
        <v>115.6</v>
      </c>
      <c r="G34" s="7">
        <v>128.30000000000001</v>
      </c>
      <c r="H34" s="7">
        <v>107</v>
      </c>
      <c r="I34" s="7">
        <v>124</v>
      </c>
      <c r="J34" s="7">
        <v>168.5</v>
      </c>
      <c r="K34" s="7">
        <v>165.4</v>
      </c>
      <c r="L34" s="7">
        <v>86.3</v>
      </c>
      <c r="M34" s="7">
        <v>134.4</v>
      </c>
      <c r="N34" s="7">
        <v>119.1</v>
      </c>
      <c r="O34" s="7">
        <v>132.30000000000001</v>
      </c>
      <c r="P34" s="7">
        <v>131.5</v>
      </c>
      <c r="Q34" s="7">
        <v>134.69999999999999</v>
      </c>
      <c r="R34" s="7">
        <v>124</v>
      </c>
      <c r="S34" s="7">
        <v>118.6</v>
      </c>
      <c r="T34" s="7">
        <v>123.2</v>
      </c>
      <c r="U34" s="7">
        <v>121.6</v>
      </c>
      <c r="V34" s="7">
        <v>115.1</v>
      </c>
      <c r="W34" s="7">
        <v>120.4</v>
      </c>
      <c r="X34" s="7">
        <v>117.1</v>
      </c>
      <c r="Y34" s="7">
        <v>109.1</v>
      </c>
      <c r="Z34" s="7">
        <v>117.3</v>
      </c>
      <c r="AA34" s="7">
        <v>126.5</v>
      </c>
      <c r="AB34" s="7">
        <v>112.9</v>
      </c>
      <c r="AC34" s="7">
        <v>116.2</v>
      </c>
      <c r="AD34" s="8">
        <v>123.5</v>
      </c>
    </row>
    <row r="35" spans="1:30" hidden="1" x14ac:dyDescent="0.3">
      <c r="A35" s="10" t="s">
        <v>32</v>
      </c>
      <c r="B35" s="5">
        <v>2015</v>
      </c>
      <c r="C35" s="5" t="s">
        <v>42</v>
      </c>
      <c r="D35" s="5">
        <v>123.6</v>
      </c>
      <c r="E35" s="5">
        <v>128.6</v>
      </c>
      <c r="F35" s="5">
        <v>115.9</v>
      </c>
      <c r="G35" s="5">
        <v>128.5</v>
      </c>
      <c r="H35" s="5">
        <v>109</v>
      </c>
      <c r="I35" s="5">
        <v>124.1</v>
      </c>
      <c r="J35" s="5">
        <v>165.8</v>
      </c>
      <c r="K35" s="5">
        <v>187.2</v>
      </c>
      <c r="L35" s="5">
        <v>89.4</v>
      </c>
      <c r="M35" s="5">
        <v>135.80000000000001</v>
      </c>
      <c r="N35" s="5">
        <v>119.4</v>
      </c>
      <c r="O35" s="5">
        <v>132.9</v>
      </c>
      <c r="P35" s="5">
        <v>132.6</v>
      </c>
      <c r="Q35" s="5">
        <v>135.30000000000001</v>
      </c>
      <c r="R35" s="5">
        <v>124.4</v>
      </c>
      <c r="S35" s="5">
        <v>118.8</v>
      </c>
      <c r="T35" s="5">
        <v>123.6</v>
      </c>
      <c r="U35" s="5">
        <v>122.4</v>
      </c>
      <c r="V35" s="5">
        <v>114.9</v>
      </c>
      <c r="W35" s="5">
        <v>120.7</v>
      </c>
      <c r="X35" s="5">
        <v>117.7</v>
      </c>
      <c r="Y35" s="5">
        <v>109.3</v>
      </c>
      <c r="Z35" s="5">
        <v>117.7</v>
      </c>
      <c r="AA35" s="5">
        <v>126.5</v>
      </c>
      <c r="AB35" s="5">
        <v>113.5</v>
      </c>
      <c r="AC35" s="5">
        <v>116.5</v>
      </c>
      <c r="AD35" s="6">
        <v>124.2</v>
      </c>
    </row>
    <row r="36" spans="1:30" hidden="1" x14ac:dyDescent="0.3">
      <c r="A36" s="9" t="s">
        <v>32</v>
      </c>
      <c r="B36" s="7">
        <v>2015</v>
      </c>
      <c r="C36" s="7" t="s">
        <v>43</v>
      </c>
      <c r="D36" s="7">
        <v>124</v>
      </c>
      <c r="E36" s="7">
        <v>129.80000000000001</v>
      </c>
      <c r="F36" s="7">
        <v>121.5</v>
      </c>
      <c r="G36" s="7">
        <v>128.6</v>
      </c>
      <c r="H36" s="7">
        <v>110</v>
      </c>
      <c r="I36" s="7">
        <v>123.7</v>
      </c>
      <c r="J36" s="7">
        <v>164.6</v>
      </c>
      <c r="K36" s="7">
        <v>191.6</v>
      </c>
      <c r="L36" s="7">
        <v>90.8</v>
      </c>
      <c r="M36" s="7">
        <v>137.1</v>
      </c>
      <c r="N36" s="7">
        <v>119.8</v>
      </c>
      <c r="O36" s="7">
        <v>133.69999999999999</v>
      </c>
      <c r="P36" s="7">
        <v>133.30000000000001</v>
      </c>
      <c r="Q36" s="7">
        <v>137.6</v>
      </c>
      <c r="R36" s="7">
        <v>125</v>
      </c>
      <c r="S36" s="7">
        <v>119.3</v>
      </c>
      <c r="T36" s="7">
        <v>124.2</v>
      </c>
      <c r="U36" s="7">
        <v>122.9</v>
      </c>
      <c r="V36" s="7">
        <v>115.1</v>
      </c>
      <c r="W36" s="7">
        <v>121</v>
      </c>
      <c r="X36" s="7">
        <v>118.1</v>
      </c>
      <c r="Y36" s="7">
        <v>109.3</v>
      </c>
      <c r="Z36" s="7">
        <v>117.9</v>
      </c>
      <c r="AA36" s="7">
        <v>126.6</v>
      </c>
      <c r="AB36" s="7">
        <v>113.3</v>
      </c>
      <c r="AC36" s="7">
        <v>116.6</v>
      </c>
      <c r="AD36" s="8">
        <v>124.6</v>
      </c>
    </row>
    <row r="37" spans="1:30" hidden="1" x14ac:dyDescent="0.3">
      <c r="A37" s="10" t="s">
        <v>32</v>
      </c>
      <c r="B37" s="5">
        <v>2015</v>
      </c>
      <c r="C37" s="5" t="s">
        <v>44</v>
      </c>
      <c r="D37" s="5">
        <v>124.3</v>
      </c>
      <c r="E37" s="5">
        <v>131.69999999999999</v>
      </c>
      <c r="F37" s="5">
        <v>127.1</v>
      </c>
      <c r="G37" s="5">
        <v>128.6</v>
      </c>
      <c r="H37" s="5">
        <v>110</v>
      </c>
      <c r="I37" s="5">
        <v>120.8</v>
      </c>
      <c r="J37" s="5">
        <v>149</v>
      </c>
      <c r="K37" s="5">
        <v>190.1</v>
      </c>
      <c r="L37" s="5">
        <v>92.7</v>
      </c>
      <c r="M37" s="5">
        <v>138.6</v>
      </c>
      <c r="N37" s="5">
        <v>120.2</v>
      </c>
      <c r="O37" s="5">
        <v>134.19999999999999</v>
      </c>
      <c r="P37" s="5">
        <v>131.5</v>
      </c>
      <c r="Q37" s="5">
        <v>138.19999999999999</v>
      </c>
      <c r="R37" s="5">
        <v>125.4</v>
      </c>
      <c r="S37" s="5">
        <v>119.5</v>
      </c>
      <c r="T37" s="5">
        <v>124.5</v>
      </c>
      <c r="U37" s="5">
        <v>122.4</v>
      </c>
      <c r="V37" s="5">
        <v>116</v>
      </c>
      <c r="W37" s="5">
        <v>121</v>
      </c>
      <c r="X37" s="5">
        <v>118.6</v>
      </c>
      <c r="Y37" s="5">
        <v>109.3</v>
      </c>
      <c r="Z37" s="5">
        <v>118.1</v>
      </c>
      <c r="AA37" s="5">
        <v>126.6</v>
      </c>
      <c r="AB37" s="5">
        <v>113.2</v>
      </c>
      <c r="AC37" s="5">
        <v>116.7</v>
      </c>
      <c r="AD37" s="6">
        <v>124</v>
      </c>
    </row>
    <row r="38" spans="1:30" hidden="1" x14ac:dyDescent="0.3">
      <c r="A38" s="9" t="s">
        <v>32</v>
      </c>
      <c r="B38" s="7">
        <v>2016</v>
      </c>
      <c r="C38" s="7" t="s">
        <v>31</v>
      </c>
      <c r="D38" s="7">
        <v>124.7</v>
      </c>
      <c r="E38" s="7">
        <v>135.9</v>
      </c>
      <c r="F38" s="7">
        <v>132</v>
      </c>
      <c r="G38" s="7">
        <v>129.19999999999999</v>
      </c>
      <c r="H38" s="7">
        <v>109.7</v>
      </c>
      <c r="I38" s="7">
        <v>119</v>
      </c>
      <c r="J38" s="7">
        <v>144.1</v>
      </c>
      <c r="K38" s="7">
        <v>184.2</v>
      </c>
      <c r="L38" s="7">
        <v>96.7</v>
      </c>
      <c r="M38" s="7">
        <v>139.5</v>
      </c>
      <c r="N38" s="7">
        <v>120.5</v>
      </c>
      <c r="O38" s="7">
        <v>134.69999999999999</v>
      </c>
      <c r="P38" s="7">
        <v>131.19999999999999</v>
      </c>
      <c r="Q38" s="7">
        <v>139.5</v>
      </c>
      <c r="R38" s="7">
        <v>125.8</v>
      </c>
      <c r="S38" s="7">
        <v>119.8</v>
      </c>
      <c r="T38" s="7">
        <v>124.9</v>
      </c>
      <c r="U38" s="7">
        <v>123.4</v>
      </c>
      <c r="V38" s="7">
        <v>116.9</v>
      </c>
      <c r="W38" s="7">
        <v>121.6</v>
      </c>
      <c r="X38" s="7">
        <v>119.1</v>
      </c>
      <c r="Y38" s="7">
        <v>108.9</v>
      </c>
      <c r="Z38" s="7">
        <v>118.5</v>
      </c>
      <c r="AA38" s="7">
        <v>126.4</v>
      </c>
      <c r="AB38" s="7">
        <v>114</v>
      </c>
      <c r="AC38" s="7">
        <v>116.8</v>
      </c>
      <c r="AD38" s="8">
        <v>124.2</v>
      </c>
    </row>
    <row r="39" spans="1:30" hidden="1" x14ac:dyDescent="0.3">
      <c r="A39" s="10" t="s">
        <v>32</v>
      </c>
      <c r="B39" s="5">
        <v>2016</v>
      </c>
      <c r="C39" s="5" t="s">
        <v>34</v>
      </c>
      <c r="D39" s="5">
        <v>124.8</v>
      </c>
      <c r="E39" s="5">
        <v>135.1</v>
      </c>
      <c r="F39" s="5">
        <v>130.30000000000001</v>
      </c>
      <c r="G39" s="5">
        <v>129.6</v>
      </c>
      <c r="H39" s="5">
        <v>108.4</v>
      </c>
      <c r="I39" s="5">
        <v>118.6</v>
      </c>
      <c r="J39" s="5">
        <v>129.19999999999999</v>
      </c>
      <c r="K39" s="5">
        <v>176.4</v>
      </c>
      <c r="L39" s="5">
        <v>99.1</v>
      </c>
      <c r="M39" s="5">
        <v>139.69999999999999</v>
      </c>
      <c r="N39" s="5">
        <v>120.6</v>
      </c>
      <c r="O39" s="5">
        <v>135.19999999999999</v>
      </c>
      <c r="P39" s="5">
        <v>129.1</v>
      </c>
      <c r="Q39" s="5">
        <v>140</v>
      </c>
      <c r="R39" s="5">
        <v>126.2</v>
      </c>
      <c r="S39" s="5">
        <v>120.1</v>
      </c>
      <c r="T39" s="5">
        <v>125.3</v>
      </c>
      <c r="U39" s="5">
        <v>124.4</v>
      </c>
      <c r="V39" s="5">
        <v>116</v>
      </c>
      <c r="W39" s="5">
        <v>121.8</v>
      </c>
      <c r="X39" s="5">
        <v>119.5</v>
      </c>
      <c r="Y39" s="5">
        <v>109.1</v>
      </c>
      <c r="Z39" s="5">
        <v>118.8</v>
      </c>
      <c r="AA39" s="5">
        <v>126.3</v>
      </c>
      <c r="AB39" s="5">
        <v>116.2</v>
      </c>
      <c r="AC39" s="5">
        <v>117.2</v>
      </c>
      <c r="AD39" s="6">
        <v>123.8</v>
      </c>
    </row>
    <row r="40" spans="1:30" hidden="1" x14ac:dyDescent="0.3">
      <c r="A40" s="9" t="s">
        <v>32</v>
      </c>
      <c r="B40" s="7">
        <v>2016</v>
      </c>
      <c r="C40" s="7" t="s">
        <v>35</v>
      </c>
      <c r="D40" s="7">
        <v>124.8</v>
      </c>
      <c r="E40" s="7">
        <v>136.30000000000001</v>
      </c>
      <c r="F40" s="7">
        <v>123.7</v>
      </c>
      <c r="G40" s="7">
        <v>129.69999999999999</v>
      </c>
      <c r="H40" s="7">
        <v>107.9</v>
      </c>
      <c r="I40" s="7">
        <v>119.9</v>
      </c>
      <c r="J40" s="7">
        <v>128.1</v>
      </c>
      <c r="K40" s="7">
        <v>170.3</v>
      </c>
      <c r="L40" s="7">
        <v>101.8</v>
      </c>
      <c r="M40" s="7">
        <v>140.1</v>
      </c>
      <c r="N40" s="7">
        <v>120.7</v>
      </c>
      <c r="O40" s="7">
        <v>135.4</v>
      </c>
      <c r="P40" s="7">
        <v>128.9</v>
      </c>
      <c r="Q40" s="7">
        <v>140.6</v>
      </c>
      <c r="R40" s="7">
        <v>126.4</v>
      </c>
      <c r="S40" s="7">
        <v>120.3</v>
      </c>
      <c r="T40" s="7">
        <v>125.5</v>
      </c>
      <c r="U40" s="7">
        <v>124.9</v>
      </c>
      <c r="V40" s="7">
        <v>114.8</v>
      </c>
      <c r="W40" s="7">
        <v>122.3</v>
      </c>
      <c r="X40" s="7">
        <v>119.7</v>
      </c>
      <c r="Y40" s="7">
        <v>108.5</v>
      </c>
      <c r="Z40" s="7">
        <v>119.1</v>
      </c>
      <c r="AA40" s="7">
        <v>126.4</v>
      </c>
      <c r="AB40" s="7">
        <v>117.1</v>
      </c>
      <c r="AC40" s="7">
        <v>117.3</v>
      </c>
      <c r="AD40" s="8">
        <v>123.8</v>
      </c>
    </row>
    <row r="41" spans="1:30" hidden="1" x14ac:dyDescent="0.3">
      <c r="A41" s="10" t="s">
        <v>32</v>
      </c>
      <c r="B41" s="5">
        <v>2016</v>
      </c>
      <c r="C41" s="5" t="s">
        <v>36</v>
      </c>
      <c r="D41" s="5">
        <v>124.9</v>
      </c>
      <c r="E41" s="5">
        <v>139.30000000000001</v>
      </c>
      <c r="F41" s="5">
        <v>119.9</v>
      </c>
      <c r="G41" s="5">
        <v>130.19999999999999</v>
      </c>
      <c r="H41" s="5">
        <v>108.9</v>
      </c>
      <c r="I41" s="5">
        <v>131.1</v>
      </c>
      <c r="J41" s="5">
        <v>136.80000000000001</v>
      </c>
      <c r="K41" s="5">
        <v>176.9</v>
      </c>
      <c r="L41" s="5">
        <v>109.1</v>
      </c>
      <c r="M41" s="5">
        <v>140.4</v>
      </c>
      <c r="N41" s="5">
        <v>121.1</v>
      </c>
      <c r="O41" s="5">
        <v>135.9</v>
      </c>
      <c r="P41" s="5">
        <v>131.80000000000001</v>
      </c>
      <c r="Q41" s="5">
        <v>141.5</v>
      </c>
      <c r="R41" s="5">
        <v>126.8</v>
      </c>
      <c r="S41" s="5">
        <v>120.5</v>
      </c>
      <c r="T41" s="5">
        <v>125.8</v>
      </c>
      <c r="U41" s="5">
        <v>125.6</v>
      </c>
      <c r="V41" s="5">
        <v>114.6</v>
      </c>
      <c r="W41" s="5">
        <v>122.8</v>
      </c>
      <c r="X41" s="5">
        <v>120</v>
      </c>
      <c r="Y41" s="5">
        <v>110</v>
      </c>
      <c r="Z41" s="5">
        <v>119.5</v>
      </c>
      <c r="AA41" s="5">
        <v>127.6</v>
      </c>
      <c r="AB41" s="5">
        <v>117.6</v>
      </c>
      <c r="AC41" s="5">
        <v>118.2</v>
      </c>
      <c r="AD41" s="6">
        <v>125.3</v>
      </c>
    </row>
    <row r="42" spans="1:30" hidden="1" x14ac:dyDescent="0.3">
      <c r="A42" s="9" t="s">
        <v>32</v>
      </c>
      <c r="B42" s="7">
        <v>2016</v>
      </c>
      <c r="C42" s="7" t="s">
        <v>37</v>
      </c>
      <c r="D42" s="7">
        <v>125</v>
      </c>
      <c r="E42" s="7">
        <v>142.1</v>
      </c>
      <c r="F42" s="7">
        <v>127</v>
      </c>
      <c r="G42" s="7">
        <v>130.4</v>
      </c>
      <c r="H42" s="7">
        <v>109.6</v>
      </c>
      <c r="I42" s="7">
        <v>133.5</v>
      </c>
      <c r="J42" s="7">
        <v>151.4</v>
      </c>
      <c r="K42" s="7">
        <v>182.8</v>
      </c>
      <c r="L42" s="7">
        <v>111.1</v>
      </c>
      <c r="M42" s="7">
        <v>141.5</v>
      </c>
      <c r="N42" s="7">
        <v>121.5</v>
      </c>
      <c r="O42" s="7">
        <v>136.30000000000001</v>
      </c>
      <c r="P42" s="7">
        <v>134.6</v>
      </c>
      <c r="Q42" s="7">
        <v>142.19999999999999</v>
      </c>
      <c r="R42" s="7">
        <v>127.2</v>
      </c>
      <c r="S42" s="7">
        <v>120.7</v>
      </c>
      <c r="T42" s="7">
        <v>126.2</v>
      </c>
      <c r="U42" s="7">
        <v>126</v>
      </c>
      <c r="V42" s="7">
        <v>115</v>
      </c>
      <c r="W42" s="7">
        <v>123.2</v>
      </c>
      <c r="X42" s="7">
        <v>120.3</v>
      </c>
      <c r="Y42" s="7">
        <v>110.7</v>
      </c>
      <c r="Z42" s="7">
        <v>119.8</v>
      </c>
      <c r="AA42" s="7">
        <v>128</v>
      </c>
      <c r="AB42" s="7">
        <v>118.5</v>
      </c>
      <c r="AC42" s="7">
        <v>118.7</v>
      </c>
      <c r="AD42" s="8">
        <v>126.6</v>
      </c>
    </row>
    <row r="43" spans="1:30" hidden="1" x14ac:dyDescent="0.3">
      <c r="A43" s="10" t="s">
        <v>32</v>
      </c>
      <c r="B43" s="5">
        <v>2016</v>
      </c>
      <c r="C43" s="5" t="s">
        <v>38</v>
      </c>
      <c r="D43" s="5">
        <v>125.9</v>
      </c>
      <c r="E43" s="5">
        <v>143.9</v>
      </c>
      <c r="F43" s="5">
        <v>130.9</v>
      </c>
      <c r="G43" s="5">
        <v>131</v>
      </c>
      <c r="H43" s="5">
        <v>110.2</v>
      </c>
      <c r="I43" s="5">
        <v>135.5</v>
      </c>
      <c r="J43" s="5">
        <v>173.7</v>
      </c>
      <c r="K43" s="5">
        <v>184.4</v>
      </c>
      <c r="L43" s="5">
        <v>112</v>
      </c>
      <c r="M43" s="5">
        <v>142.80000000000001</v>
      </c>
      <c r="N43" s="5">
        <v>121.6</v>
      </c>
      <c r="O43" s="5">
        <v>136.9</v>
      </c>
      <c r="P43" s="5">
        <v>138.19999999999999</v>
      </c>
      <c r="Q43" s="5">
        <v>142.69999999999999</v>
      </c>
      <c r="R43" s="5">
        <v>127.6</v>
      </c>
      <c r="S43" s="5">
        <v>121.1</v>
      </c>
      <c r="T43" s="5">
        <v>126.6</v>
      </c>
      <c r="U43" s="5">
        <v>125.5</v>
      </c>
      <c r="V43" s="5">
        <v>115.5</v>
      </c>
      <c r="W43" s="5">
        <v>123.2</v>
      </c>
      <c r="X43" s="5">
        <v>120.6</v>
      </c>
      <c r="Y43" s="5">
        <v>112.3</v>
      </c>
      <c r="Z43" s="5">
        <v>119.9</v>
      </c>
      <c r="AA43" s="5">
        <v>129.30000000000001</v>
      </c>
      <c r="AB43" s="5">
        <v>118.8</v>
      </c>
      <c r="AC43" s="5">
        <v>119.6</v>
      </c>
      <c r="AD43" s="6">
        <v>128.1</v>
      </c>
    </row>
    <row r="44" spans="1:30" hidden="1" x14ac:dyDescent="0.3">
      <c r="A44" s="9" t="s">
        <v>32</v>
      </c>
      <c r="B44" s="7">
        <v>2016</v>
      </c>
      <c r="C44" s="7" t="s">
        <v>39</v>
      </c>
      <c r="D44" s="7">
        <v>126.8</v>
      </c>
      <c r="E44" s="7">
        <v>144.19999999999999</v>
      </c>
      <c r="F44" s="7">
        <v>136.6</v>
      </c>
      <c r="G44" s="7">
        <v>131.80000000000001</v>
      </c>
      <c r="H44" s="7">
        <v>111</v>
      </c>
      <c r="I44" s="7">
        <v>137</v>
      </c>
      <c r="J44" s="7">
        <v>179.5</v>
      </c>
      <c r="K44" s="7">
        <v>188.4</v>
      </c>
      <c r="L44" s="7">
        <v>113.3</v>
      </c>
      <c r="M44" s="7">
        <v>143.9</v>
      </c>
      <c r="N44" s="7">
        <v>121.7</v>
      </c>
      <c r="O44" s="7">
        <v>137.5</v>
      </c>
      <c r="P44" s="7">
        <v>139.80000000000001</v>
      </c>
      <c r="Q44" s="7">
        <v>142.9</v>
      </c>
      <c r="R44" s="7">
        <v>127.9</v>
      </c>
      <c r="S44" s="7">
        <v>121.1</v>
      </c>
      <c r="T44" s="7">
        <v>126.9</v>
      </c>
      <c r="U44" s="7">
        <v>126.4</v>
      </c>
      <c r="V44" s="7">
        <v>115.5</v>
      </c>
      <c r="W44" s="7">
        <v>123.5</v>
      </c>
      <c r="X44" s="7">
        <v>120.9</v>
      </c>
      <c r="Y44" s="7">
        <v>111.7</v>
      </c>
      <c r="Z44" s="7">
        <v>120.3</v>
      </c>
      <c r="AA44" s="7">
        <v>130.80000000000001</v>
      </c>
      <c r="AB44" s="7">
        <v>120</v>
      </c>
      <c r="AC44" s="7">
        <v>119.9</v>
      </c>
      <c r="AD44" s="8">
        <v>129</v>
      </c>
    </row>
    <row r="45" spans="1:30" hidden="1" x14ac:dyDescent="0.3">
      <c r="A45" s="10" t="s">
        <v>32</v>
      </c>
      <c r="B45" s="5">
        <v>2016</v>
      </c>
      <c r="C45" s="5" t="s">
        <v>40</v>
      </c>
      <c r="D45" s="5">
        <v>127.6</v>
      </c>
      <c r="E45" s="5">
        <v>140.30000000000001</v>
      </c>
      <c r="F45" s="5">
        <v>133.69999999999999</v>
      </c>
      <c r="G45" s="5">
        <v>132.19999999999999</v>
      </c>
      <c r="H45" s="5">
        <v>111.8</v>
      </c>
      <c r="I45" s="5">
        <v>135.80000000000001</v>
      </c>
      <c r="J45" s="5">
        <v>163.5</v>
      </c>
      <c r="K45" s="5">
        <v>182.3</v>
      </c>
      <c r="L45" s="5">
        <v>114.6</v>
      </c>
      <c r="M45" s="5">
        <v>144.6</v>
      </c>
      <c r="N45" s="5">
        <v>121.9</v>
      </c>
      <c r="O45" s="5">
        <v>138.1</v>
      </c>
      <c r="P45" s="5">
        <v>137.6</v>
      </c>
      <c r="Q45" s="5">
        <v>143.6</v>
      </c>
      <c r="R45" s="5">
        <v>128.30000000000001</v>
      </c>
      <c r="S45" s="5">
        <v>121.4</v>
      </c>
      <c r="T45" s="5">
        <v>127.3</v>
      </c>
      <c r="U45" s="5">
        <v>127.3</v>
      </c>
      <c r="V45" s="5">
        <v>114.7</v>
      </c>
      <c r="W45" s="5">
        <v>123.9</v>
      </c>
      <c r="X45" s="5">
        <v>121.2</v>
      </c>
      <c r="Y45" s="5">
        <v>110.4</v>
      </c>
      <c r="Z45" s="5">
        <v>120.6</v>
      </c>
      <c r="AA45" s="5">
        <v>131.5</v>
      </c>
      <c r="AB45" s="5">
        <v>120.9</v>
      </c>
      <c r="AC45" s="5">
        <v>119.9</v>
      </c>
      <c r="AD45" s="6">
        <v>128.4</v>
      </c>
    </row>
    <row r="46" spans="1:30" hidden="1" x14ac:dyDescent="0.3">
      <c r="A46" s="9" t="s">
        <v>32</v>
      </c>
      <c r="B46" s="7">
        <v>2016</v>
      </c>
      <c r="C46" s="7" t="s">
        <v>41</v>
      </c>
      <c r="D46" s="7">
        <v>128.1</v>
      </c>
      <c r="E46" s="7">
        <v>137.69999999999999</v>
      </c>
      <c r="F46" s="7">
        <v>130.6</v>
      </c>
      <c r="G46" s="7">
        <v>132.6</v>
      </c>
      <c r="H46" s="7">
        <v>111.9</v>
      </c>
      <c r="I46" s="7">
        <v>132.5</v>
      </c>
      <c r="J46" s="7">
        <v>152.9</v>
      </c>
      <c r="K46" s="7">
        <v>173.6</v>
      </c>
      <c r="L46" s="7">
        <v>115.1</v>
      </c>
      <c r="M46" s="7">
        <v>144.80000000000001</v>
      </c>
      <c r="N46" s="7">
        <v>122.1</v>
      </c>
      <c r="O46" s="7">
        <v>138.80000000000001</v>
      </c>
      <c r="P46" s="7">
        <v>135.69999999999999</v>
      </c>
      <c r="Q46" s="7">
        <v>143.9</v>
      </c>
      <c r="R46" s="7">
        <v>128.69999999999999</v>
      </c>
      <c r="S46" s="7">
        <v>121.6</v>
      </c>
      <c r="T46" s="7">
        <v>127.7</v>
      </c>
      <c r="U46" s="7">
        <v>127.9</v>
      </c>
      <c r="V46" s="7">
        <v>114.8</v>
      </c>
      <c r="W46" s="7">
        <v>124.3</v>
      </c>
      <c r="X46" s="7">
        <v>121.4</v>
      </c>
      <c r="Y46" s="7">
        <v>111.8</v>
      </c>
      <c r="Z46" s="7">
        <v>120.8</v>
      </c>
      <c r="AA46" s="7">
        <v>131.6</v>
      </c>
      <c r="AB46" s="7">
        <v>121.2</v>
      </c>
      <c r="AC46" s="7">
        <v>120.5</v>
      </c>
      <c r="AD46" s="8">
        <v>128</v>
      </c>
    </row>
    <row r="47" spans="1:30" hidden="1" x14ac:dyDescent="0.3">
      <c r="A47" s="10" t="s">
        <v>32</v>
      </c>
      <c r="B47" s="5">
        <v>2016</v>
      </c>
      <c r="C47" s="5" t="s">
        <v>42</v>
      </c>
      <c r="D47" s="5">
        <v>128.69999999999999</v>
      </c>
      <c r="E47" s="5">
        <v>138.4</v>
      </c>
      <c r="F47" s="5">
        <v>130.30000000000001</v>
      </c>
      <c r="G47" s="5">
        <v>132.69999999999999</v>
      </c>
      <c r="H47" s="5">
        <v>112.5</v>
      </c>
      <c r="I47" s="5">
        <v>130.4</v>
      </c>
      <c r="J47" s="5">
        <v>155.1</v>
      </c>
      <c r="K47" s="5">
        <v>175.7</v>
      </c>
      <c r="L47" s="5">
        <v>115.4</v>
      </c>
      <c r="M47" s="5">
        <v>145.30000000000001</v>
      </c>
      <c r="N47" s="5">
        <v>122.5</v>
      </c>
      <c r="O47" s="5">
        <v>139.6</v>
      </c>
      <c r="P47" s="5">
        <v>136.30000000000001</v>
      </c>
      <c r="Q47" s="5">
        <v>144.30000000000001</v>
      </c>
      <c r="R47" s="5">
        <v>129.1</v>
      </c>
      <c r="S47" s="5">
        <v>121.9</v>
      </c>
      <c r="T47" s="5">
        <v>128</v>
      </c>
      <c r="U47" s="5">
        <v>128.69999999999999</v>
      </c>
      <c r="V47" s="5">
        <v>115.2</v>
      </c>
      <c r="W47" s="5">
        <v>124.5</v>
      </c>
      <c r="X47" s="5">
        <v>121.8</v>
      </c>
      <c r="Y47" s="5">
        <v>112.8</v>
      </c>
      <c r="Z47" s="5">
        <v>121.2</v>
      </c>
      <c r="AA47" s="5">
        <v>131.9</v>
      </c>
      <c r="AB47" s="5">
        <v>120.8</v>
      </c>
      <c r="AC47" s="5">
        <v>120.9</v>
      </c>
      <c r="AD47" s="6">
        <v>128.6</v>
      </c>
    </row>
    <row r="48" spans="1:30" hidden="1" x14ac:dyDescent="0.3">
      <c r="A48" s="9" t="s">
        <v>32</v>
      </c>
      <c r="B48" s="7">
        <v>2016</v>
      </c>
      <c r="C48" s="7" t="s">
        <v>43</v>
      </c>
      <c r="D48" s="7">
        <v>130.19999999999999</v>
      </c>
      <c r="E48" s="7">
        <v>138.5</v>
      </c>
      <c r="F48" s="7">
        <v>134.1</v>
      </c>
      <c r="G48" s="7">
        <v>132.9</v>
      </c>
      <c r="H48" s="7">
        <v>112.6</v>
      </c>
      <c r="I48" s="7">
        <v>130.80000000000001</v>
      </c>
      <c r="J48" s="7">
        <v>142</v>
      </c>
      <c r="K48" s="7">
        <v>174.9</v>
      </c>
      <c r="L48" s="7">
        <v>115.6</v>
      </c>
      <c r="M48" s="7">
        <v>145.4</v>
      </c>
      <c r="N48" s="7">
        <v>122.7</v>
      </c>
      <c r="O48" s="7">
        <v>140.30000000000001</v>
      </c>
      <c r="P48" s="7">
        <v>135.19999999999999</v>
      </c>
      <c r="Q48" s="7">
        <v>144.30000000000001</v>
      </c>
      <c r="R48" s="7">
        <v>129.6</v>
      </c>
      <c r="S48" s="7">
        <v>122.1</v>
      </c>
      <c r="T48" s="7">
        <v>128.5</v>
      </c>
      <c r="U48" s="7">
        <v>129.1</v>
      </c>
      <c r="V48" s="7">
        <v>116.2</v>
      </c>
      <c r="W48" s="7">
        <v>124.7</v>
      </c>
      <c r="X48" s="7">
        <v>122.1</v>
      </c>
      <c r="Y48" s="7">
        <v>113.4</v>
      </c>
      <c r="Z48" s="7">
        <v>121.7</v>
      </c>
      <c r="AA48" s="7">
        <v>132.1</v>
      </c>
      <c r="AB48" s="7">
        <v>121.3</v>
      </c>
      <c r="AC48" s="7">
        <v>121.3</v>
      </c>
      <c r="AD48" s="8">
        <v>128.5</v>
      </c>
    </row>
    <row r="49" spans="1:30" hidden="1" x14ac:dyDescent="0.3">
      <c r="A49" s="10" t="s">
        <v>32</v>
      </c>
      <c r="B49" s="5">
        <v>2016</v>
      </c>
      <c r="C49" s="5" t="s">
        <v>44</v>
      </c>
      <c r="D49" s="5">
        <v>131.6</v>
      </c>
      <c r="E49" s="5">
        <v>138.19999999999999</v>
      </c>
      <c r="F49" s="5">
        <v>134.9</v>
      </c>
      <c r="G49" s="5">
        <v>133.1</v>
      </c>
      <c r="H49" s="5">
        <v>113.5</v>
      </c>
      <c r="I49" s="5">
        <v>129.30000000000001</v>
      </c>
      <c r="J49" s="5">
        <v>121.1</v>
      </c>
      <c r="K49" s="5">
        <v>170.3</v>
      </c>
      <c r="L49" s="5">
        <v>115.5</v>
      </c>
      <c r="M49" s="5">
        <v>145.5</v>
      </c>
      <c r="N49" s="5">
        <v>123.1</v>
      </c>
      <c r="O49" s="5">
        <v>140.9</v>
      </c>
      <c r="P49" s="5">
        <v>132.80000000000001</v>
      </c>
      <c r="Q49" s="5">
        <v>145</v>
      </c>
      <c r="R49" s="5">
        <v>130</v>
      </c>
      <c r="S49" s="5">
        <v>122.2</v>
      </c>
      <c r="T49" s="5">
        <v>128.80000000000001</v>
      </c>
      <c r="U49" s="5">
        <v>128.5</v>
      </c>
      <c r="V49" s="5">
        <v>117.8</v>
      </c>
      <c r="W49" s="5">
        <v>125</v>
      </c>
      <c r="X49" s="5">
        <v>122.3</v>
      </c>
      <c r="Y49" s="5">
        <v>113.7</v>
      </c>
      <c r="Z49" s="5">
        <v>121.8</v>
      </c>
      <c r="AA49" s="5">
        <v>132.30000000000001</v>
      </c>
      <c r="AB49" s="5">
        <v>119.9</v>
      </c>
      <c r="AC49" s="5">
        <v>121.4</v>
      </c>
      <c r="AD49" s="6">
        <v>127.6</v>
      </c>
    </row>
    <row r="50" spans="1:30" hidden="1" x14ac:dyDescent="0.3">
      <c r="A50" s="9" t="s">
        <v>32</v>
      </c>
      <c r="B50" s="7">
        <v>2017</v>
      </c>
      <c r="C50" s="7" t="s">
        <v>31</v>
      </c>
      <c r="D50" s="7">
        <v>132.19999999999999</v>
      </c>
      <c r="E50" s="7">
        <v>138.9</v>
      </c>
      <c r="F50" s="7">
        <v>132.6</v>
      </c>
      <c r="G50" s="7">
        <v>133.1</v>
      </c>
      <c r="H50" s="7">
        <v>114</v>
      </c>
      <c r="I50" s="7">
        <v>129.6</v>
      </c>
      <c r="J50" s="7">
        <v>118.7</v>
      </c>
      <c r="K50" s="7">
        <v>155.1</v>
      </c>
      <c r="L50" s="7">
        <v>117.3</v>
      </c>
      <c r="M50" s="7">
        <v>144.9</v>
      </c>
      <c r="N50" s="7">
        <v>123.2</v>
      </c>
      <c r="O50" s="7">
        <v>141.6</v>
      </c>
      <c r="P50" s="7">
        <v>132</v>
      </c>
      <c r="Q50" s="7">
        <v>145.6</v>
      </c>
      <c r="R50" s="7">
        <v>130.19999999999999</v>
      </c>
      <c r="S50" s="7">
        <v>122.3</v>
      </c>
      <c r="T50" s="7">
        <v>129</v>
      </c>
      <c r="U50" s="7">
        <v>129.6</v>
      </c>
      <c r="V50" s="7">
        <v>118</v>
      </c>
      <c r="W50" s="7">
        <v>125.1</v>
      </c>
      <c r="X50" s="7">
        <v>122.6</v>
      </c>
      <c r="Y50" s="7">
        <v>115.2</v>
      </c>
      <c r="Z50" s="7">
        <v>122</v>
      </c>
      <c r="AA50" s="7">
        <v>132.4</v>
      </c>
      <c r="AB50" s="7">
        <v>120.9</v>
      </c>
      <c r="AC50" s="7">
        <v>122.1</v>
      </c>
      <c r="AD50" s="8">
        <v>127.8</v>
      </c>
    </row>
    <row r="51" spans="1:30" hidden="1" x14ac:dyDescent="0.3">
      <c r="A51" s="10" t="s">
        <v>32</v>
      </c>
      <c r="B51" s="5">
        <v>2017</v>
      </c>
      <c r="C51" s="5" t="s">
        <v>34</v>
      </c>
      <c r="D51" s="5">
        <v>132.80000000000001</v>
      </c>
      <c r="E51" s="5">
        <v>139.80000000000001</v>
      </c>
      <c r="F51" s="5">
        <v>129.30000000000001</v>
      </c>
      <c r="G51" s="5">
        <v>133.5</v>
      </c>
      <c r="H51" s="5">
        <v>114.3</v>
      </c>
      <c r="I51" s="5">
        <v>131.4</v>
      </c>
      <c r="J51" s="5">
        <v>120.2</v>
      </c>
      <c r="K51" s="5">
        <v>143.1</v>
      </c>
      <c r="L51" s="5">
        <v>119.5</v>
      </c>
      <c r="M51" s="5">
        <v>144</v>
      </c>
      <c r="N51" s="5">
        <v>123.4</v>
      </c>
      <c r="O51" s="5">
        <v>141.9</v>
      </c>
      <c r="P51" s="5">
        <v>132.1</v>
      </c>
      <c r="Q51" s="5">
        <v>146.30000000000001</v>
      </c>
      <c r="R51" s="5">
        <v>130.5</v>
      </c>
      <c r="S51" s="5">
        <v>122.5</v>
      </c>
      <c r="T51" s="5">
        <v>129.30000000000001</v>
      </c>
      <c r="U51" s="5">
        <v>130.5</v>
      </c>
      <c r="V51" s="5">
        <v>119.2</v>
      </c>
      <c r="W51" s="5">
        <v>125.3</v>
      </c>
      <c r="X51" s="5">
        <v>122.9</v>
      </c>
      <c r="Y51" s="5">
        <v>115.5</v>
      </c>
      <c r="Z51" s="5">
        <v>122.2</v>
      </c>
      <c r="AA51" s="5">
        <v>132.4</v>
      </c>
      <c r="AB51" s="5">
        <v>121.7</v>
      </c>
      <c r="AC51" s="5">
        <v>122.4</v>
      </c>
      <c r="AD51" s="6">
        <v>128.19999999999999</v>
      </c>
    </row>
    <row r="52" spans="1:30" hidden="1" x14ac:dyDescent="0.3">
      <c r="A52" s="9" t="s">
        <v>32</v>
      </c>
      <c r="B52" s="7">
        <v>2017</v>
      </c>
      <c r="C52" s="7" t="s">
        <v>35</v>
      </c>
      <c r="D52" s="7">
        <v>132.69999999999999</v>
      </c>
      <c r="E52" s="7">
        <v>139.4</v>
      </c>
      <c r="F52" s="7">
        <v>128.4</v>
      </c>
      <c r="G52" s="7">
        <v>134.9</v>
      </c>
      <c r="H52" s="7">
        <v>114</v>
      </c>
      <c r="I52" s="7">
        <v>136.80000000000001</v>
      </c>
      <c r="J52" s="7">
        <v>122.2</v>
      </c>
      <c r="K52" s="7">
        <v>135.80000000000001</v>
      </c>
      <c r="L52" s="7">
        <v>120.3</v>
      </c>
      <c r="M52" s="7">
        <v>142.6</v>
      </c>
      <c r="N52" s="7">
        <v>123.6</v>
      </c>
      <c r="O52" s="7">
        <v>142.4</v>
      </c>
      <c r="P52" s="7">
        <v>132.6</v>
      </c>
      <c r="Q52" s="7">
        <v>147.5</v>
      </c>
      <c r="R52" s="7">
        <v>130.80000000000001</v>
      </c>
      <c r="S52" s="7">
        <v>122.8</v>
      </c>
      <c r="T52" s="7">
        <v>129.6</v>
      </c>
      <c r="U52" s="7">
        <v>131.1</v>
      </c>
      <c r="V52" s="7">
        <v>120.8</v>
      </c>
      <c r="W52" s="7">
        <v>125.6</v>
      </c>
      <c r="X52" s="7">
        <v>123.1</v>
      </c>
      <c r="Y52" s="7">
        <v>115.6</v>
      </c>
      <c r="Z52" s="7">
        <v>122.4</v>
      </c>
      <c r="AA52" s="7">
        <v>132.80000000000001</v>
      </c>
      <c r="AB52" s="7">
        <v>121.7</v>
      </c>
      <c r="AC52" s="7">
        <v>122.6</v>
      </c>
      <c r="AD52" s="8">
        <v>128.69999999999999</v>
      </c>
    </row>
    <row r="53" spans="1:30" hidden="1" x14ac:dyDescent="0.3">
      <c r="A53" s="10" t="s">
        <v>32</v>
      </c>
      <c r="B53" s="5">
        <v>2017</v>
      </c>
      <c r="C53" s="5" t="s">
        <v>36</v>
      </c>
      <c r="D53" s="5">
        <v>132.69999999999999</v>
      </c>
      <c r="E53" s="5">
        <v>140.6</v>
      </c>
      <c r="F53" s="5">
        <v>124.5</v>
      </c>
      <c r="G53" s="5">
        <v>136.30000000000001</v>
      </c>
      <c r="H53" s="5">
        <v>113.5</v>
      </c>
      <c r="I53" s="5">
        <v>137.69999999999999</v>
      </c>
      <c r="J53" s="5">
        <v>127.1</v>
      </c>
      <c r="K53" s="5">
        <v>133.80000000000001</v>
      </c>
      <c r="L53" s="5">
        <v>120.8</v>
      </c>
      <c r="M53" s="5">
        <v>141.30000000000001</v>
      </c>
      <c r="N53" s="5">
        <v>123.8</v>
      </c>
      <c r="O53" s="5">
        <v>142.6</v>
      </c>
      <c r="P53" s="5">
        <v>133.4</v>
      </c>
      <c r="Q53" s="5">
        <v>148</v>
      </c>
      <c r="R53" s="5">
        <v>131.19999999999999</v>
      </c>
      <c r="S53" s="5">
        <v>123</v>
      </c>
      <c r="T53" s="5">
        <v>130</v>
      </c>
      <c r="U53" s="5">
        <v>131.69999999999999</v>
      </c>
      <c r="V53" s="5">
        <v>121.4</v>
      </c>
      <c r="W53" s="5">
        <v>126</v>
      </c>
      <c r="X53" s="5">
        <v>123.4</v>
      </c>
      <c r="Y53" s="5">
        <v>114.3</v>
      </c>
      <c r="Z53" s="5">
        <v>122.6</v>
      </c>
      <c r="AA53" s="5">
        <v>133.6</v>
      </c>
      <c r="AB53" s="5">
        <v>122.2</v>
      </c>
      <c r="AC53" s="5">
        <v>122.5</v>
      </c>
      <c r="AD53" s="6">
        <v>129.1</v>
      </c>
    </row>
    <row r="54" spans="1:30" hidden="1" x14ac:dyDescent="0.3">
      <c r="A54" s="9" t="s">
        <v>32</v>
      </c>
      <c r="B54" s="7">
        <v>2017</v>
      </c>
      <c r="C54" s="7" t="s">
        <v>37</v>
      </c>
      <c r="D54" s="7">
        <v>132.6</v>
      </c>
      <c r="E54" s="7">
        <v>144.1</v>
      </c>
      <c r="F54" s="7">
        <v>125.6</v>
      </c>
      <c r="G54" s="7">
        <v>136.80000000000001</v>
      </c>
      <c r="H54" s="7">
        <v>113.4</v>
      </c>
      <c r="I54" s="7">
        <v>135.19999999999999</v>
      </c>
      <c r="J54" s="7">
        <v>129.19999999999999</v>
      </c>
      <c r="K54" s="7">
        <v>131.5</v>
      </c>
      <c r="L54" s="7">
        <v>121</v>
      </c>
      <c r="M54" s="7">
        <v>139.9</v>
      </c>
      <c r="N54" s="7">
        <v>123.8</v>
      </c>
      <c r="O54" s="7">
        <v>142.9</v>
      </c>
      <c r="P54" s="7">
        <v>133.6</v>
      </c>
      <c r="Q54" s="7">
        <v>148.30000000000001</v>
      </c>
      <c r="R54" s="7">
        <v>131.5</v>
      </c>
      <c r="S54" s="7">
        <v>123.2</v>
      </c>
      <c r="T54" s="7">
        <v>130.19999999999999</v>
      </c>
      <c r="U54" s="7">
        <v>132.1</v>
      </c>
      <c r="V54" s="7">
        <v>120.1</v>
      </c>
      <c r="W54" s="7">
        <v>126.5</v>
      </c>
      <c r="X54" s="7">
        <v>123.6</v>
      </c>
      <c r="Y54" s="7">
        <v>114.3</v>
      </c>
      <c r="Z54" s="7">
        <v>122.8</v>
      </c>
      <c r="AA54" s="7">
        <v>133.80000000000001</v>
      </c>
      <c r="AB54" s="7">
        <v>122</v>
      </c>
      <c r="AC54" s="7">
        <v>122.6</v>
      </c>
      <c r="AD54" s="8">
        <v>129.30000000000001</v>
      </c>
    </row>
    <row r="55" spans="1:30" hidden="1" x14ac:dyDescent="0.3">
      <c r="A55" s="10" t="s">
        <v>32</v>
      </c>
      <c r="B55" s="5">
        <v>2017</v>
      </c>
      <c r="C55" s="5" t="s">
        <v>38</v>
      </c>
      <c r="D55" s="5">
        <v>132.9</v>
      </c>
      <c r="E55" s="5">
        <v>148.69999999999999</v>
      </c>
      <c r="F55" s="5">
        <v>128.30000000000001</v>
      </c>
      <c r="G55" s="5">
        <v>137.30000000000001</v>
      </c>
      <c r="H55" s="5">
        <v>113.5</v>
      </c>
      <c r="I55" s="5">
        <v>137.19999999999999</v>
      </c>
      <c r="J55" s="5">
        <v>142.19999999999999</v>
      </c>
      <c r="K55" s="5">
        <v>128.19999999999999</v>
      </c>
      <c r="L55" s="5">
        <v>120.9</v>
      </c>
      <c r="M55" s="5">
        <v>138.80000000000001</v>
      </c>
      <c r="N55" s="5">
        <v>124.2</v>
      </c>
      <c r="O55" s="5">
        <v>143.1</v>
      </c>
      <c r="P55" s="5">
        <v>135.69999999999999</v>
      </c>
      <c r="Q55" s="5">
        <v>148.6</v>
      </c>
      <c r="R55" s="5">
        <v>131.5</v>
      </c>
      <c r="S55" s="5">
        <v>123.2</v>
      </c>
      <c r="T55" s="5">
        <v>130.19999999999999</v>
      </c>
      <c r="U55" s="5">
        <v>131.4</v>
      </c>
      <c r="V55" s="5">
        <v>119</v>
      </c>
      <c r="W55" s="5">
        <v>126.8</v>
      </c>
      <c r="X55" s="5">
        <v>123.8</v>
      </c>
      <c r="Y55" s="5">
        <v>113.9</v>
      </c>
      <c r="Z55" s="5">
        <v>122.9</v>
      </c>
      <c r="AA55" s="5">
        <v>134.30000000000001</v>
      </c>
      <c r="AB55" s="5">
        <v>122.5</v>
      </c>
      <c r="AC55" s="5">
        <v>122.7</v>
      </c>
      <c r="AD55" s="6">
        <v>129.9</v>
      </c>
    </row>
    <row r="56" spans="1:30" hidden="1" x14ac:dyDescent="0.3">
      <c r="A56" s="9" t="s">
        <v>32</v>
      </c>
      <c r="B56" s="7">
        <v>2017</v>
      </c>
      <c r="C56" s="7" t="s">
        <v>39</v>
      </c>
      <c r="D56" s="7">
        <v>132.80000000000001</v>
      </c>
      <c r="E56" s="7">
        <v>148.4</v>
      </c>
      <c r="F56" s="7">
        <v>129.4</v>
      </c>
      <c r="G56" s="7">
        <v>137.69999999999999</v>
      </c>
      <c r="H56" s="7">
        <v>113.4</v>
      </c>
      <c r="I56" s="7">
        <v>139.4</v>
      </c>
      <c r="J56" s="7">
        <v>175.1</v>
      </c>
      <c r="K56" s="7">
        <v>124.7</v>
      </c>
      <c r="L56" s="7">
        <v>121.5</v>
      </c>
      <c r="M56" s="7">
        <v>137.80000000000001</v>
      </c>
      <c r="N56" s="7">
        <v>124.4</v>
      </c>
      <c r="O56" s="7">
        <v>143.69999999999999</v>
      </c>
      <c r="P56" s="7">
        <v>139.80000000000001</v>
      </c>
      <c r="Q56" s="7">
        <v>150.5</v>
      </c>
      <c r="R56" s="7">
        <v>131.6</v>
      </c>
      <c r="S56" s="7">
        <v>123.7</v>
      </c>
      <c r="T56" s="7">
        <v>130.4</v>
      </c>
      <c r="U56" s="7">
        <v>132.6</v>
      </c>
      <c r="V56" s="7">
        <v>119.7</v>
      </c>
      <c r="W56" s="7">
        <v>127.2</v>
      </c>
      <c r="X56" s="7">
        <v>125</v>
      </c>
      <c r="Y56" s="7">
        <v>113.2</v>
      </c>
      <c r="Z56" s="7">
        <v>123.5</v>
      </c>
      <c r="AA56" s="7">
        <v>135.5</v>
      </c>
      <c r="AB56" s="7">
        <v>122.4</v>
      </c>
      <c r="AC56" s="7">
        <v>123</v>
      </c>
      <c r="AD56" s="8">
        <v>131.80000000000001</v>
      </c>
    </row>
    <row r="57" spans="1:30" hidden="1" x14ac:dyDescent="0.3">
      <c r="A57" s="10" t="s">
        <v>32</v>
      </c>
      <c r="B57" s="5">
        <v>2017</v>
      </c>
      <c r="C57" s="5" t="s">
        <v>40</v>
      </c>
      <c r="D57" s="5">
        <v>133.19999999999999</v>
      </c>
      <c r="E57" s="5">
        <v>143.9</v>
      </c>
      <c r="F57" s="5">
        <v>128.30000000000001</v>
      </c>
      <c r="G57" s="5">
        <v>138.30000000000001</v>
      </c>
      <c r="H57" s="5">
        <v>114.1</v>
      </c>
      <c r="I57" s="5">
        <v>142.69999999999999</v>
      </c>
      <c r="J57" s="5">
        <v>179.8</v>
      </c>
      <c r="K57" s="5">
        <v>123.5</v>
      </c>
      <c r="L57" s="5">
        <v>122.1</v>
      </c>
      <c r="M57" s="5">
        <v>137.5</v>
      </c>
      <c r="N57" s="5">
        <v>124.6</v>
      </c>
      <c r="O57" s="5">
        <v>144.5</v>
      </c>
      <c r="P57" s="5">
        <v>140.5</v>
      </c>
      <c r="Q57" s="5">
        <v>152.1</v>
      </c>
      <c r="R57" s="5">
        <v>132.69999999999999</v>
      </c>
      <c r="S57" s="5">
        <v>124.3</v>
      </c>
      <c r="T57" s="5">
        <v>131.4</v>
      </c>
      <c r="U57" s="5">
        <v>134.4</v>
      </c>
      <c r="V57" s="5">
        <v>118.9</v>
      </c>
      <c r="W57" s="5">
        <v>127.7</v>
      </c>
      <c r="X57" s="5">
        <v>125.7</v>
      </c>
      <c r="Y57" s="5">
        <v>114.6</v>
      </c>
      <c r="Z57" s="5">
        <v>124.1</v>
      </c>
      <c r="AA57" s="5">
        <v>135.69999999999999</v>
      </c>
      <c r="AB57" s="5">
        <v>123.3</v>
      </c>
      <c r="AC57" s="5">
        <v>123.8</v>
      </c>
      <c r="AD57" s="6">
        <v>132.69999999999999</v>
      </c>
    </row>
    <row r="58" spans="1:30" hidden="1" x14ac:dyDescent="0.3">
      <c r="A58" s="9" t="s">
        <v>32</v>
      </c>
      <c r="B58" s="7">
        <v>2017</v>
      </c>
      <c r="C58" s="7" t="s">
        <v>41</v>
      </c>
      <c r="D58" s="7">
        <v>133.6</v>
      </c>
      <c r="E58" s="7">
        <v>143</v>
      </c>
      <c r="F58" s="7">
        <v>129.69999999999999</v>
      </c>
      <c r="G58" s="7">
        <v>138.69999999999999</v>
      </c>
      <c r="H58" s="7">
        <v>114.5</v>
      </c>
      <c r="I58" s="7">
        <v>137.5</v>
      </c>
      <c r="J58" s="7">
        <v>160.69999999999999</v>
      </c>
      <c r="K58" s="7">
        <v>124.5</v>
      </c>
      <c r="L58" s="7">
        <v>122.4</v>
      </c>
      <c r="M58" s="7">
        <v>137.30000000000001</v>
      </c>
      <c r="N58" s="7">
        <v>124.8</v>
      </c>
      <c r="O58" s="7">
        <v>145</v>
      </c>
      <c r="P58" s="7">
        <v>138</v>
      </c>
      <c r="Q58" s="7">
        <v>153.6</v>
      </c>
      <c r="R58" s="7">
        <v>133.30000000000001</v>
      </c>
      <c r="S58" s="7">
        <v>124.6</v>
      </c>
      <c r="T58" s="7">
        <v>132</v>
      </c>
      <c r="U58" s="7">
        <v>135.69999999999999</v>
      </c>
      <c r="V58" s="7">
        <v>120.6</v>
      </c>
      <c r="W58" s="7">
        <v>128.1</v>
      </c>
      <c r="X58" s="7">
        <v>126.1</v>
      </c>
      <c r="Y58" s="7">
        <v>115.7</v>
      </c>
      <c r="Z58" s="7">
        <v>124.5</v>
      </c>
      <c r="AA58" s="7">
        <v>135.9</v>
      </c>
      <c r="AB58" s="7">
        <v>124.4</v>
      </c>
      <c r="AC58" s="7">
        <v>124.5</v>
      </c>
      <c r="AD58" s="8">
        <v>132.4</v>
      </c>
    </row>
    <row r="59" spans="1:30" hidden="1" x14ac:dyDescent="0.3">
      <c r="A59" s="10" t="s">
        <v>32</v>
      </c>
      <c r="B59" s="5">
        <v>2017</v>
      </c>
      <c r="C59" s="5" t="s">
        <v>42</v>
      </c>
      <c r="D59" s="5">
        <v>133.9</v>
      </c>
      <c r="E59" s="5">
        <v>142.80000000000001</v>
      </c>
      <c r="F59" s="5">
        <v>131.4</v>
      </c>
      <c r="G59" s="5">
        <v>139.1</v>
      </c>
      <c r="H59" s="5">
        <v>114.9</v>
      </c>
      <c r="I59" s="5">
        <v>135.6</v>
      </c>
      <c r="J59" s="5">
        <v>173.2</v>
      </c>
      <c r="K59" s="5">
        <v>124.1</v>
      </c>
      <c r="L59" s="5">
        <v>122.6</v>
      </c>
      <c r="M59" s="5">
        <v>137.80000000000001</v>
      </c>
      <c r="N59" s="5">
        <v>125.1</v>
      </c>
      <c r="O59" s="5">
        <v>145.5</v>
      </c>
      <c r="P59" s="5">
        <v>139.69999999999999</v>
      </c>
      <c r="Q59" s="5">
        <v>154.6</v>
      </c>
      <c r="R59" s="5">
        <v>134</v>
      </c>
      <c r="S59" s="5">
        <v>124.9</v>
      </c>
      <c r="T59" s="5">
        <v>132.6</v>
      </c>
      <c r="U59" s="5">
        <v>137.30000000000001</v>
      </c>
      <c r="V59" s="5">
        <v>122.6</v>
      </c>
      <c r="W59" s="5">
        <v>128.30000000000001</v>
      </c>
      <c r="X59" s="5">
        <v>126.6</v>
      </c>
      <c r="Y59" s="5">
        <v>115</v>
      </c>
      <c r="Z59" s="5">
        <v>124.8</v>
      </c>
      <c r="AA59" s="5">
        <v>136.30000000000001</v>
      </c>
      <c r="AB59" s="5">
        <v>124.6</v>
      </c>
      <c r="AC59" s="5">
        <v>124.5</v>
      </c>
      <c r="AD59" s="6">
        <v>133.5</v>
      </c>
    </row>
    <row r="60" spans="1:30" hidden="1" x14ac:dyDescent="0.3">
      <c r="A60" s="9" t="s">
        <v>32</v>
      </c>
      <c r="B60" s="7">
        <v>2017</v>
      </c>
      <c r="C60" s="7" t="s">
        <v>43</v>
      </c>
      <c r="D60" s="7">
        <v>134.30000000000001</v>
      </c>
      <c r="E60" s="7">
        <v>142.1</v>
      </c>
      <c r="F60" s="7">
        <v>146.69999999999999</v>
      </c>
      <c r="G60" s="7">
        <v>139.5</v>
      </c>
      <c r="H60" s="7">
        <v>115.2</v>
      </c>
      <c r="I60" s="7">
        <v>136.4</v>
      </c>
      <c r="J60" s="7">
        <v>185.2</v>
      </c>
      <c r="K60" s="7">
        <v>122.2</v>
      </c>
      <c r="L60" s="7">
        <v>123.9</v>
      </c>
      <c r="M60" s="7">
        <v>138.30000000000001</v>
      </c>
      <c r="N60" s="7">
        <v>125.4</v>
      </c>
      <c r="O60" s="7">
        <v>146</v>
      </c>
      <c r="P60" s="7">
        <v>141.5</v>
      </c>
      <c r="Q60" s="7">
        <v>156.19999999999999</v>
      </c>
      <c r="R60" s="7">
        <v>135</v>
      </c>
      <c r="S60" s="7">
        <v>125.4</v>
      </c>
      <c r="T60" s="7">
        <v>133.5</v>
      </c>
      <c r="U60" s="7">
        <v>138.6</v>
      </c>
      <c r="V60" s="7">
        <v>125.7</v>
      </c>
      <c r="W60" s="7">
        <v>128.80000000000001</v>
      </c>
      <c r="X60" s="7">
        <v>127.4</v>
      </c>
      <c r="Y60" s="7">
        <v>115.3</v>
      </c>
      <c r="Z60" s="7">
        <v>125.1</v>
      </c>
      <c r="AA60" s="7">
        <v>136.6</v>
      </c>
      <c r="AB60" s="7">
        <v>124.9</v>
      </c>
      <c r="AC60" s="7">
        <v>124.9</v>
      </c>
      <c r="AD60" s="8">
        <v>134.80000000000001</v>
      </c>
    </row>
    <row r="61" spans="1:30" hidden="1" x14ac:dyDescent="0.3">
      <c r="A61" s="10" t="s">
        <v>32</v>
      </c>
      <c r="B61" s="5">
        <v>2017</v>
      </c>
      <c r="C61" s="5" t="s">
        <v>44</v>
      </c>
      <c r="D61" s="5">
        <v>134.4</v>
      </c>
      <c r="E61" s="5">
        <v>142.6</v>
      </c>
      <c r="F61" s="5">
        <v>145.9</v>
      </c>
      <c r="G61" s="5">
        <v>139.5</v>
      </c>
      <c r="H61" s="5">
        <v>115.9</v>
      </c>
      <c r="I61" s="5">
        <v>135</v>
      </c>
      <c r="J61" s="5">
        <v>163.19999999999999</v>
      </c>
      <c r="K61" s="5">
        <v>119.8</v>
      </c>
      <c r="L61" s="5">
        <v>120.7</v>
      </c>
      <c r="M61" s="5">
        <v>139.69999999999999</v>
      </c>
      <c r="N61" s="5">
        <v>125.7</v>
      </c>
      <c r="O61" s="5">
        <v>146.30000000000001</v>
      </c>
      <c r="P61" s="5">
        <v>138.80000000000001</v>
      </c>
      <c r="Q61" s="5">
        <v>157</v>
      </c>
      <c r="R61" s="5">
        <v>135.6</v>
      </c>
      <c r="S61" s="5">
        <v>125.6</v>
      </c>
      <c r="T61" s="5">
        <v>134</v>
      </c>
      <c r="U61" s="5">
        <v>139.1</v>
      </c>
      <c r="V61" s="5">
        <v>126.8</v>
      </c>
      <c r="W61" s="5">
        <v>129.30000000000001</v>
      </c>
      <c r="X61" s="5">
        <v>128.19999999999999</v>
      </c>
      <c r="Y61" s="5">
        <v>115.3</v>
      </c>
      <c r="Z61" s="5">
        <v>125.6</v>
      </c>
      <c r="AA61" s="5">
        <v>136.69999999999999</v>
      </c>
      <c r="AB61" s="5">
        <v>124.6</v>
      </c>
      <c r="AC61" s="5">
        <v>125.1</v>
      </c>
      <c r="AD61" s="6">
        <v>134.1</v>
      </c>
    </row>
    <row r="62" spans="1:30" hidden="1" x14ac:dyDescent="0.3">
      <c r="A62" s="9" t="s">
        <v>32</v>
      </c>
      <c r="B62" s="7">
        <v>2018</v>
      </c>
      <c r="C62" s="7" t="s">
        <v>31</v>
      </c>
      <c r="D62" s="7">
        <v>134.6</v>
      </c>
      <c r="E62" s="7">
        <v>143.69999999999999</v>
      </c>
      <c r="F62" s="7">
        <v>143.6</v>
      </c>
      <c r="G62" s="7">
        <v>139.6</v>
      </c>
      <c r="H62" s="7">
        <v>116.4</v>
      </c>
      <c r="I62" s="7">
        <v>133.80000000000001</v>
      </c>
      <c r="J62" s="7">
        <v>150.5</v>
      </c>
      <c r="K62" s="7">
        <v>118.4</v>
      </c>
      <c r="L62" s="7">
        <v>117.3</v>
      </c>
      <c r="M62" s="7">
        <v>140.5</v>
      </c>
      <c r="N62" s="7">
        <v>125.9</v>
      </c>
      <c r="O62" s="7">
        <v>146.80000000000001</v>
      </c>
      <c r="P62" s="7">
        <v>137.19999999999999</v>
      </c>
      <c r="Q62" s="7">
        <v>157.69999999999999</v>
      </c>
      <c r="R62" s="7">
        <v>136</v>
      </c>
      <c r="S62" s="7">
        <v>125.9</v>
      </c>
      <c r="T62" s="7">
        <v>134.4</v>
      </c>
      <c r="U62" s="7">
        <v>140.4</v>
      </c>
      <c r="V62" s="7">
        <v>127.3</v>
      </c>
      <c r="W62" s="7">
        <v>129.5</v>
      </c>
      <c r="X62" s="7">
        <v>129</v>
      </c>
      <c r="Y62" s="7">
        <v>116.3</v>
      </c>
      <c r="Z62" s="7">
        <v>126.2</v>
      </c>
      <c r="AA62" s="7">
        <v>137.1</v>
      </c>
      <c r="AB62" s="7">
        <v>125.5</v>
      </c>
      <c r="AC62" s="7">
        <v>125.8</v>
      </c>
      <c r="AD62" s="8">
        <v>134.1</v>
      </c>
    </row>
    <row r="63" spans="1:30" hidden="1" x14ac:dyDescent="0.3">
      <c r="A63" s="10" t="s">
        <v>32</v>
      </c>
      <c r="B63" s="5">
        <v>2018</v>
      </c>
      <c r="C63" s="5" t="s">
        <v>34</v>
      </c>
      <c r="D63" s="5">
        <v>134.80000000000001</v>
      </c>
      <c r="E63" s="5">
        <v>143</v>
      </c>
      <c r="F63" s="5">
        <v>139.9</v>
      </c>
      <c r="G63" s="5">
        <v>139.9</v>
      </c>
      <c r="H63" s="5">
        <v>116.2</v>
      </c>
      <c r="I63" s="5">
        <v>135.5</v>
      </c>
      <c r="J63" s="5">
        <v>136.9</v>
      </c>
      <c r="K63" s="5">
        <v>117</v>
      </c>
      <c r="L63" s="5">
        <v>115.4</v>
      </c>
      <c r="M63" s="5">
        <v>140.69999999999999</v>
      </c>
      <c r="N63" s="5">
        <v>125.9</v>
      </c>
      <c r="O63" s="5">
        <v>147.1</v>
      </c>
      <c r="P63" s="5">
        <v>135.6</v>
      </c>
      <c r="Q63" s="5">
        <v>159.30000000000001</v>
      </c>
      <c r="R63" s="5">
        <v>136.30000000000001</v>
      </c>
      <c r="S63" s="5">
        <v>126.1</v>
      </c>
      <c r="T63" s="5">
        <v>134.69999999999999</v>
      </c>
      <c r="U63" s="5">
        <v>141.30000000000001</v>
      </c>
      <c r="V63" s="5">
        <v>127.3</v>
      </c>
      <c r="W63" s="5">
        <v>129.9</v>
      </c>
      <c r="X63" s="5">
        <v>129.80000000000001</v>
      </c>
      <c r="Y63" s="5">
        <v>117.4</v>
      </c>
      <c r="Z63" s="5">
        <v>126.5</v>
      </c>
      <c r="AA63" s="5">
        <v>137.19999999999999</v>
      </c>
      <c r="AB63" s="5">
        <v>126.2</v>
      </c>
      <c r="AC63" s="5">
        <v>126.5</v>
      </c>
      <c r="AD63" s="6">
        <v>134</v>
      </c>
    </row>
    <row r="64" spans="1:30" hidden="1" x14ac:dyDescent="0.3">
      <c r="A64" s="9" t="s">
        <v>32</v>
      </c>
      <c r="B64" s="7">
        <v>2018</v>
      </c>
      <c r="C64" s="7" t="s">
        <v>35</v>
      </c>
      <c r="D64" s="7">
        <v>135</v>
      </c>
      <c r="E64" s="7">
        <v>143.1</v>
      </c>
      <c r="F64" s="7">
        <v>135.5</v>
      </c>
      <c r="G64" s="7">
        <v>139.9</v>
      </c>
      <c r="H64" s="7">
        <v>116.5</v>
      </c>
      <c r="I64" s="7">
        <v>138.5</v>
      </c>
      <c r="J64" s="7">
        <v>128</v>
      </c>
      <c r="K64" s="7">
        <v>115.5</v>
      </c>
      <c r="L64" s="7">
        <v>114.2</v>
      </c>
      <c r="M64" s="7">
        <v>140.69999999999999</v>
      </c>
      <c r="N64" s="7">
        <v>126.2</v>
      </c>
      <c r="O64" s="7">
        <v>147.6</v>
      </c>
      <c r="P64" s="7">
        <v>134.80000000000001</v>
      </c>
      <c r="Q64" s="7">
        <v>159.69999999999999</v>
      </c>
      <c r="R64" s="7">
        <v>136.69999999999999</v>
      </c>
      <c r="S64" s="7">
        <v>126.7</v>
      </c>
      <c r="T64" s="7">
        <v>135.19999999999999</v>
      </c>
      <c r="U64" s="7">
        <v>142</v>
      </c>
      <c r="V64" s="7">
        <v>126.4</v>
      </c>
      <c r="W64" s="7">
        <v>130.80000000000001</v>
      </c>
      <c r="X64" s="7">
        <v>130.5</v>
      </c>
      <c r="Y64" s="7">
        <v>117.8</v>
      </c>
      <c r="Z64" s="7">
        <v>126.8</v>
      </c>
      <c r="AA64" s="7">
        <v>137.80000000000001</v>
      </c>
      <c r="AB64" s="7">
        <v>126.7</v>
      </c>
      <c r="AC64" s="7">
        <v>127.1</v>
      </c>
      <c r="AD64" s="8">
        <v>134</v>
      </c>
    </row>
    <row r="65" spans="1:30" hidden="1" x14ac:dyDescent="0.3">
      <c r="A65" s="10" t="s">
        <v>32</v>
      </c>
      <c r="B65" s="5">
        <v>2018</v>
      </c>
      <c r="C65" s="5" t="s">
        <v>36</v>
      </c>
      <c r="D65" s="5">
        <v>135</v>
      </c>
      <c r="E65" s="5">
        <v>144.30000000000001</v>
      </c>
      <c r="F65" s="5">
        <v>130.80000000000001</v>
      </c>
      <c r="G65" s="5">
        <v>140.30000000000001</v>
      </c>
      <c r="H65" s="5">
        <v>116.6</v>
      </c>
      <c r="I65" s="5">
        <v>150.1</v>
      </c>
      <c r="J65" s="5">
        <v>127.6</v>
      </c>
      <c r="K65" s="5">
        <v>114</v>
      </c>
      <c r="L65" s="5">
        <v>110.6</v>
      </c>
      <c r="M65" s="5">
        <v>140.19999999999999</v>
      </c>
      <c r="N65" s="5">
        <v>126.5</v>
      </c>
      <c r="O65" s="5">
        <v>148.30000000000001</v>
      </c>
      <c r="P65" s="5">
        <v>135.69999999999999</v>
      </c>
      <c r="Q65" s="5">
        <v>159.19999999999999</v>
      </c>
      <c r="R65" s="5">
        <v>137.80000000000001</v>
      </c>
      <c r="S65" s="5">
        <v>127.4</v>
      </c>
      <c r="T65" s="5">
        <v>136.19999999999999</v>
      </c>
      <c r="U65" s="5">
        <v>142.9</v>
      </c>
      <c r="V65" s="5">
        <v>124.6</v>
      </c>
      <c r="W65" s="5">
        <v>131.80000000000001</v>
      </c>
      <c r="X65" s="5">
        <v>131.30000000000001</v>
      </c>
      <c r="Y65" s="5">
        <v>118.9</v>
      </c>
      <c r="Z65" s="5">
        <v>127.6</v>
      </c>
      <c r="AA65" s="5">
        <v>139.69999999999999</v>
      </c>
      <c r="AB65" s="5">
        <v>127.6</v>
      </c>
      <c r="AC65" s="5">
        <v>128.19999999999999</v>
      </c>
      <c r="AD65" s="6">
        <v>134.80000000000001</v>
      </c>
    </row>
    <row r="66" spans="1:30" hidden="1" x14ac:dyDescent="0.3">
      <c r="A66" s="9" t="s">
        <v>32</v>
      </c>
      <c r="B66" s="7">
        <v>2018</v>
      </c>
      <c r="C66" s="7" t="s">
        <v>37</v>
      </c>
      <c r="D66" s="7">
        <v>135</v>
      </c>
      <c r="E66" s="7">
        <v>148.19999999999999</v>
      </c>
      <c r="F66" s="7">
        <v>130.5</v>
      </c>
      <c r="G66" s="7">
        <v>140.69999999999999</v>
      </c>
      <c r="H66" s="7">
        <v>116.4</v>
      </c>
      <c r="I66" s="7">
        <v>151.30000000000001</v>
      </c>
      <c r="J66" s="7">
        <v>131.4</v>
      </c>
      <c r="K66" s="7">
        <v>112.8</v>
      </c>
      <c r="L66" s="7">
        <v>105.3</v>
      </c>
      <c r="M66" s="7">
        <v>139.6</v>
      </c>
      <c r="N66" s="7">
        <v>126.6</v>
      </c>
      <c r="O66" s="7">
        <v>148.69999999999999</v>
      </c>
      <c r="P66" s="7">
        <v>136.4</v>
      </c>
      <c r="Q66" s="7">
        <v>160.30000000000001</v>
      </c>
      <c r="R66" s="7">
        <v>138.6</v>
      </c>
      <c r="S66" s="7">
        <v>127.9</v>
      </c>
      <c r="T66" s="7">
        <v>137</v>
      </c>
      <c r="U66" s="7">
        <v>143.19999999999999</v>
      </c>
      <c r="V66" s="7">
        <v>124.7</v>
      </c>
      <c r="W66" s="7">
        <v>132.5</v>
      </c>
      <c r="X66" s="7">
        <v>132</v>
      </c>
      <c r="Y66" s="7">
        <v>119.8</v>
      </c>
      <c r="Z66" s="7">
        <v>128</v>
      </c>
      <c r="AA66" s="7">
        <v>140.4</v>
      </c>
      <c r="AB66" s="7">
        <v>128.1</v>
      </c>
      <c r="AC66" s="7">
        <v>128.9</v>
      </c>
      <c r="AD66" s="8">
        <v>135.4</v>
      </c>
    </row>
    <row r="67" spans="1:30" hidden="1" x14ac:dyDescent="0.3">
      <c r="A67" s="10" t="s">
        <v>32</v>
      </c>
      <c r="B67" s="5">
        <v>2018</v>
      </c>
      <c r="C67" s="5" t="s">
        <v>38</v>
      </c>
      <c r="D67" s="5">
        <v>135.30000000000001</v>
      </c>
      <c r="E67" s="5">
        <v>149.69999999999999</v>
      </c>
      <c r="F67" s="5">
        <v>133.9</v>
      </c>
      <c r="G67" s="5">
        <v>140.80000000000001</v>
      </c>
      <c r="H67" s="5">
        <v>116.6</v>
      </c>
      <c r="I67" s="5">
        <v>152.19999999999999</v>
      </c>
      <c r="J67" s="5">
        <v>144</v>
      </c>
      <c r="K67" s="5">
        <v>112.3</v>
      </c>
      <c r="L67" s="5">
        <v>108.4</v>
      </c>
      <c r="M67" s="5">
        <v>140</v>
      </c>
      <c r="N67" s="5">
        <v>126.7</v>
      </c>
      <c r="O67" s="5">
        <v>149</v>
      </c>
      <c r="P67" s="5">
        <v>138.4</v>
      </c>
      <c r="Q67" s="5">
        <v>161</v>
      </c>
      <c r="R67" s="5">
        <v>138.9</v>
      </c>
      <c r="S67" s="5">
        <v>128.69999999999999</v>
      </c>
      <c r="T67" s="5">
        <v>137.4</v>
      </c>
      <c r="U67" s="5">
        <v>142.5</v>
      </c>
      <c r="V67" s="5">
        <v>126.5</v>
      </c>
      <c r="W67" s="5">
        <v>133.1</v>
      </c>
      <c r="X67" s="5">
        <v>132.6</v>
      </c>
      <c r="Y67" s="5">
        <v>120.4</v>
      </c>
      <c r="Z67" s="5">
        <v>128.5</v>
      </c>
      <c r="AA67" s="5">
        <v>141.19999999999999</v>
      </c>
      <c r="AB67" s="5">
        <v>128.19999999999999</v>
      </c>
      <c r="AC67" s="5">
        <v>129.5</v>
      </c>
      <c r="AD67" s="6">
        <v>136.19999999999999</v>
      </c>
    </row>
    <row r="68" spans="1:30" hidden="1" x14ac:dyDescent="0.3">
      <c r="A68" s="9" t="s">
        <v>32</v>
      </c>
      <c r="B68" s="7">
        <v>2018</v>
      </c>
      <c r="C68" s="7" t="s">
        <v>39</v>
      </c>
      <c r="D68" s="7">
        <v>135.6</v>
      </c>
      <c r="E68" s="7">
        <v>148.6</v>
      </c>
      <c r="F68" s="7">
        <v>139.1</v>
      </c>
      <c r="G68" s="7">
        <v>141</v>
      </c>
      <c r="H68" s="7">
        <v>116.7</v>
      </c>
      <c r="I68" s="7">
        <v>149.69999999999999</v>
      </c>
      <c r="J68" s="7">
        <v>159.19999999999999</v>
      </c>
      <c r="K68" s="7">
        <v>112.6</v>
      </c>
      <c r="L68" s="7">
        <v>111.8</v>
      </c>
      <c r="M68" s="7">
        <v>140.30000000000001</v>
      </c>
      <c r="N68" s="7">
        <v>126.8</v>
      </c>
      <c r="O68" s="7">
        <v>149.4</v>
      </c>
      <c r="P68" s="7">
        <v>140.30000000000001</v>
      </c>
      <c r="Q68" s="7">
        <v>161.4</v>
      </c>
      <c r="R68" s="7">
        <v>139.6</v>
      </c>
      <c r="S68" s="7">
        <v>128.9</v>
      </c>
      <c r="T68" s="7">
        <v>137.9</v>
      </c>
      <c r="U68" s="7">
        <v>143.6</v>
      </c>
      <c r="V68" s="7">
        <v>128.1</v>
      </c>
      <c r="W68" s="7">
        <v>133.6</v>
      </c>
      <c r="X68" s="7">
        <v>133.6</v>
      </c>
      <c r="Y68" s="7">
        <v>120.1</v>
      </c>
      <c r="Z68" s="7">
        <v>129</v>
      </c>
      <c r="AA68" s="7">
        <v>144</v>
      </c>
      <c r="AB68" s="7">
        <v>128.19999999999999</v>
      </c>
      <c r="AC68" s="7">
        <v>130.19999999999999</v>
      </c>
      <c r="AD68" s="8">
        <v>137.5</v>
      </c>
    </row>
    <row r="69" spans="1:30" hidden="1" x14ac:dyDescent="0.3">
      <c r="A69" s="10" t="s">
        <v>32</v>
      </c>
      <c r="B69" s="5">
        <v>2018</v>
      </c>
      <c r="C69" s="5" t="s">
        <v>40</v>
      </c>
      <c r="D69" s="5">
        <v>136.5</v>
      </c>
      <c r="E69" s="5">
        <v>146.4</v>
      </c>
      <c r="F69" s="5">
        <v>136.6</v>
      </c>
      <c r="G69" s="5">
        <v>141.19999999999999</v>
      </c>
      <c r="H69" s="5">
        <v>117.4</v>
      </c>
      <c r="I69" s="5">
        <v>146.30000000000001</v>
      </c>
      <c r="J69" s="5">
        <v>157.30000000000001</v>
      </c>
      <c r="K69" s="5">
        <v>113.6</v>
      </c>
      <c r="L69" s="5">
        <v>113.3</v>
      </c>
      <c r="M69" s="5">
        <v>141.1</v>
      </c>
      <c r="N69" s="5">
        <v>127.4</v>
      </c>
      <c r="O69" s="5">
        <v>150.4</v>
      </c>
      <c r="P69" s="5">
        <v>140.1</v>
      </c>
      <c r="Q69" s="5">
        <v>162.1</v>
      </c>
      <c r="R69" s="5">
        <v>140</v>
      </c>
      <c r="S69" s="5">
        <v>129</v>
      </c>
      <c r="T69" s="5">
        <v>138.30000000000001</v>
      </c>
      <c r="U69" s="5">
        <v>144.6</v>
      </c>
      <c r="V69" s="5">
        <v>129.80000000000001</v>
      </c>
      <c r="W69" s="5">
        <v>134.4</v>
      </c>
      <c r="X69" s="5">
        <v>134.9</v>
      </c>
      <c r="Y69" s="5">
        <v>120.7</v>
      </c>
      <c r="Z69" s="5">
        <v>129.80000000000001</v>
      </c>
      <c r="AA69" s="5">
        <v>145.30000000000001</v>
      </c>
      <c r="AB69" s="5">
        <v>128.30000000000001</v>
      </c>
      <c r="AC69" s="5">
        <v>131</v>
      </c>
      <c r="AD69" s="6">
        <v>138</v>
      </c>
    </row>
    <row r="70" spans="1:30" hidden="1" x14ac:dyDescent="0.3">
      <c r="A70" s="9" t="s">
        <v>32</v>
      </c>
      <c r="B70" s="7">
        <v>2018</v>
      </c>
      <c r="C70" s="7" t="s">
        <v>41</v>
      </c>
      <c r="D70" s="7">
        <v>137</v>
      </c>
      <c r="E70" s="7">
        <v>143.1</v>
      </c>
      <c r="F70" s="7">
        <v>132.80000000000001</v>
      </c>
      <c r="G70" s="7">
        <v>141.5</v>
      </c>
      <c r="H70" s="7">
        <v>117.8</v>
      </c>
      <c r="I70" s="7">
        <v>140</v>
      </c>
      <c r="J70" s="7">
        <v>151.30000000000001</v>
      </c>
      <c r="K70" s="7">
        <v>113.5</v>
      </c>
      <c r="L70" s="7">
        <v>112.3</v>
      </c>
      <c r="M70" s="7">
        <v>141.19999999999999</v>
      </c>
      <c r="N70" s="7">
        <v>127.7</v>
      </c>
      <c r="O70" s="7">
        <v>151.30000000000001</v>
      </c>
      <c r="P70" s="7">
        <v>138.9</v>
      </c>
      <c r="Q70" s="7">
        <v>163.30000000000001</v>
      </c>
      <c r="R70" s="7">
        <v>140.80000000000001</v>
      </c>
      <c r="S70" s="7">
        <v>129.30000000000001</v>
      </c>
      <c r="T70" s="7">
        <v>139.1</v>
      </c>
      <c r="U70" s="7">
        <v>145.30000000000001</v>
      </c>
      <c r="V70" s="7">
        <v>131.19999999999999</v>
      </c>
      <c r="W70" s="7">
        <v>134.9</v>
      </c>
      <c r="X70" s="7">
        <v>135.69999999999999</v>
      </c>
      <c r="Y70" s="7">
        <v>122.5</v>
      </c>
      <c r="Z70" s="7">
        <v>130.19999999999999</v>
      </c>
      <c r="AA70" s="7">
        <v>145.19999999999999</v>
      </c>
      <c r="AB70" s="7">
        <v>129.30000000000001</v>
      </c>
      <c r="AC70" s="7">
        <v>131.9</v>
      </c>
      <c r="AD70" s="8">
        <v>138.1</v>
      </c>
    </row>
    <row r="71" spans="1:30" hidden="1" x14ac:dyDescent="0.3">
      <c r="A71" s="10" t="s">
        <v>32</v>
      </c>
      <c r="B71" s="5">
        <v>2018</v>
      </c>
      <c r="C71" s="5" t="s">
        <v>42</v>
      </c>
      <c r="D71" s="5">
        <v>137.6</v>
      </c>
      <c r="E71" s="5">
        <v>144.9</v>
      </c>
      <c r="F71" s="5">
        <v>133.5</v>
      </c>
      <c r="G71" s="5">
        <v>141.5</v>
      </c>
      <c r="H71" s="5">
        <v>118</v>
      </c>
      <c r="I71" s="5">
        <v>139.5</v>
      </c>
      <c r="J71" s="5">
        <v>153</v>
      </c>
      <c r="K71" s="5">
        <v>113.2</v>
      </c>
      <c r="L71" s="5">
        <v>112.8</v>
      </c>
      <c r="M71" s="5">
        <v>141.1</v>
      </c>
      <c r="N71" s="5">
        <v>127.6</v>
      </c>
      <c r="O71" s="5">
        <v>152</v>
      </c>
      <c r="P71" s="5">
        <v>139.4</v>
      </c>
      <c r="Q71" s="5">
        <v>164</v>
      </c>
      <c r="R71" s="5">
        <v>141.5</v>
      </c>
      <c r="S71" s="5">
        <v>129.80000000000001</v>
      </c>
      <c r="T71" s="5">
        <v>139.69999999999999</v>
      </c>
      <c r="U71" s="5">
        <v>146.30000000000001</v>
      </c>
      <c r="V71" s="5">
        <v>133.4</v>
      </c>
      <c r="W71" s="5">
        <v>135.1</v>
      </c>
      <c r="X71" s="5">
        <v>136.19999999999999</v>
      </c>
      <c r="Y71" s="5">
        <v>123.3</v>
      </c>
      <c r="Z71" s="5">
        <v>130.69999999999999</v>
      </c>
      <c r="AA71" s="5">
        <v>145.5</v>
      </c>
      <c r="AB71" s="5">
        <v>130.4</v>
      </c>
      <c r="AC71" s="5">
        <v>132.5</v>
      </c>
      <c r="AD71" s="6">
        <v>138.9</v>
      </c>
    </row>
    <row r="72" spans="1:30" hidden="1" x14ac:dyDescent="0.3">
      <c r="A72" s="9" t="s">
        <v>32</v>
      </c>
      <c r="B72" s="7">
        <v>2018</v>
      </c>
      <c r="C72" s="7" t="s">
        <v>43</v>
      </c>
      <c r="D72" s="7">
        <v>138.1</v>
      </c>
      <c r="E72" s="7">
        <v>146.30000000000001</v>
      </c>
      <c r="F72" s="7">
        <v>137.80000000000001</v>
      </c>
      <c r="G72" s="7">
        <v>141.6</v>
      </c>
      <c r="H72" s="7">
        <v>118.1</v>
      </c>
      <c r="I72" s="7">
        <v>141.5</v>
      </c>
      <c r="J72" s="7">
        <v>145.19999999999999</v>
      </c>
      <c r="K72" s="7">
        <v>115.3</v>
      </c>
      <c r="L72" s="7">
        <v>112.5</v>
      </c>
      <c r="M72" s="7">
        <v>141.4</v>
      </c>
      <c r="N72" s="7">
        <v>128</v>
      </c>
      <c r="O72" s="7">
        <v>152.6</v>
      </c>
      <c r="P72" s="7">
        <v>139.1</v>
      </c>
      <c r="Q72" s="7">
        <v>164.4</v>
      </c>
      <c r="R72" s="7">
        <v>142.4</v>
      </c>
      <c r="S72" s="7">
        <v>130.19999999999999</v>
      </c>
      <c r="T72" s="7">
        <v>140.5</v>
      </c>
      <c r="U72" s="7">
        <v>146.9</v>
      </c>
      <c r="V72" s="7">
        <v>136.69999999999999</v>
      </c>
      <c r="W72" s="7">
        <v>135.80000000000001</v>
      </c>
      <c r="X72" s="7">
        <v>136.80000000000001</v>
      </c>
      <c r="Y72" s="7">
        <v>121.2</v>
      </c>
      <c r="Z72" s="7">
        <v>131.30000000000001</v>
      </c>
      <c r="AA72" s="7">
        <v>146.1</v>
      </c>
      <c r="AB72" s="7">
        <v>130.5</v>
      </c>
      <c r="AC72" s="7">
        <v>132.19999999999999</v>
      </c>
      <c r="AD72" s="8">
        <v>139</v>
      </c>
    </row>
    <row r="73" spans="1:30" hidden="1" x14ac:dyDescent="0.3">
      <c r="A73" s="10" t="s">
        <v>32</v>
      </c>
      <c r="B73" s="5">
        <v>2018</v>
      </c>
      <c r="C73" s="5" t="s">
        <v>44</v>
      </c>
      <c r="D73" s="5">
        <v>138.5</v>
      </c>
      <c r="E73" s="5">
        <v>147.80000000000001</v>
      </c>
      <c r="F73" s="5">
        <v>141.1</v>
      </c>
      <c r="G73" s="5">
        <v>141.6</v>
      </c>
      <c r="H73" s="5">
        <v>118.1</v>
      </c>
      <c r="I73" s="5">
        <v>138.5</v>
      </c>
      <c r="J73" s="5">
        <v>132.4</v>
      </c>
      <c r="K73" s="5">
        <v>117.5</v>
      </c>
      <c r="L73" s="5">
        <v>111</v>
      </c>
      <c r="M73" s="5">
        <v>141.5</v>
      </c>
      <c r="N73" s="5">
        <v>128.1</v>
      </c>
      <c r="O73" s="5">
        <v>152.9</v>
      </c>
      <c r="P73" s="5">
        <v>137.6</v>
      </c>
      <c r="Q73" s="5">
        <v>164.6</v>
      </c>
      <c r="R73" s="5">
        <v>142.69999999999999</v>
      </c>
      <c r="S73" s="5">
        <v>130.30000000000001</v>
      </c>
      <c r="T73" s="5">
        <v>140.80000000000001</v>
      </c>
      <c r="U73" s="5">
        <v>146.5</v>
      </c>
      <c r="V73" s="5">
        <v>132.4</v>
      </c>
      <c r="W73" s="5">
        <v>136.19999999999999</v>
      </c>
      <c r="X73" s="5">
        <v>137.30000000000001</v>
      </c>
      <c r="Y73" s="5">
        <v>118.8</v>
      </c>
      <c r="Z73" s="5">
        <v>131.69999999999999</v>
      </c>
      <c r="AA73" s="5">
        <v>146.5</v>
      </c>
      <c r="AB73" s="5">
        <v>130.80000000000001</v>
      </c>
      <c r="AC73" s="5">
        <v>131.69999999999999</v>
      </c>
      <c r="AD73" s="6">
        <v>138</v>
      </c>
    </row>
    <row r="74" spans="1:30" hidden="1" x14ac:dyDescent="0.3">
      <c r="A74" s="9" t="s">
        <v>32</v>
      </c>
      <c r="B74" s="7">
        <v>2019</v>
      </c>
      <c r="C74" s="7" t="s">
        <v>31</v>
      </c>
      <c r="D74" s="7">
        <v>138.30000000000001</v>
      </c>
      <c r="E74" s="7">
        <v>149.4</v>
      </c>
      <c r="F74" s="7">
        <v>143.5</v>
      </c>
      <c r="G74" s="7">
        <v>141.69999999999999</v>
      </c>
      <c r="H74" s="7">
        <v>118.1</v>
      </c>
      <c r="I74" s="7">
        <v>135.19999999999999</v>
      </c>
      <c r="J74" s="7">
        <v>130.5</v>
      </c>
      <c r="K74" s="7">
        <v>118.2</v>
      </c>
      <c r="L74" s="7">
        <v>110.4</v>
      </c>
      <c r="M74" s="7">
        <v>140.4</v>
      </c>
      <c r="N74" s="7">
        <v>128.1</v>
      </c>
      <c r="O74" s="7">
        <v>153.19999999999999</v>
      </c>
      <c r="P74" s="7">
        <v>137.30000000000001</v>
      </c>
      <c r="Q74" s="7">
        <v>164.7</v>
      </c>
      <c r="R74" s="7">
        <v>143</v>
      </c>
      <c r="S74" s="7">
        <v>130.4</v>
      </c>
      <c r="T74" s="7">
        <v>141.1</v>
      </c>
      <c r="U74" s="7">
        <v>147.69999999999999</v>
      </c>
      <c r="V74" s="7">
        <v>128.6</v>
      </c>
      <c r="W74" s="7">
        <v>136.30000000000001</v>
      </c>
      <c r="X74" s="7">
        <v>137.80000000000001</v>
      </c>
      <c r="Y74" s="7">
        <v>118.6</v>
      </c>
      <c r="Z74" s="7">
        <v>131.9</v>
      </c>
      <c r="AA74" s="7">
        <v>146.6</v>
      </c>
      <c r="AB74" s="7">
        <v>131.69999999999999</v>
      </c>
      <c r="AC74" s="7">
        <v>131.80000000000001</v>
      </c>
      <c r="AD74" s="8">
        <v>138</v>
      </c>
    </row>
    <row r="75" spans="1:30" hidden="1" x14ac:dyDescent="0.3">
      <c r="A75" s="10" t="s">
        <v>32</v>
      </c>
      <c r="B75" s="5">
        <v>2019</v>
      </c>
      <c r="C75" s="5" t="s">
        <v>34</v>
      </c>
      <c r="D75" s="5">
        <v>139.4</v>
      </c>
      <c r="E75" s="5">
        <v>150.1</v>
      </c>
      <c r="F75" s="5">
        <v>145.30000000000001</v>
      </c>
      <c r="G75" s="5">
        <v>141.69999999999999</v>
      </c>
      <c r="H75" s="5">
        <v>118.4</v>
      </c>
      <c r="I75" s="5">
        <v>137</v>
      </c>
      <c r="J75" s="5">
        <v>131.6</v>
      </c>
      <c r="K75" s="5">
        <v>119.9</v>
      </c>
      <c r="L75" s="5">
        <v>110.4</v>
      </c>
      <c r="M75" s="5">
        <v>140.80000000000001</v>
      </c>
      <c r="N75" s="5">
        <v>128.30000000000001</v>
      </c>
      <c r="O75" s="5">
        <v>153.5</v>
      </c>
      <c r="P75" s="5">
        <v>138</v>
      </c>
      <c r="Q75" s="5">
        <v>164.9</v>
      </c>
      <c r="R75" s="5">
        <v>143.30000000000001</v>
      </c>
      <c r="S75" s="5">
        <v>130.80000000000001</v>
      </c>
      <c r="T75" s="5">
        <v>141.4</v>
      </c>
      <c r="U75" s="5">
        <v>148.5</v>
      </c>
      <c r="V75" s="5">
        <v>127.1</v>
      </c>
      <c r="W75" s="5">
        <v>136.6</v>
      </c>
      <c r="X75" s="5">
        <v>138.5</v>
      </c>
      <c r="Y75" s="5">
        <v>119.2</v>
      </c>
      <c r="Z75" s="5">
        <v>132.19999999999999</v>
      </c>
      <c r="AA75" s="5">
        <v>146.6</v>
      </c>
      <c r="AB75" s="5">
        <v>133</v>
      </c>
      <c r="AC75" s="5">
        <v>132.4</v>
      </c>
      <c r="AD75" s="6">
        <v>138.6</v>
      </c>
    </row>
    <row r="76" spans="1:30" hidden="1" x14ac:dyDescent="0.3">
      <c r="A76" s="9" t="s">
        <v>32</v>
      </c>
      <c r="B76" s="7">
        <v>2019</v>
      </c>
      <c r="C76" s="7" t="s">
        <v>35</v>
      </c>
      <c r="D76" s="7">
        <v>139.69999999999999</v>
      </c>
      <c r="E76" s="7">
        <v>151.1</v>
      </c>
      <c r="F76" s="7">
        <v>142.9</v>
      </c>
      <c r="G76" s="7">
        <v>141.9</v>
      </c>
      <c r="H76" s="7">
        <v>118.4</v>
      </c>
      <c r="I76" s="7">
        <v>139.4</v>
      </c>
      <c r="J76" s="7">
        <v>141.19999999999999</v>
      </c>
      <c r="K76" s="7">
        <v>120.7</v>
      </c>
      <c r="L76" s="7">
        <v>110.4</v>
      </c>
      <c r="M76" s="7">
        <v>140.69999999999999</v>
      </c>
      <c r="N76" s="7">
        <v>128.5</v>
      </c>
      <c r="O76" s="7">
        <v>153.9</v>
      </c>
      <c r="P76" s="7">
        <v>139.6</v>
      </c>
      <c r="Q76" s="7">
        <v>165.3</v>
      </c>
      <c r="R76" s="7">
        <v>143.5</v>
      </c>
      <c r="S76" s="7">
        <v>131.19999999999999</v>
      </c>
      <c r="T76" s="7">
        <v>141.6</v>
      </c>
      <c r="U76" s="7">
        <v>149</v>
      </c>
      <c r="V76" s="7">
        <v>128.80000000000001</v>
      </c>
      <c r="W76" s="7">
        <v>136.80000000000001</v>
      </c>
      <c r="X76" s="7">
        <v>139.19999999999999</v>
      </c>
      <c r="Y76" s="7">
        <v>119.9</v>
      </c>
      <c r="Z76" s="7">
        <v>133</v>
      </c>
      <c r="AA76" s="7">
        <v>146.69999999999999</v>
      </c>
      <c r="AB76" s="7">
        <v>132.5</v>
      </c>
      <c r="AC76" s="7">
        <v>132.80000000000001</v>
      </c>
      <c r="AD76" s="8">
        <v>139.5</v>
      </c>
    </row>
    <row r="77" spans="1:30" hidden="1" x14ac:dyDescent="0.3">
      <c r="A77" s="10" t="s">
        <v>32</v>
      </c>
      <c r="B77" s="5">
        <v>2019</v>
      </c>
      <c r="C77" s="5" t="s">
        <v>37</v>
      </c>
      <c r="D77" s="5">
        <v>140.4</v>
      </c>
      <c r="E77" s="5">
        <v>156.69999999999999</v>
      </c>
      <c r="F77" s="5">
        <v>138.30000000000001</v>
      </c>
      <c r="G77" s="5">
        <v>142.4</v>
      </c>
      <c r="H77" s="5">
        <v>118.6</v>
      </c>
      <c r="I77" s="5">
        <v>149.69999999999999</v>
      </c>
      <c r="J77" s="5">
        <v>161.6</v>
      </c>
      <c r="K77" s="5">
        <v>124.4</v>
      </c>
      <c r="L77" s="5">
        <v>111.2</v>
      </c>
      <c r="M77" s="5">
        <v>141</v>
      </c>
      <c r="N77" s="5">
        <v>128.9</v>
      </c>
      <c r="O77" s="5">
        <v>154.5</v>
      </c>
      <c r="P77" s="5">
        <v>143.80000000000001</v>
      </c>
      <c r="Q77" s="5">
        <v>166.2</v>
      </c>
      <c r="R77" s="5">
        <v>144</v>
      </c>
      <c r="S77" s="5">
        <v>131.69999999999999</v>
      </c>
      <c r="T77" s="5">
        <v>142.19999999999999</v>
      </c>
      <c r="U77" s="5">
        <v>150.1</v>
      </c>
      <c r="V77" s="5">
        <v>129.4</v>
      </c>
      <c r="W77" s="5">
        <v>137.19999999999999</v>
      </c>
      <c r="X77" s="5">
        <v>139.80000000000001</v>
      </c>
      <c r="Y77" s="5">
        <v>120.1</v>
      </c>
      <c r="Z77" s="5">
        <v>134</v>
      </c>
      <c r="AA77" s="5">
        <v>148</v>
      </c>
      <c r="AB77" s="5">
        <v>132.6</v>
      </c>
      <c r="AC77" s="5">
        <v>133.30000000000001</v>
      </c>
      <c r="AD77" s="6">
        <v>141.5</v>
      </c>
    </row>
    <row r="78" spans="1:30" hidden="1" x14ac:dyDescent="0.3">
      <c r="A78" s="9" t="s">
        <v>32</v>
      </c>
      <c r="B78" s="7">
        <v>2019</v>
      </c>
      <c r="C78" s="7" t="s">
        <v>38</v>
      </c>
      <c r="D78" s="7">
        <v>140.69999999999999</v>
      </c>
      <c r="E78" s="7">
        <v>159.6</v>
      </c>
      <c r="F78" s="7">
        <v>140.4</v>
      </c>
      <c r="G78" s="7">
        <v>143.4</v>
      </c>
      <c r="H78" s="7">
        <v>118.6</v>
      </c>
      <c r="I78" s="7">
        <v>150.9</v>
      </c>
      <c r="J78" s="7">
        <v>169.8</v>
      </c>
      <c r="K78" s="7">
        <v>127.4</v>
      </c>
      <c r="L78" s="7">
        <v>111.8</v>
      </c>
      <c r="M78" s="7">
        <v>141</v>
      </c>
      <c r="N78" s="7">
        <v>129</v>
      </c>
      <c r="O78" s="7">
        <v>155.1</v>
      </c>
      <c r="P78" s="7">
        <v>145.6</v>
      </c>
      <c r="Q78" s="7">
        <v>166.7</v>
      </c>
      <c r="R78" s="7">
        <v>144.30000000000001</v>
      </c>
      <c r="S78" s="7">
        <v>131.69999999999999</v>
      </c>
      <c r="T78" s="7">
        <v>142.4</v>
      </c>
      <c r="U78" s="7">
        <v>149.4</v>
      </c>
      <c r="V78" s="7">
        <v>130.5</v>
      </c>
      <c r="W78" s="7">
        <v>137.4</v>
      </c>
      <c r="X78" s="7">
        <v>140.30000000000001</v>
      </c>
      <c r="Y78" s="7">
        <v>119.6</v>
      </c>
      <c r="Z78" s="7">
        <v>134.30000000000001</v>
      </c>
      <c r="AA78" s="7">
        <v>148.9</v>
      </c>
      <c r="AB78" s="7">
        <v>133.69999999999999</v>
      </c>
      <c r="AC78" s="7">
        <v>133.6</v>
      </c>
      <c r="AD78" s="8">
        <v>142.1</v>
      </c>
    </row>
    <row r="79" spans="1:30" hidden="1" x14ac:dyDescent="0.3">
      <c r="A79" s="10" t="s">
        <v>32</v>
      </c>
      <c r="B79" s="5">
        <v>2019</v>
      </c>
      <c r="C79" s="5" t="s">
        <v>39</v>
      </c>
      <c r="D79" s="5">
        <v>141.4</v>
      </c>
      <c r="E79" s="5">
        <v>160.19999999999999</v>
      </c>
      <c r="F79" s="5">
        <v>142.5</v>
      </c>
      <c r="G79" s="5">
        <v>144.1</v>
      </c>
      <c r="H79" s="5">
        <v>119.3</v>
      </c>
      <c r="I79" s="5">
        <v>154.69999999999999</v>
      </c>
      <c r="J79" s="5">
        <v>180.1</v>
      </c>
      <c r="K79" s="5">
        <v>128.9</v>
      </c>
      <c r="L79" s="5">
        <v>111.8</v>
      </c>
      <c r="M79" s="5">
        <v>141.6</v>
      </c>
      <c r="N79" s="5">
        <v>129.5</v>
      </c>
      <c r="O79" s="5">
        <v>155.6</v>
      </c>
      <c r="P79" s="5">
        <v>147.69999999999999</v>
      </c>
      <c r="Q79" s="5">
        <v>167.2</v>
      </c>
      <c r="R79" s="5">
        <v>144.69999999999999</v>
      </c>
      <c r="S79" s="5">
        <v>131.9</v>
      </c>
      <c r="T79" s="5">
        <v>142.69999999999999</v>
      </c>
      <c r="U79" s="5">
        <v>150.6</v>
      </c>
      <c r="V79" s="5">
        <v>127</v>
      </c>
      <c r="W79" s="5">
        <v>137.69999999999999</v>
      </c>
      <c r="X79" s="5">
        <v>140.80000000000001</v>
      </c>
      <c r="Y79" s="5">
        <v>120.6</v>
      </c>
      <c r="Z79" s="5">
        <v>135</v>
      </c>
      <c r="AA79" s="5">
        <v>150.4</v>
      </c>
      <c r="AB79" s="5">
        <v>135.1</v>
      </c>
      <c r="AC79" s="5">
        <v>134.5</v>
      </c>
      <c r="AD79" s="6">
        <v>143.30000000000001</v>
      </c>
    </row>
    <row r="80" spans="1:30" hidden="1" x14ac:dyDescent="0.3">
      <c r="A80" s="9" t="s">
        <v>32</v>
      </c>
      <c r="B80" s="7">
        <v>2019</v>
      </c>
      <c r="C80" s="7" t="s">
        <v>40</v>
      </c>
      <c r="D80" s="7">
        <v>142.1</v>
      </c>
      <c r="E80" s="7">
        <v>158.30000000000001</v>
      </c>
      <c r="F80" s="7">
        <v>140.80000000000001</v>
      </c>
      <c r="G80" s="7">
        <v>144.9</v>
      </c>
      <c r="H80" s="7">
        <v>119.9</v>
      </c>
      <c r="I80" s="7">
        <v>153.9</v>
      </c>
      <c r="J80" s="7">
        <v>189.1</v>
      </c>
      <c r="K80" s="7">
        <v>129.80000000000001</v>
      </c>
      <c r="L80" s="7">
        <v>112.7</v>
      </c>
      <c r="M80" s="7">
        <v>142.5</v>
      </c>
      <c r="N80" s="7">
        <v>129.80000000000001</v>
      </c>
      <c r="O80" s="7">
        <v>156.19999999999999</v>
      </c>
      <c r="P80" s="7">
        <v>149.1</v>
      </c>
      <c r="Q80" s="7">
        <v>167.9</v>
      </c>
      <c r="R80" s="7">
        <v>145</v>
      </c>
      <c r="S80" s="7">
        <v>132.19999999999999</v>
      </c>
      <c r="T80" s="7">
        <v>143</v>
      </c>
      <c r="U80" s="7">
        <v>151.6</v>
      </c>
      <c r="V80" s="7">
        <v>125.5</v>
      </c>
      <c r="W80" s="7">
        <v>138.1</v>
      </c>
      <c r="X80" s="7">
        <v>141.5</v>
      </c>
      <c r="Y80" s="7">
        <v>120.8</v>
      </c>
      <c r="Z80" s="7">
        <v>135.4</v>
      </c>
      <c r="AA80" s="7">
        <v>151.5</v>
      </c>
      <c r="AB80" s="7">
        <v>137.80000000000001</v>
      </c>
      <c r="AC80" s="7">
        <v>135.30000000000001</v>
      </c>
      <c r="AD80" s="8">
        <v>144.19999999999999</v>
      </c>
    </row>
    <row r="81" spans="1:30" hidden="1" x14ac:dyDescent="0.3">
      <c r="A81" s="10" t="s">
        <v>32</v>
      </c>
      <c r="B81" s="5">
        <v>2019</v>
      </c>
      <c r="C81" s="5" t="s">
        <v>41</v>
      </c>
      <c r="D81" s="5">
        <v>142.69999999999999</v>
      </c>
      <c r="E81" s="5">
        <v>158.69999999999999</v>
      </c>
      <c r="F81" s="5">
        <v>141.6</v>
      </c>
      <c r="G81" s="5">
        <v>144.9</v>
      </c>
      <c r="H81" s="5">
        <v>120.8</v>
      </c>
      <c r="I81" s="5">
        <v>149.80000000000001</v>
      </c>
      <c r="J81" s="5">
        <v>192.4</v>
      </c>
      <c r="K81" s="5">
        <v>130.30000000000001</v>
      </c>
      <c r="L81" s="5">
        <v>114</v>
      </c>
      <c r="M81" s="5">
        <v>143.80000000000001</v>
      </c>
      <c r="N81" s="5">
        <v>130</v>
      </c>
      <c r="O81" s="5">
        <v>156.4</v>
      </c>
      <c r="P81" s="5">
        <v>149.5</v>
      </c>
      <c r="Q81" s="5">
        <v>168.6</v>
      </c>
      <c r="R81" s="5">
        <v>145.30000000000001</v>
      </c>
      <c r="S81" s="5">
        <v>132.19999999999999</v>
      </c>
      <c r="T81" s="5">
        <v>143.30000000000001</v>
      </c>
      <c r="U81" s="5">
        <v>152.19999999999999</v>
      </c>
      <c r="V81" s="5">
        <v>126.6</v>
      </c>
      <c r="W81" s="5">
        <v>138.30000000000001</v>
      </c>
      <c r="X81" s="5">
        <v>141.9</v>
      </c>
      <c r="Y81" s="5">
        <v>121.2</v>
      </c>
      <c r="Z81" s="5">
        <v>135.9</v>
      </c>
      <c r="AA81" s="5">
        <v>151.6</v>
      </c>
      <c r="AB81" s="5">
        <v>139</v>
      </c>
      <c r="AC81" s="5">
        <v>135.69999999999999</v>
      </c>
      <c r="AD81" s="6">
        <v>144.69999999999999</v>
      </c>
    </row>
    <row r="82" spans="1:30" hidden="1" x14ac:dyDescent="0.3">
      <c r="A82" s="9" t="s">
        <v>32</v>
      </c>
      <c r="B82" s="7">
        <v>2019</v>
      </c>
      <c r="C82" s="7" t="s">
        <v>42</v>
      </c>
      <c r="D82" s="7">
        <v>143.5</v>
      </c>
      <c r="E82" s="7">
        <v>159.80000000000001</v>
      </c>
      <c r="F82" s="7">
        <v>144.69999999999999</v>
      </c>
      <c r="G82" s="7">
        <v>145.6</v>
      </c>
      <c r="H82" s="7">
        <v>121.1</v>
      </c>
      <c r="I82" s="7">
        <v>150.6</v>
      </c>
      <c r="J82" s="7">
        <v>207.2</v>
      </c>
      <c r="K82" s="7">
        <v>131.19999999999999</v>
      </c>
      <c r="L82" s="7">
        <v>114.8</v>
      </c>
      <c r="M82" s="7">
        <v>145.19999999999999</v>
      </c>
      <c r="N82" s="7">
        <v>130.19999999999999</v>
      </c>
      <c r="O82" s="7">
        <v>156.80000000000001</v>
      </c>
      <c r="P82" s="7">
        <v>151.9</v>
      </c>
      <c r="Q82" s="7">
        <v>169.3</v>
      </c>
      <c r="R82" s="7">
        <v>145.9</v>
      </c>
      <c r="S82" s="7">
        <v>132.4</v>
      </c>
      <c r="T82" s="7">
        <v>143.9</v>
      </c>
      <c r="U82" s="7">
        <v>153</v>
      </c>
      <c r="V82" s="7">
        <v>128.9</v>
      </c>
      <c r="W82" s="7">
        <v>138.69999999999999</v>
      </c>
      <c r="X82" s="7">
        <v>142.4</v>
      </c>
      <c r="Y82" s="7">
        <v>121.5</v>
      </c>
      <c r="Z82" s="7">
        <v>136.19999999999999</v>
      </c>
      <c r="AA82" s="7">
        <v>151.69999999999999</v>
      </c>
      <c r="AB82" s="7">
        <v>139.5</v>
      </c>
      <c r="AC82" s="7">
        <v>136</v>
      </c>
      <c r="AD82" s="8">
        <v>146</v>
      </c>
    </row>
    <row r="83" spans="1:30" hidden="1" x14ac:dyDescent="0.3">
      <c r="A83" s="10" t="s">
        <v>32</v>
      </c>
      <c r="B83" s="5">
        <v>2019</v>
      </c>
      <c r="C83" s="5" t="s">
        <v>43</v>
      </c>
      <c r="D83" s="5">
        <v>144.1</v>
      </c>
      <c r="E83" s="5">
        <v>162.4</v>
      </c>
      <c r="F83" s="5">
        <v>148.4</v>
      </c>
      <c r="G83" s="5">
        <v>145.9</v>
      </c>
      <c r="H83" s="5">
        <v>121.5</v>
      </c>
      <c r="I83" s="5">
        <v>148.80000000000001</v>
      </c>
      <c r="J83" s="5">
        <v>215.7</v>
      </c>
      <c r="K83" s="5">
        <v>134.6</v>
      </c>
      <c r="L83" s="5">
        <v>115</v>
      </c>
      <c r="M83" s="5">
        <v>146.30000000000001</v>
      </c>
      <c r="N83" s="5">
        <v>130.5</v>
      </c>
      <c r="O83" s="5">
        <v>157.19999999999999</v>
      </c>
      <c r="P83" s="5">
        <v>153.6</v>
      </c>
      <c r="Q83" s="5">
        <v>169.9</v>
      </c>
      <c r="R83" s="5">
        <v>146.30000000000001</v>
      </c>
      <c r="S83" s="5">
        <v>132.6</v>
      </c>
      <c r="T83" s="5">
        <v>144.19999999999999</v>
      </c>
      <c r="U83" s="5">
        <v>153.5</v>
      </c>
      <c r="V83" s="5">
        <v>132.19999999999999</v>
      </c>
      <c r="W83" s="5">
        <v>139.1</v>
      </c>
      <c r="X83" s="5">
        <v>142.80000000000001</v>
      </c>
      <c r="Y83" s="5">
        <v>121.7</v>
      </c>
      <c r="Z83" s="5">
        <v>136.69999999999999</v>
      </c>
      <c r="AA83" s="5">
        <v>151.80000000000001</v>
      </c>
      <c r="AB83" s="5">
        <v>139.80000000000001</v>
      </c>
      <c r="AC83" s="5">
        <v>136.30000000000001</v>
      </c>
      <c r="AD83" s="6">
        <v>147</v>
      </c>
    </row>
    <row r="84" spans="1:30" hidden="1" x14ac:dyDescent="0.3">
      <c r="A84" s="9" t="s">
        <v>32</v>
      </c>
      <c r="B84" s="7">
        <v>2019</v>
      </c>
      <c r="C84" s="7" t="s">
        <v>44</v>
      </c>
      <c r="D84" s="7">
        <v>144.9</v>
      </c>
      <c r="E84" s="7">
        <v>164.5</v>
      </c>
      <c r="F84" s="7">
        <v>153.69999999999999</v>
      </c>
      <c r="G84" s="7">
        <v>147.5</v>
      </c>
      <c r="H84" s="7">
        <v>122.7</v>
      </c>
      <c r="I84" s="7">
        <v>147.19999999999999</v>
      </c>
      <c r="J84" s="7">
        <v>231.5</v>
      </c>
      <c r="K84" s="7">
        <v>137.19999999999999</v>
      </c>
      <c r="L84" s="7">
        <v>114.7</v>
      </c>
      <c r="M84" s="7">
        <v>148</v>
      </c>
      <c r="N84" s="7">
        <v>130.80000000000001</v>
      </c>
      <c r="O84" s="7">
        <v>157.69999999999999</v>
      </c>
      <c r="P84" s="7">
        <v>156.30000000000001</v>
      </c>
      <c r="Q84" s="7">
        <v>170.4</v>
      </c>
      <c r="R84" s="7">
        <v>146.80000000000001</v>
      </c>
      <c r="S84" s="7">
        <v>132.80000000000001</v>
      </c>
      <c r="T84" s="7">
        <v>144.6</v>
      </c>
      <c r="U84" s="7">
        <v>152.80000000000001</v>
      </c>
      <c r="V84" s="7">
        <v>133.6</v>
      </c>
      <c r="W84" s="7">
        <v>139.80000000000001</v>
      </c>
      <c r="X84" s="7">
        <v>143.19999999999999</v>
      </c>
      <c r="Y84" s="7">
        <v>125.2</v>
      </c>
      <c r="Z84" s="7">
        <v>136.80000000000001</v>
      </c>
      <c r="AA84" s="7">
        <v>151.9</v>
      </c>
      <c r="AB84" s="7">
        <v>140.19999999999999</v>
      </c>
      <c r="AC84" s="7">
        <v>137.69999999999999</v>
      </c>
      <c r="AD84" s="8">
        <v>148.30000000000001</v>
      </c>
    </row>
    <row r="85" spans="1:30" x14ac:dyDescent="0.3">
      <c r="A85" s="10" t="s">
        <v>32</v>
      </c>
      <c r="B85" s="5">
        <v>2020</v>
      </c>
      <c r="C85" s="5" t="s">
        <v>31</v>
      </c>
      <c r="D85" s="5">
        <v>145.6</v>
      </c>
      <c r="E85" s="5">
        <v>167.6</v>
      </c>
      <c r="F85" s="5">
        <v>157</v>
      </c>
      <c r="G85" s="5">
        <v>149.30000000000001</v>
      </c>
      <c r="H85" s="5">
        <v>126.3</v>
      </c>
      <c r="I85" s="5">
        <v>144.4</v>
      </c>
      <c r="J85" s="5">
        <v>207.8</v>
      </c>
      <c r="K85" s="5">
        <v>139.1</v>
      </c>
      <c r="L85" s="5">
        <v>114.8</v>
      </c>
      <c r="M85" s="5">
        <v>149.5</v>
      </c>
      <c r="N85" s="5">
        <v>131.1</v>
      </c>
      <c r="O85" s="5">
        <v>158.5</v>
      </c>
      <c r="P85" s="5">
        <v>154.4</v>
      </c>
      <c r="Q85" s="5">
        <v>170.8</v>
      </c>
      <c r="R85" s="5">
        <v>147</v>
      </c>
      <c r="S85" s="5">
        <v>133.19999999999999</v>
      </c>
      <c r="T85" s="5">
        <v>144.9</v>
      </c>
      <c r="U85" s="5">
        <v>153.9</v>
      </c>
      <c r="V85" s="5">
        <v>135.1</v>
      </c>
      <c r="W85" s="5">
        <v>140.1</v>
      </c>
      <c r="X85" s="5">
        <v>143.80000000000001</v>
      </c>
      <c r="Y85" s="5">
        <v>126.1</v>
      </c>
      <c r="Z85" s="5">
        <v>137.19999999999999</v>
      </c>
      <c r="AA85" s="5">
        <v>152.1</v>
      </c>
      <c r="AB85" s="5">
        <v>142.1</v>
      </c>
      <c r="AC85" s="5">
        <v>138.4</v>
      </c>
      <c r="AD85" s="6">
        <v>148.19999999999999</v>
      </c>
    </row>
    <row r="86" spans="1:30" x14ac:dyDescent="0.3">
      <c r="A86" s="9" t="s">
        <v>32</v>
      </c>
      <c r="B86" s="7">
        <v>2020</v>
      </c>
      <c r="C86" s="7" t="s">
        <v>34</v>
      </c>
      <c r="D86" s="7">
        <v>146.19999999999999</v>
      </c>
      <c r="E86" s="7">
        <v>167.6</v>
      </c>
      <c r="F86" s="7">
        <v>153.1</v>
      </c>
      <c r="G86" s="7">
        <v>150.69999999999999</v>
      </c>
      <c r="H86" s="7">
        <v>127.4</v>
      </c>
      <c r="I86" s="7">
        <v>143.1</v>
      </c>
      <c r="J86" s="7">
        <v>181.7</v>
      </c>
      <c r="K86" s="7">
        <v>139.6</v>
      </c>
      <c r="L86" s="7">
        <v>114.6</v>
      </c>
      <c r="M86" s="7">
        <v>150.4</v>
      </c>
      <c r="N86" s="7">
        <v>131.5</v>
      </c>
      <c r="O86" s="7">
        <v>159</v>
      </c>
      <c r="P86" s="7">
        <v>151.69999999999999</v>
      </c>
      <c r="Q86" s="7">
        <v>172</v>
      </c>
      <c r="R86" s="7">
        <v>147.30000000000001</v>
      </c>
      <c r="S86" s="7">
        <v>133.5</v>
      </c>
      <c r="T86" s="7">
        <v>145.19999999999999</v>
      </c>
      <c r="U86" s="7">
        <v>154.80000000000001</v>
      </c>
      <c r="V86" s="7">
        <v>138.9</v>
      </c>
      <c r="W86" s="7">
        <v>140.4</v>
      </c>
      <c r="X86" s="7">
        <v>144.4</v>
      </c>
      <c r="Y86" s="7">
        <v>125.2</v>
      </c>
      <c r="Z86" s="7">
        <v>137.69999999999999</v>
      </c>
      <c r="AA86" s="7">
        <v>152.19999999999999</v>
      </c>
      <c r="AB86" s="7">
        <v>143.5</v>
      </c>
      <c r="AC86" s="7">
        <v>138.4</v>
      </c>
      <c r="AD86" s="8">
        <v>147.69999999999999</v>
      </c>
    </row>
    <row r="87" spans="1:30" x14ac:dyDescent="0.3">
      <c r="A87" s="10" t="s">
        <v>32</v>
      </c>
      <c r="B87" s="5">
        <v>2020</v>
      </c>
      <c r="C87" s="5" t="s">
        <v>35</v>
      </c>
      <c r="D87" s="5">
        <v>146.5</v>
      </c>
      <c r="E87" s="5">
        <v>167.5</v>
      </c>
      <c r="F87" s="5">
        <v>148.9</v>
      </c>
      <c r="G87" s="5">
        <v>151.1</v>
      </c>
      <c r="H87" s="5">
        <v>127.5</v>
      </c>
      <c r="I87" s="5">
        <v>143.30000000000001</v>
      </c>
      <c r="J87" s="5">
        <v>167</v>
      </c>
      <c r="K87" s="5">
        <v>139.69999999999999</v>
      </c>
      <c r="L87" s="5">
        <v>114.4</v>
      </c>
      <c r="M87" s="5">
        <v>151.5</v>
      </c>
      <c r="N87" s="5">
        <v>131.9</v>
      </c>
      <c r="O87" s="5">
        <v>159.1</v>
      </c>
      <c r="P87" s="5">
        <v>150.1</v>
      </c>
      <c r="Q87" s="5">
        <v>173.3</v>
      </c>
      <c r="R87" s="5">
        <v>147.69999999999999</v>
      </c>
      <c r="S87" s="5">
        <v>133.80000000000001</v>
      </c>
      <c r="T87" s="5">
        <v>145.6</v>
      </c>
      <c r="U87" s="5">
        <v>154.5</v>
      </c>
      <c r="V87" s="5">
        <v>141.4</v>
      </c>
      <c r="W87" s="5">
        <v>140.80000000000001</v>
      </c>
      <c r="X87" s="5">
        <v>145</v>
      </c>
      <c r="Y87" s="5">
        <v>124.6</v>
      </c>
      <c r="Z87" s="5">
        <v>137.9</v>
      </c>
      <c r="AA87" s="5">
        <v>152.5</v>
      </c>
      <c r="AB87" s="5">
        <v>145.30000000000001</v>
      </c>
      <c r="AC87" s="5">
        <v>138.69999999999999</v>
      </c>
      <c r="AD87" s="6">
        <v>147.30000000000001</v>
      </c>
    </row>
    <row r="88" spans="1:30" x14ac:dyDescent="0.3">
      <c r="A88" s="9" t="s">
        <v>32</v>
      </c>
      <c r="B88" s="7">
        <v>2020</v>
      </c>
      <c r="C88" s="7" t="s">
        <v>36</v>
      </c>
      <c r="D88" s="7">
        <v>151.80000000000001</v>
      </c>
      <c r="E88" s="12">
        <v>182.41666666666666</v>
      </c>
      <c r="F88" s="7">
        <v>151.9</v>
      </c>
      <c r="G88" s="7">
        <v>155.5</v>
      </c>
      <c r="H88" s="7">
        <v>131.6</v>
      </c>
      <c r="I88" s="7">
        <v>152.9</v>
      </c>
      <c r="J88" s="7">
        <v>180</v>
      </c>
      <c r="K88" s="7">
        <v>150.80000000000001</v>
      </c>
      <c r="L88" s="7">
        <v>121.2</v>
      </c>
      <c r="M88" s="7">
        <v>154</v>
      </c>
      <c r="N88" s="7">
        <v>133.5</v>
      </c>
      <c r="O88" s="12">
        <v>160.54999999999998</v>
      </c>
      <c r="P88" s="7">
        <v>153.5</v>
      </c>
      <c r="Q88" s="12">
        <v>179.45000000000002</v>
      </c>
      <c r="R88" s="12">
        <v>148.36666666666667</v>
      </c>
      <c r="S88" s="12">
        <v>134.81666666666669</v>
      </c>
      <c r="T88" s="12">
        <v>146.31666666666663</v>
      </c>
      <c r="U88" s="7">
        <v>155.6</v>
      </c>
      <c r="V88" s="7">
        <v>137.1</v>
      </c>
      <c r="W88" s="12">
        <v>141.1</v>
      </c>
      <c r="X88" s="7">
        <v>144.80000000000001</v>
      </c>
      <c r="Y88" s="12">
        <v>128.06666666666666</v>
      </c>
      <c r="Z88" s="12">
        <v>140.5</v>
      </c>
      <c r="AA88" s="12">
        <v>152.88333333333333</v>
      </c>
      <c r="AB88" s="12">
        <v>148.41666666666666</v>
      </c>
      <c r="AC88" s="12">
        <v>140.71666666666667</v>
      </c>
      <c r="AD88" s="13">
        <v>149.61666666666665</v>
      </c>
    </row>
    <row r="89" spans="1:30" x14ac:dyDescent="0.3">
      <c r="A89" s="10" t="s">
        <v>32</v>
      </c>
      <c r="B89" s="5">
        <v>2020</v>
      </c>
      <c r="C89" s="5" t="s">
        <v>37</v>
      </c>
      <c r="D89" s="11">
        <v>150.25000000000003</v>
      </c>
      <c r="E89" s="11">
        <v>184.88611111111109</v>
      </c>
      <c r="F89" s="11">
        <v>152.93333333333334</v>
      </c>
      <c r="G89" s="11">
        <v>152.91666666666666</v>
      </c>
      <c r="H89" s="11">
        <v>130.94999999999999</v>
      </c>
      <c r="I89" s="11">
        <v>149.56666666666669</v>
      </c>
      <c r="J89" s="11">
        <v>177.16666666666671</v>
      </c>
      <c r="K89" s="11">
        <v>147.56666666666669</v>
      </c>
      <c r="L89" s="11">
        <v>116.60000000000001</v>
      </c>
      <c r="M89" s="11">
        <v>155.58333333333334</v>
      </c>
      <c r="N89" s="11">
        <v>134.1</v>
      </c>
      <c r="O89" s="11">
        <v>160.89166666666665</v>
      </c>
      <c r="P89" s="11">
        <v>154.86666666666665</v>
      </c>
      <c r="Q89" s="11">
        <v>180.89166666666668</v>
      </c>
      <c r="R89" s="11">
        <v>148.59444444444446</v>
      </c>
      <c r="S89" s="11">
        <v>135.08611111111111</v>
      </c>
      <c r="T89" s="11">
        <v>146.55277777777778</v>
      </c>
      <c r="U89" s="5">
        <v>0</v>
      </c>
      <c r="V89" s="11">
        <v>138.31666666666669</v>
      </c>
      <c r="W89" s="11">
        <v>141.26666666666665</v>
      </c>
      <c r="X89" s="11">
        <v>146.51666666666668</v>
      </c>
      <c r="Y89" s="11">
        <v>128.39444444444445</v>
      </c>
      <c r="Z89" s="11">
        <v>141.04999999999998</v>
      </c>
      <c r="AA89" s="11">
        <v>153.01388888888889</v>
      </c>
      <c r="AB89" s="11">
        <v>149.46944444444446</v>
      </c>
      <c r="AC89" s="11">
        <v>141.10277777777776</v>
      </c>
      <c r="AD89" s="14">
        <v>149.85277777777779</v>
      </c>
    </row>
    <row r="90" spans="1:30" x14ac:dyDescent="0.3">
      <c r="A90" s="9" t="s">
        <v>32</v>
      </c>
      <c r="B90" s="7">
        <v>2020</v>
      </c>
      <c r="C90" s="7" t="s">
        <v>38</v>
      </c>
      <c r="D90" s="7">
        <v>152.69999999999999</v>
      </c>
      <c r="E90" s="7">
        <v>197</v>
      </c>
      <c r="F90" s="7">
        <v>154.6</v>
      </c>
      <c r="G90" s="7">
        <v>153.4</v>
      </c>
      <c r="H90" s="7">
        <v>132.9</v>
      </c>
      <c r="I90" s="7">
        <v>151.80000000000001</v>
      </c>
      <c r="J90" s="7">
        <v>171.2</v>
      </c>
      <c r="K90" s="7">
        <v>152</v>
      </c>
      <c r="L90" s="7">
        <v>116.3</v>
      </c>
      <c r="M90" s="7">
        <v>158.80000000000001</v>
      </c>
      <c r="N90" s="7">
        <v>135.6</v>
      </c>
      <c r="O90" s="7">
        <v>161.69999999999999</v>
      </c>
      <c r="P90" s="7">
        <v>157</v>
      </c>
      <c r="Q90" s="7">
        <v>186.7</v>
      </c>
      <c r="R90" s="7">
        <v>149.1</v>
      </c>
      <c r="S90" s="7">
        <v>136.6</v>
      </c>
      <c r="T90" s="7">
        <v>147.19999999999999</v>
      </c>
      <c r="U90" s="7">
        <v>154.69999999999999</v>
      </c>
      <c r="V90" s="7">
        <v>137.1</v>
      </c>
      <c r="W90" s="7">
        <v>140.4</v>
      </c>
      <c r="X90" s="7">
        <v>148.1</v>
      </c>
      <c r="Y90" s="7">
        <v>129.30000000000001</v>
      </c>
      <c r="Z90" s="7">
        <v>144.5</v>
      </c>
      <c r="AA90" s="7">
        <v>152.5</v>
      </c>
      <c r="AB90" s="7">
        <v>152.19999999999999</v>
      </c>
      <c r="AC90" s="7">
        <v>142</v>
      </c>
      <c r="AD90" s="8">
        <v>150.80000000000001</v>
      </c>
    </row>
    <row r="91" spans="1:30" x14ac:dyDescent="0.3">
      <c r="A91" s="10" t="s">
        <v>32</v>
      </c>
      <c r="B91" s="5">
        <v>2020</v>
      </c>
      <c r="C91" s="5" t="s">
        <v>39</v>
      </c>
      <c r="D91" s="5">
        <v>152.69999999999999</v>
      </c>
      <c r="E91" s="5">
        <v>197</v>
      </c>
      <c r="F91" s="5">
        <v>154.6</v>
      </c>
      <c r="G91" s="5">
        <v>153.4</v>
      </c>
      <c r="H91" s="5">
        <v>132.9</v>
      </c>
      <c r="I91" s="5">
        <v>151.80000000000001</v>
      </c>
      <c r="J91" s="5">
        <v>171.2</v>
      </c>
      <c r="K91" s="5">
        <v>152</v>
      </c>
      <c r="L91" s="5">
        <v>116.3</v>
      </c>
      <c r="M91" s="5">
        <v>158.80000000000001</v>
      </c>
      <c r="N91" s="5">
        <v>135.6</v>
      </c>
      <c r="O91" s="5">
        <v>161.69999999999999</v>
      </c>
      <c r="P91" s="5">
        <v>157</v>
      </c>
      <c r="Q91" s="5">
        <v>186.7</v>
      </c>
      <c r="R91" s="5">
        <v>149.1</v>
      </c>
      <c r="S91" s="5">
        <v>136.6</v>
      </c>
      <c r="T91" s="5">
        <v>147.19999999999999</v>
      </c>
      <c r="U91" s="5">
        <v>154.69999999999999</v>
      </c>
      <c r="V91" s="5">
        <v>137.1</v>
      </c>
      <c r="W91" s="5">
        <v>140.4</v>
      </c>
      <c r="X91" s="5">
        <v>148.1</v>
      </c>
      <c r="Y91" s="5">
        <v>129.30000000000001</v>
      </c>
      <c r="Z91" s="5">
        <v>144.5</v>
      </c>
      <c r="AA91" s="5">
        <v>152.5</v>
      </c>
      <c r="AB91" s="5">
        <v>152.19999999999999</v>
      </c>
      <c r="AC91" s="5">
        <v>142</v>
      </c>
      <c r="AD91" s="6">
        <v>150.80000000000001</v>
      </c>
    </row>
    <row r="92" spans="1:30" x14ac:dyDescent="0.3">
      <c r="A92" s="9" t="s">
        <v>32</v>
      </c>
      <c r="B92" s="7">
        <v>2020</v>
      </c>
      <c r="C92" s="7" t="s">
        <v>40</v>
      </c>
      <c r="D92" s="7">
        <v>151.6</v>
      </c>
      <c r="E92" s="7">
        <v>197.8</v>
      </c>
      <c r="F92" s="7">
        <v>154.5</v>
      </c>
      <c r="G92" s="7">
        <v>153.4</v>
      </c>
      <c r="H92" s="7">
        <v>133.4</v>
      </c>
      <c r="I92" s="7">
        <v>154.5</v>
      </c>
      <c r="J92" s="7">
        <v>191.9</v>
      </c>
      <c r="K92" s="7">
        <v>151.30000000000001</v>
      </c>
      <c r="L92" s="7">
        <v>116.8</v>
      </c>
      <c r="M92" s="7">
        <v>160</v>
      </c>
      <c r="N92" s="7">
        <v>136.5</v>
      </c>
      <c r="O92" s="7">
        <v>163.30000000000001</v>
      </c>
      <c r="P92" s="7">
        <v>159.9</v>
      </c>
      <c r="Q92" s="7">
        <v>187.2</v>
      </c>
      <c r="R92" s="7">
        <v>150</v>
      </c>
      <c r="S92" s="7">
        <v>135.19999999999999</v>
      </c>
      <c r="T92" s="7">
        <v>147.80000000000001</v>
      </c>
      <c r="U92" s="7">
        <v>155.5</v>
      </c>
      <c r="V92" s="7">
        <v>138.30000000000001</v>
      </c>
      <c r="W92" s="7">
        <v>144.5</v>
      </c>
      <c r="X92" s="7">
        <v>148.69999999999999</v>
      </c>
      <c r="Y92" s="7">
        <v>133.9</v>
      </c>
      <c r="Z92" s="7">
        <v>141.19999999999999</v>
      </c>
      <c r="AA92" s="7">
        <v>155.5</v>
      </c>
      <c r="AB92" s="7">
        <v>155.19999999999999</v>
      </c>
      <c r="AC92" s="7">
        <v>144.80000000000001</v>
      </c>
      <c r="AD92" s="8">
        <v>152.9</v>
      </c>
    </row>
    <row r="93" spans="1:30" x14ac:dyDescent="0.3">
      <c r="A93" s="10" t="s">
        <v>32</v>
      </c>
      <c r="B93" s="5">
        <v>2020</v>
      </c>
      <c r="C93" s="5" t="s">
        <v>41</v>
      </c>
      <c r="D93" s="5">
        <v>151.5</v>
      </c>
      <c r="E93" s="5">
        <v>193.1</v>
      </c>
      <c r="F93" s="5">
        <v>157.30000000000001</v>
      </c>
      <c r="G93" s="5">
        <v>153.9</v>
      </c>
      <c r="H93" s="5">
        <v>134.4</v>
      </c>
      <c r="I93" s="5">
        <v>155.4</v>
      </c>
      <c r="J93" s="5">
        <v>202</v>
      </c>
      <c r="K93" s="5">
        <v>150.80000000000001</v>
      </c>
      <c r="L93" s="5">
        <v>118.9</v>
      </c>
      <c r="M93" s="5">
        <v>160.9</v>
      </c>
      <c r="N93" s="5">
        <v>137.69999999999999</v>
      </c>
      <c r="O93" s="5">
        <v>164.4</v>
      </c>
      <c r="P93" s="5">
        <v>161.30000000000001</v>
      </c>
      <c r="Q93" s="5">
        <v>188.7</v>
      </c>
      <c r="R93" s="5">
        <v>150.19999999999999</v>
      </c>
      <c r="S93" s="5">
        <v>136.30000000000001</v>
      </c>
      <c r="T93" s="5">
        <v>148.1</v>
      </c>
      <c r="U93" s="5">
        <v>156.30000000000001</v>
      </c>
      <c r="V93" s="5">
        <v>137.19999999999999</v>
      </c>
      <c r="W93" s="5">
        <v>145.4</v>
      </c>
      <c r="X93" s="5">
        <v>150</v>
      </c>
      <c r="Y93" s="5">
        <v>135.1</v>
      </c>
      <c r="Z93" s="5">
        <v>141.80000000000001</v>
      </c>
      <c r="AA93" s="5">
        <v>154.9</v>
      </c>
      <c r="AB93" s="5">
        <v>159.80000000000001</v>
      </c>
      <c r="AC93" s="5">
        <v>146</v>
      </c>
      <c r="AD93" s="6">
        <v>154</v>
      </c>
    </row>
    <row r="94" spans="1:30" x14ac:dyDescent="0.3">
      <c r="A94" s="9" t="s">
        <v>32</v>
      </c>
      <c r="B94" s="7">
        <v>2020</v>
      </c>
      <c r="C94" s="7" t="s">
        <v>42</v>
      </c>
      <c r="D94" s="7">
        <v>150.6</v>
      </c>
      <c r="E94" s="7">
        <v>193.7</v>
      </c>
      <c r="F94" s="7">
        <v>164.8</v>
      </c>
      <c r="G94" s="7">
        <v>153.69999999999999</v>
      </c>
      <c r="H94" s="7">
        <v>135.69999999999999</v>
      </c>
      <c r="I94" s="7">
        <v>155.69999999999999</v>
      </c>
      <c r="J94" s="7">
        <v>226</v>
      </c>
      <c r="K94" s="7">
        <v>152.19999999999999</v>
      </c>
      <c r="L94" s="7">
        <v>118.1</v>
      </c>
      <c r="M94" s="7">
        <v>161.30000000000001</v>
      </c>
      <c r="N94" s="7">
        <v>139.19999999999999</v>
      </c>
      <c r="O94" s="7">
        <v>164.8</v>
      </c>
      <c r="P94" s="7">
        <v>164.4</v>
      </c>
      <c r="Q94" s="7">
        <v>188.7</v>
      </c>
      <c r="R94" s="7">
        <v>150.5</v>
      </c>
      <c r="S94" s="7">
        <v>136.1</v>
      </c>
      <c r="T94" s="7">
        <v>148.30000000000001</v>
      </c>
      <c r="U94" s="7">
        <v>156.5</v>
      </c>
      <c r="V94" s="7">
        <v>137.1</v>
      </c>
      <c r="W94" s="7">
        <v>145.1</v>
      </c>
      <c r="X94" s="7">
        <v>151</v>
      </c>
      <c r="Y94" s="7">
        <v>135.4</v>
      </c>
      <c r="Z94" s="7">
        <v>142</v>
      </c>
      <c r="AA94" s="7">
        <v>155.69999999999999</v>
      </c>
      <c r="AB94" s="7">
        <v>158.1</v>
      </c>
      <c r="AC94" s="7">
        <v>146.19999999999999</v>
      </c>
      <c r="AD94" s="8">
        <v>155.19999999999999</v>
      </c>
    </row>
    <row r="95" spans="1:30" x14ac:dyDescent="0.3">
      <c r="A95" s="10" t="s">
        <v>32</v>
      </c>
      <c r="B95" s="5">
        <v>2020</v>
      </c>
      <c r="C95" s="5" t="s">
        <v>43</v>
      </c>
      <c r="D95" s="5">
        <v>149.69999999999999</v>
      </c>
      <c r="E95" s="5">
        <v>195.5</v>
      </c>
      <c r="F95" s="5">
        <v>176.9</v>
      </c>
      <c r="G95" s="5">
        <v>153.9</v>
      </c>
      <c r="H95" s="5">
        <v>138</v>
      </c>
      <c r="I95" s="5">
        <v>150.5</v>
      </c>
      <c r="J95" s="5">
        <v>245.3</v>
      </c>
      <c r="K95" s="5">
        <v>158.69999999999999</v>
      </c>
      <c r="L95" s="5">
        <v>117.2</v>
      </c>
      <c r="M95" s="5">
        <v>161.4</v>
      </c>
      <c r="N95" s="5">
        <v>141.5</v>
      </c>
      <c r="O95" s="5">
        <v>165.1</v>
      </c>
      <c r="P95" s="5">
        <v>167</v>
      </c>
      <c r="Q95" s="5">
        <v>188.8</v>
      </c>
      <c r="R95" s="5">
        <v>151.1</v>
      </c>
      <c r="S95" s="5">
        <v>136.4</v>
      </c>
      <c r="T95" s="5">
        <v>148.80000000000001</v>
      </c>
      <c r="U95" s="5">
        <v>158</v>
      </c>
      <c r="V95" s="5">
        <v>137.30000000000001</v>
      </c>
      <c r="W95" s="5">
        <v>145.1</v>
      </c>
      <c r="X95" s="5">
        <v>152</v>
      </c>
      <c r="Y95" s="5">
        <v>135.19999999999999</v>
      </c>
      <c r="Z95" s="5">
        <v>144.4</v>
      </c>
      <c r="AA95" s="5">
        <v>156.4</v>
      </c>
      <c r="AB95" s="5">
        <v>157.9</v>
      </c>
      <c r="AC95" s="5">
        <v>146.6</v>
      </c>
      <c r="AD95" s="6">
        <v>156.69999999999999</v>
      </c>
    </row>
    <row r="96" spans="1:30" x14ac:dyDescent="0.3">
      <c r="A96" s="9" t="s">
        <v>32</v>
      </c>
      <c r="B96" s="7">
        <v>2020</v>
      </c>
      <c r="C96" s="7" t="s">
        <v>44</v>
      </c>
      <c r="D96" s="7">
        <v>149</v>
      </c>
      <c r="E96" s="7">
        <v>195.7</v>
      </c>
      <c r="F96" s="7">
        <v>178.3</v>
      </c>
      <c r="G96" s="7">
        <v>154.19999999999999</v>
      </c>
      <c r="H96" s="7">
        <v>140.69999999999999</v>
      </c>
      <c r="I96" s="7">
        <v>149.69999999999999</v>
      </c>
      <c r="J96" s="7">
        <v>240.9</v>
      </c>
      <c r="K96" s="7">
        <v>161.5</v>
      </c>
      <c r="L96" s="7">
        <v>117.1</v>
      </c>
      <c r="M96" s="7">
        <v>161.9</v>
      </c>
      <c r="N96" s="7">
        <v>143.30000000000001</v>
      </c>
      <c r="O96" s="7">
        <v>166.1</v>
      </c>
      <c r="P96" s="7">
        <v>167</v>
      </c>
      <c r="Q96" s="7">
        <v>190.2</v>
      </c>
      <c r="R96" s="7">
        <v>151.9</v>
      </c>
      <c r="S96" s="7">
        <v>136.69999999999999</v>
      </c>
      <c r="T96" s="7">
        <v>149.6</v>
      </c>
      <c r="U96" s="7">
        <v>158.4</v>
      </c>
      <c r="V96" s="7">
        <v>137.9</v>
      </c>
      <c r="W96" s="7">
        <v>145.5</v>
      </c>
      <c r="X96" s="7">
        <v>152.9</v>
      </c>
      <c r="Y96" s="7">
        <v>135.5</v>
      </c>
      <c r="Z96" s="7">
        <v>144.30000000000001</v>
      </c>
      <c r="AA96" s="7">
        <v>156.9</v>
      </c>
      <c r="AB96" s="7">
        <v>157.9</v>
      </c>
      <c r="AC96" s="7">
        <v>146.9</v>
      </c>
      <c r="AD96" s="8">
        <v>156.9</v>
      </c>
    </row>
    <row r="97" spans="1:30" hidden="1" x14ac:dyDescent="0.3">
      <c r="A97" s="10" t="s">
        <v>32</v>
      </c>
      <c r="B97" s="5">
        <v>2021</v>
      </c>
      <c r="C97" s="5" t="s">
        <v>31</v>
      </c>
      <c r="D97" s="5">
        <v>148</v>
      </c>
      <c r="E97" s="5">
        <v>194.8</v>
      </c>
      <c r="F97" s="5">
        <v>178.4</v>
      </c>
      <c r="G97" s="5">
        <v>154.4</v>
      </c>
      <c r="H97" s="5">
        <v>144.1</v>
      </c>
      <c r="I97" s="5">
        <v>152.6</v>
      </c>
      <c r="J97" s="5">
        <v>206.8</v>
      </c>
      <c r="K97" s="5">
        <v>162.1</v>
      </c>
      <c r="L97" s="5">
        <v>116.3</v>
      </c>
      <c r="M97" s="5">
        <v>163</v>
      </c>
      <c r="N97" s="5">
        <v>145.9</v>
      </c>
      <c r="O97" s="5">
        <v>167.2</v>
      </c>
      <c r="P97" s="5">
        <v>163.4</v>
      </c>
      <c r="Q97" s="5">
        <v>191.8</v>
      </c>
      <c r="R97" s="5">
        <v>152.5</v>
      </c>
      <c r="S97" s="5">
        <v>137.30000000000001</v>
      </c>
      <c r="T97" s="5">
        <v>150.19999999999999</v>
      </c>
      <c r="U97" s="5">
        <v>157.69999999999999</v>
      </c>
      <c r="V97" s="5">
        <v>142.9</v>
      </c>
      <c r="W97" s="5">
        <v>145.69999999999999</v>
      </c>
      <c r="X97" s="5">
        <v>154.1</v>
      </c>
      <c r="Y97" s="5">
        <v>136.9</v>
      </c>
      <c r="Z97" s="5">
        <v>145.4</v>
      </c>
      <c r="AA97" s="5">
        <v>156.1</v>
      </c>
      <c r="AB97" s="5">
        <v>157.69999999999999</v>
      </c>
      <c r="AC97" s="5">
        <v>147.6</v>
      </c>
      <c r="AD97" s="6">
        <v>156</v>
      </c>
    </row>
    <row r="98" spans="1:30" hidden="1" x14ac:dyDescent="0.3">
      <c r="A98" s="9" t="s">
        <v>32</v>
      </c>
      <c r="B98" s="7">
        <v>2021</v>
      </c>
      <c r="C98" s="7" t="s">
        <v>34</v>
      </c>
      <c r="D98" s="7">
        <v>147.6</v>
      </c>
      <c r="E98" s="7">
        <v>191.2</v>
      </c>
      <c r="F98" s="7">
        <v>169.9</v>
      </c>
      <c r="G98" s="7">
        <v>155.1</v>
      </c>
      <c r="H98" s="7">
        <v>151.4</v>
      </c>
      <c r="I98" s="7">
        <v>154</v>
      </c>
      <c r="J98" s="7">
        <v>180.2</v>
      </c>
      <c r="K98" s="7">
        <v>159.80000000000001</v>
      </c>
      <c r="L98" s="7">
        <v>114.9</v>
      </c>
      <c r="M98" s="7">
        <v>162.5</v>
      </c>
      <c r="N98" s="7">
        <v>149.19999999999999</v>
      </c>
      <c r="O98" s="7">
        <v>169.4</v>
      </c>
      <c r="P98" s="7">
        <v>160.80000000000001</v>
      </c>
      <c r="Q98" s="7">
        <v>193.3</v>
      </c>
      <c r="R98" s="7">
        <v>154.19999999999999</v>
      </c>
      <c r="S98" s="7">
        <v>138.19999999999999</v>
      </c>
      <c r="T98" s="7">
        <v>151.80000000000001</v>
      </c>
      <c r="U98" s="7">
        <v>159.80000000000001</v>
      </c>
      <c r="V98" s="7">
        <v>149.1</v>
      </c>
      <c r="W98" s="7">
        <v>146.5</v>
      </c>
      <c r="X98" s="7">
        <v>156.30000000000001</v>
      </c>
      <c r="Y98" s="7">
        <v>140.5</v>
      </c>
      <c r="Z98" s="7">
        <v>147.30000000000001</v>
      </c>
      <c r="AA98" s="7">
        <v>156.6</v>
      </c>
      <c r="AB98" s="7">
        <v>156.69999999999999</v>
      </c>
      <c r="AC98" s="7">
        <v>149.30000000000001</v>
      </c>
      <c r="AD98" s="8">
        <v>156.5</v>
      </c>
    </row>
    <row r="99" spans="1:30" hidden="1" x14ac:dyDescent="0.3">
      <c r="A99" s="10" t="s">
        <v>32</v>
      </c>
      <c r="B99" s="5">
        <v>2021</v>
      </c>
      <c r="C99" s="5" t="s">
        <v>35</v>
      </c>
      <c r="D99" s="5">
        <v>147.5</v>
      </c>
      <c r="E99" s="5">
        <v>197.5</v>
      </c>
      <c r="F99" s="5">
        <v>164.7</v>
      </c>
      <c r="G99" s="5">
        <v>155.6</v>
      </c>
      <c r="H99" s="5">
        <v>156.4</v>
      </c>
      <c r="I99" s="5">
        <v>157.30000000000001</v>
      </c>
      <c r="J99" s="5">
        <v>166.1</v>
      </c>
      <c r="K99" s="5">
        <v>161.1</v>
      </c>
      <c r="L99" s="5">
        <v>114.3</v>
      </c>
      <c r="M99" s="5">
        <v>162.6</v>
      </c>
      <c r="N99" s="5">
        <v>150.69999999999999</v>
      </c>
      <c r="O99" s="5">
        <v>170.3</v>
      </c>
      <c r="P99" s="5">
        <v>160.4</v>
      </c>
      <c r="Q99" s="5">
        <v>193.5</v>
      </c>
      <c r="R99" s="5">
        <v>155.1</v>
      </c>
      <c r="S99" s="5">
        <v>138.69999999999999</v>
      </c>
      <c r="T99" s="5">
        <v>152.6</v>
      </c>
      <c r="U99" s="5">
        <v>159.9</v>
      </c>
      <c r="V99" s="5">
        <v>154.80000000000001</v>
      </c>
      <c r="W99" s="5">
        <v>147.19999999999999</v>
      </c>
      <c r="X99" s="5">
        <v>156.9</v>
      </c>
      <c r="Y99" s="5">
        <v>141.69999999999999</v>
      </c>
      <c r="Z99" s="5">
        <v>148.6</v>
      </c>
      <c r="AA99" s="5">
        <v>157.6</v>
      </c>
      <c r="AB99" s="5">
        <v>154.9</v>
      </c>
      <c r="AC99" s="5">
        <v>150</v>
      </c>
      <c r="AD99" s="6">
        <v>156.9</v>
      </c>
    </row>
    <row r="100" spans="1:30" hidden="1" x14ac:dyDescent="0.3">
      <c r="A100" s="9" t="s">
        <v>32</v>
      </c>
      <c r="B100" s="7">
        <v>2021</v>
      </c>
      <c r="C100" s="7" t="s">
        <v>36</v>
      </c>
      <c r="D100" s="7">
        <v>147.6</v>
      </c>
      <c r="E100" s="7">
        <v>202.5</v>
      </c>
      <c r="F100" s="7">
        <v>166.4</v>
      </c>
      <c r="G100" s="7">
        <v>156</v>
      </c>
      <c r="H100" s="7">
        <v>161.4</v>
      </c>
      <c r="I100" s="7">
        <v>168.8</v>
      </c>
      <c r="J100" s="7">
        <v>161.6</v>
      </c>
      <c r="K100" s="7">
        <v>162.80000000000001</v>
      </c>
      <c r="L100" s="7">
        <v>114.8</v>
      </c>
      <c r="M100" s="7">
        <v>162.80000000000001</v>
      </c>
      <c r="N100" s="7">
        <v>151.5</v>
      </c>
      <c r="O100" s="7">
        <v>171.4</v>
      </c>
      <c r="P100" s="7">
        <v>162</v>
      </c>
      <c r="Q100" s="7">
        <v>194.4</v>
      </c>
      <c r="R100" s="7">
        <v>155.9</v>
      </c>
      <c r="S100" s="7">
        <v>139.30000000000001</v>
      </c>
      <c r="T100" s="7">
        <v>153.4</v>
      </c>
      <c r="U100" s="7">
        <v>161.4</v>
      </c>
      <c r="V100" s="7">
        <v>154.9</v>
      </c>
      <c r="W100" s="7">
        <v>147.6</v>
      </c>
      <c r="X100" s="7">
        <v>157.5</v>
      </c>
      <c r="Y100" s="7">
        <v>142.1</v>
      </c>
      <c r="Z100" s="7">
        <v>149.1</v>
      </c>
      <c r="AA100" s="7">
        <v>157.6</v>
      </c>
      <c r="AB100" s="7">
        <v>156.6</v>
      </c>
      <c r="AC100" s="7">
        <v>150.5</v>
      </c>
      <c r="AD100" s="8">
        <v>158</v>
      </c>
    </row>
    <row r="101" spans="1:30" hidden="1" x14ac:dyDescent="0.3">
      <c r="A101" s="10" t="s">
        <v>32</v>
      </c>
      <c r="B101" s="5">
        <v>2021</v>
      </c>
      <c r="C101" s="5" t="s">
        <v>37</v>
      </c>
      <c r="D101" s="5">
        <v>148.80000000000001</v>
      </c>
      <c r="E101" s="5">
        <v>204.3</v>
      </c>
      <c r="F101" s="5">
        <v>173</v>
      </c>
      <c r="G101" s="5">
        <v>156.5</v>
      </c>
      <c r="H101" s="5">
        <v>168.8</v>
      </c>
      <c r="I101" s="5">
        <v>172.5</v>
      </c>
      <c r="J101" s="5">
        <v>166.5</v>
      </c>
      <c r="K101" s="5">
        <v>165.9</v>
      </c>
      <c r="L101" s="5">
        <v>115.9</v>
      </c>
      <c r="M101" s="5">
        <v>165.2</v>
      </c>
      <c r="N101" s="5">
        <v>152</v>
      </c>
      <c r="O101" s="5">
        <v>171.1</v>
      </c>
      <c r="P101" s="5">
        <v>164.2</v>
      </c>
      <c r="Q101" s="5">
        <v>198.2</v>
      </c>
      <c r="R101" s="5">
        <v>156.5</v>
      </c>
      <c r="S101" s="5">
        <v>140.19999999999999</v>
      </c>
      <c r="T101" s="5">
        <v>154.1</v>
      </c>
      <c r="U101" s="5">
        <v>161.6</v>
      </c>
      <c r="V101" s="5">
        <v>155.5</v>
      </c>
      <c r="W101" s="5">
        <v>150.1</v>
      </c>
      <c r="X101" s="5">
        <v>160.4</v>
      </c>
      <c r="Y101" s="5">
        <v>145</v>
      </c>
      <c r="Z101" s="5">
        <v>152.6</v>
      </c>
      <c r="AA101" s="5">
        <v>156.6</v>
      </c>
      <c r="AB101" s="5">
        <v>157.5</v>
      </c>
      <c r="AC101" s="5">
        <v>152.30000000000001</v>
      </c>
      <c r="AD101" s="6">
        <v>159.5</v>
      </c>
    </row>
    <row r="102" spans="1:30" hidden="1" x14ac:dyDescent="0.3">
      <c r="A102" s="9" t="s">
        <v>32</v>
      </c>
      <c r="B102" s="7">
        <v>2021</v>
      </c>
      <c r="C102" s="7" t="s">
        <v>38</v>
      </c>
      <c r="D102" s="7">
        <v>149.19999999999999</v>
      </c>
      <c r="E102" s="7">
        <v>205.5</v>
      </c>
      <c r="F102" s="7">
        <v>182.8</v>
      </c>
      <c r="G102" s="7">
        <v>156.5</v>
      </c>
      <c r="H102" s="7">
        <v>172.2</v>
      </c>
      <c r="I102" s="7">
        <v>171.5</v>
      </c>
      <c r="J102" s="7">
        <v>176.2</v>
      </c>
      <c r="K102" s="7">
        <v>166.9</v>
      </c>
      <c r="L102" s="7">
        <v>116.1</v>
      </c>
      <c r="M102" s="7">
        <v>165.5</v>
      </c>
      <c r="N102" s="7">
        <v>152.30000000000001</v>
      </c>
      <c r="O102" s="7">
        <v>173.3</v>
      </c>
      <c r="P102" s="7">
        <v>166.2</v>
      </c>
      <c r="Q102" s="7">
        <v>195.6</v>
      </c>
      <c r="R102" s="7">
        <v>157.30000000000001</v>
      </c>
      <c r="S102" s="7">
        <v>140.5</v>
      </c>
      <c r="T102" s="7">
        <v>154.80000000000001</v>
      </c>
      <c r="U102" s="7">
        <v>160.5</v>
      </c>
      <c r="V102" s="7">
        <v>156.1</v>
      </c>
      <c r="W102" s="7">
        <v>149.80000000000001</v>
      </c>
      <c r="X102" s="7">
        <v>160.80000000000001</v>
      </c>
      <c r="Y102" s="7">
        <v>147.5</v>
      </c>
      <c r="Z102" s="7">
        <v>150.69999999999999</v>
      </c>
      <c r="AA102" s="7">
        <v>158.1</v>
      </c>
      <c r="AB102" s="7">
        <v>158</v>
      </c>
      <c r="AC102" s="7">
        <v>153.4</v>
      </c>
      <c r="AD102" s="8">
        <v>160.4</v>
      </c>
    </row>
    <row r="103" spans="1:30" hidden="1" x14ac:dyDescent="0.3">
      <c r="A103" s="10" t="s">
        <v>32</v>
      </c>
      <c r="B103" s="5">
        <v>2021</v>
      </c>
      <c r="C103" s="5" t="s">
        <v>39</v>
      </c>
      <c r="D103" s="5">
        <v>149.1</v>
      </c>
      <c r="E103" s="5">
        <v>210.9</v>
      </c>
      <c r="F103" s="5">
        <v>185</v>
      </c>
      <c r="G103" s="5">
        <v>158.19999999999999</v>
      </c>
      <c r="H103" s="5">
        <v>170.6</v>
      </c>
      <c r="I103" s="5">
        <v>170.9</v>
      </c>
      <c r="J103" s="5">
        <v>186.4</v>
      </c>
      <c r="K103" s="5">
        <v>164.7</v>
      </c>
      <c r="L103" s="5">
        <v>115.7</v>
      </c>
      <c r="M103" s="5">
        <v>165.5</v>
      </c>
      <c r="N103" s="5">
        <v>153.4</v>
      </c>
      <c r="O103" s="5">
        <v>173.5</v>
      </c>
      <c r="P103" s="5">
        <v>167.9</v>
      </c>
      <c r="Q103" s="5">
        <v>195.5</v>
      </c>
      <c r="R103" s="5">
        <v>157.9</v>
      </c>
      <c r="S103" s="5">
        <v>141.9</v>
      </c>
      <c r="T103" s="5">
        <v>155.5</v>
      </c>
      <c r="U103" s="5">
        <v>161.5</v>
      </c>
      <c r="V103" s="5">
        <v>157.69999999999999</v>
      </c>
      <c r="W103" s="5">
        <v>150.69999999999999</v>
      </c>
      <c r="X103" s="5">
        <v>161.5</v>
      </c>
      <c r="Y103" s="5">
        <v>149.5</v>
      </c>
      <c r="Z103" s="5">
        <v>151.19999999999999</v>
      </c>
      <c r="AA103" s="5">
        <v>160.30000000000001</v>
      </c>
      <c r="AB103" s="5">
        <v>159.6</v>
      </c>
      <c r="AC103" s="5">
        <v>155</v>
      </c>
      <c r="AD103" s="6">
        <v>161.80000000000001</v>
      </c>
    </row>
    <row r="104" spans="1:30" hidden="1" x14ac:dyDescent="0.3">
      <c r="A104" s="9" t="s">
        <v>32</v>
      </c>
      <c r="B104" s="7">
        <v>2021</v>
      </c>
      <c r="C104" s="7" t="s">
        <v>40</v>
      </c>
      <c r="D104" s="7">
        <v>149.30000000000001</v>
      </c>
      <c r="E104" s="7">
        <v>207.4</v>
      </c>
      <c r="F104" s="7">
        <v>174.1</v>
      </c>
      <c r="G104" s="7">
        <v>159.19999999999999</v>
      </c>
      <c r="H104" s="7">
        <v>175</v>
      </c>
      <c r="I104" s="7">
        <v>161.30000000000001</v>
      </c>
      <c r="J104" s="7">
        <v>183.3</v>
      </c>
      <c r="K104" s="7">
        <v>164.5</v>
      </c>
      <c r="L104" s="7">
        <v>120.4</v>
      </c>
      <c r="M104" s="7">
        <v>166.2</v>
      </c>
      <c r="N104" s="7">
        <v>154.80000000000001</v>
      </c>
      <c r="O104" s="7">
        <v>175.1</v>
      </c>
      <c r="P104" s="7">
        <v>167.3</v>
      </c>
      <c r="Q104" s="7">
        <v>196.5</v>
      </c>
      <c r="R104" s="7">
        <v>159.80000000000001</v>
      </c>
      <c r="S104" s="7">
        <v>143.6</v>
      </c>
      <c r="T104" s="7">
        <v>157.30000000000001</v>
      </c>
      <c r="U104" s="7">
        <v>162.1</v>
      </c>
      <c r="V104" s="7">
        <v>160.69999999999999</v>
      </c>
      <c r="W104" s="7">
        <v>153.19999999999999</v>
      </c>
      <c r="X104" s="7">
        <v>162.80000000000001</v>
      </c>
      <c r="Y104" s="7">
        <v>150.4</v>
      </c>
      <c r="Z104" s="7">
        <v>153.69999999999999</v>
      </c>
      <c r="AA104" s="7">
        <v>160.4</v>
      </c>
      <c r="AB104" s="7">
        <v>159.6</v>
      </c>
      <c r="AC104" s="7">
        <v>156</v>
      </c>
      <c r="AD104" s="8">
        <v>162.30000000000001</v>
      </c>
    </row>
    <row r="105" spans="1:30" hidden="1" x14ac:dyDescent="0.3">
      <c r="A105" s="10" t="s">
        <v>32</v>
      </c>
      <c r="B105" s="5">
        <v>2021</v>
      </c>
      <c r="C105" s="5" t="s">
        <v>41</v>
      </c>
      <c r="D105" s="5">
        <v>149.30000000000001</v>
      </c>
      <c r="E105" s="5">
        <v>207.4</v>
      </c>
      <c r="F105" s="5">
        <v>174.1</v>
      </c>
      <c r="G105" s="5">
        <v>159.1</v>
      </c>
      <c r="H105" s="5">
        <v>175</v>
      </c>
      <c r="I105" s="5">
        <v>161.19999999999999</v>
      </c>
      <c r="J105" s="5">
        <v>183.5</v>
      </c>
      <c r="K105" s="5">
        <v>164.5</v>
      </c>
      <c r="L105" s="5">
        <v>120.4</v>
      </c>
      <c r="M105" s="5">
        <v>166.2</v>
      </c>
      <c r="N105" s="5">
        <v>154.80000000000001</v>
      </c>
      <c r="O105" s="5">
        <v>175.1</v>
      </c>
      <c r="P105" s="5">
        <v>167.3</v>
      </c>
      <c r="Q105" s="5">
        <v>196.5</v>
      </c>
      <c r="R105" s="5">
        <v>159.80000000000001</v>
      </c>
      <c r="S105" s="5">
        <v>143.6</v>
      </c>
      <c r="T105" s="5">
        <v>157.4</v>
      </c>
      <c r="U105" s="5">
        <v>162.1</v>
      </c>
      <c r="V105" s="5">
        <v>160.80000000000001</v>
      </c>
      <c r="W105" s="5">
        <v>153.30000000000001</v>
      </c>
      <c r="X105" s="5">
        <v>162.80000000000001</v>
      </c>
      <c r="Y105" s="5">
        <v>150.5</v>
      </c>
      <c r="Z105" s="5">
        <v>153.9</v>
      </c>
      <c r="AA105" s="5">
        <v>160.30000000000001</v>
      </c>
      <c r="AB105" s="5">
        <v>159.6</v>
      </c>
      <c r="AC105" s="5">
        <v>156</v>
      </c>
      <c r="AD105" s="6">
        <v>162.30000000000001</v>
      </c>
    </row>
    <row r="106" spans="1:30" hidden="1" x14ac:dyDescent="0.3">
      <c r="A106" s="9" t="s">
        <v>32</v>
      </c>
      <c r="B106" s="7">
        <v>2021</v>
      </c>
      <c r="C106" s="7" t="s">
        <v>42</v>
      </c>
      <c r="D106" s="7">
        <v>150.1</v>
      </c>
      <c r="E106" s="7">
        <v>208.4</v>
      </c>
      <c r="F106" s="7">
        <v>173</v>
      </c>
      <c r="G106" s="7">
        <v>159.19999999999999</v>
      </c>
      <c r="H106" s="7">
        <v>176.6</v>
      </c>
      <c r="I106" s="7">
        <v>159.30000000000001</v>
      </c>
      <c r="J106" s="7">
        <v>214.4</v>
      </c>
      <c r="K106" s="7">
        <v>165.3</v>
      </c>
      <c r="L106" s="7">
        <v>122.5</v>
      </c>
      <c r="M106" s="7">
        <v>166.8</v>
      </c>
      <c r="N106" s="7">
        <v>155.4</v>
      </c>
      <c r="O106" s="7">
        <v>175.9</v>
      </c>
      <c r="P106" s="7">
        <v>171.5</v>
      </c>
      <c r="Q106" s="7">
        <v>197</v>
      </c>
      <c r="R106" s="7">
        <v>160.80000000000001</v>
      </c>
      <c r="S106" s="7">
        <v>144.4</v>
      </c>
      <c r="T106" s="7">
        <v>158.30000000000001</v>
      </c>
      <c r="U106" s="7">
        <v>163.6</v>
      </c>
      <c r="V106" s="7">
        <v>162.19999999999999</v>
      </c>
      <c r="W106" s="7">
        <v>154.30000000000001</v>
      </c>
      <c r="X106" s="7">
        <v>163.5</v>
      </c>
      <c r="Y106" s="7">
        <v>152.19999999999999</v>
      </c>
      <c r="Z106" s="7">
        <v>155.1</v>
      </c>
      <c r="AA106" s="7">
        <v>160.30000000000001</v>
      </c>
      <c r="AB106" s="7">
        <v>160.30000000000001</v>
      </c>
      <c r="AC106" s="7">
        <v>157</v>
      </c>
      <c r="AD106" s="8">
        <v>164.6</v>
      </c>
    </row>
    <row r="107" spans="1:30" hidden="1" x14ac:dyDescent="0.3">
      <c r="A107" s="10" t="s">
        <v>32</v>
      </c>
      <c r="B107" s="5">
        <v>2021</v>
      </c>
      <c r="C107" s="5" t="s">
        <v>43</v>
      </c>
      <c r="D107" s="5">
        <v>151</v>
      </c>
      <c r="E107" s="5">
        <v>204.9</v>
      </c>
      <c r="F107" s="5">
        <v>175.4</v>
      </c>
      <c r="G107" s="5">
        <v>159.6</v>
      </c>
      <c r="H107" s="5">
        <v>175.8</v>
      </c>
      <c r="I107" s="5">
        <v>160.30000000000001</v>
      </c>
      <c r="J107" s="5">
        <v>229.1</v>
      </c>
      <c r="K107" s="5">
        <v>165.1</v>
      </c>
      <c r="L107" s="5">
        <v>123.1</v>
      </c>
      <c r="M107" s="5">
        <v>167.2</v>
      </c>
      <c r="N107" s="5">
        <v>156.1</v>
      </c>
      <c r="O107" s="5">
        <v>176.8</v>
      </c>
      <c r="P107" s="5">
        <v>173.5</v>
      </c>
      <c r="Q107" s="5">
        <v>197</v>
      </c>
      <c r="R107" s="5">
        <v>162.30000000000001</v>
      </c>
      <c r="S107" s="5">
        <v>145.30000000000001</v>
      </c>
      <c r="T107" s="5">
        <v>159.69999999999999</v>
      </c>
      <c r="U107" s="5">
        <v>164.2</v>
      </c>
      <c r="V107" s="5">
        <v>161.6</v>
      </c>
      <c r="W107" s="5">
        <v>155.19999999999999</v>
      </c>
      <c r="X107" s="5">
        <v>164.2</v>
      </c>
      <c r="Y107" s="5">
        <v>151.19999999999999</v>
      </c>
      <c r="Z107" s="5">
        <v>156.69999999999999</v>
      </c>
      <c r="AA107" s="5">
        <v>160.80000000000001</v>
      </c>
      <c r="AB107" s="5">
        <v>161.80000000000001</v>
      </c>
      <c r="AC107" s="5">
        <v>157.30000000000001</v>
      </c>
      <c r="AD107" s="6">
        <v>165.6</v>
      </c>
    </row>
    <row r="108" spans="1:30" hidden="1" x14ac:dyDescent="0.3">
      <c r="A108" s="9" t="s">
        <v>32</v>
      </c>
      <c r="B108" s="7">
        <v>2021</v>
      </c>
      <c r="C108" s="7" t="s">
        <v>44</v>
      </c>
      <c r="D108" s="7">
        <v>151.6</v>
      </c>
      <c r="E108" s="7">
        <v>202.2</v>
      </c>
      <c r="F108" s="7">
        <v>180</v>
      </c>
      <c r="G108" s="7">
        <v>160</v>
      </c>
      <c r="H108" s="7">
        <v>173.5</v>
      </c>
      <c r="I108" s="7">
        <v>158.30000000000001</v>
      </c>
      <c r="J108" s="7">
        <v>219.5</v>
      </c>
      <c r="K108" s="7">
        <v>164.2</v>
      </c>
      <c r="L108" s="7">
        <v>121.9</v>
      </c>
      <c r="M108" s="7">
        <v>168.2</v>
      </c>
      <c r="N108" s="7">
        <v>156.5</v>
      </c>
      <c r="O108" s="7">
        <v>178.2</v>
      </c>
      <c r="P108" s="7">
        <v>172.2</v>
      </c>
      <c r="Q108" s="7">
        <v>196.8</v>
      </c>
      <c r="R108" s="7">
        <v>163.30000000000001</v>
      </c>
      <c r="S108" s="7">
        <v>146.69999999999999</v>
      </c>
      <c r="T108" s="7">
        <v>160.69999999999999</v>
      </c>
      <c r="U108" s="7">
        <v>163.4</v>
      </c>
      <c r="V108" s="7">
        <v>161.69999999999999</v>
      </c>
      <c r="W108" s="7">
        <v>156</v>
      </c>
      <c r="X108" s="7">
        <v>165.1</v>
      </c>
      <c r="Y108" s="7">
        <v>151.80000000000001</v>
      </c>
      <c r="Z108" s="7">
        <v>157.6</v>
      </c>
      <c r="AA108" s="7">
        <v>160.6</v>
      </c>
      <c r="AB108" s="7">
        <v>162.4</v>
      </c>
      <c r="AC108" s="7">
        <v>157.80000000000001</v>
      </c>
      <c r="AD108" s="8">
        <v>165.2</v>
      </c>
    </row>
    <row r="109" spans="1:30" x14ac:dyDescent="0.3">
      <c r="A109" s="10" t="s">
        <v>32</v>
      </c>
      <c r="B109" s="5">
        <v>2022</v>
      </c>
      <c r="C109" s="5" t="s">
        <v>31</v>
      </c>
      <c r="D109" s="5">
        <v>152.19999999999999</v>
      </c>
      <c r="E109" s="5">
        <v>202.1</v>
      </c>
      <c r="F109" s="5">
        <v>180.1</v>
      </c>
      <c r="G109" s="5">
        <v>160.4</v>
      </c>
      <c r="H109" s="5">
        <v>171</v>
      </c>
      <c r="I109" s="5">
        <v>156.5</v>
      </c>
      <c r="J109" s="5">
        <v>203.6</v>
      </c>
      <c r="K109" s="5">
        <v>163.80000000000001</v>
      </c>
      <c r="L109" s="5">
        <v>121.3</v>
      </c>
      <c r="M109" s="5">
        <v>169.8</v>
      </c>
      <c r="N109" s="5">
        <v>156.6</v>
      </c>
      <c r="O109" s="5">
        <v>179</v>
      </c>
      <c r="P109" s="5">
        <v>170.3</v>
      </c>
      <c r="Q109" s="5">
        <v>196.4</v>
      </c>
      <c r="R109" s="5">
        <v>164.7</v>
      </c>
      <c r="S109" s="5">
        <v>148.5</v>
      </c>
      <c r="T109" s="5">
        <v>162.19999999999999</v>
      </c>
      <c r="U109" s="5">
        <v>164.5</v>
      </c>
      <c r="V109" s="5">
        <v>161.6</v>
      </c>
      <c r="W109" s="5">
        <v>156.80000000000001</v>
      </c>
      <c r="X109" s="5">
        <v>166.1</v>
      </c>
      <c r="Y109" s="5">
        <v>152.69999999999999</v>
      </c>
      <c r="Z109" s="5">
        <v>158.4</v>
      </c>
      <c r="AA109" s="5">
        <v>161</v>
      </c>
      <c r="AB109" s="5">
        <v>162.80000000000001</v>
      </c>
      <c r="AC109" s="5">
        <v>158.6</v>
      </c>
      <c r="AD109" s="6">
        <v>165</v>
      </c>
    </row>
    <row r="110" spans="1:30" x14ac:dyDescent="0.3">
      <c r="A110" s="9" t="s">
        <v>32</v>
      </c>
      <c r="B110" s="7">
        <v>2022</v>
      </c>
      <c r="C110" s="7" t="s">
        <v>34</v>
      </c>
      <c r="D110" s="7">
        <v>152.5</v>
      </c>
      <c r="E110" s="7">
        <v>205.2</v>
      </c>
      <c r="F110" s="7">
        <v>176.4</v>
      </c>
      <c r="G110" s="7">
        <v>160.6</v>
      </c>
      <c r="H110" s="7">
        <v>171.5</v>
      </c>
      <c r="I110" s="7">
        <v>156.4</v>
      </c>
      <c r="J110" s="7">
        <v>198</v>
      </c>
      <c r="K110" s="7">
        <v>163.19999999999999</v>
      </c>
      <c r="L110" s="7">
        <v>120.6</v>
      </c>
      <c r="M110" s="7">
        <v>172.2</v>
      </c>
      <c r="N110" s="7">
        <v>156.69999999999999</v>
      </c>
      <c r="O110" s="7">
        <v>180</v>
      </c>
      <c r="P110" s="7">
        <v>170.2</v>
      </c>
      <c r="Q110" s="7">
        <v>196.5</v>
      </c>
      <c r="R110" s="7">
        <v>165.7</v>
      </c>
      <c r="S110" s="7">
        <v>150.4</v>
      </c>
      <c r="T110" s="7">
        <v>163.4</v>
      </c>
      <c r="U110" s="7">
        <v>165.5</v>
      </c>
      <c r="V110" s="7">
        <v>163</v>
      </c>
      <c r="W110" s="7">
        <v>157.4</v>
      </c>
      <c r="X110" s="7">
        <v>167.2</v>
      </c>
      <c r="Y110" s="7">
        <v>153.1</v>
      </c>
      <c r="Z110" s="7">
        <v>159.5</v>
      </c>
      <c r="AA110" s="7">
        <v>162</v>
      </c>
      <c r="AB110" s="7">
        <v>164.2</v>
      </c>
      <c r="AC110" s="7">
        <v>159.4</v>
      </c>
      <c r="AD110" s="8">
        <v>165.5</v>
      </c>
    </row>
    <row r="111" spans="1:30" x14ac:dyDescent="0.3">
      <c r="A111" s="10" t="s">
        <v>32</v>
      </c>
      <c r="B111" s="5">
        <v>2022</v>
      </c>
      <c r="C111" s="5" t="s">
        <v>35</v>
      </c>
      <c r="D111" s="5">
        <v>153.69999999999999</v>
      </c>
      <c r="E111" s="5">
        <v>215.8</v>
      </c>
      <c r="F111" s="5">
        <v>167.7</v>
      </c>
      <c r="G111" s="5">
        <v>162.6</v>
      </c>
      <c r="H111" s="5">
        <v>180</v>
      </c>
      <c r="I111" s="5">
        <v>159.6</v>
      </c>
      <c r="J111" s="5">
        <v>188.4</v>
      </c>
      <c r="K111" s="5">
        <v>163.4</v>
      </c>
      <c r="L111" s="5">
        <v>120.3</v>
      </c>
      <c r="M111" s="5">
        <v>174.7</v>
      </c>
      <c r="N111" s="5">
        <v>157.1</v>
      </c>
      <c r="O111" s="5">
        <v>181.5</v>
      </c>
      <c r="P111" s="5">
        <v>171.5</v>
      </c>
      <c r="Q111" s="5">
        <v>197.5</v>
      </c>
      <c r="R111" s="5">
        <v>167.1</v>
      </c>
      <c r="S111" s="5">
        <v>152.6</v>
      </c>
      <c r="T111" s="5">
        <v>164.9</v>
      </c>
      <c r="U111" s="5">
        <v>165.3</v>
      </c>
      <c r="V111" s="5">
        <v>164.5</v>
      </c>
      <c r="W111" s="5">
        <v>158.6</v>
      </c>
      <c r="X111" s="5">
        <v>168.2</v>
      </c>
      <c r="Y111" s="5">
        <v>154.19999999999999</v>
      </c>
      <c r="Z111" s="5">
        <v>160.80000000000001</v>
      </c>
      <c r="AA111" s="5">
        <v>162.69999999999999</v>
      </c>
      <c r="AB111" s="5">
        <v>166.8</v>
      </c>
      <c r="AC111" s="5">
        <v>160.6</v>
      </c>
      <c r="AD111" s="6">
        <v>166.5</v>
      </c>
    </row>
    <row r="112" spans="1:30" x14ac:dyDescent="0.3">
      <c r="A112" s="9" t="s">
        <v>32</v>
      </c>
      <c r="B112" s="7">
        <v>2022</v>
      </c>
      <c r="C112" s="7" t="s">
        <v>36</v>
      </c>
      <c r="D112" s="7">
        <v>155.4</v>
      </c>
      <c r="E112" s="7">
        <v>215.8</v>
      </c>
      <c r="F112" s="7">
        <v>164.6</v>
      </c>
      <c r="G112" s="7">
        <v>164.2</v>
      </c>
      <c r="H112" s="7">
        <v>186</v>
      </c>
      <c r="I112" s="7">
        <v>175.9</v>
      </c>
      <c r="J112" s="7">
        <v>190.7</v>
      </c>
      <c r="K112" s="7">
        <v>164</v>
      </c>
      <c r="L112" s="7">
        <v>120.5</v>
      </c>
      <c r="M112" s="7">
        <v>178</v>
      </c>
      <c r="N112" s="7">
        <v>157.5</v>
      </c>
      <c r="O112" s="7">
        <v>183.3</v>
      </c>
      <c r="P112" s="7">
        <v>174.5</v>
      </c>
      <c r="Q112" s="7">
        <v>197.1</v>
      </c>
      <c r="R112" s="7">
        <v>168.4</v>
      </c>
      <c r="S112" s="7">
        <v>154.5</v>
      </c>
      <c r="T112" s="7">
        <v>166.3</v>
      </c>
      <c r="U112" s="7">
        <v>167</v>
      </c>
      <c r="V112" s="7">
        <v>170.5</v>
      </c>
      <c r="W112" s="7">
        <v>159.80000000000001</v>
      </c>
      <c r="X112" s="7">
        <v>169</v>
      </c>
      <c r="Y112" s="7">
        <v>159.30000000000001</v>
      </c>
      <c r="Z112" s="7">
        <v>162.19999999999999</v>
      </c>
      <c r="AA112" s="7">
        <v>164</v>
      </c>
      <c r="AB112" s="7">
        <v>168.4</v>
      </c>
      <c r="AC112" s="7">
        <v>163.1</v>
      </c>
      <c r="AD112" s="8">
        <v>169.2</v>
      </c>
    </row>
    <row r="113" spans="1:30" x14ac:dyDescent="0.3">
      <c r="A113" s="10" t="s">
        <v>32</v>
      </c>
      <c r="B113" s="5">
        <v>2022</v>
      </c>
      <c r="C113" s="5" t="s">
        <v>37</v>
      </c>
      <c r="D113" s="5">
        <v>156.69999999999999</v>
      </c>
      <c r="E113" s="5">
        <v>221.2</v>
      </c>
      <c r="F113" s="5">
        <v>164.1</v>
      </c>
      <c r="G113" s="5">
        <v>165.4</v>
      </c>
      <c r="H113" s="5">
        <v>189.5</v>
      </c>
      <c r="I113" s="5">
        <v>174.5</v>
      </c>
      <c r="J113" s="5">
        <v>203.2</v>
      </c>
      <c r="K113" s="5">
        <v>164.1</v>
      </c>
      <c r="L113" s="5">
        <v>121.2</v>
      </c>
      <c r="M113" s="5">
        <v>181.4</v>
      </c>
      <c r="N113" s="5">
        <v>158.5</v>
      </c>
      <c r="O113" s="5">
        <v>184.9</v>
      </c>
      <c r="P113" s="5">
        <v>177.5</v>
      </c>
      <c r="Q113" s="5">
        <v>197.5</v>
      </c>
      <c r="R113" s="5">
        <v>170</v>
      </c>
      <c r="S113" s="5">
        <v>155.9</v>
      </c>
      <c r="T113" s="5">
        <v>167.8</v>
      </c>
      <c r="U113" s="5">
        <v>167.5</v>
      </c>
      <c r="V113" s="5">
        <v>173.5</v>
      </c>
      <c r="W113" s="5">
        <v>161.1</v>
      </c>
      <c r="X113" s="5">
        <v>170.1</v>
      </c>
      <c r="Y113" s="5">
        <v>159.4</v>
      </c>
      <c r="Z113" s="5">
        <v>163.19999999999999</v>
      </c>
      <c r="AA113" s="5">
        <v>165.2</v>
      </c>
      <c r="AB113" s="5">
        <v>168.2</v>
      </c>
      <c r="AC113" s="5">
        <v>163.80000000000001</v>
      </c>
      <c r="AD113" s="6">
        <v>170.8</v>
      </c>
    </row>
    <row r="114" spans="1:30" x14ac:dyDescent="0.3">
      <c r="A114" s="9" t="s">
        <v>32</v>
      </c>
      <c r="B114" s="7">
        <v>2022</v>
      </c>
      <c r="C114" s="7" t="s">
        <v>38</v>
      </c>
      <c r="D114" s="7">
        <v>157.5</v>
      </c>
      <c r="E114" s="7">
        <v>223.4</v>
      </c>
      <c r="F114" s="7">
        <v>172.8</v>
      </c>
      <c r="G114" s="7">
        <v>166.4</v>
      </c>
      <c r="H114" s="7">
        <v>188.6</v>
      </c>
      <c r="I114" s="7">
        <v>174.1</v>
      </c>
      <c r="J114" s="7">
        <v>211.5</v>
      </c>
      <c r="K114" s="7">
        <v>163.6</v>
      </c>
      <c r="L114" s="7">
        <v>121.4</v>
      </c>
      <c r="M114" s="7">
        <v>183.5</v>
      </c>
      <c r="N114" s="7">
        <v>159.1</v>
      </c>
      <c r="O114" s="7">
        <v>186.3</v>
      </c>
      <c r="P114" s="7">
        <v>179.3</v>
      </c>
      <c r="Q114" s="7">
        <v>198.3</v>
      </c>
      <c r="R114" s="7">
        <v>171.6</v>
      </c>
      <c r="S114" s="7">
        <v>157.4</v>
      </c>
      <c r="T114" s="7">
        <v>169.4</v>
      </c>
      <c r="U114" s="7">
        <v>166.8</v>
      </c>
      <c r="V114" s="7">
        <v>174.9</v>
      </c>
      <c r="W114" s="7">
        <v>162.1</v>
      </c>
      <c r="X114" s="7">
        <v>170.9</v>
      </c>
      <c r="Y114" s="7">
        <v>157.19999999999999</v>
      </c>
      <c r="Z114" s="7">
        <v>164.1</v>
      </c>
      <c r="AA114" s="7">
        <v>166.5</v>
      </c>
      <c r="AB114" s="7">
        <v>169.2</v>
      </c>
      <c r="AC114" s="7">
        <v>163.80000000000001</v>
      </c>
      <c r="AD114" s="8">
        <v>171.4</v>
      </c>
    </row>
    <row r="115" spans="1:30" x14ac:dyDescent="0.3">
      <c r="A115" s="10" t="s">
        <v>32</v>
      </c>
      <c r="B115" s="5">
        <v>2022</v>
      </c>
      <c r="C115" s="5" t="s">
        <v>39</v>
      </c>
      <c r="D115" s="5">
        <v>159.30000000000001</v>
      </c>
      <c r="E115" s="5">
        <v>217.1</v>
      </c>
      <c r="F115" s="5">
        <v>176.6</v>
      </c>
      <c r="G115" s="5">
        <v>167.1</v>
      </c>
      <c r="H115" s="5">
        <v>184.8</v>
      </c>
      <c r="I115" s="5">
        <v>179.5</v>
      </c>
      <c r="J115" s="5">
        <v>208.5</v>
      </c>
      <c r="K115" s="5">
        <v>164</v>
      </c>
      <c r="L115" s="5">
        <v>121.5</v>
      </c>
      <c r="M115" s="5">
        <v>186.3</v>
      </c>
      <c r="N115" s="5">
        <v>159.80000000000001</v>
      </c>
      <c r="O115" s="5">
        <v>187.7</v>
      </c>
      <c r="P115" s="5">
        <v>179.4</v>
      </c>
      <c r="Q115" s="5">
        <v>198.6</v>
      </c>
      <c r="R115" s="5">
        <v>172.7</v>
      </c>
      <c r="S115" s="5">
        <v>158.69999999999999</v>
      </c>
      <c r="T115" s="5">
        <v>170.6</v>
      </c>
      <c r="U115" s="5">
        <v>167.8</v>
      </c>
      <c r="V115" s="5">
        <v>179.5</v>
      </c>
      <c r="W115" s="5">
        <v>163.1</v>
      </c>
      <c r="X115" s="5">
        <v>171.7</v>
      </c>
      <c r="Y115" s="5">
        <v>157.4</v>
      </c>
      <c r="Z115" s="5">
        <v>164.6</v>
      </c>
      <c r="AA115" s="5">
        <v>169.1</v>
      </c>
      <c r="AB115" s="5">
        <v>169.8</v>
      </c>
      <c r="AC115" s="5">
        <v>164.7</v>
      </c>
      <c r="AD115" s="6">
        <v>172.3</v>
      </c>
    </row>
    <row r="116" spans="1:30" x14ac:dyDescent="0.3">
      <c r="A116" s="9" t="s">
        <v>32</v>
      </c>
      <c r="B116" s="7">
        <v>2022</v>
      </c>
      <c r="C116" s="7" t="s">
        <v>40</v>
      </c>
      <c r="D116" s="7">
        <v>162.1</v>
      </c>
      <c r="E116" s="7">
        <v>210.9</v>
      </c>
      <c r="F116" s="7">
        <v>170.6</v>
      </c>
      <c r="G116" s="7">
        <v>168.4</v>
      </c>
      <c r="H116" s="7">
        <v>182.5</v>
      </c>
      <c r="I116" s="7">
        <v>177.1</v>
      </c>
      <c r="J116" s="7">
        <v>213.1</v>
      </c>
      <c r="K116" s="7">
        <v>167.3</v>
      </c>
      <c r="L116" s="7">
        <v>122.2</v>
      </c>
      <c r="M116" s="7">
        <v>189.7</v>
      </c>
      <c r="N116" s="7">
        <v>160.5</v>
      </c>
      <c r="O116" s="7">
        <v>188.9</v>
      </c>
      <c r="P116" s="7">
        <v>180.4</v>
      </c>
      <c r="Q116" s="7">
        <v>198.7</v>
      </c>
      <c r="R116" s="7">
        <v>173.7</v>
      </c>
      <c r="S116" s="7">
        <v>160</v>
      </c>
      <c r="T116" s="7">
        <v>171.6</v>
      </c>
      <c r="U116" s="7">
        <v>169</v>
      </c>
      <c r="V116" s="7">
        <v>178.4</v>
      </c>
      <c r="W116" s="7">
        <v>164.2</v>
      </c>
      <c r="X116" s="7">
        <v>172.6</v>
      </c>
      <c r="Y116" s="7">
        <v>157.69999999999999</v>
      </c>
      <c r="Z116" s="7">
        <v>165.1</v>
      </c>
      <c r="AA116" s="7">
        <v>169.9</v>
      </c>
      <c r="AB116" s="7">
        <v>171.4</v>
      </c>
      <c r="AC116" s="7">
        <v>165.4</v>
      </c>
      <c r="AD116" s="8">
        <v>173.1</v>
      </c>
    </row>
    <row r="117" spans="1:30" x14ac:dyDescent="0.3">
      <c r="A117" s="10" t="s">
        <v>32</v>
      </c>
      <c r="B117" s="5">
        <v>2022</v>
      </c>
      <c r="C117" s="5" t="s">
        <v>41</v>
      </c>
      <c r="D117" s="5">
        <v>164.9</v>
      </c>
      <c r="E117" s="5">
        <v>213.7</v>
      </c>
      <c r="F117" s="5">
        <v>170.9</v>
      </c>
      <c r="G117" s="5">
        <v>170.1</v>
      </c>
      <c r="H117" s="5">
        <v>179.3</v>
      </c>
      <c r="I117" s="5">
        <v>167.5</v>
      </c>
      <c r="J117" s="5">
        <v>220.8</v>
      </c>
      <c r="K117" s="5">
        <v>169.2</v>
      </c>
      <c r="L117" s="5">
        <v>123.1</v>
      </c>
      <c r="M117" s="5">
        <v>193.6</v>
      </c>
      <c r="N117" s="5">
        <v>161.1</v>
      </c>
      <c r="O117" s="5">
        <v>190.4</v>
      </c>
      <c r="P117" s="5">
        <v>181.8</v>
      </c>
      <c r="Q117" s="5">
        <v>199.7</v>
      </c>
      <c r="R117" s="5">
        <v>175</v>
      </c>
      <c r="S117" s="5">
        <v>161.69999999999999</v>
      </c>
      <c r="T117" s="5">
        <v>173</v>
      </c>
      <c r="U117" s="5">
        <v>169.5</v>
      </c>
      <c r="V117" s="5">
        <v>179.2</v>
      </c>
      <c r="W117" s="5">
        <v>165</v>
      </c>
      <c r="X117" s="5">
        <v>173.8</v>
      </c>
      <c r="Y117" s="5">
        <v>158.19999999999999</v>
      </c>
      <c r="Z117" s="5">
        <v>165.8</v>
      </c>
      <c r="AA117" s="5">
        <v>170.9</v>
      </c>
      <c r="AB117" s="5">
        <v>171.1</v>
      </c>
      <c r="AC117" s="5">
        <v>166.1</v>
      </c>
      <c r="AD117" s="6">
        <v>174.1</v>
      </c>
    </row>
    <row r="118" spans="1:30" x14ac:dyDescent="0.3">
      <c r="A118" s="9" t="s">
        <v>32</v>
      </c>
      <c r="B118" s="7">
        <v>2022</v>
      </c>
      <c r="C118" s="7" t="s">
        <v>42</v>
      </c>
      <c r="D118" s="7">
        <v>166.4</v>
      </c>
      <c r="E118" s="7">
        <v>214.9</v>
      </c>
      <c r="F118" s="7">
        <v>171.9</v>
      </c>
      <c r="G118" s="7">
        <v>171</v>
      </c>
      <c r="H118" s="7">
        <v>177.7</v>
      </c>
      <c r="I118" s="7">
        <v>165.7</v>
      </c>
      <c r="J118" s="7">
        <v>228.6</v>
      </c>
      <c r="K118" s="7">
        <v>169.9</v>
      </c>
      <c r="L118" s="7">
        <v>123.4</v>
      </c>
      <c r="M118" s="7">
        <v>196.4</v>
      </c>
      <c r="N118" s="7">
        <v>161.6</v>
      </c>
      <c r="O118" s="7">
        <v>191.5</v>
      </c>
      <c r="P118" s="7">
        <v>183.3</v>
      </c>
      <c r="Q118" s="7">
        <v>200.1</v>
      </c>
      <c r="R118" s="7">
        <v>175.5</v>
      </c>
      <c r="S118" s="7">
        <v>162.6</v>
      </c>
      <c r="T118" s="7">
        <v>173.6</v>
      </c>
      <c r="U118" s="7">
        <v>171.2</v>
      </c>
      <c r="V118" s="7">
        <v>180</v>
      </c>
      <c r="W118" s="7">
        <v>166</v>
      </c>
      <c r="X118" s="7">
        <v>174.7</v>
      </c>
      <c r="Y118" s="7">
        <v>158.80000000000001</v>
      </c>
      <c r="Z118" s="7">
        <v>166.3</v>
      </c>
      <c r="AA118" s="7">
        <v>171.2</v>
      </c>
      <c r="AB118" s="7">
        <v>172.3</v>
      </c>
      <c r="AC118" s="7">
        <v>166.8</v>
      </c>
      <c r="AD118" s="8">
        <v>175.3</v>
      </c>
    </row>
    <row r="119" spans="1:30" x14ac:dyDescent="0.3">
      <c r="A119" s="10" t="s">
        <v>32</v>
      </c>
      <c r="B119" s="5">
        <v>2022</v>
      </c>
      <c r="C119" s="5" t="s">
        <v>43</v>
      </c>
      <c r="D119" s="5">
        <v>168.4</v>
      </c>
      <c r="E119" s="5">
        <v>213.4</v>
      </c>
      <c r="F119" s="5">
        <v>183.2</v>
      </c>
      <c r="G119" s="5">
        <v>172.3</v>
      </c>
      <c r="H119" s="5">
        <v>180</v>
      </c>
      <c r="I119" s="5">
        <v>162.6</v>
      </c>
      <c r="J119" s="5">
        <v>205.5</v>
      </c>
      <c r="K119" s="5">
        <v>171</v>
      </c>
      <c r="L119" s="5">
        <v>123.4</v>
      </c>
      <c r="M119" s="5">
        <v>198.8</v>
      </c>
      <c r="N119" s="5">
        <v>162.1</v>
      </c>
      <c r="O119" s="5">
        <v>192.4</v>
      </c>
      <c r="P119" s="5">
        <v>181.3</v>
      </c>
      <c r="Q119" s="5">
        <v>200.6</v>
      </c>
      <c r="R119" s="5">
        <v>176.7</v>
      </c>
      <c r="S119" s="5">
        <v>163.5</v>
      </c>
      <c r="T119" s="5">
        <v>174.7</v>
      </c>
      <c r="U119" s="5">
        <v>171.8</v>
      </c>
      <c r="V119" s="5">
        <v>180.3</v>
      </c>
      <c r="W119" s="5">
        <v>166.9</v>
      </c>
      <c r="X119" s="5">
        <v>175.8</v>
      </c>
      <c r="Y119" s="5">
        <v>158.9</v>
      </c>
      <c r="Z119" s="5">
        <v>166.7</v>
      </c>
      <c r="AA119" s="5">
        <v>171.5</v>
      </c>
      <c r="AB119" s="5">
        <v>173.8</v>
      </c>
      <c r="AC119" s="5">
        <v>167.4</v>
      </c>
      <c r="AD119" s="6">
        <v>174.1</v>
      </c>
    </row>
    <row r="120" spans="1:30" x14ac:dyDescent="0.3">
      <c r="A120" s="9" t="s">
        <v>32</v>
      </c>
      <c r="B120" s="7">
        <v>2022</v>
      </c>
      <c r="C120" s="7" t="s">
        <v>44</v>
      </c>
      <c r="D120" s="7">
        <v>170.2</v>
      </c>
      <c r="E120" s="7">
        <v>212.9</v>
      </c>
      <c r="F120" s="7">
        <v>191.9</v>
      </c>
      <c r="G120" s="7">
        <v>173.9</v>
      </c>
      <c r="H120" s="7">
        <v>179.1</v>
      </c>
      <c r="I120" s="7">
        <v>159.5</v>
      </c>
      <c r="J120" s="7">
        <v>178.7</v>
      </c>
      <c r="K120" s="7">
        <v>171.3</v>
      </c>
      <c r="L120" s="7">
        <v>123.1</v>
      </c>
      <c r="M120" s="7">
        <v>200.5</v>
      </c>
      <c r="N120" s="7">
        <v>162.80000000000001</v>
      </c>
      <c r="O120" s="7">
        <v>193.3</v>
      </c>
      <c r="P120" s="7">
        <v>178.6</v>
      </c>
      <c r="Q120" s="7">
        <v>201.1</v>
      </c>
      <c r="R120" s="7">
        <v>177.7</v>
      </c>
      <c r="S120" s="7">
        <v>164.5</v>
      </c>
      <c r="T120" s="7">
        <v>175.7</v>
      </c>
      <c r="U120" s="7">
        <v>170.7</v>
      </c>
      <c r="V120" s="7">
        <v>180.6</v>
      </c>
      <c r="W120" s="7">
        <v>167.3</v>
      </c>
      <c r="X120" s="7">
        <v>177.2</v>
      </c>
      <c r="Y120" s="7">
        <v>159.4</v>
      </c>
      <c r="Z120" s="7">
        <v>167.1</v>
      </c>
      <c r="AA120" s="7">
        <v>171.8</v>
      </c>
      <c r="AB120" s="7">
        <v>176</v>
      </c>
      <c r="AC120" s="7">
        <v>168.2</v>
      </c>
      <c r="AD120" s="8">
        <v>174.1</v>
      </c>
    </row>
    <row r="121" spans="1:30" x14ac:dyDescent="0.3">
      <c r="A121" s="10" t="s">
        <v>32</v>
      </c>
      <c r="B121" s="5">
        <v>2023</v>
      </c>
      <c r="C121" s="5" t="s">
        <v>31</v>
      </c>
      <c r="D121" s="5">
        <v>173.3</v>
      </c>
      <c r="E121" s="5">
        <v>215.2</v>
      </c>
      <c r="F121" s="5">
        <v>197</v>
      </c>
      <c r="G121" s="5">
        <v>175.2</v>
      </c>
      <c r="H121" s="5">
        <v>178</v>
      </c>
      <c r="I121" s="5">
        <v>160.5</v>
      </c>
      <c r="J121" s="5">
        <v>175.3</v>
      </c>
      <c r="K121" s="5">
        <v>171.2</v>
      </c>
      <c r="L121" s="5">
        <v>122.7</v>
      </c>
      <c r="M121" s="5">
        <v>204.3</v>
      </c>
      <c r="N121" s="5">
        <v>163.69999999999999</v>
      </c>
      <c r="O121" s="5">
        <v>194.3</v>
      </c>
      <c r="P121" s="5">
        <v>179.5</v>
      </c>
      <c r="Q121" s="5">
        <v>201.6</v>
      </c>
      <c r="R121" s="5">
        <v>178.7</v>
      </c>
      <c r="S121" s="5">
        <v>165.3</v>
      </c>
      <c r="T121" s="5">
        <v>176.6</v>
      </c>
      <c r="U121" s="5">
        <v>172.1</v>
      </c>
      <c r="V121" s="5">
        <v>180.1</v>
      </c>
      <c r="W121" s="5">
        <v>168</v>
      </c>
      <c r="X121" s="5">
        <v>178.5</v>
      </c>
      <c r="Y121" s="5">
        <v>159.5</v>
      </c>
      <c r="Z121" s="5">
        <v>167.8</v>
      </c>
      <c r="AA121" s="5">
        <v>171.8</v>
      </c>
      <c r="AB121" s="5">
        <v>178.8</v>
      </c>
      <c r="AC121" s="5">
        <v>168.9</v>
      </c>
      <c r="AD121" s="6">
        <v>174.9</v>
      </c>
    </row>
    <row r="122" spans="1:30" x14ac:dyDescent="0.3">
      <c r="A122" s="9" t="s">
        <v>32</v>
      </c>
      <c r="B122" s="7">
        <v>2023</v>
      </c>
      <c r="C122" s="7" t="s">
        <v>34</v>
      </c>
      <c r="D122" s="7">
        <v>174.7</v>
      </c>
      <c r="E122" s="7">
        <v>212.2</v>
      </c>
      <c r="F122" s="7">
        <v>177.2</v>
      </c>
      <c r="G122" s="7">
        <v>177.9</v>
      </c>
      <c r="H122" s="7">
        <v>172.2</v>
      </c>
      <c r="I122" s="7">
        <v>172.1</v>
      </c>
      <c r="J122" s="7">
        <v>175.8</v>
      </c>
      <c r="K122" s="7">
        <v>172.2</v>
      </c>
      <c r="L122" s="7">
        <v>121.9</v>
      </c>
      <c r="M122" s="7">
        <v>204.8</v>
      </c>
      <c r="N122" s="7">
        <v>164.9</v>
      </c>
      <c r="O122" s="7">
        <v>196.6</v>
      </c>
      <c r="P122" s="7">
        <v>180.7</v>
      </c>
      <c r="Q122" s="7">
        <v>202.7</v>
      </c>
      <c r="R122" s="7">
        <v>180.3</v>
      </c>
      <c r="S122" s="7">
        <v>167</v>
      </c>
      <c r="T122" s="7">
        <v>178.2</v>
      </c>
      <c r="U122" s="7">
        <v>173.5</v>
      </c>
      <c r="V122" s="7">
        <v>182.8</v>
      </c>
      <c r="W122" s="7">
        <v>169.2</v>
      </c>
      <c r="X122" s="7">
        <v>180.8</v>
      </c>
      <c r="Y122" s="7">
        <v>159.80000000000001</v>
      </c>
      <c r="Z122" s="7">
        <v>168.4</v>
      </c>
      <c r="AA122" s="7">
        <v>172.5</v>
      </c>
      <c r="AB122" s="7">
        <v>181.4</v>
      </c>
      <c r="AC122" s="7">
        <v>170</v>
      </c>
      <c r="AD122" s="8">
        <v>176.3</v>
      </c>
    </row>
    <row r="123" spans="1:30" x14ac:dyDescent="0.3">
      <c r="A123" s="10" t="s">
        <v>32</v>
      </c>
      <c r="B123" s="5">
        <v>2023</v>
      </c>
      <c r="C123" s="5" t="s">
        <v>35</v>
      </c>
      <c r="D123" s="5">
        <v>174.7</v>
      </c>
      <c r="E123" s="5">
        <v>212.2</v>
      </c>
      <c r="F123" s="5">
        <v>177.2</v>
      </c>
      <c r="G123" s="5">
        <v>177.9</v>
      </c>
      <c r="H123" s="5">
        <v>172.2</v>
      </c>
      <c r="I123" s="5">
        <v>172.1</v>
      </c>
      <c r="J123" s="5">
        <v>175.9</v>
      </c>
      <c r="K123" s="5">
        <v>172.2</v>
      </c>
      <c r="L123" s="5">
        <v>121.9</v>
      </c>
      <c r="M123" s="5">
        <v>204.8</v>
      </c>
      <c r="N123" s="5">
        <v>164.9</v>
      </c>
      <c r="O123" s="5">
        <v>196.6</v>
      </c>
      <c r="P123" s="5">
        <v>180.8</v>
      </c>
      <c r="Q123" s="5">
        <v>202.7</v>
      </c>
      <c r="R123" s="5">
        <v>180.2</v>
      </c>
      <c r="S123" s="5">
        <v>167</v>
      </c>
      <c r="T123" s="5">
        <v>178.2</v>
      </c>
      <c r="U123" s="5">
        <v>173.5</v>
      </c>
      <c r="V123" s="5">
        <v>182.6</v>
      </c>
      <c r="W123" s="5">
        <v>169.2</v>
      </c>
      <c r="X123" s="5">
        <v>180.8</v>
      </c>
      <c r="Y123" s="5">
        <v>159.80000000000001</v>
      </c>
      <c r="Z123" s="5">
        <v>168.4</v>
      </c>
      <c r="AA123" s="5">
        <v>172.5</v>
      </c>
      <c r="AB123" s="5">
        <v>181.5</v>
      </c>
      <c r="AC123" s="5">
        <v>170</v>
      </c>
      <c r="AD123" s="6">
        <v>176.3</v>
      </c>
    </row>
    <row r="124" spans="1:30" x14ac:dyDescent="0.3">
      <c r="A124" s="9" t="s">
        <v>32</v>
      </c>
      <c r="B124" s="7">
        <v>2023</v>
      </c>
      <c r="C124" s="7" t="s">
        <v>36</v>
      </c>
      <c r="D124" s="7">
        <v>174.8</v>
      </c>
      <c r="E124" s="7">
        <v>213.7</v>
      </c>
      <c r="F124" s="7">
        <v>172.4</v>
      </c>
      <c r="G124" s="7">
        <v>178.8</v>
      </c>
      <c r="H124" s="7">
        <v>168.7</v>
      </c>
      <c r="I124" s="7">
        <v>179.2</v>
      </c>
      <c r="J124" s="7">
        <v>179.9</v>
      </c>
      <c r="K124" s="7">
        <v>174.7</v>
      </c>
      <c r="L124" s="7">
        <v>123.1</v>
      </c>
      <c r="M124" s="7">
        <v>207.8</v>
      </c>
      <c r="N124" s="7">
        <v>165.5</v>
      </c>
      <c r="O124" s="7">
        <v>197</v>
      </c>
      <c r="P124" s="7">
        <v>182.1</v>
      </c>
      <c r="Q124" s="7">
        <v>203.5</v>
      </c>
      <c r="R124" s="7">
        <v>181</v>
      </c>
      <c r="S124" s="7">
        <v>167.7</v>
      </c>
      <c r="T124" s="7">
        <v>178.9</v>
      </c>
      <c r="U124" s="7">
        <v>175.2</v>
      </c>
      <c r="V124" s="7">
        <v>182.1</v>
      </c>
      <c r="W124" s="7">
        <v>169.6</v>
      </c>
      <c r="X124" s="7">
        <v>181.5</v>
      </c>
      <c r="Y124" s="7">
        <v>160.1</v>
      </c>
      <c r="Z124" s="7">
        <v>168.8</v>
      </c>
      <c r="AA124" s="7">
        <v>174.2</v>
      </c>
      <c r="AB124" s="7">
        <v>184.4</v>
      </c>
      <c r="AC124" s="7">
        <v>170.9</v>
      </c>
      <c r="AD124" s="8">
        <v>177.4</v>
      </c>
    </row>
    <row r="125" spans="1:30" x14ac:dyDescent="0.3">
      <c r="A125" s="10" t="s">
        <v>32</v>
      </c>
      <c r="B125" s="5">
        <v>2023</v>
      </c>
      <c r="C125" s="5" t="s">
        <v>37</v>
      </c>
      <c r="D125" s="5">
        <v>174.7</v>
      </c>
      <c r="E125" s="5">
        <v>219.4</v>
      </c>
      <c r="F125" s="5">
        <v>176.7</v>
      </c>
      <c r="G125" s="5">
        <v>179.4</v>
      </c>
      <c r="H125" s="5">
        <v>164.4</v>
      </c>
      <c r="I125" s="5">
        <v>175.8</v>
      </c>
      <c r="J125" s="5">
        <v>185</v>
      </c>
      <c r="K125" s="5">
        <v>176.9</v>
      </c>
      <c r="L125" s="5">
        <v>124.2</v>
      </c>
      <c r="M125" s="5">
        <v>211.9</v>
      </c>
      <c r="N125" s="5">
        <v>165.9</v>
      </c>
      <c r="O125" s="5">
        <v>197.7</v>
      </c>
      <c r="P125" s="5">
        <v>183.1</v>
      </c>
      <c r="Q125" s="5">
        <v>204.2</v>
      </c>
      <c r="R125" s="5">
        <v>181.3</v>
      </c>
      <c r="S125" s="5">
        <v>168.1</v>
      </c>
      <c r="T125" s="5">
        <v>179.3</v>
      </c>
      <c r="U125" s="5">
        <v>175.6</v>
      </c>
      <c r="V125" s="5">
        <v>183.4</v>
      </c>
      <c r="W125" s="5">
        <v>170.1</v>
      </c>
      <c r="X125" s="5">
        <v>182.2</v>
      </c>
      <c r="Y125" s="5">
        <v>160.4</v>
      </c>
      <c r="Z125" s="5">
        <v>169.2</v>
      </c>
      <c r="AA125" s="5">
        <v>174.8</v>
      </c>
      <c r="AB125" s="5">
        <v>185.6</v>
      </c>
      <c r="AC125" s="5">
        <v>171.6</v>
      </c>
      <c r="AD125" s="6">
        <v>178.2</v>
      </c>
    </row>
    <row r="126" spans="1:30" hidden="1" x14ac:dyDescent="0.3">
      <c r="D126" s="36">
        <f>(D125-D114)/D114</f>
        <v>0.10920634920634914</v>
      </c>
      <c r="E126" s="36">
        <f t="shared" ref="E126:P126" si="0">(E125-E114)/E114</f>
        <v>-1.7905102954341987E-2</v>
      </c>
      <c r="F126" s="36">
        <f t="shared" si="0"/>
        <v>2.2569444444444312E-2</v>
      </c>
      <c r="G126" s="36">
        <f t="shared" si="0"/>
        <v>7.8125E-2</v>
      </c>
      <c r="H126" s="36">
        <f t="shared" si="0"/>
        <v>-0.12831389183457045</v>
      </c>
      <c r="I126" s="36">
        <f t="shared" si="0"/>
        <v>9.7645031591040623E-3</v>
      </c>
      <c r="J126" s="36">
        <f t="shared" si="0"/>
        <v>-0.12529550827423167</v>
      </c>
      <c r="K126" s="36">
        <f t="shared" si="0"/>
        <v>8.1295843520782465E-2</v>
      </c>
      <c r="L126" s="36">
        <f t="shared" si="0"/>
        <v>2.3064250411861591E-2</v>
      </c>
      <c r="M126" s="36">
        <f t="shared" si="0"/>
        <v>0.15476839237057224</v>
      </c>
      <c r="N126" s="36">
        <f t="shared" si="0"/>
        <v>4.2740414833438163E-2</v>
      </c>
      <c r="O126" s="36">
        <f t="shared" si="0"/>
        <v>6.119162640901759E-2</v>
      </c>
      <c r="P126" s="36">
        <f t="shared" si="0"/>
        <v>2.1193530395984286E-2</v>
      </c>
    </row>
    <row r="127" spans="1:30" hidden="1" x14ac:dyDescent="0.3">
      <c r="D127">
        <v>0.10920634920634914</v>
      </c>
      <c r="E127">
        <v>-1.7905102954341987E-2</v>
      </c>
      <c r="F127">
        <v>2.2569444444444312E-2</v>
      </c>
      <c r="G127">
        <v>7.8125E-2</v>
      </c>
      <c r="H127">
        <v>-0.12831389183457045</v>
      </c>
      <c r="I127">
        <v>9.7645031591040623E-3</v>
      </c>
      <c r="J127">
        <v>-0.12529550827423167</v>
      </c>
      <c r="K127">
        <v>8.1295843520782465E-2</v>
      </c>
      <c r="L127">
        <v>2.3064250411861591E-2</v>
      </c>
      <c r="M127">
        <v>0.15476839237057224</v>
      </c>
      <c r="N127">
        <v>4.2740414833438163E-2</v>
      </c>
      <c r="O127">
        <v>6.119162640901759E-2</v>
      </c>
      <c r="P127">
        <v>2.1193530395984286E-2</v>
      </c>
    </row>
  </sheetData>
  <autoFilter ref="A1:AD127" xr:uid="{404DE21C-432C-49A9-80A5-B57CF7820A10}">
    <filterColumn colId="1">
      <filters>
        <filter val="2020"/>
        <filter val="2022"/>
        <filter val="2023"/>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FEA25-9F93-436E-B906-2781732B2156}">
  <dimension ref="A1:EI128"/>
  <sheetViews>
    <sheetView workbookViewId="0">
      <selection sqref="A1:M1"/>
    </sheetView>
  </sheetViews>
  <sheetFormatPr defaultRowHeight="14.4" x14ac:dyDescent="0.3"/>
  <cols>
    <col min="1" max="1" width="19.109375" bestFit="1" customWidth="1"/>
    <col min="2" max="2" width="15.5546875" bestFit="1" customWidth="1"/>
    <col min="3" max="3" width="9.5546875" bestFit="1" customWidth="1"/>
    <col min="4" max="4" width="10.77734375" bestFit="1" customWidth="1"/>
    <col min="5" max="5" width="33.21875" bestFit="1" customWidth="1"/>
    <col min="6" max="6" width="18.88671875" bestFit="1" customWidth="1"/>
    <col min="7" max="7" width="12.88671875" bestFit="1" customWidth="1"/>
    <col min="8" max="8" width="33.44140625" bestFit="1" customWidth="1"/>
    <col min="9" max="9" width="31.109375" bestFit="1" customWidth="1"/>
    <col min="10" max="10" width="16" bestFit="1" customWidth="1"/>
    <col min="11" max="11" width="28.88671875" bestFit="1" customWidth="1"/>
    <col min="12" max="12" width="19.5546875" bestFit="1" customWidth="1"/>
    <col min="13" max="14" width="15.5546875" bestFit="1" customWidth="1"/>
    <col min="15" max="15" width="9.6640625" bestFit="1" customWidth="1"/>
    <col min="16" max="28" width="10.21875" bestFit="1" customWidth="1"/>
    <col min="29" max="29" width="9.6640625" bestFit="1" customWidth="1"/>
    <col min="30" max="41" width="10.21875" bestFit="1" customWidth="1"/>
    <col min="42" max="42" width="9.6640625" bestFit="1" customWidth="1"/>
    <col min="43" max="54" width="10.21875" bestFit="1" customWidth="1"/>
    <col min="55" max="55" width="9.6640625" bestFit="1" customWidth="1"/>
    <col min="56" max="67" width="10.21875" bestFit="1" customWidth="1"/>
    <col min="68" max="68" width="9.6640625" bestFit="1" customWidth="1"/>
    <col min="69" max="80" width="10.21875" bestFit="1" customWidth="1"/>
    <col min="81" max="81" width="9.6640625" bestFit="1" customWidth="1"/>
    <col min="82" max="92" width="10.21875" bestFit="1" customWidth="1"/>
    <col min="93" max="93" width="9.6640625" bestFit="1" customWidth="1"/>
    <col min="94" max="105" width="10.21875" bestFit="1" customWidth="1"/>
    <col min="106" max="106" width="9.6640625" bestFit="1" customWidth="1"/>
    <col min="107" max="118" width="10.21875" bestFit="1" customWidth="1"/>
    <col min="119" max="119" width="9.6640625" bestFit="1" customWidth="1"/>
    <col min="120" max="131" width="10.21875" bestFit="1" customWidth="1"/>
    <col min="132" max="132" width="9.6640625" bestFit="1" customWidth="1"/>
    <col min="133" max="137" width="8.44140625" bestFit="1" customWidth="1"/>
    <col min="138" max="138" width="9.6640625" bestFit="1" customWidth="1"/>
    <col min="139" max="139" width="10.77734375" bestFit="1" customWidth="1"/>
    <col min="140" max="140" width="24.6640625" bestFit="1" customWidth="1"/>
    <col min="141" max="141" width="38" bestFit="1" customWidth="1"/>
    <col min="142" max="142" width="24.6640625" bestFit="1" customWidth="1"/>
    <col min="143" max="143" width="38" bestFit="1" customWidth="1"/>
    <col min="144" max="144" width="24.6640625" bestFit="1" customWidth="1"/>
    <col min="145" max="145" width="38" bestFit="1" customWidth="1"/>
    <col min="146" max="146" width="24.6640625" bestFit="1" customWidth="1"/>
    <col min="147" max="147" width="38" bestFit="1" customWidth="1"/>
    <col min="148" max="148" width="24.6640625" bestFit="1" customWidth="1"/>
    <col min="149" max="149" width="38" bestFit="1" customWidth="1"/>
    <col min="150" max="150" width="24.6640625" bestFit="1" customWidth="1"/>
    <col min="151" max="151" width="38" bestFit="1" customWidth="1"/>
    <col min="152" max="152" width="24.6640625" bestFit="1" customWidth="1"/>
    <col min="153" max="153" width="38" bestFit="1" customWidth="1"/>
    <col min="154" max="154" width="24.6640625" bestFit="1" customWidth="1"/>
    <col min="155" max="155" width="38" bestFit="1" customWidth="1"/>
    <col min="156" max="156" width="24.6640625" bestFit="1" customWidth="1"/>
    <col min="157" max="157" width="42.5546875" bestFit="1" customWidth="1"/>
    <col min="158" max="158" width="29.21875" bestFit="1" customWidth="1"/>
    <col min="159" max="159" width="38" bestFit="1" customWidth="1"/>
    <col min="160" max="160" width="24.6640625" bestFit="1" customWidth="1"/>
    <col min="161" max="161" width="38" bestFit="1" customWidth="1"/>
    <col min="162" max="162" width="24.6640625" bestFit="1" customWidth="1"/>
    <col min="163" max="163" width="38" bestFit="1" customWidth="1"/>
    <col min="164" max="164" width="24.6640625" bestFit="1" customWidth="1"/>
    <col min="165" max="165" width="38" bestFit="1" customWidth="1"/>
    <col min="166" max="166" width="24.6640625" bestFit="1" customWidth="1"/>
    <col min="167" max="167" width="38" bestFit="1" customWidth="1"/>
    <col min="168" max="168" width="24.6640625" bestFit="1" customWidth="1"/>
    <col min="169" max="169" width="38" bestFit="1" customWidth="1"/>
    <col min="170" max="170" width="24.6640625" bestFit="1" customWidth="1"/>
    <col min="171" max="171" width="38" bestFit="1" customWidth="1"/>
    <col min="172" max="172" width="24.6640625" bestFit="1" customWidth="1"/>
    <col min="173" max="173" width="38" bestFit="1" customWidth="1"/>
    <col min="174" max="174" width="24.6640625" bestFit="1" customWidth="1"/>
    <col min="175" max="175" width="38" bestFit="1" customWidth="1"/>
    <col min="176" max="176" width="24.6640625" bestFit="1" customWidth="1"/>
    <col min="177" max="177" width="38" bestFit="1" customWidth="1"/>
    <col min="178" max="178" width="24.6640625" bestFit="1" customWidth="1"/>
    <col min="179" max="179" width="38" bestFit="1" customWidth="1"/>
    <col min="180" max="180" width="24.6640625" bestFit="1" customWidth="1"/>
    <col min="181" max="181" width="42.5546875" bestFit="1" customWidth="1"/>
    <col min="182" max="182" width="29.21875" bestFit="1" customWidth="1"/>
    <col min="183" max="183" width="38" bestFit="1" customWidth="1"/>
    <col min="184" max="184" width="24.6640625" bestFit="1" customWidth="1"/>
    <col min="185" max="185" width="38" bestFit="1" customWidth="1"/>
    <col min="186" max="186" width="24.6640625" bestFit="1" customWidth="1"/>
    <col min="187" max="187" width="38" bestFit="1" customWidth="1"/>
    <col min="188" max="188" width="24.6640625" bestFit="1" customWidth="1"/>
    <col min="189" max="189" width="38" bestFit="1" customWidth="1"/>
    <col min="190" max="190" width="24.6640625" bestFit="1" customWidth="1"/>
    <col min="191" max="191" width="38" bestFit="1" customWidth="1"/>
    <col min="192" max="192" width="24.6640625" bestFit="1" customWidth="1"/>
    <col min="193" max="193" width="38" bestFit="1" customWidth="1"/>
    <col min="194" max="194" width="24.6640625" bestFit="1" customWidth="1"/>
    <col min="195" max="195" width="38" bestFit="1" customWidth="1"/>
    <col min="196" max="196" width="24.6640625" bestFit="1" customWidth="1"/>
    <col min="197" max="197" width="38" bestFit="1" customWidth="1"/>
    <col min="198" max="198" width="24.6640625" bestFit="1" customWidth="1"/>
    <col min="199" max="199" width="38" bestFit="1" customWidth="1"/>
    <col min="200" max="200" width="24.6640625" bestFit="1" customWidth="1"/>
    <col min="201" max="201" width="38" bestFit="1" customWidth="1"/>
    <col min="202" max="202" width="24.6640625" bestFit="1" customWidth="1"/>
    <col min="203" max="203" width="38" bestFit="1" customWidth="1"/>
    <col min="204" max="204" width="24.6640625" bestFit="1" customWidth="1"/>
    <col min="205" max="205" width="38" bestFit="1" customWidth="1"/>
    <col min="206" max="206" width="24.6640625" bestFit="1" customWidth="1"/>
    <col min="207" max="207" width="42.5546875" bestFit="1" customWidth="1"/>
    <col min="208" max="208" width="29.21875" bestFit="1" customWidth="1"/>
    <col min="209" max="209" width="38" bestFit="1" customWidth="1"/>
    <col min="210" max="210" width="24.6640625" bestFit="1" customWidth="1"/>
    <col min="211" max="211" width="38" bestFit="1" customWidth="1"/>
    <col min="212" max="212" width="24.6640625" bestFit="1" customWidth="1"/>
    <col min="213" max="213" width="38" bestFit="1" customWidth="1"/>
    <col min="214" max="214" width="24.6640625" bestFit="1" customWidth="1"/>
    <col min="215" max="215" width="38" bestFit="1" customWidth="1"/>
    <col min="216" max="216" width="24.6640625" bestFit="1" customWidth="1"/>
    <col min="217" max="217" width="38" bestFit="1" customWidth="1"/>
    <col min="218" max="218" width="24.6640625" bestFit="1" customWidth="1"/>
    <col min="219" max="219" width="38" bestFit="1" customWidth="1"/>
    <col min="220" max="220" width="24.6640625" bestFit="1" customWidth="1"/>
    <col min="221" max="221" width="38" bestFit="1" customWidth="1"/>
    <col min="222" max="222" width="24.6640625" bestFit="1" customWidth="1"/>
    <col min="223" max="223" width="38" bestFit="1" customWidth="1"/>
    <col min="224" max="224" width="24.6640625" bestFit="1" customWidth="1"/>
    <col min="225" max="225" width="38" bestFit="1" customWidth="1"/>
    <col min="226" max="226" width="24.6640625" bestFit="1" customWidth="1"/>
    <col min="227" max="227" width="38" bestFit="1" customWidth="1"/>
    <col min="228" max="228" width="24.6640625" bestFit="1" customWidth="1"/>
    <col min="229" max="229" width="38" bestFit="1" customWidth="1"/>
    <col min="230" max="230" width="24.6640625" bestFit="1" customWidth="1"/>
    <col min="231" max="231" width="38" bestFit="1" customWidth="1"/>
    <col min="232" max="232" width="24.6640625" bestFit="1" customWidth="1"/>
    <col min="233" max="233" width="42.5546875" bestFit="1" customWidth="1"/>
    <col min="234" max="234" width="29.21875" bestFit="1" customWidth="1"/>
    <col min="235" max="235" width="38" bestFit="1" customWidth="1"/>
    <col min="236" max="236" width="24.6640625" bestFit="1" customWidth="1"/>
    <col min="237" max="237" width="38" bestFit="1" customWidth="1"/>
    <col min="238" max="238" width="24.6640625" bestFit="1" customWidth="1"/>
    <col min="239" max="239" width="38" bestFit="1" customWidth="1"/>
    <col min="240" max="240" width="24.6640625" bestFit="1" customWidth="1"/>
    <col min="241" max="241" width="38" bestFit="1" customWidth="1"/>
    <col min="242" max="242" width="24.6640625" bestFit="1" customWidth="1"/>
    <col min="243" max="243" width="38" bestFit="1" customWidth="1"/>
    <col min="244" max="244" width="24.6640625" bestFit="1" customWidth="1"/>
    <col min="245" max="245" width="38" bestFit="1" customWidth="1"/>
    <col min="246" max="246" width="24.6640625" bestFit="1" customWidth="1"/>
    <col min="247" max="247" width="38" bestFit="1" customWidth="1"/>
    <col min="248" max="248" width="24.6640625" bestFit="1" customWidth="1"/>
    <col min="249" max="249" width="38" bestFit="1" customWidth="1"/>
    <col min="250" max="250" width="24.6640625" bestFit="1" customWidth="1"/>
    <col min="251" max="251" width="38" bestFit="1" customWidth="1"/>
    <col min="252" max="252" width="24.6640625" bestFit="1" customWidth="1"/>
    <col min="253" max="253" width="38" bestFit="1" customWidth="1"/>
    <col min="254" max="254" width="24.6640625" bestFit="1" customWidth="1"/>
    <col min="255" max="255" width="38" bestFit="1" customWidth="1"/>
    <col min="256" max="256" width="24.6640625" bestFit="1" customWidth="1"/>
    <col min="257" max="257" width="38" bestFit="1" customWidth="1"/>
    <col min="258" max="258" width="24.6640625" bestFit="1" customWidth="1"/>
    <col min="259" max="259" width="42.5546875" bestFit="1" customWidth="1"/>
    <col min="260" max="260" width="29.21875" bestFit="1" customWidth="1"/>
    <col min="261" max="261" width="38" bestFit="1" customWidth="1"/>
    <col min="262" max="262" width="24.6640625" bestFit="1" customWidth="1"/>
    <col min="263" max="263" width="38" bestFit="1" customWidth="1"/>
    <col min="264" max="264" width="24.6640625" bestFit="1" customWidth="1"/>
    <col min="265" max="265" width="38" bestFit="1" customWidth="1"/>
    <col min="266" max="266" width="24.6640625" bestFit="1" customWidth="1"/>
    <col min="267" max="267" width="38" bestFit="1" customWidth="1"/>
    <col min="268" max="268" width="24.6640625" bestFit="1" customWidth="1"/>
    <col min="269" max="269" width="38" bestFit="1" customWidth="1"/>
    <col min="270" max="270" width="24.6640625" bestFit="1" customWidth="1"/>
    <col min="271" max="271" width="42.5546875" bestFit="1" customWidth="1"/>
    <col min="272" max="272" width="29.21875" bestFit="1" customWidth="1"/>
    <col min="273" max="273" width="42.77734375" bestFit="1" customWidth="1"/>
    <col min="274" max="274" width="29.5546875" bestFit="1" customWidth="1"/>
    <col min="275" max="275" width="24.6640625" bestFit="1" customWidth="1"/>
    <col min="276" max="276" width="28.5546875" bestFit="1" customWidth="1"/>
    <col min="277" max="277" width="38" bestFit="1" customWidth="1"/>
    <col min="278" max="278" width="24.6640625" bestFit="1" customWidth="1"/>
    <col min="279" max="279" width="28.5546875" bestFit="1" customWidth="1"/>
    <col min="280" max="280" width="38" bestFit="1" customWidth="1"/>
    <col min="281" max="281" width="24.6640625" bestFit="1" customWidth="1"/>
    <col min="282" max="282" width="28.5546875" bestFit="1" customWidth="1"/>
    <col min="283" max="283" width="38" bestFit="1" customWidth="1"/>
    <col min="284" max="284" width="24.6640625" bestFit="1" customWidth="1"/>
    <col min="285" max="285" width="28.5546875" bestFit="1" customWidth="1"/>
    <col min="286" max="286" width="38" bestFit="1" customWidth="1"/>
    <col min="287" max="287" width="24.6640625" bestFit="1" customWidth="1"/>
    <col min="288" max="288" width="28.5546875" bestFit="1" customWidth="1"/>
    <col min="289" max="289" width="38" bestFit="1" customWidth="1"/>
    <col min="290" max="290" width="24.6640625" bestFit="1" customWidth="1"/>
    <col min="291" max="291" width="28.5546875" bestFit="1" customWidth="1"/>
    <col min="292" max="292" width="38" bestFit="1" customWidth="1"/>
    <col min="293" max="293" width="24.6640625" bestFit="1" customWidth="1"/>
    <col min="294" max="294" width="28.5546875" bestFit="1" customWidth="1"/>
    <col min="295" max="295" width="38" bestFit="1" customWidth="1"/>
    <col min="296" max="296" width="24.6640625" bestFit="1" customWidth="1"/>
    <col min="297" max="297" width="28.5546875" bestFit="1" customWidth="1"/>
    <col min="298" max="298" width="38" bestFit="1" customWidth="1"/>
    <col min="299" max="299" width="24.6640625" bestFit="1" customWidth="1"/>
    <col min="300" max="300" width="28.5546875" bestFit="1" customWidth="1"/>
    <col min="301" max="301" width="38" bestFit="1" customWidth="1"/>
    <col min="302" max="302" width="24.6640625" bestFit="1" customWidth="1"/>
    <col min="303" max="303" width="28.5546875" bestFit="1" customWidth="1"/>
    <col min="304" max="304" width="38" bestFit="1" customWidth="1"/>
    <col min="305" max="305" width="24.6640625" bestFit="1" customWidth="1"/>
    <col min="306" max="306" width="28.5546875" bestFit="1" customWidth="1"/>
    <col min="307" max="307" width="38" bestFit="1" customWidth="1"/>
    <col min="308" max="308" width="24.6640625" bestFit="1" customWidth="1"/>
    <col min="309" max="309" width="33.109375" bestFit="1" customWidth="1"/>
    <col min="310" max="310" width="42.5546875" bestFit="1" customWidth="1"/>
    <col min="311" max="311" width="29.21875" bestFit="1" customWidth="1"/>
    <col min="312" max="312" width="28.5546875" bestFit="1" customWidth="1"/>
    <col min="313" max="313" width="38" bestFit="1" customWidth="1"/>
    <col min="314" max="314" width="24.6640625" bestFit="1" customWidth="1"/>
    <col min="315" max="315" width="28.5546875" bestFit="1" customWidth="1"/>
    <col min="316" max="316" width="38" bestFit="1" customWidth="1"/>
    <col min="317" max="317" width="24.6640625" bestFit="1" customWidth="1"/>
    <col min="318" max="318" width="28.5546875" bestFit="1" customWidth="1"/>
    <col min="319" max="319" width="38" bestFit="1" customWidth="1"/>
    <col min="320" max="320" width="24.6640625" bestFit="1" customWidth="1"/>
    <col min="321" max="321" width="28.5546875" bestFit="1" customWidth="1"/>
    <col min="322" max="322" width="38" bestFit="1" customWidth="1"/>
    <col min="323" max="323" width="24.6640625" bestFit="1" customWidth="1"/>
    <col min="324" max="324" width="28.5546875" bestFit="1" customWidth="1"/>
    <col min="325" max="325" width="38" bestFit="1" customWidth="1"/>
    <col min="326" max="326" width="24.6640625" bestFit="1" customWidth="1"/>
    <col min="327" max="327" width="28.5546875" bestFit="1" customWidth="1"/>
    <col min="328" max="328" width="38" bestFit="1" customWidth="1"/>
    <col min="329" max="329" width="24.6640625" bestFit="1" customWidth="1"/>
    <col min="330" max="330" width="28.5546875" bestFit="1" customWidth="1"/>
    <col min="331" max="331" width="38" bestFit="1" customWidth="1"/>
    <col min="332" max="332" width="24.6640625" bestFit="1" customWidth="1"/>
    <col min="333" max="333" width="28.5546875" bestFit="1" customWidth="1"/>
    <col min="334" max="334" width="38" bestFit="1" customWidth="1"/>
    <col min="335" max="335" width="24.6640625" bestFit="1" customWidth="1"/>
    <col min="336" max="336" width="28.5546875" bestFit="1" customWidth="1"/>
    <col min="337" max="337" width="38" bestFit="1" customWidth="1"/>
    <col min="338" max="338" width="24.6640625" bestFit="1" customWidth="1"/>
    <col min="339" max="339" width="28.5546875" bestFit="1" customWidth="1"/>
    <col min="340" max="340" width="38" bestFit="1" customWidth="1"/>
    <col min="341" max="341" width="24.6640625" bestFit="1" customWidth="1"/>
    <col min="342" max="342" width="28.5546875" bestFit="1" customWidth="1"/>
    <col min="343" max="343" width="38" bestFit="1" customWidth="1"/>
    <col min="344" max="344" width="24.6640625" bestFit="1" customWidth="1"/>
    <col min="345" max="345" width="28.5546875" bestFit="1" customWidth="1"/>
    <col min="346" max="346" width="38" bestFit="1" customWidth="1"/>
    <col min="347" max="347" width="24.6640625" bestFit="1" customWidth="1"/>
    <col min="348" max="348" width="33.109375" bestFit="1" customWidth="1"/>
    <col min="349" max="349" width="42.5546875" bestFit="1" customWidth="1"/>
    <col min="350" max="350" width="29.21875" bestFit="1" customWidth="1"/>
    <col min="351" max="351" width="28.5546875" bestFit="1" customWidth="1"/>
    <col min="352" max="352" width="38" bestFit="1" customWidth="1"/>
    <col min="353" max="353" width="24.6640625" bestFit="1" customWidth="1"/>
    <col min="354" max="354" width="28.5546875" bestFit="1" customWidth="1"/>
    <col min="355" max="355" width="38" bestFit="1" customWidth="1"/>
    <col min="356" max="356" width="24.6640625" bestFit="1" customWidth="1"/>
    <col min="357" max="357" width="28.5546875" bestFit="1" customWidth="1"/>
    <col min="358" max="358" width="38" bestFit="1" customWidth="1"/>
    <col min="359" max="359" width="24.6640625" bestFit="1" customWidth="1"/>
    <col min="360" max="360" width="28.5546875" bestFit="1" customWidth="1"/>
    <col min="361" max="361" width="38" bestFit="1" customWidth="1"/>
    <col min="362" max="362" width="24.6640625" bestFit="1" customWidth="1"/>
    <col min="363" max="363" width="28.5546875" bestFit="1" customWidth="1"/>
    <col min="364" max="364" width="38" bestFit="1" customWidth="1"/>
    <col min="365" max="365" width="24.6640625" bestFit="1" customWidth="1"/>
    <col min="366" max="366" width="28.5546875" bestFit="1" customWidth="1"/>
    <col min="367" max="367" width="38" bestFit="1" customWidth="1"/>
    <col min="368" max="368" width="24.6640625" bestFit="1" customWidth="1"/>
    <col min="369" max="369" width="28.5546875" bestFit="1" customWidth="1"/>
    <col min="370" max="370" width="38" bestFit="1" customWidth="1"/>
    <col min="371" max="371" width="24.6640625" bestFit="1" customWidth="1"/>
    <col min="372" max="372" width="28.5546875" bestFit="1" customWidth="1"/>
    <col min="373" max="373" width="38" bestFit="1" customWidth="1"/>
    <col min="374" max="374" width="24.6640625" bestFit="1" customWidth="1"/>
    <col min="375" max="375" width="28.5546875" bestFit="1" customWidth="1"/>
    <col min="376" max="376" width="38" bestFit="1" customWidth="1"/>
    <col min="377" max="377" width="24.6640625" bestFit="1" customWidth="1"/>
    <col min="378" max="378" width="28.5546875" bestFit="1" customWidth="1"/>
    <col min="379" max="379" width="38" bestFit="1" customWidth="1"/>
    <col min="380" max="380" width="24.6640625" bestFit="1" customWidth="1"/>
    <col min="381" max="381" width="28.5546875" bestFit="1" customWidth="1"/>
    <col min="382" max="382" width="38" bestFit="1" customWidth="1"/>
    <col min="383" max="383" width="24.6640625" bestFit="1" customWidth="1"/>
    <col min="384" max="384" width="28.5546875" bestFit="1" customWidth="1"/>
    <col min="385" max="385" width="38" bestFit="1" customWidth="1"/>
    <col min="386" max="386" width="24.6640625" bestFit="1" customWidth="1"/>
    <col min="387" max="387" width="33.109375" bestFit="1" customWidth="1"/>
    <col min="388" max="388" width="42.5546875" bestFit="1" customWidth="1"/>
    <col min="389" max="389" width="29.21875" bestFit="1" customWidth="1"/>
    <col min="390" max="390" width="28.5546875" bestFit="1" customWidth="1"/>
    <col min="391" max="391" width="38" bestFit="1" customWidth="1"/>
    <col min="392" max="392" width="24.6640625" bestFit="1" customWidth="1"/>
    <col min="393" max="393" width="28.5546875" bestFit="1" customWidth="1"/>
    <col min="394" max="394" width="38" bestFit="1" customWidth="1"/>
    <col min="395" max="395" width="24.6640625" bestFit="1" customWidth="1"/>
    <col min="396" max="396" width="28.5546875" bestFit="1" customWidth="1"/>
    <col min="397" max="397" width="38" bestFit="1" customWidth="1"/>
    <col min="398" max="398" width="24.6640625" bestFit="1" customWidth="1"/>
    <col min="399" max="399" width="28.5546875" bestFit="1" customWidth="1"/>
    <col min="400" max="400" width="38" bestFit="1" customWidth="1"/>
    <col min="401" max="401" width="24.6640625" bestFit="1" customWidth="1"/>
    <col min="402" max="402" width="28.5546875" bestFit="1" customWidth="1"/>
    <col min="403" max="403" width="38" bestFit="1" customWidth="1"/>
    <col min="404" max="404" width="24.6640625" bestFit="1" customWidth="1"/>
    <col min="405" max="405" width="33.109375" bestFit="1" customWidth="1"/>
    <col min="406" max="406" width="42.5546875" bestFit="1" customWidth="1"/>
    <col min="407" max="407" width="29.21875" bestFit="1" customWidth="1"/>
    <col min="408" max="408" width="33.33203125" bestFit="1" customWidth="1"/>
    <col min="409" max="409" width="42.77734375" bestFit="1" customWidth="1"/>
    <col min="410" max="410" width="29.5546875" bestFit="1" customWidth="1"/>
    <col min="411" max="411" width="17.33203125" bestFit="1" customWidth="1"/>
    <col min="412" max="412" width="33.109375" bestFit="1" customWidth="1"/>
    <col min="413" max="413" width="42.5546875" bestFit="1" customWidth="1"/>
    <col min="414" max="414" width="29.21875" bestFit="1" customWidth="1"/>
    <col min="415" max="415" width="12.6640625" bestFit="1" customWidth="1"/>
    <col min="416" max="416" width="28.5546875" bestFit="1" customWidth="1"/>
    <col min="417" max="417" width="38" bestFit="1" customWidth="1"/>
    <col min="418" max="418" width="24.6640625" bestFit="1" customWidth="1"/>
    <col min="419" max="419" width="12.6640625" bestFit="1" customWidth="1"/>
    <col min="420" max="420" width="28.5546875" bestFit="1" customWidth="1"/>
    <col min="421" max="421" width="38" bestFit="1" customWidth="1"/>
    <col min="422" max="422" width="24.6640625" bestFit="1" customWidth="1"/>
    <col min="423" max="423" width="12.6640625" bestFit="1" customWidth="1"/>
    <col min="424" max="424" width="28.5546875" bestFit="1" customWidth="1"/>
    <col min="425" max="425" width="38" bestFit="1" customWidth="1"/>
    <col min="426" max="426" width="24.6640625" bestFit="1" customWidth="1"/>
    <col min="427" max="427" width="12.6640625" bestFit="1" customWidth="1"/>
    <col min="428" max="428" width="28.5546875" bestFit="1" customWidth="1"/>
    <col min="429" max="429" width="38" bestFit="1" customWidth="1"/>
    <col min="430" max="430" width="24.6640625" bestFit="1" customWidth="1"/>
    <col min="431" max="431" width="12.6640625" bestFit="1" customWidth="1"/>
    <col min="432" max="432" width="28.5546875" bestFit="1" customWidth="1"/>
    <col min="433" max="433" width="38" bestFit="1" customWidth="1"/>
    <col min="434" max="434" width="24.6640625" bestFit="1" customWidth="1"/>
    <col min="435" max="435" width="12.6640625" bestFit="1" customWidth="1"/>
    <col min="436" max="436" width="28.5546875" bestFit="1" customWidth="1"/>
    <col min="437" max="437" width="38" bestFit="1" customWidth="1"/>
    <col min="438" max="438" width="24.6640625" bestFit="1" customWidth="1"/>
    <col min="439" max="439" width="12.6640625" bestFit="1" customWidth="1"/>
    <col min="440" max="440" width="28.5546875" bestFit="1" customWidth="1"/>
    <col min="441" max="441" width="38" bestFit="1" customWidth="1"/>
    <col min="442" max="442" width="24.6640625" bestFit="1" customWidth="1"/>
    <col min="443" max="443" width="12.6640625" bestFit="1" customWidth="1"/>
    <col min="444" max="444" width="28.5546875" bestFit="1" customWidth="1"/>
    <col min="445" max="445" width="38" bestFit="1" customWidth="1"/>
    <col min="446" max="446" width="24.6640625" bestFit="1" customWidth="1"/>
    <col min="447" max="447" width="12.6640625" bestFit="1" customWidth="1"/>
    <col min="448" max="448" width="28.5546875" bestFit="1" customWidth="1"/>
    <col min="449" max="449" width="38" bestFit="1" customWidth="1"/>
    <col min="450" max="450" width="24.6640625" bestFit="1" customWidth="1"/>
    <col min="451" max="451" width="12.6640625" bestFit="1" customWidth="1"/>
    <col min="452" max="452" width="28.5546875" bestFit="1" customWidth="1"/>
    <col min="453" max="453" width="38" bestFit="1" customWidth="1"/>
    <col min="454" max="454" width="24.6640625" bestFit="1" customWidth="1"/>
    <col min="455" max="455" width="12.6640625" bestFit="1" customWidth="1"/>
    <col min="456" max="456" width="28.5546875" bestFit="1" customWidth="1"/>
    <col min="457" max="457" width="38" bestFit="1" customWidth="1"/>
    <col min="458" max="458" width="24.6640625" bestFit="1" customWidth="1"/>
    <col min="459" max="459" width="12.6640625" bestFit="1" customWidth="1"/>
    <col min="460" max="460" width="28.5546875" bestFit="1" customWidth="1"/>
    <col min="461" max="461" width="38" bestFit="1" customWidth="1"/>
    <col min="462" max="462" width="24.6640625" bestFit="1" customWidth="1"/>
    <col min="463" max="463" width="17.33203125" bestFit="1" customWidth="1"/>
    <col min="464" max="464" width="33.109375" bestFit="1" customWidth="1"/>
    <col min="465" max="465" width="42.5546875" bestFit="1" customWidth="1"/>
    <col min="466" max="466" width="29.21875" bestFit="1" customWidth="1"/>
    <col min="467" max="467" width="12.6640625" bestFit="1" customWidth="1"/>
    <col min="468" max="468" width="28.5546875" bestFit="1" customWidth="1"/>
    <col min="469" max="469" width="38" bestFit="1" customWidth="1"/>
    <col min="470" max="470" width="24.6640625" bestFit="1" customWidth="1"/>
    <col min="471" max="471" width="12.6640625" bestFit="1" customWidth="1"/>
    <col min="472" max="472" width="28.5546875" bestFit="1" customWidth="1"/>
    <col min="473" max="473" width="38" bestFit="1" customWidth="1"/>
    <col min="474" max="474" width="24.6640625" bestFit="1" customWidth="1"/>
    <col min="475" max="475" width="12.6640625" bestFit="1" customWidth="1"/>
    <col min="476" max="476" width="28.5546875" bestFit="1" customWidth="1"/>
    <col min="477" max="477" width="38" bestFit="1" customWidth="1"/>
    <col min="478" max="478" width="24.6640625" bestFit="1" customWidth="1"/>
    <col min="479" max="479" width="12.6640625" bestFit="1" customWidth="1"/>
    <col min="480" max="480" width="28.5546875" bestFit="1" customWidth="1"/>
    <col min="481" max="481" width="38" bestFit="1" customWidth="1"/>
    <col min="482" max="482" width="24.6640625" bestFit="1" customWidth="1"/>
    <col min="483" max="483" width="12.6640625" bestFit="1" customWidth="1"/>
    <col min="484" max="484" width="28.5546875" bestFit="1" customWidth="1"/>
    <col min="485" max="485" width="38" bestFit="1" customWidth="1"/>
    <col min="486" max="486" width="24.6640625" bestFit="1" customWidth="1"/>
    <col min="487" max="487" width="12.6640625" bestFit="1" customWidth="1"/>
    <col min="488" max="488" width="28.5546875" bestFit="1" customWidth="1"/>
    <col min="489" max="489" width="38" bestFit="1" customWidth="1"/>
    <col min="490" max="490" width="24.6640625" bestFit="1" customWidth="1"/>
    <col min="491" max="491" width="12.6640625" bestFit="1" customWidth="1"/>
    <col min="492" max="492" width="28.5546875" bestFit="1" customWidth="1"/>
    <col min="493" max="493" width="38" bestFit="1" customWidth="1"/>
    <col min="494" max="494" width="24.6640625" bestFit="1" customWidth="1"/>
    <col min="495" max="495" width="12.6640625" bestFit="1" customWidth="1"/>
    <col min="496" max="496" width="28.5546875" bestFit="1" customWidth="1"/>
    <col min="497" max="497" width="38" bestFit="1" customWidth="1"/>
    <col min="498" max="498" width="24.6640625" bestFit="1" customWidth="1"/>
    <col min="499" max="499" width="12.6640625" bestFit="1" customWidth="1"/>
    <col min="500" max="500" width="28.5546875" bestFit="1" customWidth="1"/>
    <col min="501" max="501" width="38" bestFit="1" customWidth="1"/>
    <col min="502" max="502" width="24.6640625" bestFit="1" customWidth="1"/>
    <col min="503" max="503" width="12.6640625" bestFit="1" customWidth="1"/>
    <col min="504" max="504" width="28.5546875" bestFit="1" customWidth="1"/>
    <col min="505" max="505" width="38" bestFit="1" customWidth="1"/>
    <col min="506" max="506" width="24.6640625" bestFit="1" customWidth="1"/>
    <col min="507" max="507" width="12.6640625" bestFit="1" customWidth="1"/>
    <col min="508" max="508" width="28.5546875" bestFit="1" customWidth="1"/>
    <col min="509" max="509" width="38" bestFit="1" customWidth="1"/>
    <col min="510" max="510" width="24.6640625" bestFit="1" customWidth="1"/>
    <col min="511" max="511" width="12.6640625" bestFit="1" customWidth="1"/>
    <col min="512" max="512" width="28.5546875" bestFit="1" customWidth="1"/>
    <col min="513" max="513" width="38" bestFit="1" customWidth="1"/>
    <col min="514" max="514" width="24.6640625" bestFit="1" customWidth="1"/>
    <col min="515" max="515" width="17.33203125" bestFit="1" customWidth="1"/>
    <col min="516" max="516" width="33.109375" bestFit="1" customWidth="1"/>
    <col min="517" max="517" width="42.5546875" bestFit="1" customWidth="1"/>
    <col min="518" max="518" width="29.21875" bestFit="1" customWidth="1"/>
    <col min="519" max="519" width="12.6640625" bestFit="1" customWidth="1"/>
    <col min="520" max="520" width="28.5546875" bestFit="1" customWidth="1"/>
    <col min="521" max="521" width="38" bestFit="1" customWidth="1"/>
    <col min="522" max="522" width="24.6640625" bestFit="1" customWidth="1"/>
    <col min="523" max="523" width="12.6640625" bestFit="1" customWidth="1"/>
    <col min="524" max="524" width="28.5546875" bestFit="1" customWidth="1"/>
    <col min="525" max="525" width="38" bestFit="1" customWidth="1"/>
    <col min="526" max="526" width="24.6640625" bestFit="1" customWidth="1"/>
    <col min="527" max="527" width="12.6640625" bestFit="1" customWidth="1"/>
    <col min="528" max="528" width="28.5546875" bestFit="1" customWidth="1"/>
    <col min="529" max="529" width="38" bestFit="1" customWidth="1"/>
    <col min="530" max="530" width="24.6640625" bestFit="1" customWidth="1"/>
    <col min="531" max="531" width="12.6640625" bestFit="1" customWidth="1"/>
    <col min="532" max="532" width="28.5546875" bestFit="1" customWidth="1"/>
    <col min="533" max="533" width="38" bestFit="1" customWidth="1"/>
    <col min="534" max="534" width="24.6640625" bestFit="1" customWidth="1"/>
    <col min="535" max="535" width="12.6640625" bestFit="1" customWidth="1"/>
    <col min="536" max="536" width="28.5546875" bestFit="1" customWidth="1"/>
    <col min="537" max="537" width="38" bestFit="1" customWidth="1"/>
    <col min="538" max="538" width="24.6640625" bestFit="1" customWidth="1"/>
    <col min="539" max="539" width="17.33203125" bestFit="1" customWidth="1"/>
    <col min="540" max="540" width="33.109375" bestFit="1" customWidth="1"/>
    <col min="541" max="541" width="42.5546875" bestFit="1" customWidth="1"/>
    <col min="542" max="542" width="29.21875" bestFit="1" customWidth="1"/>
    <col min="543" max="543" width="17.5546875" bestFit="1" customWidth="1"/>
    <col min="544" max="544" width="33.33203125" bestFit="1" customWidth="1"/>
    <col min="545" max="545" width="42.77734375" bestFit="1" customWidth="1"/>
    <col min="546" max="546" width="29.5546875" bestFit="1" customWidth="1"/>
    <col min="547" max="547" width="24.6640625" bestFit="1" customWidth="1"/>
    <col min="548" max="548" width="28.6640625" bestFit="1" customWidth="1"/>
    <col min="549" max="549" width="12.6640625" bestFit="1" customWidth="1"/>
    <col min="550" max="550" width="28.5546875" bestFit="1" customWidth="1"/>
    <col min="551" max="551" width="38" bestFit="1" customWidth="1"/>
    <col min="552" max="552" width="24.6640625" bestFit="1" customWidth="1"/>
    <col min="553" max="553" width="28.6640625" bestFit="1" customWidth="1"/>
    <col min="554" max="554" width="12.6640625" bestFit="1" customWidth="1"/>
    <col min="555" max="555" width="28.5546875" bestFit="1" customWidth="1"/>
    <col min="556" max="556" width="38" bestFit="1" customWidth="1"/>
    <col min="557" max="557" width="24.6640625" bestFit="1" customWidth="1"/>
    <col min="558" max="558" width="28.6640625" bestFit="1" customWidth="1"/>
    <col min="559" max="559" width="12.6640625" bestFit="1" customWidth="1"/>
    <col min="560" max="560" width="28.5546875" bestFit="1" customWidth="1"/>
    <col min="561" max="561" width="38" bestFit="1" customWidth="1"/>
    <col min="562" max="562" width="24.6640625" bestFit="1" customWidth="1"/>
    <col min="563" max="563" width="28.6640625" bestFit="1" customWidth="1"/>
    <col min="564" max="564" width="12.6640625" bestFit="1" customWidth="1"/>
    <col min="565" max="565" width="28.5546875" bestFit="1" customWidth="1"/>
    <col min="566" max="566" width="38" bestFit="1" customWidth="1"/>
    <col min="567" max="567" width="24.6640625" bestFit="1" customWidth="1"/>
    <col min="568" max="568" width="28.6640625" bestFit="1" customWidth="1"/>
    <col min="569" max="569" width="12.6640625" bestFit="1" customWidth="1"/>
    <col min="570" max="570" width="28.5546875" bestFit="1" customWidth="1"/>
    <col min="571" max="571" width="38" bestFit="1" customWidth="1"/>
    <col min="572" max="572" width="24.6640625" bestFit="1" customWidth="1"/>
    <col min="573" max="573" width="28.6640625" bestFit="1" customWidth="1"/>
    <col min="574" max="574" width="12.6640625" bestFit="1" customWidth="1"/>
    <col min="575" max="575" width="28.5546875" bestFit="1" customWidth="1"/>
    <col min="576" max="576" width="38" bestFit="1" customWidth="1"/>
    <col min="577" max="577" width="24.6640625" bestFit="1" customWidth="1"/>
    <col min="578" max="578" width="33.21875" bestFit="1" customWidth="1"/>
    <col min="579" max="579" width="17.33203125" bestFit="1" customWidth="1"/>
    <col min="580" max="580" width="33.109375" bestFit="1" customWidth="1"/>
    <col min="581" max="581" width="42.5546875" bestFit="1" customWidth="1"/>
    <col min="582" max="582" width="29.21875" bestFit="1" customWidth="1"/>
    <col min="583" max="583" width="28.6640625" bestFit="1" customWidth="1"/>
    <col min="584" max="584" width="12.6640625" bestFit="1" customWidth="1"/>
    <col min="585" max="585" width="28.5546875" bestFit="1" customWidth="1"/>
    <col min="586" max="586" width="38" bestFit="1" customWidth="1"/>
    <col min="587" max="587" width="24.6640625" bestFit="1" customWidth="1"/>
    <col min="588" max="588" width="28.6640625" bestFit="1" customWidth="1"/>
    <col min="589" max="589" width="12.6640625" bestFit="1" customWidth="1"/>
    <col min="590" max="590" width="28.5546875" bestFit="1" customWidth="1"/>
    <col min="591" max="591" width="38" bestFit="1" customWidth="1"/>
    <col min="592" max="592" width="24.6640625" bestFit="1" customWidth="1"/>
    <col min="593" max="593" width="28.6640625" bestFit="1" customWidth="1"/>
    <col min="594" max="594" width="12.6640625" bestFit="1" customWidth="1"/>
    <col min="595" max="595" width="28.5546875" bestFit="1" customWidth="1"/>
    <col min="596" max="596" width="38" bestFit="1" customWidth="1"/>
    <col min="597" max="597" width="24.6640625" bestFit="1" customWidth="1"/>
    <col min="598" max="598" width="28.6640625" bestFit="1" customWidth="1"/>
    <col min="599" max="599" width="12.6640625" bestFit="1" customWidth="1"/>
    <col min="600" max="600" width="28.5546875" bestFit="1" customWidth="1"/>
    <col min="601" max="601" width="38" bestFit="1" customWidth="1"/>
    <col min="602" max="602" width="24.6640625" bestFit="1" customWidth="1"/>
    <col min="603" max="603" width="28.6640625" bestFit="1" customWidth="1"/>
    <col min="604" max="604" width="12.6640625" bestFit="1" customWidth="1"/>
    <col min="605" max="605" width="28.5546875" bestFit="1" customWidth="1"/>
    <col min="606" max="606" width="38" bestFit="1" customWidth="1"/>
    <col min="607" max="607" width="24.6640625" bestFit="1" customWidth="1"/>
    <col min="608" max="608" width="28.6640625" bestFit="1" customWidth="1"/>
    <col min="609" max="609" width="12.6640625" bestFit="1" customWidth="1"/>
    <col min="610" max="610" width="28.5546875" bestFit="1" customWidth="1"/>
    <col min="611" max="611" width="38" bestFit="1" customWidth="1"/>
    <col min="612" max="612" width="24.6640625" bestFit="1" customWidth="1"/>
    <col min="613" max="613" width="28.6640625" bestFit="1" customWidth="1"/>
    <col min="614" max="614" width="12.6640625" bestFit="1" customWidth="1"/>
    <col min="615" max="615" width="28.5546875" bestFit="1" customWidth="1"/>
    <col min="616" max="616" width="38" bestFit="1" customWidth="1"/>
    <col min="617" max="617" width="24.6640625" bestFit="1" customWidth="1"/>
    <col min="618" max="618" width="28.6640625" bestFit="1" customWidth="1"/>
    <col min="619" max="619" width="12.6640625" bestFit="1" customWidth="1"/>
    <col min="620" max="620" width="28.5546875" bestFit="1" customWidth="1"/>
    <col min="621" max="621" width="38" bestFit="1" customWidth="1"/>
    <col min="622" max="622" width="24.6640625" bestFit="1" customWidth="1"/>
    <col min="623" max="623" width="28.6640625" bestFit="1" customWidth="1"/>
    <col min="624" max="624" width="12.6640625" bestFit="1" customWidth="1"/>
    <col min="625" max="625" width="28.5546875" bestFit="1" customWidth="1"/>
    <col min="626" max="626" width="38" bestFit="1" customWidth="1"/>
    <col min="627" max="627" width="24.6640625" bestFit="1" customWidth="1"/>
    <col min="628" max="628" width="28.6640625" bestFit="1" customWidth="1"/>
    <col min="629" max="629" width="12.6640625" bestFit="1" customWidth="1"/>
    <col min="630" max="630" width="28.5546875" bestFit="1" customWidth="1"/>
    <col min="631" max="631" width="38" bestFit="1" customWidth="1"/>
    <col min="632" max="632" width="24.6640625" bestFit="1" customWidth="1"/>
    <col min="633" max="633" width="28.6640625" bestFit="1" customWidth="1"/>
    <col min="634" max="634" width="12.6640625" bestFit="1" customWidth="1"/>
    <col min="635" max="635" width="28.5546875" bestFit="1" customWidth="1"/>
    <col min="636" max="636" width="38" bestFit="1" customWidth="1"/>
    <col min="637" max="637" width="24.6640625" bestFit="1" customWidth="1"/>
    <col min="638" max="638" width="28.6640625" bestFit="1" customWidth="1"/>
    <col min="639" max="639" width="12.6640625" bestFit="1" customWidth="1"/>
    <col min="640" max="640" width="28.5546875" bestFit="1" customWidth="1"/>
    <col min="641" max="641" width="38" bestFit="1" customWidth="1"/>
    <col min="642" max="642" width="24.6640625" bestFit="1" customWidth="1"/>
    <col min="643" max="643" width="33.21875" bestFit="1" customWidth="1"/>
    <col min="644" max="644" width="17.33203125" bestFit="1" customWidth="1"/>
    <col min="645" max="645" width="33.109375" bestFit="1" customWidth="1"/>
    <col min="646" max="646" width="42.5546875" bestFit="1" customWidth="1"/>
    <col min="647" max="647" width="29.21875" bestFit="1" customWidth="1"/>
    <col min="648" max="648" width="28.6640625" bestFit="1" customWidth="1"/>
    <col min="649" max="649" width="12.6640625" bestFit="1" customWidth="1"/>
    <col min="650" max="650" width="28.5546875" bestFit="1" customWidth="1"/>
    <col min="651" max="651" width="38" bestFit="1" customWidth="1"/>
    <col min="652" max="652" width="24.6640625" bestFit="1" customWidth="1"/>
    <col min="653" max="653" width="28.6640625" bestFit="1" customWidth="1"/>
    <col min="654" max="654" width="12.6640625" bestFit="1" customWidth="1"/>
    <col min="655" max="655" width="28.5546875" bestFit="1" customWidth="1"/>
    <col min="656" max="656" width="38" bestFit="1" customWidth="1"/>
    <col min="657" max="657" width="24.6640625" bestFit="1" customWidth="1"/>
    <col min="658" max="658" width="28.6640625" bestFit="1" customWidth="1"/>
    <col min="659" max="659" width="12.6640625" bestFit="1" customWidth="1"/>
    <col min="660" max="660" width="28.5546875" bestFit="1" customWidth="1"/>
    <col min="661" max="661" width="38" bestFit="1" customWidth="1"/>
    <col min="662" max="662" width="24.6640625" bestFit="1" customWidth="1"/>
    <col min="663" max="663" width="28.6640625" bestFit="1" customWidth="1"/>
    <col min="664" max="664" width="12.6640625" bestFit="1" customWidth="1"/>
    <col min="665" max="665" width="28.5546875" bestFit="1" customWidth="1"/>
    <col min="666" max="666" width="38" bestFit="1" customWidth="1"/>
    <col min="667" max="667" width="24.6640625" bestFit="1" customWidth="1"/>
    <col min="668" max="668" width="28.6640625" bestFit="1" customWidth="1"/>
    <col min="669" max="669" width="12.6640625" bestFit="1" customWidth="1"/>
    <col min="670" max="670" width="28.5546875" bestFit="1" customWidth="1"/>
    <col min="671" max="671" width="38" bestFit="1" customWidth="1"/>
    <col min="672" max="672" width="24.6640625" bestFit="1" customWidth="1"/>
    <col min="673" max="673" width="33.21875" bestFit="1" customWidth="1"/>
    <col min="674" max="674" width="17.33203125" bestFit="1" customWidth="1"/>
    <col min="675" max="675" width="33.109375" bestFit="1" customWidth="1"/>
    <col min="676" max="676" width="42.5546875" bestFit="1" customWidth="1"/>
    <col min="677" max="677" width="29.21875" bestFit="1" customWidth="1"/>
    <col min="678" max="678" width="33.44140625" bestFit="1" customWidth="1"/>
    <col min="679" max="679" width="17.5546875" bestFit="1" customWidth="1"/>
    <col min="680" max="680" width="33.33203125" bestFit="1" customWidth="1"/>
    <col min="681" max="681" width="42.77734375" bestFit="1" customWidth="1"/>
    <col min="682" max="682" width="29.5546875" bestFit="1" customWidth="1"/>
    <col min="683" max="683" width="12.6640625" bestFit="1" customWidth="1"/>
    <col min="684" max="684" width="28.5546875" bestFit="1" customWidth="1"/>
    <col min="685" max="685" width="38" bestFit="1" customWidth="1"/>
    <col min="686" max="686" width="24.6640625" bestFit="1" customWidth="1"/>
    <col min="687" max="687" width="24.5546875" bestFit="1" customWidth="1"/>
    <col min="688" max="688" width="28.6640625" bestFit="1" customWidth="1"/>
    <col min="689" max="689" width="12.6640625" bestFit="1" customWidth="1"/>
    <col min="690" max="690" width="28.5546875" bestFit="1" customWidth="1"/>
    <col min="691" max="691" width="38" bestFit="1" customWidth="1"/>
    <col min="692" max="692" width="24.6640625" bestFit="1" customWidth="1"/>
    <col min="693" max="693" width="29.109375" bestFit="1" customWidth="1"/>
    <col min="694" max="694" width="33.21875" bestFit="1" customWidth="1"/>
    <col min="695" max="695" width="17.33203125" bestFit="1" customWidth="1"/>
    <col min="696" max="696" width="33.109375" bestFit="1" customWidth="1"/>
    <col min="697" max="697" width="42.5546875" bestFit="1" customWidth="1"/>
    <col min="698" max="698" width="29.21875" bestFit="1" customWidth="1"/>
    <col min="699" max="699" width="24.5546875" bestFit="1" customWidth="1"/>
    <col min="700" max="700" width="28.6640625" bestFit="1" customWidth="1"/>
    <col min="701" max="701" width="12.6640625" bestFit="1" customWidth="1"/>
    <col min="702" max="702" width="28.5546875" bestFit="1" customWidth="1"/>
    <col min="703" max="703" width="38" bestFit="1" customWidth="1"/>
    <col min="704" max="704" width="24.6640625" bestFit="1" customWidth="1"/>
    <col min="705" max="705" width="24.5546875" bestFit="1" customWidth="1"/>
    <col min="706" max="706" width="28.6640625" bestFit="1" customWidth="1"/>
    <col min="707" max="707" width="12.6640625" bestFit="1" customWidth="1"/>
    <col min="708" max="708" width="28.5546875" bestFit="1" customWidth="1"/>
    <col min="709" max="709" width="38" bestFit="1" customWidth="1"/>
    <col min="710" max="710" width="24.6640625" bestFit="1" customWidth="1"/>
    <col min="711" max="711" width="24.5546875" bestFit="1" customWidth="1"/>
    <col min="712" max="712" width="28.6640625" bestFit="1" customWidth="1"/>
    <col min="713" max="713" width="12.6640625" bestFit="1" customWidth="1"/>
    <col min="714" max="714" width="28.5546875" bestFit="1" customWidth="1"/>
    <col min="715" max="715" width="38" bestFit="1" customWidth="1"/>
    <col min="716" max="716" width="24.6640625" bestFit="1" customWidth="1"/>
    <col min="717" max="717" width="24.5546875" bestFit="1" customWidth="1"/>
    <col min="718" max="718" width="28.6640625" bestFit="1" customWidth="1"/>
    <col min="719" max="719" width="12.6640625" bestFit="1" customWidth="1"/>
    <col min="720" max="720" width="28.5546875" bestFit="1" customWidth="1"/>
    <col min="721" max="721" width="38" bestFit="1" customWidth="1"/>
    <col min="722" max="722" width="24.6640625" bestFit="1" customWidth="1"/>
    <col min="723" max="723" width="24.5546875" bestFit="1" customWidth="1"/>
    <col min="724" max="724" width="28.6640625" bestFit="1" customWidth="1"/>
    <col min="725" max="725" width="12.6640625" bestFit="1" customWidth="1"/>
    <col min="726" max="726" width="28.5546875" bestFit="1" customWidth="1"/>
    <col min="727" max="727" width="38" bestFit="1" customWidth="1"/>
    <col min="728" max="728" width="24.6640625" bestFit="1" customWidth="1"/>
    <col min="729" max="729" width="24.5546875" bestFit="1" customWidth="1"/>
    <col min="730" max="730" width="28.6640625" bestFit="1" customWidth="1"/>
    <col min="731" max="731" width="12.6640625" bestFit="1" customWidth="1"/>
    <col min="732" max="732" width="28.5546875" bestFit="1" customWidth="1"/>
    <col min="733" max="733" width="38" bestFit="1" customWidth="1"/>
    <col min="734" max="734" width="24.6640625" bestFit="1" customWidth="1"/>
    <col min="735" max="735" width="24.5546875" bestFit="1" customWidth="1"/>
    <col min="736" max="736" width="28.6640625" bestFit="1" customWidth="1"/>
    <col min="737" max="737" width="12.6640625" bestFit="1" customWidth="1"/>
    <col min="738" max="738" width="28.5546875" bestFit="1" customWidth="1"/>
    <col min="739" max="739" width="38" bestFit="1" customWidth="1"/>
    <col min="740" max="740" width="24.6640625" bestFit="1" customWidth="1"/>
    <col min="741" max="741" width="24.5546875" bestFit="1" customWidth="1"/>
    <col min="742" max="742" width="28.6640625" bestFit="1" customWidth="1"/>
    <col min="743" max="743" width="12.6640625" bestFit="1" customWidth="1"/>
    <col min="744" max="744" width="28.5546875" bestFit="1" customWidth="1"/>
    <col min="745" max="745" width="38" bestFit="1" customWidth="1"/>
    <col min="746" max="746" width="24.6640625" bestFit="1" customWidth="1"/>
    <col min="747" max="747" width="24.5546875" bestFit="1" customWidth="1"/>
    <col min="748" max="748" width="28.6640625" bestFit="1" customWidth="1"/>
    <col min="749" max="749" width="12.6640625" bestFit="1" customWidth="1"/>
    <col min="750" max="750" width="28.5546875" bestFit="1" customWidth="1"/>
    <col min="751" max="751" width="38" bestFit="1" customWidth="1"/>
    <col min="752" max="752" width="24.6640625" bestFit="1" customWidth="1"/>
    <col min="753" max="753" width="24.5546875" bestFit="1" customWidth="1"/>
    <col min="754" max="754" width="28.6640625" bestFit="1" customWidth="1"/>
    <col min="755" max="755" width="12.6640625" bestFit="1" customWidth="1"/>
    <col min="756" max="756" width="28.5546875" bestFit="1" customWidth="1"/>
    <col min="757" max="757" width="38" bestFit="1" customWidth="1"/>
    <col min="758" max="758" width="24.6640625" bestFit="1" customWidth="1"/>
    <col min="759" max="759" width="24.5546875" bestFit="1" customWidth="1"/>
    <col min="760" max="760" width="28.6640625" bestFit="1" customWidth="1"/>
    <col min="761" max="761" width="12.6640625" bestFit="1" customWidth="1"/>
    <col min="762" max="762" width="28.5546875" bestFit="1" customWidth="1"/>
    <col min="763" max="763" width="38" bestFit="1" customWidth="1"/>
    <col min="764" max="764" width="24.6640625" bestFit="1" customWidth="1"/>
    <col min="765" max="765" width="24.5546875" bestFit="1" customWidth="1"/>
    <col min="766" max="766" width="28.6640625" bestFit="1" customWidth="1"/>
    <col min="767" max="767" width="12.6640625" bestFit="1" customWidth="1"/>
    <col min="768" max="768" width="28.5546875" bestFit="1" customWidth="1"/>
    <col min="769" max="769" width="38" bestFit="1" customWidth="1"/>
    <col min="770" max="770" width="24.6640625" bestFit="1" customWidth="1"/>
    <col min="771" max="771" width="29.109375" bestFit="1" customWidth="1"/>
    <col min="772" max="772" width="33.21875" bestFit="1" customWidth="1"/>
    <col min="773" max="773" width="17.33203125" bestFit="1" customWidth="1"/>
    <col min="774" max="774" width="33.109375" bestFit="1" customWidth="1"/>
    <col min="775" max="775" width="42.5546875" bestFit="1" customWidth="1"/>
    <col min="776" max="776" width="29.21875" bestFit="1" customWidth="1"/>
    <col min="777" max="777" width="24.5546875" bestFit="1" customWidth="1"/>
    <col min="778" max="778" width="28.6640625" bestFit="1" customWidth="1"/>
    <col min="779" max="779" width="12.6640625" bestFit="1" customWidth="1"/>
    <col min="780" max="780" width="28.5546875" bestFit="1" customWidth="1"/>
    <col min="781" max="781" width="38" bestFit="1" customWidth="1"/>
    <col min="782" max="782" width="24.6640625" bestFit="1" customWidth="1"/>
    <col min="783" max="783" width="24.5546875" bestFit="1" customWidth="1"/>
    <col min="784" max="784" width="28.6640625" bestFit="1" customWidth="1"/>
    <col min="785" max="785" width="12.6640625" bestFit="1" customWidth="1"/>
    <col min="786" max="786" width="28.5546875" bestFit="1" customWidth="1"/>
    <col min="787" max="787" width="38" bestFit="1" customWidth="1"/>
    <col min="788" max="788" width="24.6640625" bestFit="1" customWidth="1"/>
    <col min="789" max="789" width="24.5546875" bestFit="1" customWidth="1"/>
    <col min="790" max="790" width="28.6640625" bestFit="1" customWidth="1"/>
    <col min="791" max="791" width="12.6640625" bestFit="1" customWidth="1"/>
    <col min="792" max="792" width="28.5546875" bestFit="1" customWidth="1"/>
    <col min="793" max="793" width="38" bestFit="1" customWidth="1"/>
    <col min="794" max="794" width="24.6640625" bestFit="1" customWidth="1"/>
    <col min="795" max="795" width="24.5546875" bestFit="1" customWidth="1"/>
    <col min="796" max="796" width="28.6640625" bestFit="1" customWidth="1"/>
    <col min="797" max="797" width="12.6640625" bestFit="1" customWidth="1"/>
    <col min="798" max="798" width="28.5546875" bestFit="1" customWidth="1"/>
    <col min="799" max="799" width="38" bestFit="1" customWidth="1"/>
    <col min="800" max="800" width="24.6640625" bestFit="1" customWidth="1"/>
    <col min="801" max="801" width="24.5546875" bestFit="1" customWidth="1"/>
    <col min="802" max="802" width="28.6640625" bestFit="1" customWidth="1"/>
    <col min="803" max="803" width="12.6640625" bestFit="1" customWidth="1"/>
    <col min="804" max="804" width="28.5546875" bestFit="1" customWidth="1"/>
    <col min="805" max="805" width="38" bestFit="1" customWidth="1"/>
    <col min="806" max="806" width="24.6640625" bestFit="1" customWidth="1"/>
    <col min="807" max="807" width="29.109375" bestFit="1" customWidth="1"/>
    <col min="808" max="808" width="33.21875" bestFit="1" customWidth="1"/>
    <col min="809" max="809" width="17.33203125" bestFit="1" customWidth="1"/>
    <col min="810" max="810" width="33.109375" bestFit="1" customWidth="1"/>
    <col min="811" max="811" width="42.5546875" bestFit="1" customWidth="1"/>
    <col min="812" max="812" width="29.21875" bestFit="1" customWidth="1"/>
    <col min="813" max="813" width="29.33203125" bestFit="1" customWidth="1"/>
    <col min="814" max="814" width="33.44140625" bestFit="1" customWidth="1"/>
    <col min="815" max="815" width="17.5546875" bestFit="1" customWidth="1"/>
    <col min="816" max="816" width="33.33203125" bestFit="1" customWidth="1"/>
    <col min="817" max="817" width="42.77734375" bestFit="1" customWidth="1"/>
    <col min="818" max="818" width="29.5546875" bestFit="1" customWidth="1"/>
    <col min="819" max="819" width="28.5546875" bestFit="1" customWidth="1"/>
    <col min="820" max="820" width="38" bestFit="1" customWidth="1"/>
    <col min="821" max="821" width="24.6640625" bestFit="1" customWidth="1"/>
    <col min="822" max="822" width="16.77734375" bestFit="1" customWidth="1"/>
    <col min="823" max="823" width="24.5546875" bestFit="1" customWidth="1"/>
    <col min="824" max="824" width="28.6640625" bestFit="1" customWidth="1"/>
    <col min="825" max="825" width="12.6640625" bestFit="1" customWidth="1"/>
    <col min="826" max="826" width="28.5546875" bestFit="1" customWidth="1"/>
    <col min="827" max="827" width="38" bestFit="1" customWidth="1"/>
    <col min="828" max="828" width="24.6640625" bestFit="1" customWidth="1"/>
    <col min="829" max="829" width="16.77734375" bestFit="1" customWidth="1"/>
    <col min="830" max="830" width="24.5546875" bestFit="1" customWidth="1"/>
    <col min="831" max="831" width="28.6640625" bestFit="1" customWidth="1"/>
    <col min="832" max="832" width="12.6640625" bestFit="1" customWidth="1"/>
    <col min="833" max="833" width="28.5546875" bestFit="1" customWidth="1"/>
    <col min="834" max="834" width="38" bestFit="1" customWidth="1"/>
    <col min="835" max="835" width="24.6640625" bestFit="1" customWidth="1"/>
    <col min="836" max="836" width="16.77734375" bestFit="1" customWidth="1"/>
    <col min="837" max="837" width="24.5546875" bestFit="1" customWidth="1"/>
    <col min="838" max="838" width="28.6640625" bestFit="1" customWidth="1"/>
    <col min="839" max="839" width="12.6640625" bestFit="1" customWidth="1"/>
    <col min="840" max="840" width="28.5546875" bestFit="1" customWidth="1"/>
    <col min="841" max="841" width="38" bestFit="1" customWidth="1"/>
    <col min="842" max="842" width="24.6640625" bestFit="1" customWidth="1"/>
    <col min="843" max="843" width="16.77734375" bestFit="1" customWidth="1"/>
    <col min="844" max="844" width="24.5546875" bestFit="1" customWidth="1"/>
    <col min="845" max="845" width="28.6640625" bestFit="1" customWidth="1"/>
    <col min="846" max="846" width="12.6640625" bestFit="1" customWidth="1"/>
    <col min="847" max="847" width="28.5546875" bestFit="1" customWidth="1"/>
    <col min="848" max="848" width="38" bestFit="1" customWidth="1"/>
    <col min="849" max="849" width="24.6640625" bestFit="1" customWidth="1"/>
    <col min="850" max="850" width="16.77734375" bestFit="1" customWidth="1"/>
    <col min="851" max="851" width="24.5546875" bestFit="1" customWidth="1"/>
    <col min="852" max="852" width="28.6640625" bestFit="1" customWidth="1"/>
    <col min="853" max="853" width="12.6640625" bestFit="1" customWidth="1"/>
    <col min="854" max="854" width="28.5546875" bestFit="1" customWidth="1"/>
    <col min="855" max="855" width="38" bestFit="1" customWidth="1"/>
    <col min="856" max="856" width="24.6640625" bestFit="1" customWidth="1"/>
    <col min="857" max="857" width="16.77734375" bestFit="1" customWidth="1"/>
    <col min="858" max="858" width="24.5546875" bestFit="1" customWidth="1"/>
    <col min="859" max="859" width="28.6640625" bestFit="1" customWidth="1"/>
    <col min="860" max="860" width="12.6640625" bestFit="1" customWidth="1"/>
    <col min="861" max="861" width="28.5546875" bestFit="1" customWidth="1"/>
    <col min="862" max="862" width="38" bestFit="1" customWidth="1"/>
    <col min="863" max="863" width="24.6640625" bestFit="1" customWidth="1"/>
    <col min="864" max="864" width="16.77734375" bestFit="1" customWidth="1"/>
    <col min="865" max="865" width="24.5546875" bestFit="1" customWidth="1"/>
    <col min="866" max="866" width="28.6640625" bestFit="1" customWidth="1"/>
    <col min="867" max="867" width="12.6640625" bestFit="1" customWidth="1"/>
    <col min="868" max="868" width="28.5546875" bestFit="1" customWidth="1"/>
    <col min="869" max="869" width="38" bestFit="1" customWidth="1"/>
    <col min="870" max="870" width="24.6640625" bestFit="1" customWidth="1"/>
    <col min="871" max="871" width="16.77734375" bestFit="1" customWidth="1"/>
    <col min="872" max="872" width="24.5546875" bestFit="1" customWidth="1"/>
    <col min="873" max="873" width="28.6640625" bestFit="1" customWidth="1"/>
    <col min="874" max="874" width="12.6640625" bestFit="1" customWidth="1"/>
    <col min="875" max="875" width="28.5546875" bestFit="1" customWidth="1"/>
    <col min="876" max="876" width="38" bestFit="1" customWidth="1"/>
    <col min="877" max="877" width="24.6640625" bestFit="1" customWidth="1"/>
    <col min="878" max="878" width="16.77734375" bestFit="1" customWidth="1"/>
    <col min="879" max="879" width="24.5546875" bestFit="1" customWidth="1"/>
    <col min="880" max="880" width="28.6640625" bestFit="1" customWidth="1"/>
    <col min="881" max="881" width="12.6640625" bestFit="1" customWidth="1"/>
    <col min="882" max="882" width="28.5546875" bestFit="1" customWidth="1"/>
    <col min="883" max="883" width="38" bestFit="1" customWidth="1"/>
    <col min="884" max="884" width="24.6640625" bestFit="1" customWidth="1"/>
    <col min="885" max="885" width="16.77734375" bestFit="1" customWidth="1"/>
    <col min="886" max="886" width="24.5546875" bestFit="1" customWidth="1"/>
    <col min="887" max="887" width="28.6640625" bestFit="1" customWidth="1"/>
    <col min="888" max="888" width="12.6640625" bestFit="1" customWidth="1"/>
    <col min="889" max="889" width="28.5546875" bestFit="1" customWidth="1"/>
    <col min="890" max="890" width="38" bestFit="1" customWidth="1"/>
    <col min="891" max="891" width="24.6640625" bestFit="1" customWidth="1"/>
    <col min="892" max="892" width="16.77734375" bestFit="1" customWidth="1"/>
    <col min="893" max="893" width="24.5546875" bestFit="1" customWidth="1"/>
    <col min="894" max="894" width="28.6640625" bestFit="1" customWidth="1"/>
    <col min="895" max="895" width="12.6640625" bestFit="1" customWidth="1"/>
    <col min="896" max="896" width="28.5546875" bestFit="1" customWidth="1"/>
    <col min="897" max="897" width="38" bestFit="1" customWidth="1"/>
    <col min="898" max="898" width="24.6640625" bestFit="1" customWidth="1"/>
    <col min="899" max="899" width="21.44140625" bestFit="1" customWidth="1"/>
    <col min="900" max="900" width="29.109375" bestFit="1" customWidth="1"/>
    <col min="901" max="901" width="33.21875" bestFit="1" customWidth="1"/>
    <col min="902" max="902" width="17.33203125" bestFit="1" customWidth="1"/>
    <col min="903" max="903" width="33.109375" bestFit="1" customWidth="1"/>
    <col min="904" max="904" width="42.5546875" bestFit="1" customWidth="1"/>
    <col min="905" max="905" width="29.21875" bestFit="1" customWidth="1"/>
    <col min="906" max="906" width="16.77734375" bestFit="1" customWidth="1"/>
    <col min="907" max="907" width="24.5546875" bestFit="1" customWidth="1"/>
    <col min="908" max="908" width="28.6640625" bestFit="1" customWidth="1"/>
    <col min="909" max="909" width="12.6640625" bestFit="1" customWidth="1"/>
    <col min="910" max="910" width="28.5546875" bestFit="1" customWidth="1"/>
    <col min="911" max="911" width="38" bestFit="1" customWidth="1"/>
    <col min="912" max="912" width="24.6640625" bestFit="1" customWidth="1"/>
    <col min="913" max="913" width="16.77734375" bestFit="1" customWidth="1"/>
    <col min="914" max="914" width="24.5546875" bestFit="1" customWidth="1"/>
    <col min="915" max="915" width="28.6640625" bestFit="1" customWidth="1"/>
    <col min="916" max="916" width="12.6640625" bestFit="1" customWidth="1"/>
    <col min="917" max="917" width="28.5546875" bestFit="1" customWidth="1"/>
    <col min="918" max="918" width="38" bestFit="1" customWidth="1"/>
    <col min="919" max="919" width="24.6640625" bestFit="1" customWidth="1"/>
    <col min="920" max="920" width="16.77734375" bestFit="1" customWidth="1"/>
    <col min="921" max="921" width="24.5546875" bestFit="1" customWidth="1"/>
    <col min="922" max="922" width="28.6640625" bestFit="1" customWidth="1"/>
    <col min="923" max="923" width="12.6640625" bestFit="1" customWidth="1"/>
    <col min="924" max="924" width="28.5546875" bestFit="1" customWidth="1"/>
    <col min="925" max="925" width="38" bestFit="1" customWidth="1"/>
    <col min="926" max="926" width="24.6640625" bestFit="1" customWidth="1"/>
    <col min="927" max="927" width="16.77734375" bestFit="1" customWidth="1"/>
    <col min="928" max="928" width="24.5546875" bestFit="1" customWidth="1"/>
    <col min="929" max="929" width="28.6640625" bestFit="1" customWidth="1"/>
    <col min="930" max="930" width="12.6640625" bestFit="1" customWidth="1"/>
    <col min="931" max="931" width="28.5546875" bestFit="1" customWidth="1"/>
    <col min="932" max="932" width="38" bestFit="1" customWidth="1"/>
    <col min="933" max="933" width="24.6640625" bestFit="1" customWidth="1"/>
    <col min="934" max="934" width="16.77734375" bestFit="1" customWidth="1"/>
    <col min="935" max="935" width="24.5546875" bestFit="1" customWidth="1"/>
    <col min="936" max="936" width="28.6640625" bestFit="1" customWidth="1"/>
    <col min="937" max="937" width="12.6640625" bestFit="1" customWidth="1"/>
    <col min="938" max="938" width="28.5546875" bestFit="1" customWidth="1"/>
    <col min="939" max="939" width="38" bestFit="1" customWidth="1"/>
    <col min="940" max="940" width="24.6640625" bestFit="1" customWidth="1"/>
    <col min="941" max="941" width="21.44140625" bestFit="1" customWidth="1"/>
    <col min="942" max="942" width="29.109375" bestFit="1" customWidth="1"/>
    <col min="943" max="943" width="33.21875" bestFit="1" customWidth="1"/>
    <col min="944" max="944" width="17.33203125" bestFit="1" customWidth="1"/>
    <col min="945" max="945" width="33.109375" bestFit="1" customWidth="1"/>
    <col min="946" max="946" width="42.5546875" bestFit="1" customWidth="1"/>
    <col min="947" max="947" width="29.21875" bestFit="1" customWidth="1"/>
    <col min="948" max="948" width="21.6640625" bestFit="1" customWidth="1"/>
    <col min="949" max="949" width="29.33203125" bestFit="1" customWidth="1"/>
    <col min="950" max="950" width="33.44140625" bestFit="1" customWidth="1"/>
    <col min="951" max="951" width="17.5546875" bestFit="1" customWidth="1"/>
    <col min="952" max="952" width="33.33203125" bestFit="1" customWidth="1"/>
    <col min="953" max="953" width="42.77734375" bestFit="1" customWidth="1"/>
    <col min="954" max="954" width="29.5546875" bestFit="1" customWidth="1"/>
    <col min="955" max="955" width="12" bestFit="1" customWidth="1"/>
    <col min="956" max="956" width="16.77734375" bestFit="1" customWidth="1"/>
    <col min="957" max="957" width="24.5546875" bestFit="1" customWidth="1"/>
    <col min="958" max="958" width="28.6640625" bestFit="1" customWidth="1"/>
    <col min="959" max="959" width="12.6640625" bestFit="1" customWidth="1"/>
    <col min="960" max="960" width="28.5546875" bestFit="1" customWidth="1"/>
    <col min="961" max="961" width="38" bestFit="1" customWidth="1"/>
    <col min="962" max="962" width="24.6640625" bestFit="1" customWidth="1"/>
    <col min="963" max="963" width="12" bestFit="1" customWidth="1"/>
    <col min="964" max="964" width="16.77734375" bestFit="1" customWidth="1"/>
    <col min="965" max="965" width="24.5546875" bestFit="1" customWidth="1"/>
    <col min="966" max="966" width="28.6640625" bestFit="1" customWidth="1"/>
    <col min="967" max="967" width="12.6640625" bestFit="1" customWidth="1"/>
    <col min="968" max="968" width="28.5546875" bestFit="1" customWidth="1"/>
    <col min="969" max="969" width="38" bestFit="1" customWidth="1"/>
    <col min="970" max="970" width="24.6640625" bestFit="1" customWidth="1"/>
    <col min="971" max="971" width="12" bestFit="1" customWidth="1"/>
    <col min="972" max="972" width="16.77734375" bestFit="1" customWidth="1"/>
    <col min="973" max="973" width="24.5546875" bestFit="1" customWidth="1"/>
    <col min="974" max="974" width="28.6640625" bestFit="1" customWidth="1"/>
    <col min="975" max="975" width="12.6640625" bestFit="1" customWidth="1"/>
    <col min="976" max="976" width="28.5546875" bestFit="1" customWidth="1"/>
    <col min="977" max="977" width="38" bestFit="1" customWidth="1"/>
    <col min="978" max="978" width="24.6640625" bestFit="1" customWidth="1"/>
    <col min="979" max="979" width="12" bestFit="1" customWidth="1"/>
    <col min="980" max="980" width="16.77734375" bestFit="1" customWidth="1"/>
    <col min="981" max="981" width="24.5546875" bestFit="1" customWidth="1"/>
    <col min="982" max="982" width="28.6640625" bestFit="1" customWidth="1"/>
    <col min="983" max="983" width="12.6640625" bestFit="1" customWidth="1"/>
    <col min="984" max="984" width="28.5546875" bestFit="1" customWidth="1"/>
    <col min="985" max="985" width="38" bestFit="1" customWidth="1"/>
    <col min="986" max="986" width="24.6640625" bestFit="1" customWidth="1"/>
    <col min="987" max="987" width="12" bestFit="1" customWidth="1"/>
    <col min="988" max="988" width="16.77734375" bestFit="1" customWidth="1"/>
    <col min="989" max="989" width="24.5546875" bestFit="1" customWidth="1"/>
    <col min="990" max="990" width="28.6640625" bestFit="1" customWidth="1"/>
    <col min="991" max="991" width="12.6640625" bestFit="1" customWidth="1"/>
    <col min="992" max="992" width="28.5546875" bestFit="1" customWidth="1"/>
    <col min="993" max="993" width="38" bestFit="1" customWidth="1"/>
    <col min="994" max="994" width="24.6640625" bestFit="1" customWidth="1"/>
    <col min="995" max="995" width="12" bestFit="1" customWidth="1"/>
    <col min="996" max="996" width="16.77734375" bestFit="1" customWidth="1"/>
    <col min="997" max="997" width="24.5546875" bestFit="1" customWidth="1"/>
    <col min="998" max="998" width="28.6640625" bestFit="1" customWidth="1"/>
    <col min="999" max="999" width="12.6640625" bestFit="1" customWidth="1"/>
    <col min="1000" max="1000" width="28.5546875" bestFit="1" customWidth="1"/>
    <col min="1001" max="1001" width="38" bestFit="1" customWidth="1"/>
    <col min="1002" max="1002" width="24.6640625" bestFit="1" customWidth="1"/>
    <col min="1003" max="1003" width="12" bestFit="1" customWidth="1"/>
    <col min="1004" max="1004" width="16.77734375" bestFit="1" customWidth="1"/>
    <col min="1005" max="1005" width="24.5546875" bestFit="1" customWidth="1"/>
    <col min="1006" max="1006" width="28.6640625" bestFit="1" customWidth="1"/>
    <col min="1007" max="1007" width="12.6640625" bestFit="1" customWidth="1"/>
    <col min="1008" max="1008" width="28.5546875" bestFit="1" customWidth="1"/>
    <col min="1009" max="1009" width="38" bestFit="1" customWidth="1"/>
    <col min="1010" max="1010" width="24.6640625" bestFit="1" customWidth="1"/>
    <col min="1011" max="1011" width="12" bestFit="1" customWidth="1"/>
    <col min="1012" max="1012" width="16.77734375" bestFit="1" customWidth="1"/>
    <col min="1013" max="1013" width="24.5546875" bestFit="1" customWidth="1"/>
    <col min="1014" max="1014" width="28.6640625" bestFit="1" customWidth="1"/>
    <col min="1015" max="1015" width="12.6640625" bestFit="1" customWidth="1"/>
    <col min="1016" max="1016" width="28.5546875" bestFit="1" customWidth="1"/>
    <col min="1017" max="1017" width="38" bestFit="1" customWidth="1"/>
    <col min="1018" max="1018" width="24.6640625" bestFit="1" customWidth="1"/>
    <col min="1019" max="1019" width="12" bestFit="1" customWidth="1"/>
    <col min="1020" max="1020" width="16.77734375" bestFit="1" customWidth="1"/>
    <col min="1021" max="1021" width="24.5546875" bestFit="1" customWidth="1"/>
    <col min="1022" max="1022" width="28.6640625" bestFit="1" customWidth="1"/>
    <col min="1023" max="1023" width="12.6640625" bestFit="1" customWidth="1"/>
    <col min="1024" max="1024" width="28.5546875" bestFit="1" customWidth="1"/>
    <col min="1025" max="1025" width="38" bestFit="1" customWidth="1"/>
    <col min="1026" max="1026" width="24.6640625" bestFit="1" customWidth="1"/>
    <col min="1027" max="1027" width="16.5546875" bestFit="1" customWidth="1"/>
    <col min="1028" max="1028" width="21.44140625" bestFit="1" customWidth="1"/>
    <col min="1029" max="1029" width="29.109375" bestFit="1" customWidth="1"/>
    <col min="1030" max="1030" width="33.21875" bestFit="1" customWidth="1"/>
    <col min="1031" max="1031" width="17.33203125" bestFit="1" customWidth="1"/>
    <col min="1032" max="1032" width="33.109375" bestFit="1" customWidth="1"/>
    <col min="1033" max="1033" width="42.5546875" bestFit="1" customWidth="1"/>
    <col min="1034" max="1034" width="29.21875" bestFit="1" customWidth="1"/>
    <col min="1035" max="1035" width="12" bestFit="1" customWidth="1"/>
    <col min="1036" max="1036" width="16.77734375" bestFit="1" customWidth="1"/>
    <col min="1037" max="1037" width="24.5546875" bestFit="1" customWidth="1"/>
    <col min="1038" max="1038" width="28.6640625" bestFit="1" customWidth="1"/>
    <col min="1039" max="1039" width="12.6640625" bestFit="1" customWidth="1"/>
    <col min="1040" max="1040" width="28.5546875" bestFit="1" customWidth="1"/>
    <col min="1041" max="1041" width="38" bestFit="1" customWidth="1"/>
    <col min="1042" max="1042" width="24.6640625" bestFit="1" customWidth="1"/>
    <col min="1043" max="1043" width="12" bestFit="1" customWidth="1"/>
    <col min="1044" max="1044" width="16.77734375" bestFit="1" customWidth="1"/>
    <col min="1045" max="1045" width="24.5546875" bestFit="1" customWidth="1"/>
    <col min="1046" max="1046" width="28.6640625" bestFit="1" customWidth="1"/>
    <col min="1047" max="1047" width="12.6640625" bestFit="1" customWidth="1"/>
    <col min="1048" max="1048" width="28.5546875" bestFit="1" customWidth="1"/>
    <col min="1049" max="1049" width="38" bestFit="1" customWidth="1"/>
    <col min="1050" max="1050" width="24.6640625" bestFit="1" customWidth="1"/>
    <col min="1051" max="1051" width="12" bestFit="1" customWidth="1"/>
    <col min="1052" max="1052" width="16.77734375" bestFit="1" customWidth="1"/>
    <col min="1053" max="1053" width="24.5546875" bestFit="1" customWidth="1"/>
    <col min="1054" max="1054" width="28.6640625" bestFit="1" customWidth="1"/>
    <col min="1055" max="1055" width="12.6640625" bestFit="1" customWidth="1"/>
    <col min="1056" max="1056" width="28.5546875" bestFit="1" customWidth="1"/>
    <col min="1057" max="1057" width="38" bestFit="1" customWidth="1"/>
    <col min="1058" max="1058" width="24.6640625" bestFit="1" customWidth="1"/>
    <col min="1059" max="1059" width="12" bestFit="1" customWidth="1"/>
    <col min="1060" max="1060" width="16.77734375" bestFit="1" customWidth="1"/>
    <col min="1061" max="1061" width="24.5546875" bestFit="1" customWidth="1"/>
    <col min="1062" max="1062" width="28.6640625" bestFit="1" customWidth="1"/>
    <col min="1063" max="1063" width="12.6640625" bestFit="1" customWidth="1"/>
    <col min="1064" max="1064" width="28.5546875" bestFit="1" customWidth="1"/>
    <col min="1065" max="1065" width="38" bestFit="1" customWidth="1"/>
    <col min="1066" max="1066" width="24.6640625" bestFit="1" customWidth="1"/>
    <col min="1067" max="1067" width="12" bestFit="1" customWidth="1"/>
    <col min="1068" max="1068" width="16.77734375" bestFit="1" customWidth="1"/>
    <col min="1069" max="1069" width="24.5546875" bestFit="1" customWidth="1"/>
    <col min="1070" max="1070" width="28.6640625" bestFit="1" customWidth="1"/>
    <col min="1071" max="1071" width="12.6640625" bestFit="1" customWidth="1"/>
    <col min="1072" max="1072" width="28.5546875" bestFit="1" customWidth="1"/>
    <col min="1073" max="1073" width="38" bestFit="1" customWidth="1"/>
    <col min="1074" max="1074" width="24.6640625" bestFit="1" customWidth="1"/>
    <col min="1075" max="1075" width="16.5546875" bestFit="1" customWidth="1"/>
    <col min="1076" max="1076" width="21.44140625" bestFit="1" customWidth="1"/>
    <col min="1077" max="1077" width="29.109375" bestFit="1" customWidth="1"/>
    <col min="1078" max="1078" width="33.21875" bestFit="1" customWidth="1"/>
    <col min="1079" max="1079" width="17.33203125" bestFit="1" customWidth="1"/>
    <col min="1080" max="1080" width="33.109375" bestFit="1" customWidth="1"/>
    <col min="1081" max="1081" width="42.5546875" bestFit="1" customWidth="1"/>
    <col min="1082" max="1082" width="29.21875" bestFit="1" customWidth="1"/>
    <col min="1083" max="1083" width="16.77734375" bestFit="1" customWidth="1"/>
    <col min="1084" max="1084" width="21.6640625" bestFit="1" customWidth="1"/>
    <col min="1085" max="1085" width="29.33203125" bestFit="1" customWidth="1"/>
    <col min="1086" max="1086" width="33.44140625" bestFit="1" customWidth="1"/>
    <col min="1087" max="1087" width="17.5546875" bestFit="1" customWidth="1"/>
    <col min="1088" max="1088" width="33.33203125" bestFit="1" customWidth="1"/>
    <col min="1089" max="1089" width="42.77734375" bestFit="1" customWidth="1"/>
    <col min="1090" max="1090" width="29.5546875" bestFit="1" customWidth="1"/>
    <col min="1091" max="1091" width="24.6640625" bestFit="1" customWidth="1"/>
    <col min="1092" max="1092" width="17.88671875" bestFit="1" customWidth="1"/>
    <col min="1093" max="1093" width="12" bestFit="1" customWidth="1"/>
    <col min="1094" max="1094" width="16.77734375" bestFit="1" customWidth="1"/>
    <col min="1095" max="1095" width="24.5546875" bestFit="1" customWidth="1"/>
    <col min="1096" max="1096" width="28.6640625" bestFit="1" customWidth="1"/>
    <col min="1097" max="1097" width="12.6640625" bestFit="1" customWidth="1"/>
    <col min="1098" max="1098" width="28.5546875" bestFit="1" customWidth="1"/>
    <col min="1099" max="1099" width="38" bestFit="1" customWidth="1"/>
    <col min="1100" max="1100" width="24.6640625" bestFit="1" customWidth="1"/>
    <col min="1101" max="1101" width="17.88671875" bestFit="1" customWidth="1"/>
    <col min="1102" max="1102" width="12" bestFit="1" customWidth="1"/>
    <col min="1103" max="1103" width="16.77734375" bestFit="1" customWidth="1"/>
    <col min="1104" max="1104" width="24.5546875" bestFit="1" customWidth="1"/>
    <col min="1105" max="1105" width="28.6640625" bestFit="1" customWidth="1"/>
    <col min="1106" max="1106" width="12.6640625" bestFit="1" customWidth="1"/>
    <col min="1107" max="1107" width="28.5546875" bestFit="1" customWidth="1"/>
    <col min="1108" max="1108" width="38" bestFit="1" customWidth="1"/>
    <col min="1109" max="1109" width="24.6640625" bestFit="1" customWidth="1"/>
    <col min="1110" max="1110" width="17.88671875" bestFit="1" customWidth="1"/>
    <col min="1111" max="1111" width="12" bestFit="1" customWidth="1"/>
    <col min="1112" max="1112" width="16.77734375" bestFit="1" customWidth="1"/>
    <col min="1113" max="1113" width="24.5546875" bestFit="1" customWidth="1"/>
    <col min="1114" max="1114" width="28.6640625" bestFit="1" customWidth="1"/>
    <col min="1115" max="1115" width="12.6640625" bestFit="1" customWidth="1"/>
    <col min="1116" max="1116" width="28.5546875" bestFit="1" customWidth="1"/>
    <col min="1117" max="1117" width="38" bestFit="1" customWidth="1"/>
    <col min="1118" max="1118" width="24.6640625" bestFit="1" customWidth="1"/>
    <col min="1119" max="1119" width="17.88671875" bestFit="1" customWidth="1"/>
    <col min="1120" max="1120" width="12" bestFit="1" customWidth="1"/>
    <col min="1121" max="1121" width="16.77734375" bestFit="1" customWidth="1"/>
    <col min="1122" max="1122" width="24.5546875" bestFit="1" customWidth="1"/>
    <col min="1123" max="1123" width="28.6640625" bestFit="1" customWidth="1"/>
    <col min="1124" max="1124" width="12.6640625" bestFit="1" customWidth="1"/>
    <col min="1125" max="1125" width="28.5546875" bestFit="1" customWidth="1"/>
    <col min="1126" max="1126" width="38" bestFit="1" customWidth="1"/>
    <col min="1127" max="1127" width="24.6640625" bestFit="1" customWidth="1"/>
    <col min="1128" max="1128" width="17.88671875" bestFit="1" customWidth="1"/>
    <col min="1129" max="1129" width="12" bestFit="1" customWidth="1"/>
    <col min="1130" max="1130" width="16.77734375" bestFit="1" customWidth="1"/>
    <col min="1131" max="1131" width="24.5546875" bestFit="1" customWidth="1"/>
    <col min="1132" max="1132" width="28.6640625" bestFit="1" customWidth="1"/>
    <col min="1133" max="1133" width="12.6640625" bestFit="1" customWidth="1"/>
    <col min="1134" max="1134" width="28.5546875" bestFit="1" customWidth="1"/>
    <col min="1135" max="1135" width="38" bestFit="1" customWidth="1"/>
    <col min="1136" max="1136" width="24.6640625" bestFit="1" customWidth="1"/>
    <col min="1137" max="1137" width="17.88671875" bestFit="1" customWidth="1"/>
    <col min="1138" max="1138" width="12" bestFit="1" customWidth="1"/>
    <col min="1139" max="1139" width="16.77734375" bestFit="1" customWidth="1"/>
    <col min="1140" max="1140" width="24.5546875" bestFit="1" customWidth="1"/>
    <col min="1141" max="1141" width="28.6640625" bestFit="1" customWidth="1"/>
    <col min="1142" max="1142" width="12.6640625" bestFit="1" customWidth="1"/>
    <col min="1143" max="1143" width="28.5546875" bestFit="1" customWidth="1"/>
    <col min="1144" max="1144" width="38" bestFit="1" customWidth="1"/>
    <col min="1145" max="1145" width="24.6640625" bestFit="1" customWidth="1"/>
    <col min="1146" max="1146" width="17.88671875" bestFit="1" customWidth="1"/>
    <col min="1147" max="1147" width="12" bestFit="1" customWidth="1"/>
    <col min="1148" max="1148" width="16.77734375" bestFit="1" customWidth="1"/>
    <col min="1149" max="1149" width="24.5546875" bestFit="1" customWidth="1"/>
    <col min="1150" max="1150" width="28.6640625" bestFit="1" customWidth="1"/>
    <col min="1151" max="1151" width="12.6640625" bestFit="1" customWidth="1"/>
    <col min="1152" max="1152" width="28.5546875" bestFit="1" customWidth="1"/>
    <col min="1153" max="1153" width="38" bestFit="1" customWidth="1"/>
    <col min="1154" max="1154" width="24.6640625" bestFit="1" customWidth="1"/>
    <col min="1155" max="1155" width="22.44140625" bestFit="1" customWidth="1"/>
    <col min="1156" max="1156" width="16.5546875" bestFit="1" customWidth="1"/>
    <col min="1157" max="1157" width="21.44140625" bestFit="1" customWidth="1"/>
    <col min="1158" max="1158" width="29.109375" bestFit="1" customWidth="1"/>
    <col min="1159" max="1159" width="33.21875" bestFit="1" customWidth="1"/>
    <col min="1160" max="1160" width="17.33203125" bestFit="1" customWidth="1"/>
    <col min="1161" max="1161" width="33.109375" bestFit="1" customWidth="1"/>
    <col min="1162" max="1162" width="42.5546875" bestFit="1" customWidth="1"/>
    <col min="1163" max="1163" width="29.21875" bestFit="1" customWidth="1"/>
    <col min="1164" max="1164" width="17.88671875" bestFit="1" customWidth="1"/>
    <col min="1165" max="1165" width="12" bestFit="1" customWidth="1"/>
    <col min="1166" max="1166" width="16.77734375" bestFit="1" customWidth="1"/>
    <col min="1167" max="1167" width="24.5546875" bestFit="1" customWidth="1"/>
    <col min="1168" max="1168" width="28.6640625" bestFit="1" customWidth="1"/>
    <col min="1169" max="1169" width="12.6640625" bestFit="1" customWidth="1"/>
    <col min="1170" max="1170" width="28.5546875" bestFit="1" customWidth="1"/>
    <col min="1171" max="1171" width="38" bestFit="1" customWidth="1"/>
    <col min="1172" max="1172" width="24.6640625" bestFit="1" customWidth="1"/>
    <col min="1173" max="1173" width="17.88671875" bestFit="1" customWidth="1"/>
    <col min="1174" max="1174" width="12" bestFit="1" customWidth="1"/>
    <col min="1175" max="1175" width="16.77734375" bestFit="1" customWidth="1"/>
    <col min="1176" max="1176" width="24.5546875" bestFit="1" customWidth="1"/>
    <col min="1177" max="1177" width="28.6640625" bestFit="1" customWidth="1"/>
    <col min="1178" max="1178" width="12.6640625" bestFit="1" customWidth="1"/>
    <col min="1179" max="1179" width="28.5546875" bestFit="1" customWidth="1"/>
    <col min="1180" max="1180" width="38" bestFit="1" customWidth="1"/>
    <col min="1181" max="1181" width="24.6640625" bestFit="1" customWidth="1"/>
    <col min="1182" max="1182" width="17.88671875" bestFit="1" customWidth="1"/>
    <col min="1183" max="1183" width="12" bestFit="1" customWidth="1"/>
    <col min="1184" max="1184" width="16.77734375" bestFit="1" customWidth="1"/>
    <col min="1185" max="1185" width="24.5546875" bestFit="1" customWidth="1"/>
    <col min="1186" max="1186" width="28.6640625" bestFit="1" customWidth="1"/>
    <col min="1187" max="1187" width="12.6640625" bestFit="1" customWidth="1"/>
    <col min="1188" max="1188" width="28.5546875" bestFit="1" customWidth="1"/>
    <col min="1189" max="1189" width="38" bestFit="1" customWidth="1"/>
    <col min="1190" max="1190" width="24.6640625" bestFit="1" customWidth="1"/>
    <col min="1191" max="1191" width="17.88671875" bestFit="1" customWidth="1"/>
    <col min="1192" max="1192" width="12" bestFit="1" customWidth="1"/>
    <col min="1193" max="1193" width="16.77734375" bestFit="1" customWidth="1"/>
    <col min="1194" max="1194" width="24.5546875" bestFit="1" customWidth="1"/>
    <col min="1195" max="1195" width="28.6640625" bestFit="1" customWidth="1"/>
    <col min="1196" max="1196" width="12.6640625" bestFit="1" customWidth="1"/>
    <col min="1197" max="1197" width="28.5546875" bestFit="1" customWidth="1"/>
    <col min="1198" max="1198" width="38" bestFit="1" customWidth="1"/>
    <col min="1199" max="1199" width="24.6640625" bestFit="1" customWidth="1"/>
    <col min="1200" max="1200" width="17.88671875" bestFit="1" customWidth="1"/>
    <col min="1201" max="1201" width="12" bestFit="1" customWidth="1"/>
    <col min="1202" max="1202" width="16.77734375" bestFit="1" customWidth="1"/>
    <col min="1203" max="1203" width="24.5546875" bestFit="1" customWidth="1"/>
    <col min="1204" max="1204" width="28.6640625" bestFit="1" customWidth="1"/>
    <col min="1205" max="1205" width="12.6640625" bestFit="1" customWidth="1"/>
    <col min="1206" max="1206" width="28.5546875" bestFit="1" customWidth="1"/>
    <col min="1207" max="1207" width="38" bestFit="1" customWidth="1"/>
    <col min="1208" max="1208" width="24.6640625" bestFit="1" customWidth="1"/>
    <col min="1209" max="1209" width="22.44140625" bestFit="1" customWidth="1"/>
    <col min="1210" max="1210" width="16.5546875" bestFit="1" customWidth="1"/>
    <col min="1211" max="1211" width="21.44140625" bestFit="1" customWidth="1"/>
    <col min="1212" max="1212" width="29.109375" bestFit="1" customWidth="1"/>
    <col min="1213" max="1213" width="33.21875" bestFit="1" customWidth="1"/>
    <col min="1214" max="1214" width="17.33203125" bestFit="1" customWidth="1"/>
    <col min="1215" max="1215" width="33.109375" bestFit="1" customWidth="1"/>
    <col min="1216" max="1216" width="42.5546875" bestFit="1" customWidth="1"/>
    <col min="1217" max="1217" width="29.21875" bestFit="1" customWidth="1"/>
    <col min="1218" max="1218" width="22.6640625" bestFit="1" customWidth="1"/>
    <col min="1219" max="1219" width="16.77734375" bestFit="1" customWidth="1"/>
    <col min="1220" max="1220" width="21.6640625" bestFit="1" customWidth="1"/>
    <col min="1221" max="1221" width="29.33203125" bestFit="1" customWidth="1"/>
    <col min="1222" max="1222" width="33.44140625" bestFit="1" customWidth="1"/>
    <col min="1223" max="1223" width="17.5546875" bestFit="1" customWidth="1"/>
    <col min="1224" max="1224" width="33.33203125" bestFit="1" customWidth="1"/>
    <col min="1225" max="1225" width="42.77734375" bestFit="1" customWidth="1"/>
    <col min="1226" max="1226" width="29.5546875" bestFit="1" customWidth="1"/>
    <col min="1227" max="1227" width="24.5546875" bestFit="1" customWidth="1"/>
    <col min="1228" max="1228" width="28.6640625" bestFit="1" customWidth="1"/>
    <col min="1229" max="1229" width="12.6640625" bestFit="1" customWidth="1"/>
    <col min="1230" max="1230" width="28.5546875" bestFit="1" customWidth="1"/>
    <col min="1231" max="1231" width="38" bestFit="1" customWidth="1"/>
    <col min="1232" max="1232" width="24.6640625" bestFit="1" customWidth="1"/>
    <col min="1233" max="1233" width="23" bestFit="1" customWidth="1"/>
    <col min="1234" max="1234" width="17.88671875" bestFit="1" customWidth="1"/>
    <col min="1235" max="1235" width="12" bestFit="1" customWidth="1"/>
    <col min="1236" max="1236" width="16.77734375" bestFit="1" customWidth="1"/>
    <col min="1237" max="1237" width="24.5546875" bestFit="1" customWidth="1"/>
    <col min="1238" max="1238" width="28.6640625" bestFit="1" customWidth="1"/>
    <col min="1239" max="1239" width="12.6640625" bestFit="1" customWidth="1"/>
    <col min="1240" max="1240" width="28.5546875" bestFit="1" customWidth="1"/>
    <col min="1241" max="1241" width="38" bestFit="1" customWidth="1"/>
    <col min="1242" max="1242" width="24.6640625" bestFit="1" customWidth="1"/>
    <col min="1243" max="1243" width="23" bestFit="1" customWidth="1"/>
    <col min="1244" max="1244" width="17.88671875" bestFit="1" customWidth="1"/>
    <col min="1245" max="1245" width="12" bestFit="1" customWidth="1"/>
    <col min="1246" max="1246" width="16.77734375" bestFit="1" customWidth="1"/>
    <col min="1247" max="1247" width="24.5546875" bestFit="1" customWidth="1"/>
    <col min="1248" max="1248" width="28.6640625" bestFit="1" customWidth="1"/>
    <col min="1249" max="1249" width="12.6640625" bestFit="1" customWidth="1"/>
    <col min="1250" max="1250" width="28.5546875" bestFit="1" customWidth="1"/>
    <col min="1251" max="1251" width="38" bestFit="1" customWidth="1"/>
    <col min="1252" max="1252" width="24.6640625" bestFit="1" customWidth="1"/>
    <col min="1253" max="1253" width="23" bestFit="1" customWidth="1"/>
    <col min="1254" max="1254" width="17.88671875" bestFit="1" customWidth="1"/>
    <col min="1255" max="1255" width="12" bestFit="1" customWidth="1"/>
    <col min="1256" max="1256" width="16.77734375" bestFit="1" customWidth="1"/>
    <col min="1257" max="1257" width="24.5546875" bestFit="1" customWidth="1"/>
    <col min="1258" max="1258" width="28.6640625" bestFit="1" customWidth="1"/>
    <col min="1259" max="1259" width="12.6640625" bestFit="1" customWidth="1"/>
    <col min="1260" max="1260" width="28.5546875" bestFit="1" customWidth="1"/>
    <col min="1261" max="1261" width="38" bestFit="1" customWidth="1"/>
    <col min="1262" max="1262" width="24.6640625" bestFit="1" customWidth="1"/>
    <col min="1263" max="1263" width="23" bestFit="1" customWidth="1"/>
    <col min="1264" max="1264" width="17.88671875" bestFit="1" customWidth="1"/>
    <col min="1265" max="1265" width="12" bestFit="1" customWidth="1"/>
    <col min="1266" max="1266" width="16.77734375" bestFit="1" customWidth="1"/>
    <col min="1267" max="1267" width="24.5546875" bestFit="1" customWidth="1"/>
    <col min="1268" max="1268" width="28.6640625" bestFit="1" customWidth="1"/>
    <col min="1269" max="1269" width="12.6640625" bestFit="1" customWidth="1"/>
    <col min="1270" max="1270" width="28.5546875" bestFit="1" customWidth="1"/>
    <col min="1271" max="1271" width="38" bestFit="1" customWidth="1"/>
    <col min="1272" max="1272" width="24.6640625" bestFit="1" customWidth="1"/>
    <col min="1273" max="1273" width="23" bestFit="1" customWidth="1"/>
    <col min="1274" max="1274" width="17.88671875" bestFit="1" customWidth="1"/>
    <col min="1275" max="1275" width="12" bestFit="1" customWidth="1"/>
    <col min="1276" max="1276" width="16.77734375" bestFit="1" customWidth="1"/>
    <col min="1277" max="1277" width="24.5546875" bestFit="1" customWidth="1"/>
    <col min="1278" max="1278" width="28.6640625" bestFit="1" customWidth="1"/>
    <col min="1279" max="1279" width="12.6640625" bestFit="1" customWidth="1"/>
    <col min="1280" max="1280" width="28.5546875" bestFit="1" customWidth="1"/>
    <col min="1281" max="1281" width="38" bestFit="1" customWidth="1"/>
    <col min="1282" max="1282" width="24.6640625" bestFit="1" customWidth="1"/>
    <col min="1283" max="1283" width="27.5546875" bestFit="1" customWidth="1"/>
    <col min="1284" max="1284" width="22.44140625" bestFit="1" customWidth="1"/>
    <col min="1285" max="1285" width="16.5546875" bestFit="1" customWidth="1"/>
    <col min="1286" max="1286" width="21.44140625" bestFit="1" customWidth="1"/>
    <col min="1287" max="1287" width="29.109375" bestFit="1" customWidth="1"/>
    <col min="1288" max="1288" width="33.21875" bestFit="1" customWidth="1"/>
    <col min="1289" max="1289" width="17.33203125" bestFit="1" customWidth="1"/>
    <col min="1290" max="1290" width="33.109375" bestFit="1" customWidth="1"/>
    <col min="1291" max="1291" width="42.5546875" bestFit="1" customWidth="1"/>
    <col min="1292" max="1292" width="29.21875" bestFit="1" customWidth="1"/>
    <col min="1293" max="1293" width="23" bestFit="1" customWidth="1"/>
    <col min="1294" max="1294" width="17.88671875" bestFit="1" customWidth="1"/>
    <col min="1295" max="1295" width="12" bestFit="1" customWidth="1"/>
    <col min="1296" max="1296" width="16.77734375" bestFit="1" customWidth="1"/>
    <col min="1297" max="1297" width="24.5546875" bestFit="1" customWidth="1"/>
    <col min="1298" max="1298" width="28.6640625" bestFit="1" customWidth="1"/>
    <col min="1299" max="1299" width="12.6640625" bestFit="1" customWidth="1"/>
    <col min="1300" max="1300" width="28.5546875" bestFit="1" customWidth="1"/>
    <col min="1301" max="1301" width="38" bestFit="1" customWidth="1"/>
    <col min="1302" max="1302" width="24.6640625" bestFit="1" customWidth="1"/>
    <col min="1303" max="1303" width="23" bestFit="1" customWidth="1"/>
    <col min="1304" max="1304" width="17.88671875" bestFit="1" customWidth="1"/>
    <col min="1305" max="1305" width="12" bestFit="1" customWidth="1"/>
    <col min="1306" max="1306" width="16.77734375" bestFit="1" customWidth="1"/>
    <col min="1307" max="1307" width="24.5546875" bestFit="1" customWidth="1"/>
    <col min="1308" max="1308" width="28.6640625" bestFit="1" customWidth="1"/>
    <col min="1309" max="1309" width="12.6640625" bestFit="1" customWidth="1"/>
    <col min="1310" max="1310" width="28.5546875" bestFit="1" customWidth="1"/>
    <col min="1311" max="1311" width="38" bestFit="1" customWidth="1"/>
    <col min="1312" max="1312" width="24.6640625" bestFit="1" customWidth="1"/>
    <col min="1313" max="1313" width="23" bestFit="1" customWidth="1"/>
    <col min="1314" max="1314" width="17.88671875" bestFit="1" customWidth="1"/>
    <col min="1315" max="1315" width="12" bestFit="1" customWidth="1"/>
    <col min="1316" max="1316" width="16.77734375" bestFit="1" customWidth="1"/>
    <col min="1317" max="1317" width="24.5546875" bestFit="1" customWidth="1"/>
    <col min="1318" max="1318" width="28.6640625" bestFit="1" customWidth="1"/>
    <col min="1319" max="1319" width="12.6640625" bestFit="1" customWidth="1"/>
    <col min="1320" max="1320" width="28.5546875" bestFit="1" customWidth="1"/>
    <col min="1321" max="1321" width="38" bestFit="1" customWidth="1"/>
    <col min="1322" max="1322" width="24.6640625" bestFit="1" customWidth="1"/>
    <col min="1323" max="1323" width="23" bestFit="1" customWidth="1"/>
    <col min="1324" max="1324" width="17.88671875" bestFit="1" customWidth="1"/>
    <col min="1325" max="1325" width="12" bestFit="1" customWidth="1"/>
    <col min="1326" max="1326" width="16.77734375" bestFit="1" customWidth="1"/>
    <col min="1327" max="1327" width="24.5546875" bestFit="1" customWidth="1"/>
    <col min="1328" max="1328" width="28.6640625" bestFit="1" customWidth="1"/>
    <col min="1329" max="1329" width="12.6640625" bestFit="1" customWidth="1"/>
    <col min="1330" max="1330" width="28.5546875" bestFit="1" customWidth="1"/>
    <col min="1331" max="1331" width="38" bestFit="1" customWidth="1"/>
    <col min="1332" max="1332" width="24.6640625" bestFit="1" customWidth="1"/>
    <col min="1333" max="1333" width="23" bestFit="1" customWidth="1"/>
    <col min="1334" max="1334" width="17.88671875" bestFit="1" customWidth="1"/>
    <col min="1335" max="1335" width="12" bestFit="1" customWidth="1"/>
    <col min="1336" max="1336" width="16.77734375" bestFit="1" customWidth="1"/>
    <col min="1337" max="1337" width="24.5546875" bestFit="1" customWidth="1"/>
    <col min="1338" max="1338" width="28.6640625" bestFit="1" customWidth="1"/>
    <col min="1339" max="1339" width="12.6640625" bestFit="1" customWidth="1"/>
    <col min="1340" max="1340" width="28.5546875" bestFit="1" customWidth="1"/>
    <col min="1341" max="1341" width="38" bestFit="1" customWidth="1"/>
    <col min="1342" max="1342" width="24.6640625" bestFit="1" customWidth="1"/>
    <col min="1343" max="1343" width="27.5546875" bestFit="1" customWidth="1"/>
    <col min="1344" max="1344" width="22.44140625" bestFit="1" customWidth="1"/>
    <col min="1345" max="1345" width="16.5546875" bestFit="1" customWidth="1"/>
    <col min="1346" max="1346" width="21.44140625" bestFit="1" customWidth="1"/>
    <col min="1347" max="1347" width="29.109375" bestFit="1" customWidth="1"/>
    <col min="1348" max="1348" width="33.21875" bestFit="1" customWidth="1"/>
    <col min="1349" max="1349" width="17.33203125" bestFit="1" customWidth="1"/>
    <col min="1350" max="1350" width="33.109375" bestFit="1" customWidth="1"/>
    <col min="1351" max="1351" width="42.5546875" bestFit="1" customWidth="1"/>
    <col min="1352" max="1352" width="29.21875" bestFit="1" customWidth="1"/>
    <col min="1353" max="1353" width="27.77734375" bestFit="1" customWidth="1"/>
    <col min="1354" max="1354" width="22.6640625" bestFit="1" customWidth="1"/>
    <col min="1355" max="1355" width="16.77734375" bestFit="1" customWidth="1"/>
    <col min="1356" max="1356" width="21.6640625" bestFit="1" customWidth="1"/>
    <col min="1357" max="1357" width="29.33203125" bestFit="1" customWidth="1"/>
    <col min="1358" max="1358" width="33.44140625" bestFit="1" customWidth="1"/>
    <col min="1359" max="1359" width="17.5546875" bestFit="1" customWidth="1"/>
    <col min="1360" max="1360" width="33.33203125" bestFit="1" customWidth="1"/>
    <col min="1361" max="1361" width="42.77734375" bestFit="1" customWidth="1"/>
    <col min="1362" max="1362" width="29.5546875" bestFit="1" customWidth="1"/>
    <col min="1363" max="1363" width="12.6640625" bestFit="1" customWidth="1"/>
    <col min="1364" max="1364" width="28.5546875" bestFit="1" customWidth="1"/>
    <col min="1365" max="1365" width="38" bestFit="1" customWidth="1"/>
    <col min="1366" max="1366" width="24.6640625" bestFit="1" customWidth="1"/>
    <col min="1367" max="1367" width="10.44140625" bestFit="1" customWidth="1"/>
    <col min="1368" max="1368" width="23" bestFit="1" customWidth="1"/>
    <col min="1369" max="1369" width="17.88671875" bestFit="1" customWidth="1"/>
    <col min="1370" max="1370" width="12" bestFit="1" customWidth="1"/>
    <col min="1371" max="1371" width="16.77734375" bestFit="1" customWidth="1"/>
    <col min="1372" max="1372" width="24.5546875" bestFit="1" customWidth="1"/>
    <col min="1373" max="1373" width="28.6640625" bestFit="1" customWidth="1"/>
    <col min="1374" max="1374" width="12.6640625" bestFit="1" customWidth="1"/>
    <col min="1375" max="1375" width="28.5546875" bestFit="1" customWidth="1"/>
    <col min="1376" max="1376" width="38" bestFit="1" customWidth="1"/>
    <col min="1377" max="1377" width="24.6640625" bestFit="1" customWidth="1"/>
    <col min="1378" max="1378" width="10.44140625" bestFit="1" customWidth="1"/>
    <col min="1379" max="1379" width="23" bestFit="1" customWidth="1"/>
    <col min="1380" max="1380" width="17.88671875" bestFit="1" customWidth="1"/>
    <col min="1381" max="1381" width="12" bestFit="1" customWidth="1"/>
    <col min="1382" max="1382" width="16.77734375" bestFit="1" customWidth="1"/>
    <col min="1383" max="1383" width="24.5546875" bestFit="1" customWidth="1"/>
    <col min="1384" max="1384" width="28.6640625" bestFit="1" customWidth="1"/>
    <col min="1385" max="1385" width="12.6640625" bestFit="1" customWidth="1"/>
    <col min="1386" max="1386" width="28.5546875" bestFit="1" customWidth="1"/>
    <col min="1387" max="1387" width="38" bestFit="1" customWidth="1"/>
    <col min="1388" max="1388" width="24.6640625" bestFit="1" customWidth="1"/>
    <col min="1389" max="1389" width="10.44140625" bestFit="1" customWidth="1"/>
    <col min="1390" max="1390" width="23" bestFit="1" customWidth="1"/>
    <col min="1391" max="1391" width="17.88671875" bestFit="1" customWidth="1"/>
    <col min="1392" max="1392" width="12" bestFit="1" customWidth="1"/>
    <col min="1393" max="1393" width="16.77734375" bestFit="1" customWidth="1"/>
    <col min="1394" max="1394" width="24.5546875" bestFit="1" customWidth="1"/>
    <col min="1395" max="1395" width="28.6640625" bestFit="1" customWidth="1"/>
    <col min="1396" max="1396" width="12.6640625" bestFit="1" customWidth="1"/>
    <col min="1397" max="1397" width="28.5546875" bestFit="1" customWidth="1"/>
    <col min="1398" max="1398" width="38" bestFit="1" customWidth="1"/>
    <col min="1399" max="1399" width="24.6640625" bestFit="1" customWidth="1"/>
    <col min="1400" max="1400" width="10.44140625" bestFit="1" customWidth="1"/>
    <col min="1401" max="1401" width="23" bestFit="1" customWidth="1"/>
    <col min="1402" max="1402" width="17.88671875" bestFit="1" customWidth="1"/>
    <col min="1403" max="1403" width="12" bestFit="1" customWidth="1"/>
    <col min="1404" max="1404" width="16.77734375" bestFit="1" customWidth="1"/>
    <col min="1405" max="1405" width="24.5546875" bestFit="1" customWidth="1"/>
    <col min="1406" max="1406" width="28.6640625" bestFit="1" customWidth="1"/>
    <col min="1407" max="1407" width="12.6640625" bestFit="1" customWidth="1"/>
    <col min="1408" max="1408" width="28.5546875" bestFit="1" customWidth="1"/>
    <col min="1409" max="1409" width="38" bestFit="1" customWidth="1"/>
    <col min="1410" max="1410" width="24.6640625" bestFit="1" customWidth="1"/>
    <col min="1411" max="1411" width="15" bestFit="1" customWidth="1"/>
    <col min="1412" max="1412" width="27.5546875" bestFit="1" customWidth="1"/>
    <col min="1413" max="1413" width="22.44140625" bestFit="1" customWidth="1"/>
    <col min="1414" max="1414" width="16.5546875" bestFit="1" customWidth="1"/>
    <col min="1415" max="1415" width="21.44140625" bestFit="1" customWidth="1"/>
    <col min="1416" max="1416" width="29.109375" bestFit="1" customWidth="1"/>
    <col min="1417" max="1417" width="33.21875" bestFit="1" customWidth="1"/>
    <col min="1418" max="1418" width="17.33203125" bestFit="1" customWidth="1"/>
    <col min="1419" max="1419" width="33.109375" bestFit="1" customWidth="1"/>
    <col min="1420" max="1420" width="42.5546875" bestFit="1" customWidth="1"/>
    <col min="1421" max="1421" width="29.21875" bestFit="1" customWidth="1"/>
    <col min="1422" max="1422" width="10.44140625" bestFit="1" customWidth="1"/>
    <col min="1423" max="1423" width="23" bestFit="1" customWidth="1"/>
    <col min="1424" max="1424" width="17.88671875" bestFit="1" customWidth="1"/>
    <col min="1425" max="1425" width="12" bestFit="1" customWidth="1"/>
    <col min="1426" max="1426" width="16.77734375" bestFit="1" customWidth="1"/>
    <col min="1427" max="1427" width="24.5546875" bestFit="1" customWidth="1"/>
    <col min="1428" max="1428" width="28.6640625" bestFit="1" customWidth="1"/>
    <col min="1429" max="1429" width="12.6640625" bestFit="1" customWidth="1"/>
    <col min="1430" max="1430" width="28.5546875" bestFit="1" customWidth="1"/>
    <col min="1431" max="1431" width="38" bestFit="1" customWidth="1"/>
    <col min="1432" max="1432" width="24.6640625" bestFit="1" customWidth="1"/>
    <col min="1433" max="1433" width="10.44140625" bestFit="1" customWidth="1"/>
    <col min="1434" max="1434" width="23" bestFit="1" customWidth="1"/>
    <col min="1435" max="1435" width="17.88671875" bestFit="1" customWidth="1"/>
    <col min="1436" max="1436" width="12" bestFit="1" customWidth="1"/>
    <col min="1437" max="1437" width="16.77734375" bestFit="1" customWidth="1"/>
    <col min="1438" max="1438" width="24.5546875" bestFit="1" customWidth="1"/>
    <col min="1439" max="1439" width="28.6640625" bestFit="1" customWidth="1"/>
    <col min="1440" max="1440" width="12.6640625" bestFit="1" customWidth="1"/>
    <col min="1441" max="1441" width="28.5546875" bestFit="1" customWidth="1"/>
    <col min="1442" max="1442" width="38" bestFit="1" customWidth="1"/>
    <col min="1443" max="1443" width="24.6640625" bestFit="1" customWidth="1"/>
    <col min="1444" max="1444" width="10.44140625" bestFit="1" customWidth="1"/>
    <col min="1445" max="1445" width="23" bestFit="1" customWidth="1"/>
    <col min="1446" max="1446" width="17.88671875" bestFit="1" customWidth="1"/>
    <col min="1447" max="1447" width="12" bestFit="1" customWidth="1"/>
    <col min="1448" max="1448" width="16.77734375" bestFit="1" customWidth="1"/>
    <col min="1449" max="1449" width="24.5546875" bestFit="1" customWidth="1"/>
    <col min="1450" max="1450" width="28.6640625" bestFit="1" customWidth="1"/>
    <col min="1451" max="1451" width="12.6640625" bestFit="1" customWidth="1"/>
    <col min="1452" max="1452" width="28.5546875" bestFit="1" customWidth="1"/>
    <col min="1453" max="1453" width="38" bestFit="1" customWidth="1"/>
    <col min="1454" max="1454" width="24.6640625" bestFit="1" customWidth="1"/>
    <col min="1455" max="1455" width="10.44140625" bestFit="1" customWidth="1"/>
    <col min="1456" max="1456" width="23" bestFit="1" customWidth="1"/>
    <col min="1457" max="1457" width="17.88671875" bestFit="1" customWidth="1"/>
    <col min="1458" max="1458" width="12" bestFit="1" customWidth="1"/>
    <col min="1459" max="1459" width="16.77734375" bestFit="1" customWidth="1"/>
    <col min="1460" max="1460" width="24.5546875" bestFit="1" customWidth="1"/>
    <col min="1461" max="1461" width="28.6640625" bestFit="1" customWidth="1"/>
    <col min="1462" max="1462" width="12.6640625" bestFit="1" customWidth="1"/>
    <col min="1463" max="1463" width="28.5546875" bestFit="1" customWidth="1"/>
    <col min="1464" max="1464" width="38" bestFit="1" customWidth="1"/>
    <col min="1465" max="1465" width="24.6640625" bestFit="1" customWidth="1"/>
    <col min="1466" max="1466" width="10.44140625" bestFit="1" customWidth="1"/>
    <col min="1467" max="1467" width="23" bestFit="1" customWidth="1"/>
    <col min="1468" max="1468" width="17.88671875" bestFit="1" customWidth="1"/>
    <col min="1469" max="1469" width="12" bestFit="1" customWidth="1"/>
    <col min="1470" max="1470" width="16.77734375" bestFit="1" customWidth="1"/>
    <col min="1471" max="1471" width="24.5546875" bestFit="1" customWidth="1"/>
    <col min="1472" max="1472" width="28.6640625" bestFit="1" customWidth="1"/>
    <col min="1473" max="1473" width="12.6640625" bestFit="1" customWidth="1"/>
    <col min="1474" max="1474" width="28.5546875" bestFit="1" customWidth="1"/>
    <col min="1475" max="1475" width="38" bestFit="1" customWidth="1"/>
    <col min="1476" max="1476" width="24.6640625" bestFit="1" customWidth="1"/>
    <col min="1477" max="1477" width="15" bestFit="1" customWidth="1"/>
    <col min="1478" max="1478" width="27.5546875" bestFit="1" customWidth="1"/>
    <col min="1479" max="1479" width="22.44140625" bestFit="1" customWidth="1"/>
    <col min="1480" max="1480" width="16.5546875" bestFit="1" customWidth="1"/>
    <col min="1481" max="1481" width="21.44140625" bestFit="1" customWidth="1"/>
    <col min="1482" max="1482" width="29.109375" bestFit="1" customWidth="1"/>
    <col min="1483" max="1483" width="33.21875" bestFit="1" customWidth="1"/>
    <col min="1484" max="1484" width="17.33203125" bestFit="1" customWidth="1"/>
    <col min="1485" max="1485" width="33.109375" bestFit="1" customWidth="1"/>
    <col min="1486" max="1486" width="42.5546875" bestFit="1" customWidth="1"/>
    <col min="1487" max="1487" width="29.21875" bestFit="1" customWidth="1"/>
    <col min="1488" max="1488" width="15.21875" bestFit="1" customWidth="1"/>
    <col min="1489" max="1489" width="27.77734375" bestFit="1" customWidth="1"/>
    <col min="1490" max="1490" width="22.6640625" bestFit="1" customWidth="1"/>
    <col min="1491" max="1491" width="16.77734375" bestFit="1" customWidth="1"/>
    <col min="1492" max="1492" width="21.6640625" bestFit="1" customWidth="1"/>
    <col min="1493" max="1493" width="29.33203125" bestFit="1" customWidth="1"/>
    <col min="1494" max="1494" width="33.44140625" bestFit="1" customWidth="1"/>
    <col min="1495" max="1495" width="17.5546875" bestFit="1" customWidth="1"/>
    <col min="1496" max="1496" width="33.33203125" bestFit="1" customWidth="1"/>
    <col min="1497" max="1497" width="42.77734375" bestFit="1" customWidth="1"/>
    <col min="1498" max="1498" width="29.5546875" bestFit="1" customWidth="1"/>
    <col min="1499" max="1499" width="12.6640625" bestFit="1" customWidth="1"/>
    <col min="1500" max="1500" width="28.5546875" bestFit="1" customWidth="1"/>
    <col min="1501" max="1501" width="38" bestFit="1" customWidth="1"/>
    <col min="1502" max="1502" width="24.6640625" bestFit="1" customWidth="1"/>
    <col min="1503" max="1503" width="19.21875" bestFit="1" customWidth="1"/>
    <col min="1504" max="1504" width="10.44140625" bestFit="1" customWidth="1"/>
    <col min="1505" max="1505" width="23" bestFit="1" customWidth="1"/>
    <col min="1506" max="1506" width="17.88671875" bestFit="1" customWidth="1"/>
    <col min="1507" max="1507" width="12" bestFit="1" customWidth="1"/>
    <col min="1508" max="1508" width="16.77734375" bestFit="1" customWidth="1"/>
    <col min="1509" max="1509" width="24.5546875" bestFit="1" customWidth="1"/>
    <col min="1510" max="1510" width="28.6640625" bestFit="1" customWidth="1"/>
    <col min="1511" max="1511" width="12.6640625" bestFit="1" customWidth="1"/>
    <col min="1512" max="1512" width="28.5546875" bestFit="1" customWidth="1"/>
    <col min="1513" max="1513" width="38" bestFit="1" customWidth="1"/>
    <col min="1514" max="1514" width="24.6640625" bestFit="1" customWidth="1"/>
    <col min="1515" max="1515" width="19.21875" bestFit="1" customWidth="1"/>
    <col min="1516" max="1516" width="10.44140625" bestFit="1" customWidth="1"/>
    <col min="1517" max="1517" width="23" bestFit="1" customWidth="1"/>
    <col min="1518" max="1518" width="17.88671875" bestFit="1" customWidth="1"/>
    <col min="1519" max="1519" width="12" bestFit="1" customWidth="1"/>
    <col min="1520" max="1520" width="16.77734375" bestFit="1" customWidth="1"/>
    <col min="1521" max="1521" width="24.5546875" bestFit="1" customWidth="1"/>
    <col min="1522" max="1522" width="28.6640625" bestFit="1" customWidth="1"/>
    <col min="1523" max="1523" width="12.6640625" bestFit="1" customWidth="1"/>
    <col min="1524" max="1524" width="28.5546875" bestFit="1" customWidth="1"/>
    <col min="1525" max="1525" width="38" bestFit="1" customWidth="1"/>
    <col min="1526" max="1526" width="24.6640625" bestFit="1" customWidth="1"/>
    <col min="1527" max="1527" width="19.21875" bestFit="1" customWidth="1"/>
    <col min="1528" max="1528" width="10.44140625" bestFit="1" customWidth="1"/>
    <col min="1529" max="1529" width="23" bestFit="1" customWidth="1"/>
    <col min="1530" max="1530" width="17.88671875" bestFit="1" customWidth="1"/>
    <col min="1531" max="1531" width="12" bestFit="1" customWidth="1"/>
    <col min="1532" max="1532" width="16.77734375" bestFit="1" customWidth="1"/>
    <col min="1533" max="1533" width="24.5546875" bestFit="1" customWidth="1"/>
    <col min="1534" max="1534" width="28.6640625" bestFit="1" customWidth="1"/>
    <col min="1535" max="1535" width="12.6640625" bestFit="1" customWidth="1"/>
    <col min="1536" max="1536" width="28.5546875" bestFit="1" customWidth="1"/>
    <col min="1537" max="1537" width="38" bestFit="1" customWidth="1"/>
    <col min="1538" max="1538" width="24.6640625" bestFit="1" customWidth="1"/>
    <col min="1539" max="1539" width="23.77734375" bestFit="1" customWidth="1"/>
    <col min="1540" max="1540" width="15" bestFit="1" customWidth="1"/>
    <col min="1541" max="1541" width="27.5546875" bestFit="1" customWidth="1"/>
    <col min="1542" max="1542" width="22.44140625" bestFit="1" customWidth="1"/>
    <col min="1543" max="1543" width="16.5546875" bestFit="1" customWidth="1"/>
    <col min="1544" max="1544" width="21.44140625" bestFit="1" customWidth="1"/>
    <col min="1545" max="1545" width="29.109375" bestFit="1" customWidth="1"/>
    <col min="1546" max="1546" width="33.21875" bestFit="1" customWidth="1"/>
    <col min="1547" max="1547" width="17.33203125" bestFit="1" customWidth="1"/>
    <col min="1548" max="1548" width="33.109375" bestFit="1" customWidth="1"/>
    <col min="1549" max="1549" width="42.5546875" bestFit="1" customWidth="1"/>
    <col min="1550" max="1550" width="29.21875" bestFit="1" customWidth="1"/>
    <col min="1551" max="1551" width="19.21875" bestFit="1" customWidth="1"/>
    <col min="1552" max="1552" width="10.44140625" bestFit="1" customWidth="1"/>
    <col min="1553" max="1553" width="23" bestFit="1" customWidth="1"/>
    <col min="1554" max="1554" width="17.88671875" bestFit="1" customWidth="1"/>
    <col min="1555" max="1555" width="12" bestFit="1" customWidth="1"/>
    <col min="1556" max="1556" width="16.77734375" bestFit="1" customWidth="1"/>
    <col min="1557" max="1557" width="24.5546875" bestFit="1" customWidth="1"/>
    <col min="1558" max="1558" width="28.6640625" bestFit="1" customWidth="1"/>
    <col min="1559" max="1559" width="12.6640625" bestFit="1" customWidth="1"/>
    <col min="1560" max="1560" width="28.5546875" bestFit="1" customWidth="1"/>
    <col min="1561" max="1561" width="38" bestFit="1" customWidth="1"/>
    <col min="1562" max="1562" width="24.6640625" bestFit="1" customWidth="1"/>
    <col min="1563" max="1563" width="19.21875" bestFit="1" customWidth="1"/>
    <col min="1564" max="1564" width="10.44140625" bestFit="1" customWidth="1"/>
    <col min="1565" max="1565" width="23" bestFit="1" customWidth="1"/>
    <col min="1566" max="1566" width="17.88671875" bestFit="1" customWidth="1"/>
    <col min="1567" max="1567" width="12" bestFit="1" customWidth="1"/>
    <col min="1568" max="1568" width="16.77734375" bestFit="1" customWidth="1"/>
    <col min="1569" max="1569" width="24.5546875" bestFit="1" customWidth="1"/>
    <col min="1570" max="1570" width="28.6640625" bestFit="1" customWidth="1"/>
    <col min="1571" max="1571" width="12.6640625" bestFit="1" customWidth="1"/>
    <col min="1572" max="1572" width="28.5546875" bestFit="1" customWidth="1"/>
    <col min="1573" max="1573" width="38" bestFit="1" customWidth="1"/>
    <col min="1574" max="1574" width="24.6640625" bestFit="1" customWidth="1"/>
    <col min="1575" max="1575" width="19.21875" bestFit="1" customWidth="1"/>
    <col min="1576" max="1576" width="10.44140625" bestFit="1" customWidth="1"/>
    <col min="1577" max="1577" width="23" bestFit="1" customWidth="1"/>
    <col min="1578" max="1578" width="17.88671875" bestFit="1" customWidth="1"/>
    <col min="1579" max="1579" width="12" bestFit="1" customWidth="1"/>
    <col min="1580" max="1580" width="16.77734375" bestFit="1" customWidth="1"/>
    <col min="1581" max="1581" width="24.5546875" bestFit="1" customWidth="1"/>
    <col min="1582" max="1582" width="28.6640625" bestFit="1" customWidth="1"/>
    <col min="1583" max="1583" width="12.6640625" bestFit="1" customWidth="1"/>
    <col min="1584" max="1584" width="28.5546875" bestFit="1" customWidth="1"/>
    <col min="1585" max="1585" width="38" bestFit="1" customWidth="1"/>
    <col min="1586" max="1586" width="24.6640625" bestFit="1" customWidth="1"/>
    <col min="1587" max="1587" width="19.21875" bestFit="1" customWidth="1"/>
    <col min="1588" max="1588" width="10.44140625" bestFit="1" customWidth="1"/>
    <col min="1589" max="1589" width="23" bestFit="1" customWidth="1"/>
    <col min="1590" max="1590" width="17.88671875" bestFit="1" customWidth="1"/>
    <col min="1591" max="1591" width="12" bestFit="1" customWidth="1"/>
    <col min="1592" max="1592" width="16.77734375" bestFit="1" customWidth="1"/>
    <col min="1593" max="1593" width="24.5546875" bestFit="1" customWidth="1"/>
    <col min="1594" max="1594" width="28.6640625" bestFit="1" customWidth="1"/>
    <col min="1595" max="1595" width="12.6640625" bestFit="1" customWidth="1"/>
    <col min="1596" max="1596" width="28.5546875" bestFit="1" customWidth="1"/>
    <col min="1597" max="1597" width="38" bestFit="1" customWidth="1"/>
    <col min="1598" max="1598" width="24.6640625" bestFit="1" customWidth="1"/>
    <col min="1599" max="1599" width="19.21875" bestFit="1" customWidth="1"/>
    <col min="1600" max="1600" width="10.44140625" bestFit="1" customWidth="1"/>
    <col min="1601" max="1601" width="23" bestFit="1" customWidth="1"/>
    <col min="1602" max="1602" width="17.88671875" bestFit="1" customWidth="1"/>
    <col min="1603" max="1603" width="12" bestFit="1" customWidth="1"/>
    <col min="1604" max="1604" width="16.77734375" bestFit="1" customWidth="1"/>
    <col min="1605" max="1605" width="24.5546875" bestFit="1" customWidth="1"/>
    <col min="1606" max="1606" width="28.6640625" bestFit="1" customWidth="1"/>
    <col min="1607" max="1607" width="12.6640625" bestFit="1" customWidth="1"/>
    <col min="1608" max="1608" width="28.5546875" bestFit="1" customWidth="1"/>
    <col min="1609" max="1609" width="38" bestFit="1" customWidth="1"/>
    <col min="1610" max="1610" width="24.6640625" bestFit="1" customWidth="1"/>
    <col min="1611" max="1611" width="23.77734375" bestFit="1" customWidth="1"/>
    <col min="1612" max="1612" width="15" bestFit="1" customWidth="1"/>
    <col min="1613" max="1613" width="27.5546875" bestFit="1" customWidth="1"/>
    <col min="1614" max="1614" width="22.44140625" bestFit="1" customWidth="1"/>
    <col min="1615" max="1615" width="16.5546875" bestFit="1" customWidth="1"/>
    <col min="1616" max="1616" width="21.44140625" bestFit="1" customWidth="1"/>
    <col min="1617" max="1617" width="29.109375" bestFit="1" customWidth="1"/>
    <col min="1618" max="1618" width="33.21875" bestFit="1" customWidth="1"/>
    <col min="1619" max="1619" width="17.33203125" bestFit="1" customWidth="1"/>
    <col min="1620" max="1620" width="33.109375" bestFit="1" customWidth="1"/>
    <col min="1621" max="1621" width="42.5546875" bestFit="1" customWidth="1"/>
    <col min="1622" max="1622" width="29.21875" bestFit="1" customWidth="1"/>
    <col min="1623" max="1623" width="24" bestFit="1" customWidth="1"/>
    <col min="1624" max="1624" width="15.21875" bestFit="1" customWidth="1"/>
    <col min="1625" max="1625" width="27.77734375" bestFit="1" customWidth="1"/>
    <col min="1626" max="1626" width="22.6640625" bestFit="1" customWidth="1"/>
    <col min="1627" max="1627" width="16.77734375" bestFit="1" customWidth="1"/>
    <col min="1628" max="1628" width="21.6640625" bestFit="1" customWidth="1"/>
    <col min="1629" max="1629" width="29.33203125" bestFit="1" customWidth="1"/>
    <col min="1630" max="1630" width="33.44140625" bestFit="1" customWidth="1"/>
    <col min="1631" max="1631" width="17.5546875" bestFit="1" customWidth="1"/>
    <col min="1632" max="1632" width="33.33203125" bestFit="1" customWidth="1"/>
    <col min="1633" max="1633" width="42.77734375" bestFit="1" customWidth="1"/>
    <col min="1634" max="1634" width="29.5546875" bestFit="1" customWidth="1"/>
    <col min="1635" max="1665" width="38" bestFit="1" customWidth="1"/>
    <col min="1666" max="1666" width="30" bestFit="1" customWidth="1"/>
    <col min="1667" max="1667" width="23.77734375" bestFit="1" customWidth="1"/>
    <col min="1668" max="1668" width="15" bestFit="1" customWidth="1"/>
    <col min="1669" max="1669" width="27.5546875" bestFit="1" customWidth="1"/>
    <col min="1670" max="1670" width="22.44140625" bestFit="1" customWidth="1"/>
    <col min="1671" max="1671" width="16.5546875" bestFit="1" customWidth="1"/>
    <col min="1672" max="1672" width="21.44140625" bestFit="1" customWidth="1"/>
    <col min="1673" max="1673" width="29.109375" bestFit="1" customWidth="1"/>
    <col min="1674" max="1674" width="33.21875" bestFit="1" customWidth="1"/>
    <col min="1675" max="1675" width="17.33203125" bestFit="1" customWidth="1"/>
    <col min="1676" max="1676" width="33.109375" bestFit="1" customWidth="1"/>
    <col min="1677" max="1677" width="42.5546875" bestFit="1" customWidth="1"/>
    <col min="1678" max="1678" width="29.21875" bestFit="1" customWidth="1"/>
    <col min="1679" max="1743" width="38" bestFit="1" customWidth="1"/>
    <col min="1744" max="1744" width="30" bestFit="1" customWidth="1"/>
    <col min="1745" max="1745" width="23.77734375" bestFit="1" customWidth="1"/>
    <col min="1746" max="1746" width="15" bestFit="1" customWidth="1"/>
    <col min="1747" max="1747" width="27.5546875" bestFit="1" customWidth="1"/>
    <col min="1748" max="1748" width="22.44140625" bestFit="1" customWidth="1"/>
    <col min="1749" max="1749" width="16.5546875" bestFit="1" customWidth="1"/>
    <col min="1750" max="1750" width="21.44140625" bestFit="1" customWidth="1"/>
    <col min="1751" max="1751" width="29.109375" bestFit="1" customWidth="1"/>
    <col min="1752" max="1752" width="33.21875" bestFit="1" customWidth="1"/>
    <col min="1753" max="1753" width="17.33203125" bestFit="1" customWidth="1"/>
    <col min="1754" max="1754" width="33.109375" bestFit="1" customWidth="1"/>
    <col min="1755" max="1755" width="42.5546875" bestFit="1" customWidth="1"/>
    <col min="1756" max="1756" width="29.21875" bestFit="1" customWidth="1"/>
    <col min="1757" max="1757" width="30.21875" bestFit="1" customWidth="1"/>
    <col min="1758" max="1758" width="24" bestFit="1" customWidth="1"/>
    <col min="1759" max="1759" width="15.21875" bestFit="1" customWidth="1"/>
    <col min="1760" max="1760" width="27.77734375" bestFit="1" customWidth="1"/>
    <col min="1761" max="1761" width="22.6640625" bestFit="1" customWidth="1"/>
    <col min="1762" max="1762" width="16.77734375" bestFit="1" customWidth="1"/>
    <col min="1763" max="1763" width="21.6640625" bestFit="1" customWidth="1"/>
    <col min="1764" max="1764" width="29.33203125" bestFit="1" customWidth="1"/>
    <col min="1765" max="1765" width="33.44140625" bestFit="1" customWidth="1"/>
    <col min="1766" max="1766" width="17.5546875" bestFit="1" customWidth="1"/>
    <col min="1767" max="1767" width="33.33203125" bestFit="1" customWidth="1"/>
    <col min="1768" max="1768" width="42.77734375" bestFit="1" customWidth="1"/>
    <col min="1769" max="1769" width="29.5546875" bestFit="1" customWidth="1"/>
    <col min="1770" max="1775" width="10.21875" bestFit="1" customWidth="1"/>
    <col min="1776" max="1777" width="8.6640625" bestFit="1" customWidth="1"/>
    <col min="1778" max="1778" width="11.21875" bestFit="1" customWidth="1"/>
    <col min="1779" max="1787" width="10.21875" bestFit="1" customWidth="1"/>
    <col min="1788" max="1788" width="11.21875" bestFit="1" customWidth="1"/>
    <col min="1789" max="1797" width="10.21875" bestFit="1" customWidth="1"/>
    <col min="1798" max="1798" width="11.21875" bestFit="1" customWidth="1"/>
    <col min="1799" max="1807" width="10.21875" bestFit="1" customWidth="1"/>
    <col min="1808" max="1808" width="11.21875" bestFit="1" customWidth="1"/>
    <col min="1809" max="1815" width="10.21875" bestFit="1" customWidth="1"/>
    <col min="1816" max="1817" width="8.6640625" bestFit="1" customWidth="1"/>
    <col min="1818" max="1818" width="11.21875" bestFit="1" customWidth="1"/>
    <col min="1819" max="1827" width="10.21875" bestFit="1" customWidth="1"/>
    <col min="1828" max="1828" width="11.21875" bestFit="1" customWidth="1"/>
    <col min="1829" max="1837" width="10.21875" bestFit="1" customWidth="1"/>
    <col min="1838" max="1838" width="11.21875" bestFit="1" customWidth="1"/>
    <col min="1839" max="1846" width="10.21875" bestFit="1" customWidth="1"/>
    <col min="1847" max="1847" width="8.6640625" bestFit="1" customWidth="1"/>
    <col min="1848" max="1848" width="11.21875" bestFit="1" customWidth="1"/>
    <col min="1849" max="1857" width="10.21875" bestFit="1" customWidth="1"/>
    <col min="1858" max="1858" width="11.21875" bestFit="1" customWidth="1"/>
    <col min="1859" max="1866" width="10.21875" bestFit="1" customWidth="1"/>
    <col min="1867" max="1867" width="8.6640625" bestFit="1" customWidth="1"/>
    <col min="1868" max="1868" width="11.21875" bestFit="1" customWidth="1"/>
    <col min="1869" max="1877" width="10.21875" bestFit="1" customWidth="1"/>
    <col min="1878" max="1878" width="11.21875" bestFit="1" customWidth="1"/>
    <col min="1879" max="1885" width="10.21875" bestFit="1" customWidth="1"/>
    <col min="1886" max="1886" width="8.6640625" bestFit="1" customWidth="1"/>
    <col min="1887" max="1887" width="10.21875" bestFit="1" customWidth="1"/>
    <col min="1888" max="1888" width="11.21875" bestFit="1" customWidth="1"/>
    <col min="1889" max="1897" width="10.21875" bestFit="1" customWidth="1"/>
    <col min="1898" max="1898" width="11.21875" bestFit="1" customWidth="1"/>
    <col min="1899" max="1907" width="10.21875" bestFit="1" customWidth="1"/>
    <col min="1908" max="1908" width="11.21875" bestFit="1" customWidth="1"/>
    <col min="1909" max="1914" width="10.21875" bestFit="1" customWidth="1"/>
    <col min="1915" max="1915" width="8.6640625" bestFit="1" customWidth="1"/>
    <col min="1916" max="1917" width="10.21875" bestFit="1" customWidth="1"/>
    <col min="1918" max="1918" width="11.21875" bestFit="1" customWidth="1"/>
    <col min="1919" max="1927" width="10.21875" bestFit="1" customWidth="1"/>
    <col min="1928" max="1928" width="11.21875" bestFit="1" customWidth="1"/>
    <col min="1929" max="1937" width="10.21875" bestFit="1" customWidth="1"/>
    <col min="1938" max="1938" width="9.6640625" bestFit="1" customWidth="1"/>
    <col min="1939" max="1946" width="10.21875" bestFit="1" customWidth="1"/>
    <col min="1947" max="1947" width="8.6640625" bestFit="1" customWidth="1"/>
    <col min="1948" max="1948" width="9.6640625" bestFit="1" customWidth="1"/>
    <col min="1949" max="1957" width="10.21875" bestFit="1" customWidth="1"/>
    <col min="1958" max="1958" width="9.6640625" bestFit="1" customWidth="1"/>
    <col min="1959" max="1967" width="10.21875" bestFit="1" customWidth="1"/>
    <col min="1968" max="1968" width="11.21875" bestFit="1" customWidth="1"/>
    <col min="1969" max="1986" width="10.21875" bestFit="1" customWidth="1"/>
    <col min="1987" max="1987" width="11.21875" bestFit="1" customWidth="1"/>
    <col min="1988" max="1996" width="10.21875" bestFit="1" customWidth="1"/>
    <col min="1997" max="1997" width="11.21875" bestFit="1" customWidth="1"/>
    <col min="1998" max="2006" width="10.21875" bestFit="1" customWidth="1"/>
    <col min="2007" max="2007" width="11.21875" bestFit="1" customWidth="1"/>
    <col min="2008" max="2016" width="10.21875" bestFit="1" customWidth="1"/>
    <col min="2017" max="2017" width="11.21875" bestFit="1" customWidth="1"/>
    <col min="2018" max="2026" width="10.21875" bestFit="1" customWidth="1"/>
    <col min="2027" max="2027" width="11.21875" bestFit="1" customWidth="1"/>
    <col min="2028" max="2036" width="10.21875" bestFit="1" customWidth="1"/>
    <col min="2037" max="2037" width="11.21875" bestFit="1" customWidth="1"/>
    <col min="2038" max="2043" width="10.21875" bestFit="1" customWidth="1"/>
    <col min="2044" max="2044" width="8.6640625" bestFit="1" customWidth="1"/>
    <col min="2045" max="2046" width="10.21875" bestFit="1" customWidth="1"/>
    <col min="2047" max="2047" width="11.21875" bestFit="1" customWidth="1"/>
    <col min="2048" max="2054" width="10.21875" bestFit="1" customWidth="1"/>
    <col min="2055" max="2056" width="8.6640625" bestFit="1" customWidth="1"/>
    <col min="2057" max="2057" width="11.21875" bestFit="1" customWidth="1"/>
    <col min="2058" max="2066" width="10.21875" bestFit="1" customWidth="1"/>
    <col min="2067" max="2067" width="9.6640625" bestFit="1" customWidth="1"/>
    <col min="2068" max="2076" width="10.21875" bestFit="1" customWidth="1"/>
    <col min="2077" max="2077" width="11.21875" bestFit="1" customWidth="1"/>
    <col min="2078" max="2086" width="10.21875" bestFit="1" customWidth="1"/>
    <col min="2087" max="2087" width="11.21875" bestFit="1" customWidth="1"/>
    <col min="2088" max="2093" width="21.5546875" bestFit="1" customWidth="1"/>
    <col min="2094" max="2094" width="12" bestFit="1" customWidth="1"/>
    <col min="2095" max="2102" width="21.5546875" bestFit="1" customWidth="1"/>
    <col min="2103" max="2106" width="12" bestFit="1" customWidth="1"/>
    <col min="2107" max="2107" width="21.5546875" bestFit="1" customWidth="1"/>
    <col min="2108" max="2116" width="10.21875" bestFit="1" customWidth="1"/>
    <col min="2117" max="2117" width="9.6640625" bestFit="1" customWidth="1"/>
    <col min="2118" max="2125" width="10.21875" bestFit="1" customWidth="1"/>
    <col min="2126" max="2126" width="8.6640625" bestFit="1" customWidth="1"/>
    <col min="2127" max="2127" width="11.21875" bestFit="1" customWidth="1"/>
    <col min="2128" max="2136" width="10.21875" bestFit="1" customWidth="1"/>
    <col min="2137" max="2137" width="11.21875" bestFit="1" customWidth="1"/>
    <col min="2138" max="2146" width="10.21875" bestFit="1" customWidth="1"/>
    <col min="2147" max="2147" width="11.21875" bestFit="1" customWidth="1"/>
    <col min="2148" max="2156" width="10.21875" bestFit="1" customWidth="1"/>
    <col min="2157" max="2157" width="9.6640625" bestFit="1" customWidth="1"/>
    <col min="2158" max="2166" width="10.21875" bestFit="1" customWidth="1"/>
    <col min="2167" max="2167" width="11.21875" bestFit="1" customWidth="1"/>
    <col min="2168" max="2176" width="10.21875" bestFit="1" customWidth="1"/>
    <col min="2177" max="2177" width="11.21875" bestFit="1" customWidth="1"/>
    <col min="2178" max="2185" width="10.21875" bestFit="1" customWidth="1"/>
    <col min="2186" max="2186" width="8.6640625" bestFit="1" customWidth="1"/>
    <col min="2187" max="2187" width="9.6640625" bestFit="1" customWidth="1"/>
    <col min="2188" max="2193" width="10.21875" bestFit="1" customWidth="1"/>
    <col min="2194" max="2194" width="8.6640625" bestFit="1" customWidth="1"/>
    <col min="2195" max="2196" width="10.21875" bestFit="1" customWidth="1"/>
    <col min="2197" max="2197" width="11.21875" bestFit="1" customWidth="1"/>
    <col min="2198" max="2206" width="10.21875" bestFit="1" customWidth="1"/>
    <col min="2207" max="2207" width="11.21875" bestFit="1" customWidth="1"/>
    <col min="2208" max="2216" width="10.21875" bestFit="1" customWidth="1"/>
    <col min="2217" max="2217" width="11.21875" bestFit="1" customWidth="1"/>
    <col min="2218" max="2226" width="10.21875" bestFit="1" customWidth="1"/>
    <col min="2227" max="2227" width="11.21875" bestFit="1" customWidth="1"/>
    <col min="2228" max="2245" width="10.21875" bestFit="1" customWidth="1"/>
    <col min="2246" max="2246" width="11.21875" bestFit="1" customWidth="1"/>
    <col min="2247" max="2255" width="10.21875" bestFit="1" customWidth="1"/>
    <col min="2256" max="2256" width="11.21875" bestFit="1" customWidth="1"/>
    <col min="2257" max="2265" width="10.21875" bestFit="1" customWidth="1"/>
    <col min="2266" max="2266" width="11.21875" bestFit="1" customWidth="1"/>
    <col min="2267" max="2275" width="10.21875" bestFit="1" customWidth="1"/>
    <col min="2276" max="2276" width="11.21875" bestFit="1" customWidth="1"/>
    <col min="2277" max="2285" width="10.21875" bestFit="1" customWidth="1"/>
    <col min="2286" max="2286" width="11.21875" bestFit="1" customWidth="1"/>
    <col min="2287" max="2293" width="10.21875" bestFit="1" customWidth="1"/>
    <col min="2294" max="2294" width="8.6640625" bestFit="1" customWidth="1"/>
    <col min="2295" max="2295" width="10.21875" bestFit="1" customWidth="1"/>
    <col min="2296" max="2296" width="11.21875" bestFit="1" customWidth="1"/>
    <col min="2297" max="2301" width="10.21875" bestFit="1" customWidth="1"/>
    <col min="2302" max="2302" width="8.6640625" bestFit="1" customWidth="1"/>
    <col min="2303" max="2305" width="10.21875" bestFit="1" customWidth="1"/>
    <col min="2306" max="2306" width="11.21875" bestFit="1" customWidth="1"/>
    <col min="2307" max="2313" width="10.21875" bestFit="1" customWidth="1"/>
    <col min="2314" max="2314" width="8.6640625" bestFit="1" customWidth="1"/>
    <col min="2315" max="2315" width="10.21875" bestFit="1" customWidth="1"/>
    <col min="2316" max="2316" width="11.21875" bestFit="1" customWidth="1"/>
    <col min="2317" max="2322" width="10.21875" bestFit="1" customWidth="1"/>
    <col min="2323" max="2323" width="8.6640625" bestFit="1" customWidth="1"/>
    <col min="2324" max="2325" width="10.21875" bestFit="1" customWidth="1"/>
    <col min="2326" max="2326" width="11.21875" bestFit="1" customWidth="1"/>
    <col min="2327" max="2335" width="10.21875" bestFit="1" customWidth="1"/>
    <col min="2336" max="2336" width="11.21875" bestFit="1" customWidth="1"/>
    <col min="2337" max="2345" width="10.21875" bestFit="1" customWidth="1"/>
    <col min="2346" max="2346" width="11.21875" bestFit="1" customWidth="1"/>
    <col min="2347" max="2354" width="10.21875" bestFit="1" customWidth="1"/>
    <col min="2355" max="2355" width="8.6640625" bestFit="1" customWidth="1"/>
    <col min="2356" max="2356" width="11.21875" bestFit="1" customWidth="1"/>
    <col min="2357" max="2362" width="10.21875" bestFit="1" customWidth="1"/>
    <col min="2363" max="2363" width="8.6640625" bestFit="1" customWidth="1"/>
    <col min="2364" max="2365" width="10.21875" bestFit="1" customWidth="1"/>
    <col min="2366" max="2366" width="11.21875" bestFit="1" customWidth="1"/>
    <col min="2367" max="2375" width="10.21875" bestFit="1" customWidth="1"/>
    <col min="2376" max="2376" width="11.21875" bestFit="1" customWidth="1"/>
    <col min="2377" max="2385" width="10.21875" bestFit="1" customWidth="1"/>
    <col min="2386" max="2386" width="11.21875" bestFit="1" customWidth="1"/>
    <col min="2387" max="2395" width="10.21875" bestFit="1" customWidth="1"/>
    <col min="2396" max="2396" width="11.21875" bestFit="1" customWidth="1"/>
    <col min="2397" max="2401" width="10.21875" bestFit="1" customWidth="1"/>
    <col min="2402" max="2402" width="8.6640625" bestFit="1" customWidth="1"/>
    <col min="2403" max="2405" width="10.21875" bestFit="1" customWidth="1"/>
    <col min="2406" max="2406" width="11.21875" bestFit="1" customWidth="1"/>
    <col min="2407" max="2411" width="10.21875" bestFit="1" customWidth="1"/>
    <col min="2412" max="2412" width="8.6640625" bestFit="1" customWidth="1"/>
    <col min="2413" max="2415" width="10.21875" bestFit="1" customWidth="1"/>
    <col min="2416" max="2416" width="11.21875" bestFit="1" customWidth="1"/>
    <col min="2417" max="2425" width="10.21875" bestFit="1" customWidth="1"/>
    <col min="2426" max="2426" width="11.21875" bestFit="1" customWidth="1"/>
    <col min="2427" max="2435" width="10.21875" bestFit="1" customWidth="1"/>
    <col min="2436" max="2436" width="11.21875" bestFit="1" customWidth="1"/>
    <col min="2437" max="2441" width="10.21875" bestFit="1" customWidth="1"/>
    <col min="2442" max="2442" width="8.6640625" bestFit="1" customWidth="1"/>
    <col min="2443" max="2445" width="10.21875" bestFit="1" customWidth="1"/>
    <col min="2446" max="2446" width="11.21875" bestFit="1" customWidth="1"/>
    <col min="2447" max="2455" width="10.21875" bestFit="1" customWidth="1"/>
    <col min="2456" max="2456" width="11.21875" bestFit="1" customWidth="1"/>
    <col min="2457" max="2457" width="33.77734375" bestFit="1" customWidth="1"/>
    <col min="2458" max="2458" width="24.33203125" bestFit="1" customWidth="1"/>
    <col min="2459" max="2459" width="10.21875" bestFit="1" customWidth="1"/>
    <col min="2460" max="2461" width="8.6640625" bestFit="1" customWidth="1"/>
    <col min="2462" max="2462" width="11.21875" bestFit="1" customWidth="1"/>
    <col min="2463" max="2468" width="10.21875" bestFit="1" customWidth="1"/>
    <col min="2469" max="2469" width="8.6640625" bestFit="1" customWidth="1"/>
    <col min="2470" max="2470" width="10.21875" bestFit="1" customWidth="1"/>
    <col min="2471" max="2471" width="9.6640625" bestFit="1" customWidth="1"/>
    <col min="2472" max="2476" width="10.21875" bestFit="1" customWidth="1"/>
    <col min="2477" max="2477" width="8.6640625" bestFit="1" customWidth="1"/>
    <col min="2478" max="2479" width="10.21875" bestFit="1" customWidth="1"/>
    <col min="2480" max="2480" width="11.21875" bestFit="1" customWidth="1"/>
    <col min="2481" max="2488" width="10.21875" bestFit="1" customWidth="1"/>
    <col min="2489" max="2489" width="11.21875" bestFit="1" customWidth="1"/>
    <col min="2490" max="2493" width="10.21875" bestFit="1" customWidth="1"/>
    <col min="2494" max="2494" width="8.6640625" bestFit="1" customWidth="1"/>
    <col min="2495" max="2497" width="10.21875" bestFit="1" customWidth="1"/>
    <col min="2498" max="2498" width="11.21875" bestFit="1" customWidth="1"/>
    <col min="2499" max="2506" width="10.21875" bestFit="1" customWidth="1"/>
    <col min="2507" max="2507" width="11.21875" bestFit="1" customWidth="1"/>
    <col min="2508" max="2515" width="10.21875" bestFit="1" customWidth="1"/>
    <col min="2516" max="2516" width="11.21875" bestFit="1" customWidth="1"/>
    <col min="2517" max="2522" width="10.21875" bestFit="1" customWidth="1"/>
    <col min="2523" max="2523" width="8.6640625" bestFit="1" customWidth="1"/>
    <col min="2524" max="2524" width="10.21875" bestFit="1" customWidth="1"/>
    <col min="2525" max="2525" width="11.21875" bestFit="1" customWidth="1"/>
    <col min="2526" max="2533" width="10.21875" bestFit="1" customWidth="1"/>
    <col min="2534" max="2534" width="11.21875" bestFit="1" customWidth="1"/>
    <col min="2535" max="2538" width="10.21875" bestFit="1" customWidth="1"/>
    <col min="2539" max="2539" width="8.6640625" bestFit="1" customWidth="1"/>
    <col min="2540" max="2542" width="10.21875" bestFit="1" customWidth="1"/>
    <col min="2543" max="2543" width="11.21875" bestFit="1" customWidth="1"/>
    <col min="2544" max="2551" width="10.21875" bestFit="1" customWidth="1"/>
    <col min="2552" max="2552" width="11.21875" bestFit="1" customWidth="1"/>
    <col min="2553" max="2560" width="10.21875" bestFit="1" customWidth="1"/>
    <col min="2561" max="2561" width="11.21875" bestFit="1" customWidth="1"/>
    <col min="2562" max="2569" width="10.21875" bestFit="1" customWidth="1"/>
    <col min="2570" max="2570" width="11.21875" bestFit="1" customWidth="1"/>
    <col min="2571" max="2578" width="10.21875" bestFit="1" customWidth="1"/>
    <col min="2579" max="2579" width="11.21875" bestFit="1" customWidth="1"/>
    <col min="2580" max="2583" width="10.21875" bestFit="1" customWidth="1"/>
    <col min="2584" max="2584" width="8.6640625" bestFit="1" customWidth="1"/>
    <col min="2585" max="2585" width="10.21875" bestFit="1" customWidth="1"/>
    <col min="2586" max="2586" width="8.6640625" bestFit="1" customWidth="1"/>
    <col min="2587" max="2587" width="10.21875" bestFit="1" customWidth="1"/>
    <col min="2588" max="2588" width="11.21875" bestFit="1" customWidth="1"/>
    <col min="2589" max="2592" width="10.21875" bestFit="1" customWidth="1"/>
    <col min="2593" max="2593" width="8.6640625" bestFit="1" customWidth="1"/>
    <col min="2594" max="2596" width="10.21875" bestFit="1" customWidth="1"/>
    <col min="2597" max="2597" width="11.21875" bestFit="1" customWidth="1"/>
    <col min="2598" max="2605" width="10.21875" bestFit="1" customWidth="1"/>
    <col min="2606" max="2606" width="11.21875" bestFit="1" customWidth="1"/>
    <col min="2607" max="2614" width="10.21875" bestFit="1" customWidth="1"/>
    <col min="2615" max="2615" width="11.21875" bestFit="1" customWidth="1"/>
    <col min="2616" max="2620" width="10.21875" bestFit="1" customWidth="1"/>
    <col min="2621" max="2621" width="8.6640625" bestFit="1" customWidth="1"/>
    <col min="2622" max="2623" width="10.21875" bestFit="1" customWidth="1"/>
    <col min="2624" max="2624" width="11.21875" bestFit="1" customWidth="1"/>
    <col min="2625" max="2632" width="10.21875" bestFit="1" customWidth="1"/>
    <col min="2633" max="2633" width="9.6640625" bestFit="1" customWidth="1"/>
    <col min="2634" max="2641" width="10.21875" bestFit="1" customWidth="1"/>
    <col min="2642" max="2642" width="11.21875" bestFit="1" customWidth="1"/>
    <col min="2643" max="2650" width="10.21875" bestFit="1" customWidth="1"/>
    <col min="2651" max="2651" width="11.21875" bestFit="1" customWidth="1"/>
    <col min="2652" max="2655" width="10.21875" bestFit="1" customWidth="1"/>
    <col min="2656" max="2656" width="8.6640625" bestFit="1" customWidth="1"/>
    <col min="2657" max="2657" width="10.21875" bestFit="1" customWidth="1"/>
    <col min="2658" max="2659" width="8.6640625" bestFit="1" customWidth="1"/>
    <col min="2660" max="2660" width="11.21875" bestFit="1" customWidth="1"/>
    <col min="2661" max="2668" width="10.21875" bestFit="1" customWidth="1"/>
    <col min="2669" max="2669" width="9.6640625" bestFit="1" customWidth="1"/>
    <col min="2670" max="2677" width="10.21875" bestFit="1" customWidth="1"/>
    <col min="2678" max="2678" width="11.21875" bestFit="1" customWidth="1"/>
    <col min="2679" max="2686" width="10.21875" bestFit="1" customWidth="1"/>
    <col min="2687" max="2687" width="11.21875" bestFit="1" customWidth="1"/>
    <col min="2688" max="2692" width="10.21875" bestFit="1" customWidth="1"/>
    <col min="2693" max="2693" width="8.6640625" bestFit="1" customWidth="1"/>
    <col min="2694" max="2695" width="10.21875" bestFit="1" customWidth="1"/>
    <col min="2696" max="2696" width="11.21875" bestFit="1" customWidth="1"/>
    <col min="2697" max="2702" width="10.21875" bestFit="1" customWidth="1"/>
    <col min="2703" max="2704" width="8.6640625" bestFit="1" customWidth="1"/>
    <col min="2705" max="2705" width="11.21875" bestFit="1" customWidth="1"/>
    <col min="2706" max="2713" width="10.21875" bestFit="1" customWidth="1"/>
    <col min="2714" max="2714" width="11.21875" bestFit="1" customWidth="1"/>
    <col min="2715" max="2722" width="10.21875" bestFit="1" customWidth="1"/>
    <col min="2723" max="2723" width="11.21875" bestFit="1" customWidth="1"/>
    <col min="2724" max="2731" width="10.21875" bestFit="1" customWidth="1"/>
    <col min="2732" max="2732" width="11.21875" bestFit="1" customWidth="1"/>
    <col min="2733" max="2738" width="10.21875" bestFit="1" customWidth="1"/>
    <col min="2739" max="2740" width="8.6640625" bestFit="1" customWidth="1"/>
    <col min="2741" max="2741" width="11.21875" bestFit="1" customWidth="1"/>
    <col min="2742" max="2749" width="10.21875" bestFit="1" customWidth="1"/>
    <col min="2750" max="2750" width="11.21875" bestFit="1" customWidth="1"/>
    <col min="2751" max="2758" width="10.21875" bestFit="1" customWidth="1"/>
    <col min="2759" max="2759" width="11.21875" bestFit="1" customWidth="1"/>
    <col min="2760" max="2766" width="10.21875" bestFit="1" customWidth="1"/>
    <col min="2767" max="2767" width="8.6640625" bestFit="1" customWidth="1"/>
    <col min="2768" max="2768" width="11.21875" bestFit="1" customWidth="1"/>
    <col min="2769" max="2776" width="10.21875" bestFit="1" customWidth="1"/>
    <col min="2777" max="2777" width="11.21875" bestFit="1" customWidth="1"/>
    <col min="2778" max="2784" width="10.21875" bestFit="1" customWidth="1"/>
    <col min="2785" max="2785" width="8.6640625" bestFit="1" customWidth="1"/>
    <col min="2786" max="2786" width="11.21875" bestFit="1" customWidth="1"/>
    <col min="2787" max="2794" width="10.21875" bestFit="1" customWidth="1"/>
    <col min="2795" max="2795" width="11.21875" bestFit="1" customWidth="1"/>
    <col min="2796" max="2801" width="10.21875" bestFit="1" customWidth="1"/>
    <col min="2802" max="2802" width="8.6640625" bestFit="1" customWidth="1"/>
    <col min="2803" max="2803" width="10.21875" bestFit="1" customWidth="1"/>
    <col min="2804" max="2804" width="11.21875" bestFit="1" customWidth="1"/>
    <col min="2805" max="2812" width="10.21875" bestFit="1" customWidth="1"/>
    <col min="2813" max="2813" width="11.21875" bestFit="1" customWidth="1"/>
    <col min="2814" max="2821" width="10.21875" bestFit="1" customWidth="1"/>
    <col min="2822" max="2822" width="11.21875" bestFit="1" customWidth="1"/>
    <col min="2823" max="2827" width="10.21875" bestFit="1" customWidth="1"/>
    <col min="2828" max="2828" width="8.6640625" bestFit="1" customWidth="1"/>
    <col min="2829" max="2830" width="10.21875" bestFit="1" customWidth="1"/>
    <col min="2831" max="2831" width="11.21875" bestFit="1" customWidth="1"/>
    <col min="2832" max="2839" width="10.21875" bestFit="1" customWidth="1"/>
    <col min="2840" max="2840" width="11.21875" bestFit="1" customWidth="1"/>
    <col min="2841" max="2848" width="10.21875" bestFit="1" customWidth="1"/>
    <col min="2849" max="2849" width="9.6640625" bestFit="1" customWidth="1"/>
    <col min="2850" max="2856" width="10.21875" bestFit="1" customWidth="1"/>
    <col min="2857" max="2857" width="8.6640625" bestFit="1" customWidth="1"/>
    <col min="2858" max="2858" width="9.6640625" bestFit="1" customWidth="1"/>
    <col min="2859" max="2866" width="10.21875" bestFit="1" customWidth="1"/>
    <col min="2867" max="2867" width="9.6640625" bestFit="1" customWidth="1"/>
    <col min="2868" max="2875" width="10.21875" bestFit="1" customWidth="1"/>
    <col min="2876" max="2876" width="11.21875" bestFit="1" customWidth="1"/>
    <col min="2877" max="2892" width="10.21875" bestFit="1" customWidth="1"/>
    <col min="2893" max="2893" width="11.21875" bestFit="1" customWidth="1"/>
    <col min="2894" max="2901" width="10.21875" bestFit="1" customWidth="1"/>
    <col min="2902" max="2902" width="11.21875" bestFit="1" customWidth="1"/>
    <col min="2903" max="2910" width="10.21875" bestFit="1" customWidth="1"/>
    <col min="2911" max="2911" width="11.21875" bestFit="1" customWidth="1"/>
    <col min="2912" max="2919" width="10.21875" bestFit="1" customWidth="1"/>
    <col min="2920" max="2920" width="11.21875" bestFit="1" customWidth="1"/>
    <col min="2921" max="2928" width="10.21875" bestFit="1" customWidth="1"/>
    <col min="2929" max="2929" width="11.21875" bestFit="1" customWidth="1"/>
    <col min="2930" max="2937" width="10.21875" bestFit="1" customWidth="1"/>
    <col min="2938" max="2938" width="11.21875" bestFit="1" customWidth="1"/>
    <col min="2939" max="2943" width="10.21875" bestFit="1" customWidth="1"/>
    <col min="2944" max="2944" width="8.6640625" bestFit="1" customWidth="1"/>
    <col min="2945" max="2946" width="10.21875" bestFit="1" customWidth="1"/>
    <col min="2947" max="2947" width="11.21875" bestFit="1" customWidth="1"/>
    <col min="2948" max="2953" width="10.21875" bestFit="1" customWidth="1"/>
    <col min="2954" max="2955" width="8.6640625" bestFit="1" customWidth="1"/>
    <col min="2956" max="2956" width="11.21875" bestFit="1" customWidth="1"/>
    <col min="2957" max="2964" width="10.21875" bestFit="1" customWidth="1"/>
    <col min="2965" max="2965" width="9.6640625" bestFit="1" customWidth="1"/>
    <col min="2966" max="2973" width="10.21875" bestFit="1" customWidth="1"/>
    <col min="2974" max="2974" width="11.21875" bestFit="1" customWidth="1"/>
    <col min="2975" max="2982" width="10.21875" bestFit="1" customWidth="1"/>
    <col min="2983" max="2983" width="11.21875" bestFit="1" customWidth="1"/>
    <col min="2984" max="2988" width="21.5546875" bestFit="1" customWidth="1"/>
    <col min="2989" max="2989" width="12" bestFit="1" customWidth="1"/>
    <col min="2990" max="2996" width="21.5546875" bestFit="1" customWidth="1"/>
    <col min="2997" max="3000" width="12" bestFit="1" customWidth="1"/>
    <col min="3001" max="3001" width="21.5546875" bestFit="1" customWidth="1"/>
    <col min="3002" max="3009" width="10.21875" bestFit="1" customWidth="1"/>
    <col min="3010" max="3010" width="9.6640625" bestFit="1" customWidth="1"/>
    <col min="3011" max="3017" width="10.21875" bestFit="1" customWidth="1"/>
    <col min="3018" max="3018" width="8.6640625" bestFit="1" customWidth="1"/>
    <col min="3019" max="3019" width="11.21875" bestFit="1" customWidth="1"/>
    <col min="3020" max="3027" width="10.21875" bestFit="1" customWidth="1"/>
    <col min="3028" max="3028" width="11.21875" bestFit="1" customWidth="1"/>
    <col min="3029" max="3036" width="10.21875" bestFit="1" customWidth="1"/>
    <col min="3037" max="3037" width="11.21875" bestFit="1" customWidth="1"/>
    <col min="3038" max="3045" width="10.21875" bestFit="1" customWidth="1"/>
    <col min="3046" max="3046" width="9.6640625" bestFit="1" customWidth="1"/>
    <col min="3047" max="3054" width="10.21875" bestFit="1" customWidth="1"/>
    <col min="3055" max="3055" width="11.21875" bestFit="1" customWidth="1"/>
    <col min="3056" max="3063" width="10.21875" bestFit="1" customWidth="1"/>
    <col min="3064" max="3064" width="11.21875" bestFit="1" customWidth="1"/>
    <col min="3065" max="3071" width="10.21875" bestFit="1" customWidth="1"/>
    <col min="3072" max="3072" width="8.6640625" bestFit="1" customWidth="1"/>
    <col min="3073" max="3073" width="9.6640625" bestFit="1" customWidth="1"/>
    <col min="3074" max="3078" width="10.21875" bestFit="1" customWidth="1"/>
    <col min="3079" max="3079" width="8.6640625" bestFit="1" customWidth="1"/>
    <col min="3080" max="3081" width="10.21875" bestFit="1" customWidth="1"/>
    <col min="3082" max="3082" width="11.21875" bestFit="1" customWidth="1"/>
    <col min="3083" max="3090" width="10.21875" bestFit="1" customWidth="1"/>
    <col min="3091" max="3091" width="11.21875" bestFit="1" customWidth="1"/>
    <col min="3092" max="3099" width="10.21875" bestFit="1" customWidth="1"/>
    <col min="3100" max="3100" width="11.21875" bestFit="1" customWidth="1"/>
    <col min="3101" max="3108" width="10.21875" bestFit="1" customWidth="1"/>
    <col min="3109" max="3109" width="11.21875" bestFit="1" customWidth="1"/>
    <col min="3110" max="3125" width="10.21875" bestFit="1" customWidth="1"/>
    <col min="3126" max="3126" width="11.21875" bestFit="1" customWidth="1"/>
    <col min="3127" max="3134" width="10.21875" bestFit="1" customWidth="1"/>
    <col min="3135" max="3135" width="11.21875" bestFit="1" customWidth="1"/>
    <col min="3136" max="3143" width="10.21875" bestFit="1" customWidth="1"/>
    <col min="3144" max="3144" width="11.21875" bestFit="1" customWidth="1"/>
    <col min="3145" max="3152" width="10.21875" bestFit="1" customWidth="1"/>
    <col min="3153" max="3153" width="11.21875" bestFit="1" customWidth="1"/>
    <col min="3154" max="3161" width="10.21875" bestFit="1" customWidth="1"/>
    <col min="3162" max="3162" width="11.21875" bestFit="1" customWidth="1"/>
    <col min="3163" max="3168" width="10.21875" bestFit="1" customWidth="1"/>
    <col min="3169" max="3169" width="8.6640625" bestFit="1" customWidth="1"/>
    <col min="3170" max="3170" width="10.21875" bestFit="1" customWidth="1"/>
    <col min="3171" max="3171" width="11.21875" bestFit="1" customWidth="1"/>
    <col min="3172" max="3175" width="10.21875" bestFit="1" customWidth="1"/>
    <col min="3176" max="3176" width="8.6640625" bestFit="1" customWidth="1"/>
    <col min="3177" max="3179" width="10.21875" bestFit="1" customWidth="1"/>
    <col min="3180" max="3180" width="11.21875" bestFit="1" customWidth="1"/>
    <col min="3181" max="3186" width="10.21875" bestFit="1" customWidth="1"/>
    <col min="3187" max="3187" width="8.6640625" bestFit="1" customWidth="1"/>
    <col min="3188" max="3188" width="10.21875" bestFit="1" customWidth="1"/>
    <col min="3189" max="3189" width="11.21875" bestFit="1" customWidth="1"/>
    <col min="3190" max="3194" width="10.21875" bestFit="1" customWidth="1"/>
    <col min="3195" max="3195" width="8.6640625" bestFit="1" customWidth="1"/>
    <col min="3196" max="3197" width="10.21875" bestFit="1" customWidth="1"/>
    <col min="3198" max="3198" width="11.21875" bestFit="1" customWidth="1"/>
    <col min="3199" max="3206" width="10.21875" bestFit="1" customWidth="1"/>
    <col min="3207" max="3207" width="11.21875" bestFit="1" customWidth="1"/>
    <col min="3208" max="3215" width="10.21875" bestFit="1" customWidth="1"/>
    <col min="3216" max="3216" width="11.21875" bestFit="1" customWidth="1"/>
    <col min="3217" max="3223" width="10.21875" bestFit="1" customWidth="1"/>
    <col min="3224" max="3224" width="8.6640625" bestFit="1" customWidth="1"/>
    <col min="3225" max="3225" width="11.21875" bestFit="1" customWidth="1"/>
    <col min="3226" max="3230" width="10.21875" bestFit="1" customWidth="1"/>
    <col min="3231" max="3231" width="8.6640625" bestFit="1" customWidth="1"/>
    <col min="3232" max="3233" width="10.21875" bestFit="1" customWidth="1"/>
    <col min="3234" max="3234" width="11.21875" bestFit="1" customWidth="1"/>
    <col min="3235" max="3242" width="10.21875" bestFit="1" customWidth="1"/>
    <col min="3243" max="3243" width="11.21875" bestFit="1" customWidth="1"/>
    <col min="3244" max="3251" width="10.21875" bestFit="1" customWidth="1"/>
    <col min="3252" max="3252" width="11.21875" bestFit="1" customWidth="1"/>
    <col min="3253" max="3260" width="10.21875" bestFit="1" customWidth="1"/>
    <col min="3261" max="3261" width="11.21875" bestFit="1" customWidth="1"/>
    <col min="3262" max="3265" width="10.21875" bestFit="1" customWidth="1"/>
    <col min="3266" max="3266" width="8.6640625" bestFit="1" customWidth="1"/>
    <col min="3267" max="3269" width="10.21875" bestFit="1" customWidth="1"/>
    <col min="3270" max="3270" width="11.21875" bestFit="1" customWidth="1"/>
    <col min="3271" max="3274" width="10.21875" bestFit="1" customWidth="1"/>
    <col min="3275" max="3275" width="8.6640625" bestFit="1" customWidth="1"/>
    <col min="3276" max="3278" width="10.21875" bestFit="1" customWidth="1"/>
    <col min="3279" max="3279" width="11.21875" bestFit="1" customWidth="1"/>
    <col min="3280" max="3287" width="10.21875" bestFit="1" customWidth="1"/>
    <col min="3288" max="3288" width="11.21875" bestFit="1" customWidth="1"/>
    <col min="3289" max="3296" width="10.21875" bestFit="1" customWidth="1"/>
    <col min="3297" max="3297" width="11.21875" bestFit="1" customWidth="1"/>
    <col min="3298" max="3301" width="10.21875" bestFit="1" customWidth="1"/>
    <col min="3302" max="3302" width="8.6640625" bestFit="1" customWidth="1"/>
    <col min="3303" max="3305" width="10.21875" bestFit="1" customWidth="1"/>
    <col min="3306" max="3306" width="11.21875" bestFit="1" customWidth="1"/>
    <col min="3307" max="3314" width="10.21875" bestFit="1" customWidth="1"/>
    <col min="3315" max="3315" width="11.21875" bestFit="1" customWidth="1"/>
    <col min="3316" max="3316" width="20.77734375" bestFit="1" customWidth="1"/>
    <col min="3317" max="3317" width="33.77734375" bestFit="1" customWidth="1"/>
    <col min="3318" max="3318" width="24.33203125" bestFit="1" customWidth="1"/>
    <col min="3319" max="3321" width="10.21875" bestFit="1" customWidth="1"/>
    <col min="3322" max="3322" width="9.6640625" bestFit="1" customWidth="1"/>
    <col min="3323" max="3329" width="10.21875" bestFit="1" customWidth="1"/>
    <col min="3330" max="3330" width="11.21875" bestFit="1" customWidth="1"/>
    <col min="3331" max="3337" width="10.21875" bestFit="1" customWidth="1"/>
    <col min="3338" max="3338" width="11.21875" bestFit="1" customWidth="1"/>
    <col min="3339" max="3341" width="10.21875" bestFit="1" customWidth="1"/>
    <col min="3342" max="3342" width="8.6640625" bestFit="1" customWidth="1"/>
    <col min="3343" max="3343" width="10.21875" bestFit="1" customWidth="1"/>
    <col min="3344" max="3345" width="8.6640625" bestFit="1" customWidth="1"/>
    <col min="3346" max="3346" width="11.21875" bestFit="1" customWidth="1"/>
    <col min="3347" max="3353" width="10.21875" bestFit="1" customWidth="1"/>
    <col min="3354" max="3354" width="9.6640625" bestFit="1" customWidth="1"/>
    <col min="3355" max="3361" width="10.21875" bestFit="1" customWidth="1"/>
    <col min="3362" max="3362" width="11.21875" bestFit="1" customWidth="1"/>
    <col min="3363" max="3369" width="10.21875" bestFit="1" customWidth="1"/>
    <col min="3370" max="3370" width="11.21875" bestFit="1" customWidth="1"/>
    <col min="3371" max="3374" width="10.21875" bestFit="1" customWidth="1"/>
    <col min="3375" max="3375" width="8.6640625" bestFit="1" customWidth="1"/>
    <col min="3376" max="3377" width="10.21875" bestFit="1" customWidth="1"/>
    <col min="3378" max="3378" width="11.21875" bestFit="1" customWidth="1"/>
    <col min="3379" max="3383" width="10.21875" bestFit="1" customWidth="1"/>
    <col min="3384" max="3385" width="8.6640625" bestFit="1" customWidth="1"/>
    <col min="3386" max="3386" width="11.21875" bestFit="1" customWidth="1"/>
    <col min="3387" max="3393" width="10.21875" bestFit="1" customWidth="1"/>
    <col min="3394" max="3394" width="11.21875" bestFit="1" customWidth="1"/>
    <col min="3395" max="3401" width="10.21875" bestFit="1" customWidth="1"/>
    <col min="3402" max="3402" width="11.21875" bestFit="1" customWidth="1"/>
    <col min="3403" max="3409" width="10.21875" bestFit="1" customWidth="1"/>
    <col min="3410" max="3410" width="11.21875" bestFit="1" customWidth="1"/>
    <col min="3411" max="3415" width="10.21875" bestFit="1" customWidth="1"/>
    <col min="3416" max="3417" width="8.6640625" bestFit="1" customWidth="1"/>
    <col min="3418" max="3418" width="11.21875" bestFit="1" customWidth="1"/>
    <col min="3419" max="3425" width="10.21875" bestFit="1" customWidth="1"/>
    <col min="3426" max="3426" width="11.21875" bestFit="1" customWidth="1"/>
    <col min="3427" max="3433" width="10.21875" bestFit="1" customWidth="1"/>
    <col min="3434" max="3434" width="11.21875" bestFit="1" customWidth="1"/>
    <col min="3435" max="3440" width="10.21875" bestFit="1" customWidth="1"/>
    <col min="3441" max="3441" width="8.6640625" bestFit="1" customWidth="1"/>
    <col min="3442" max="3442" width="11.21875" bestFit="1" customWidth="1"/>
    <col min="3443" max="3449" width="10.21875" bestFit="1" customWidth="1"/>
    <col min="3450" max="3450" width="11.21875" bestFit="1" customWidth="1"/>
    <col min="3451" max="3456" width="10.21875" bestFit="1" customWidth="1"/>
    <col min="3457" max="3457" width="8.6640625" bestFit="1" customWidth="1"/>
    <col min="3458" max="3458" width="11.21875" bestFit="1" customWidth="1"/>
    <col min="3459" max="3465" width="10.21875" bestFit="1" customWidth="1"/>
    <col min="3466" max="3466" width="11.21875" bestFit="1" customWidth="1"/>
    <col min="3467" max="3471" width="10.21875" bestFit="1" customWidth="1"/>
    <col min="3472" max="3472" width="8.6640625" bestFit="1" customWidth="1"/>
    <col min="3473" max="3473" width="10.21875" bestFit="1" customWidth="1"/>
    <col min="3474" max="3474" width="11.21875" bestFit="1" customWidth="1"/>
    <col min="3475" max="3481" width="10.21875" bestFit="1" customWidth="1"/>
    <col min="3482" max="3482" width="11.21875" bestFit="1" customWidth="1"/>
    <col min="3483" max="3489" width="10.21875" bestFit="1" customWidth="1"/>
    <col min="3490" max="3490" width="11.21875" bestFit="1" customWidth="1"/>
    <col min="3491" max="3494" width="10.21875" bestFit="1" customWidth="1"/>
    <col min="3495" max="3495" width="8.6640625" bestFit="1" customWidth="1"/>
    <col min="3496" max="3497" width="10.21875" bestFit="1" customWidth="1"/>
    <col min="3498" max="3498" width="11.21875" bestFit="1" customWidth="1"/>
    <col min="3499" max="3505" width="10.21875" bestFit="1" customWidth="1"/>
    <col min="3506" max="3506" width="11.21875" bestFit="1" customWidth="1"/>
    <col min="3507" max="3513" width="10.21875" bestFit="1" customWidth="1"/>
    <col min="3514" max="3514" width="9.6640625" bestFit="1" customWidth="1"/>
    <col min="3515" max="3520" width="10.21875" bestFit="1" customWidth="1"/>
    <col min="3521" max="3521" width="8.6640625" bestFit="1" customWidth="1"/>
    <col min="3522" max="3522" width="9.6640625" bestFit="1" customWidth="1"/>
    <col min="3523" max="3529" width="10.21875" bestFit="1" customWidth="1"/>
    <col min="3530" max="3530" width="9.6640625" bestFit="1" customWidth="1"/>
    <col min="3531" max="3537" width="10.21875" bestFit="1" customWidth="1"/>
    <col min="3538" max="3538" width="11.21875" bestFit="1" customWidth="1"/>
    <col min="3539" max="3552" width="10.21875" bestFit="1" customWidth="1"/>
    <col min="3553" max="3553" width="11.21875" bestFit="1" customWidth="1"/>
    <col min="3554" max="3560" width="10.21875" bestFit="1" customWidth="1"/>
    <col min="3561" max="3561" width="11.21875" bestFit="1" customWidth="1"/>
    <col min="3562" max="3568" width="10.21875" bestFit="1" customWidth="1"/>
    <col min="3569" max="3569" width="11.21875" bestFit="1" customWidth="1"/>
    <col min="3570" max="3576" width="10.21875" bestFit="1" customWidth="1"/>
    <col min="3577" max="3577" width="11.21875" bestFit="1" customWidth="1"/>
    <col min="3578" max="3584" width="10.21875" bestFit="1" customWidth="1"/>
    <col min="3585" max="3585" width="11.21875" bestFit="1" customWidth="1"/>
    <col min="3586" max="3592" width="10.21875" bestFit="1" customWidth="1"/>
    <col min="3593" max="3593" width="11.21875" bestFit="1" customWidth="1"/>
    <col min="3594" max="3597" width="10.21875" bestFit="1" customWidth="1"/>
    <col min="3598" max="3598" width="8.6640625" bestFit="1" customWidth="1"/>
    <col min="3599" max="3600" width="10.21875" bestFit="1" customWidth="1"/>
    <col min="3601" max="3601" width="11.21875" bestFit="1" customWidth="1"/>
    <col min="3602" max="3606" width="10.21875" bestFit="1" customWidth="1"/>
    <col min="3607" max="3608" width="8.6640625" bestFit="1" customWidth="1"/>
    <col min="3609" max="3609" width="11.21875" bestFit="1" customWidth="1"/>
    <col min="3610" max="3616" width="10.21875" bestFit="1" customWidth="1"/>
    <col min="3617" max="3617" width="9.6640625" bestFit="1" customWidth="1"/>
    <col min="3618" max="3624" width="10.21875" bestFit="1" customWidth="1"/>
    <col min="3625" max="3625" width="11.21875" bestFit="1" customWidth="1"/>
    <col min="3626" max="3632" width="10.21875" bestFit="1" customWidth="1"/>
    <col min="3633" max="3633" width="11.21875" bestFit="1" customWidth="1"/>
    <col min="3634" max="3637" width="21.5546875" bestFit="1" customWidth="1"/>
    <col min="3638" max="3638" width="12" bestFit="1" customWidth="1"/>
    <col min="3639" max="3641" width="21.5546875" bestFit="1" customWidth="1"/>
    <col min="3642" max="3644" width="14" bestFit="1" customWidth="1"/>
    <col min="3645" max="3648" width="12" bestFit="1" customWidth="1"/>
    <col min="3649" max="3649" width="21.5546875" bestFit="1" customWidth="1"/>
    <col min="3650" max="3656" width="10.21875" bestFit="1" customWidth="1"/>
    <col min="3657" max="3657" width="9.6640625" bestFit="1" customWidth="1"/>
    <col min="3658" max="3663" width="10.21875" bestFit="1" customWidth="1"/>
    <col min="3664" max="3664" width="8.6640625" bestFit="1" customWidth="1"/>
    <col min="3665" max="3665" width="11.21875" bestFit="1" customWidth="1"/>
    <col min="3666" max="3672" width="10.21875" bestFit="1" customWidth="1"/>
    <col min="3673" max="3673" width="11.21875" bestFit="1" customWidth="1"/>
    <col min="3674" max="3680" width="10.21875" bestFit="1" customWidth="1"/>
    <col min="3681" max="3681" width="11.21875" bestFit="1" customWidth="1"/>
    <col min="3682" max="3688" width="10.21875" bestFit="1" customWidth="1"/>
    <col min="3689" max="3689" width="9.6640625" bestFit="1" customWidth="1"/>
    <col min="3690" max="3696" width="10.21875" bestFit="1" customWidth="1"/>
    <col min="3697" max="3697" width="11.21875" bestFit="1" customWidth="1"/>
    <col min="3698" max="3704" width="10.21875" bestFit="1" customWidth="1"/>
    <col min="3705" max="3705" width="11.21875" bestFit="1" customWidth="1"/>
    <col min="3706" max="3711" width="10.21875" bestFit="1" customWidth="1"/>
    <col min="3712" max="3712" width="8.6640625" bestFit="1" customWidth="1"/>
    <col min="3713" max="3713" width="9.6640625" bestFit="1" customWidth="1"/>
    <col min="3714" max="3717" width="10.21875" bestFit="1" customWidth="1"/>
    <col min="3718" max="3718" width="8.6640625" bestFit="1" customWidth="1"/>
    <col min="3719" max="3720" width="10.21875" bestFit="1" customWidth="1"/>
    <col min="3721" max="3721" width="11.21875" bestFit="1" customWidth="1"/>
    <col min="3722" max="3728" width="10.21875" bestFit="1" customWidth="1"/>
    <col min="3729" max="3729" width="11.21875" bestFit="1" customWidth="1"/>
    <col min="3730" max="3736" width="10.21875" bestFit="1" customWidth="1"/>
    <col min="3737" max="3737" width="11.21875" bestFit="1" customWidth="1"/>
    <col min="3738" max="3744" width="10.21875" bestFit="1" customWidth="1"/>
    <col min="3745" max="3745" width="11.21875" bestFit="1" customWidth="1"/>
    <col min="3746" max="3759" width="10.21875" bestFit="1" customWidth="1"/>
    <col min="3760" max="3760" width="11.21875" bestFit="1" customWidth="1"/>
    <col min="3761" max="3767" width="10.21875" bestFit="1" customWidth="1"/>
    <col min="3768" max="3768" width="11.21875" bestFit="1" customWidth="1"/>
    <col min="3769" max="3775" width="10.21875" bestFit="1" customWidth="1"/>
    <col min="3776" max="3776" width="11.21875" bestFit="1" customWidth="1"/>
    <col min="3777" max="3783" width="10.21875" bestFit="1" customWidth="1"/>
    <col min="3784" max="3784" width="11.21875" bestFit="1" customWidth="1"/>
    <col min="3785" max="3791" width="10.21875" bestFit="1" customWidth="1"/>
    <col min="3792" max="3792" width="11.21875" bestFit="1" customWidth="1"/>
    <col min="3793" max="3797" width="10.21875" bestFit="1" customWidth="1"/>
    <col min="3798" max="3798" width="8.6640625" bestFit="1" customWidth="1"/>
    <col min="3799" max="3799" width="10.21875" bestFit="1" customWidth="1"/>
    <col min="3800" max="3800" width="11.21875" bestFit="1" customWidth="1"/>
    <col min="3801" max="3803" width="10.21875" bestFit="1" customWidth="1"/>
    <col min="3804" max="3804" width="8.6640625" bestFit="1" customWidth="1"/>
    <col min="3805" max="3807" width="10.21875" bestFit="1" customWidth="1"/>
    <col min="3808" max="3808" width="11.21875" bestFit="1" customWidth="1"/>
    <col min="3809" max="3813" width="10.21875" bestFit="1" customWidth="1"/>
    <col min="3814" max="3814" width="8.6640625" bestFit="1" customWidth="1"/>
    <col min="3815" max="3815" width="10.21875" bestFit="1" customWidth="1"/>
    <col min="3816" max="3816" width="11.21875" bestFit="1" customWidth="1"/>
    <col min="3817" max="3820" width="10.21875" bestFit="1" customWidth="1"/>
    <col min="3821" max="3821" width="8.6640625" bestFit="1" customWidth="1"/>
    <col min="3822" max="3823" width="10.21875" bestFit="1" customWidth="1"/>
    <col min="3824" max="3824" width="11.21875" bestFit="1" customWidth="1"/>
    <col min="3825" max="3831" width="10.21875" bestFit="1" customWidth="1"/>
    <col min="3832" max="3832" width="11.21875" bestFit="1" customWidth="1"/>
    <col min="3833" max="3839" width="10.21875" bestFit="1" customWidth="1"/>
    <col min="3840" max="3840" width="11.21875" bestFit="1" customWidth="1"/>
    <col min="3841" max="3846" width="10.21875" bestFit="1" customWidth="1"/>
    <col min="3847" max="3847" width="8.6640625" bestFit="1" customWidth="1"/>
    <col min="3848" max="3848" width="11.21875" bestFit="1" customWidth="1"/>
    <col min="3849" max="3852" width="10.21875" bestFit="1" customWidth="1"/>
    <col min="3853" max="3853" width="8.6640625" bestFit="1" customWidth="1"/>
    <col min="3854" max="3855" width="10.21875" bestFit="1" customWidth="1"/>
    <col min="3856" max="3856" width="11.21875" bestFit="1" customWidth="1"/>
    <col min="3857" max="3863" width="10.21875" bestFit="1" customWidth="1"/>
    <col min="3864" max="3864" width="11.21875" bestFit="1" customWidth="1"/>
    <col min="3865" max="3871" width="10.21875" bestFit="1" customWidth="1"/>
    <col min="3872" max="3872" width="11.21875" bestFit="1" customWidth="1"/>
    <col min="3873" max="3879" width="10.21875" bestFit="1" customWidth="1"/>
    <col min="3880" max="3880" width="11.21875" bestFit="1" customWidth="1"/>
    <col min="3881" max="3883" width="10.21875" bestFit="1" customWidth="1"/>
    <col min="3884" max="3884" width="8.6640625" bestFit="1" customWidth="1"/>
    <col min="3885" max="3887" width="10.21875" bestFit="1" customWidth="1"/>
    <col min="3888" max="3888" width="11.21875" bestFit="1" customWidth="1"/>
    <col min="3889" max="3891" width="10.21875" bestFit="1" customWidth="1"/>
    <col min="3892" max="3892" width="8.6640625" bestFit="1" customWidth="1"/>
    <col min="3893" max="3895" width="10.21875" bestFit="1" customWidth="1"/>
    <col min="3896" max="3896" width="11.21875" bestFit="1" customWidth="1"/>
    <col min="3897" max="3903" width="10.21875" bestFit="1" customWidth="1"/>
    <col min="3904" max="3904" width="11.21875" bestFit="1" customWidth="1"/>
    <col min="3905" max="3911" width="10.21875" bestFit="1" customWidth="1"/>
    <col min="3912" max="3912" width="11.21875" bestFit="1" customWidth="1"/>
    <col min="3913" max="3915" width="10.21875" bestFit="1" customWidth="1"/>
    <col min="3916" max="3916" width="8.6640625" bestFit="1" customWidth="1"/>
    <col min="3917" max="3919" width="10.21875" bestFit="1" customWidth="1"/>
    <col min="3920" max="3920" width="11.21875" bestFit="1" customWidth="1"/>
    <col min="3921" max="3927" width="10.21875" bestFit="1" customWidth="1"/>
    <col min="3928" max="3928" width="11.21875" bestFit="1" customWidth="1"/>
    <col min="3929" max="3929" width="35.88671875" bestFit="1" customWidth="1"/>
    <col min="3930" max="3930" width="20.77734375" bestFit="1" customWidth="1"/>
    <col min="3931" max="3931" width="33.77734375" bestFit="1" customWidth="1"/>
    <col min="3932" max="3932" width="24.33203125" bestFit="1" customWidth="1"/>
    <col min="3933" max="3933" width="9.6640625" bestFit="1" customWidth="1"/>
    <col min="3934" max="3938" width="10.21875" bestFit="1" customWidth="1"/>
    <col min="3939" max="3939" width="8.6640625" bestFit="1" customWidth="1"/>
    <col min="3940" max="3940" width="9.6640625" bestFit="1" customWidth="1"/>
    <col min="3941" max="3946" width="10.21875" bestFit="1" customWidth="1"/>
    <col min="3947" max="3947" width="9.6640625" bestFit="1" customWidth="1"/>
    <col min="3948" max="3953" width="10.21875" bestFit="1" customWidth="1"/>
    <col min="3954" max="3954" width="11.21875" bestFit="1" customWidth="1"/>
    <col min="3955" max="3966" width="10.21875" bestFit="1" customWidth="1"/>
    <col min="3967" max="3967" width="11.21875" bestFit="1" customWidth="1"/>
    <col min="3968" max="3973" width="10.21875" bestFit="1" customWidth="1"/>
    <col min="3974" max="3974" width="11.21875" bestFit="1" customWidth="1"/>
    <col min="3975" max="3976" width="9" bestFit="1" customWidth="1"/>
    <col min="3977" max="3980" width="10.21875" bestFit="1" customWidth="1"/>
    <col min="3981" max="3981" width="11.21875" bestFit="1" customWidth="1"/>
    <col min="3982" max="3987" width="10.21875" bestFit="1" customWidth="1"/>
    <col min="3988" max="3988" width="11.21875" bestFit="1" customWidth="1"/>
    <col min="3989" max="3994" width="10.21875" bestFit="1" customWidth="1"/>
    <col min="3995" max="3995" width="11.21875" bestFit="1" customWidth="1"/>
    <col min="3996" max="4001" width="10.21875" bestFit="1" customWidth="1"/>
    <col min="4002" max="4002" width="11.21875" bestFit="1" customWidth="1"/>
    <col min="4003" max="4005" width="10.21875" bestFit="1" customWidth="1"/>
    <col min="4006" max="4006" width="8.6640625" bestFit="1" customWidth="1"/>
    <col min="4007" max="4008" width="10.21875" bestFit="1" customWidth="1"/>
    <col min="4009" max="4009" width="11.21875" bestFit="1" customWidth="1"/>
    <col min="4010" max="4013" width="10.21875" bestFit="1" customWidth="1"/>
    <col min="4014" max="4015" width="8.6640625" bestFit="1" customWidth="1"/>
    <col min="4016" max="4016" width="11.21875" bestFit="1" customWidth="1"/>
    <col min="4017" max="4022" width="10.21875" bestFit="1" customWidth="1"/>
    <col min="4023" max="4023" width="9.6640625" bestFit="1" customWidth="1"/>
    <col min="4024" max="4029" width="10.21875" bestFit="1" customWidth="1"/>
    <col min="4030" max="4030" width="11.21875" bestFit="1" customWidth="1"/>
    <col min="4031" max="4036" width="10.21875" bestFit="1" customWidth="1"/>
    <col min="4037" max="4037" width="11.21875" bestFit="1" customWidth="1"/>
    <col min="4038" max="4040" width="21.5546875" bestFit="1" customWidth="1"/>
    <col min="4041" max="4041" width="12" bestFit="1" customWidth="1"/>
    <col min="4042" max="4044" width="21.5546875" bestFit="1" customWidth="1"/>
    <col min="4045" max="4046" width="14" bestFit="1" customWidth="1"/>
    <col min="4047" max="4050" width="12" bestFit="1" customWidth="1"/>
    <col min="4051" max="4051" width="21.5546875" bestFit="1" customWidth="1"/>
    <col min="4052" max="4057" width="10.21875" bestFit="1" customWidth="1"/>
    <col min="4058" max="4058" width="9.6640625" bestFit="1" customWidth="1"/>
    <col min="4059" max="4063" width="10.21875" bestFit="1" customWidth="1"/>
    <col min="4064" max="4064" width="8.6640625" bestFit="1" customWidth="1"/>
    <col min="4065" max="4065" width="11.21875" bestFit="1" customWidth="1"/>
    <col min="4066" max="4071" width="10.21875" bestFit="1" customWidth="1"/>
    <col min="4072" max="4072" width="11.21875" bestFit="1" customWidth="1"/>
    <col min="4073" max="4078" width="10.21875" bestFit="1" customWidth="1"/>
    <col min="4079" max="4079" width="11.21875" bestFit="1" customWidth="1"/>
    <col min="4080" max="4085" width="10.21875" bestFit="1" customWidth="1"/>
    <col min="4086" max="4086" width="9.6640625" bestFit="1" customWidth="1"/>
    <col min="4087" max="4092" width="10.21875" bestFit="1" customWidth="1"/>
    <col min="4093" max="4093" width="11.21875" bestFit="1" customWidth="1"/>
    <col min="4094" max="4099" width="10.21875" bestFit="1" customWidth="1"/>
    <col min="4100" max="4100" width="11.21875" bestFit="1" customWidth="1"/>
    <col min="4101" max="4105" width="10.21875" bestFit="1" customWidth="1"/>
    <col min="4106" max="4106" width="8.6640625" bestFit="1" customWidth="1"/>
    <col min="4107" max="4107" width="9.6640625" bestFit="1" customWidth="1"/>
    <col min="4108" max="4110" width="10.21875" bestFit="1" customWidth="1"/>
    <col min="4111" max="4111" width="8.6640625" bestFit="1" customWidth="1"/>
    <col min="4112" max="4113" width="10.21875" bestFit="1" customWidth="1"/>
    <col min="4114" max="4114" width="11.21875" bestFit="1" customWidth="1"/>
    <col min="4115" max="4120" width="10.21875" bestFit="1" customWidth="1"/>
    <col min="4121" max="4121" width="11.21875" bestFit="1" customWidth="1"/>
    <col min="4122" max="4127" width="10.21875" bestFit="1" customWidth="1"/>
    <col min="4128" max="4128" width="11.21875" bestFit="1" customWidth="1"/>
    <col min="4129" max="4134" width="10.21875" bestFit="1" customWidth="1"/>
    <col min="4135" max="4135" width="11.21875" bestFit="1" customWidth="1"/>
    <col min="4136" max="4147" width="10.21875" bestFit="1" customWidth="1"/>
    <col min="4148" max="4148" width="11.21875" bestFit="1" customWidth="1"/>
    <col min="4149" max="4154" width="10.21875" bestFit="1" customWidth="1"/>
    <col min="4155" max="4155" width="11.21875" bestFit="1" customWidth="1"/>
    <col min="4156" max="4157" width="9" bestFit="1" customWidth="1"/>
    <col min="4158" max="4161" width="10.21875" bestFit="1" customWidth="1"/>
    <col min="4162" max="4162" width="11.21875" bestFit="1" customWidth="1"/>
    <col min="4163" max="4168" width="10.21875" bestFit="1" customWidth="1"/>
    <col min="4169" max="4169" width="11.21875" bestFit="1" customWidth="1"/>
    <col min="4170" max="4175" width="10.21875" bestFit="1" customWidth="1"/>
    <col min="4176" max="4176" width="11.21875" bestFit="1" customWidth="1"/>
    <col min="4177" max="4180" width="10.21875" bestFit="1" customWidth="1"/>
    <col min="4181" max="4181" width="8.6640625" bestFit="1" customWidth="1"/>
    <col min="4182" max="4182" width="10.21875" bestFit="1" customWidth="1"/>
    <col min="4183" max="4183" width="11.21875" bestFit="1" customWidth="1"/>
    <col min="4184" max="4185" width="10.21875" bestFit="1" customWidth="1"/>
    <col min="4186" max="4186" width="8.6640625" bestFit="1" customWidth="1"/>
    <col min="4187" max="4189" width="10.21875" bestFit="1" customWidth="1"/>
    <col min="4190" max="4190" width="11.21875" bestFit="1" customWidth="1"/>
    <col min="4191" max="4194" width="10.21875" bestFit="1" customWidth="1"/>
    <col min="4195" max="4195" width="8.6640625" bestFit="1" customWidth="1"/>
    <col min="4196" max="4196" width="10.21875" bestFit="1" customWidth="1"/>
    <col min="4197" max="4197" width="11.21875" bestFit="1" customWidth="1"/>
    <col min="4198" max="4200" width="10.21875" bestFit="1" customWidth="1"/>
    <col min="4201" max="4201" width="8.6640625" bestFit="1" customWidth="1"/>
    <col min="4202" max="4203" width="10.21875" bestFit="1" customWidth="1"/>
    <col min="4204" max="4204" width="11.21875" bestFit="1" customWidth="1"/>
    <col min="4205" max="4210" width="10.21875" bestFit="1" customWidth="1"/>
    <col min="4211" max="4211" width="11.21875" bestFit="1" customWidth="1"/>
    <col min="4212" max="4217" width="10.21875" bestFit="1" customWidth="1"/>
    <col min="4218" max="4218" width="11.21875" bestFit="1" customWidth="1"/>
    <col min="4219" max="4223" width="10.21875" bestFit="1" customWidth="1"/>
    <col min="4224" max="4224" width="8.6640625" bestFit="1" customWidth="1"/>
    <col min="4225" max="4225" width="11.21875" bestFit="1" customWidth="1"/>
    <col min="4226" max="4228" width="10.21875" bestFit="1" customWidth="1"/>
    <col min="4229" max="4229" width="8.6640625" bestFit="1" customWidth="1"/>
    <col min="4230" max="4231" width="10.21875" bestFit="1" customWidth="1"/>
    <col min="4232" max="4232" width="11.21875" bestFit="1" customWidth="1"/>
    <col min="4233" max="4238" width="10.21875" bestFit="1" customWidth="1"/>
    <col min="4239" max="4239" width="11.21875" bestFit="1" customWidth="1"/>
    <col min="4240" max="4245" width="10.21875" bestFit="1" customWidth="1"/>
    <col min="4246" max="4246" width="11.21875" bestFit="1" customWidth="1"/>
    <col min="4247" max="4252" width="10.21875" bestFit="1" customWidth="1"/>
    <col min="4253" max="4253" width="11.21875" bestFit="1" customWidth="1"/>
    <col min="4254" max="4255" width="10.21875" bestFit="1" customWidth="1"/>
    <col min="4256" max="4256" width="8.6640625" bestFit="1" customWidth="1"/>
    <col min="4257" max="4259" width="10.21875" bestFit="1" customWidth="1"/>
    <col min="4260" max="4260" width="11.21875" bestFit="1" customWidth="1"/>
    <col min="4261" max="4262" width="10.21875" bestFit="1" customWidth="1"/>
    <col min="4263" max="4263" width="8.6640625" bestFit="1" customWidth="1"/>
    <col min="4264" max="4266" width="10.21875" bestFit="1" customWidth="1"/>
    <col min="4267" max="4267" width="11.21875" bestFit="1" customWidth="1"/>
    <col min="4268" max="4273" width="10.21875" bestFit="1" customWidth="1"/>
    <col min="4274" max="4274" width="11.21875" bestFit="1" customWidth="1"/>
    <col min="4275" max="4280" width="10.21875" bestFit="1" customWidth="1"/>
    <col min="4281" max="4281" width="11.21875" bestFit="1" customWidth="1"/>
    <col min="4282" max="4283" width="9" bestFit="1" customWidth="1"/>
    <col min="4284" max="4284" width="8.6640625" bestFit="1" customWidth="1"/>
    <col min="4285" max="4287" width="10.21875" bestFit="1" customWidth="1"/>
    <col min="4288" max="4288" width="11.21875" bestFit="1" customWidth="1"/>
    <col min="4289" max="4294" width="10.21875" bestFit="1" customWidth="1"/>
    <col min="4295" max="4295" width="11.21875" bestFit="1" customWidth="1"/>
    <col min="4296" max="4296" width="38.33203125" bestFit="1" customWidth="1"/>
    <col min="4297" max="4297" width="35.88671875" bestFit="1" customWidth="1"/>
    <col min="4298" max="4298" width="20.77734375" bestFit="1" customWidth="1"/>
    <col min="4299" max="4299" width="33.77734375" bestFit="1" customWidth="1"/>
    <col min="4300" max="4300" width="24.33203125" bestFit="1" customWidth="1"/>
    <col min="4301" max="4301" width="10.21875" bestFit="1" customWidth="1"/>
    <col min="4302" max="4302" width="11.21875" bestFit="1" customWidth="1"/>
    <col min="4303" max="4303" width="9" bestFit="1" customWidth="1"/>
    <col min="4304" max="4307" width="10.21875" bestFit="1" customWidth="1"/>
    <col min="4308" max="4308" width="11.21875" bestFit="1" customWidth="1"/>
    <col min="4309" max="4309" width="9" bestFit="1" customWidth="1"/>
    <col min="4310" max="4313" width="10.21875" bestFit="1" customWidth="1"/>
    <col min="4314" max="4314" width="11.21875" bestFit="1" customWidth="1"/>
    <col min="4315" max="4315" width="9" bestFit="1" customWidth="1"/>
    <col min="4316" max="4317" width="10.21875" bestFit="1" customWidth="1"/>
    <col min="4318" max="4318" width="8.6640625" bestFit="1" customWidth="1"/>
    <col min="4319" max="4319" width="10.21875" bestFit="1" customWidth="1"/>
    <col min="4320" max="4320" width="11.21875" bestFit="1" customWidth="1"/>
    <col min="4321" max="4321" width="9" bestFit="1" customWidth="1"/>
    <col min="4322" max="4322" width="8.6640625" bestFit="1" customWidth="1"/>
    <col min="4323" max="4325" width="10.21875" bestFit="1" customWidth="1"/>
    <col min="4326" max="4326" width="11.21875" bestFit="1" customWidth="1"/>
    <col min="4327" max="4327" width="9" bestFit="1" customWidth="1"/>
    <col min="4328" max="4329" width="10.21875" bestFit="1" customWidth="1"/>
    <col min="4330" max="4330" width="8.6640625" bestFit="1" customWidth="1"/>
    <col min="4331" max="4331" width="10.21875" bestFit="1" customWidth="1"/>
    <col min="4332" max="4332" width="11.21875" bestFit="1" customWidth="1"/>
    <col min="4333" max="4333" width="9" bestFit="1" customWidth="1"/>
    <col min="4334" max="4334" width="10.21875" bestFit="1" customWidth="1"/>
    <col min="4335" max="4335" width="8.6640625" bestFit="1" customWidth="1"/>
    <col min="4336" max="4337" width="10.21875" bestFit="1" customWidth="1"/>
    <col min="4338" max="4338" width="11.21875" bestFit="1" customWidth="1"/>
    <col min="4339" max="4339" width="9" bestFit="1" customWidth="1"/>
    <col min="4340" max="4343" width="10.21875" bestFit="1" customWidth="1"/>
    <col min="4344" max="4344" width="11.21875" bestFit="1" customWidth="1"/>
    <col min="4345" max="4345" width="9" bestFit="1" customWidth="1"/>
    <col min="4346" max="4349" width="10.21875" bestFit="1" customWidth="1"/>
    <col min="4350" max="4350" width="11.21875" bestFit="1" customWidth="1"/>
    <col min="4351" max="4351" width="9" bestFit="1" customWidth="1"/>
    <col min="4352" max="4354" width="10.21875" bestFit="1" customWidth="1"/>
    <col min="4355" max="4355" width="8.6640625" bestFit="1" customWidth="1"/>
    <col min="4356" max="4356" width="11.21875" bestFit="1" customWidth="1"/>
    <col min="4357" max="4357" width="9" bestFit="1" customWidth="1"/>
    <col min="4358" max="4358" width="10.21875" bestFit="1" customWidth="1"/>
    <col min="4359" max="4359" width="8.6640625" bestFit="1" customWidth="1"/>
    <col min="4360" max="4361" width="10.21875" bestFit="1" customWidth="1"/>
    <col min="4362" max="4362" width="11.21875" bestFit="1" customWidth="1"/>
    <col min="4363" max="4363" width="9" bestFit="1" customWidth="1"/>
    <col min="4364" max="4367" width="10.21875" bestFit="1" customWidth="1"/>
    <col min="4368" max="4368" width="11.21875" bestFit="1" customWidth="1"/>
    <col min="4369" max="4369" width="9" bestFit="1" customWidth="1"/>
    <col min="4370" max="4373" width="10.21875" bestFit="1" customWidth="1"/>
    <col min="4374" max="4374" width="11.21875" bestFit="1" customWidth="1"/>
    <col min="4375" max="4375" width="9" bestFit="1" customWidth="1"/>
    <col min="4376" max="4379" width="10.21875" bestFit="1" customWidth="1"/>
    <col min="4380" max="4380" width="11.21875" bestFit="1" customWidth="1"/>
    <col min="4381" max="4381" width="9" bestFit="1" customWidth="1"/>
    <col min="4382" max="4382" width="8.6640625" bestFit="1" customWidth="1"/>
    <col min="4383" max="4385" width="10.21875" bestFit="1" customWidth="1"/>
    <col min="4386" max="4386" width="11.21875" bestFit="1" customWidth="1"/>
    <col min="4387" max="4387" width="9" bestFit="1" customWidth="1"/>
    <col min="4388" max="4388" width="8.6640625" bestFit="1" customWidth="1"/>
    <col min="4389" max="4391" width="10.21875" bestFit="1" customWidth="1"/>
    <col min="4392" max="4392" width="11.21875" bestFit="1" customWidth="1"/>
    <col min="4393" max="4393" width="9" bestFit="1" customWidth="1"/>
    <col min="4394" max="4397" width="10.21875" bestFit="1" customWidth="1"/>
    <col min="4398" max="4398" width="11.21875" bestFit="1" customWidth="1"/>
    <col min="4399" max="4399" width="9" bestFit="1" customWidth="1"/>
    <col min="4400" max="4403" width="10.21875" bestFit="1" customWidth="1"/>
    <col min="4404" max="4404" width="11.21875" bestFit="1" customWidth="1"/>
    <col min="4405" max="4405" width="9" bestFit="1" customWidth="1"/>
    <col min="4406" max="4406" width="8.6640625" bestFit="1" customWidth="1"/>
    <col min="4407" max="4409" width="10.21875" bestFit="1" customWidth="1"/>
    <col min="4410" max="4410" width="11.21875" bestFit="1" customWidth="1"/>
    <col min="4411" max="4411" width="9" bestFit="1" customWidth="1"/>
    <col min="4412" max="4415" width="10.21875" bestFit="1" customWidth="1"/>
    <col min="4416" max="4416" width="11.21875" bestFit="1" customWidth="1"/>
    <col min="4417" max="4417" width="17.77734375" bestFit="1" customWidth="1"/>
    <col min="4418" max="4418" width="38.33203125" bestFit="1" customWidth="1"/>
    <col min="4419" max="4419" width="35.88671875" bestFit="1" customWidth="1"/>
    <col min="4420" max="4420" width="20.77734375" bestFit="1" customWidth="1"/>
    <col min="4421" max="4421" width="33.77734375" bestFit="1" customWidth="1"/>
    <col min="4422" max="4422" width="24.33203125" bestFit="1" customWidth="1"/>
    <col min="4423" max="4423" width="10.21875" bestFit="1" customWidth="1"/>
    <col min="4424" max="4426" width="8" bestFit="1" customWidth="1"/>
    <col min="4427" max="4427" width="10.21875" bestFit="1" customWidth="1"/>
    <col min="4428" max="4428" width="8" bestFit="1" customWidth="1"/>
    <col min="4429" max="4429" width="10.21875" bestFit="1" customWidth="1"/>
    <col min="4430" max="4431" width="8" bestFit="1" customWidth="1"/>
    <col min="4432" max="4432" width="10.21875" bestFit="1" customWidth="1"/>
    <col min="4433" max="4434" width="8" bestFit="1" customWidth="1"/>
    <col min="4435" max="4435" width="10.21875" bestFit="1" customWidth="1"/>
    <col min="4436" max="4436" width="14" bestFit="1" customWidth="1"/>
    <col min="4437" max="4437" width="21.5546875" bestFit="1" customWidth="1"/>
    <col min="4438" max="4438" width="8" bestFit="1" customWidth="1"/>
    <col min="4439" max="4439" width="10.21875" bestFit="1" customWidth="1"/>
    <col min="4440" max="4440" width="14" bestFit="1" customWidth="1"/>
    <col min="4441" max="4441" width="21.5546875" bestFit="1" customWidth="1"/>
    <col min="4442" max="4442" width="8" bestFit="1" customWidth="1"/>
    <col min="4443" max="4443" width="10.21875" bestFit="1" customWidth="1"/>
    <col min="4444" max="4444" width="8" bestFit="1" customWidth="1"/>
    <col min="4445" max="4445" width="10.21875" bestFit="1" customWidth="1"/>
    <col min="4446" max="4447" width="8" bestFit="1" customWidth="1"/>
    <col min="4448" max="4448" width="10.21875" bestFit="1" customWidth="1"/>
    <col min="4449" max="4449" width="8" bestFit="1" customWidth="1"/>
    <col min="4450" max="4450" width="10.21875" bestFit="1" customWidth="1"/>
    <col min="4451" max="4451" width="8" bestFit="1" customWidth="1"/>
    <col min="4452" max="4452" width="10.21875" bestFit="1" customWidth="1"/>
    <col min="4453" max="4454" width="8" bestFit="1" customWidth="1"/>
    <col min="4455" max="4455" width="10.21875" bestFit="1" customWidth="1"/>
    <col min="4456" max="4456" width="8" bestFit="1" customWidth="1"/>
    <col min="4457" max="4457" width="10.21875" bestFit="1" customWidth="1"/>
    <col min="4458" max="4458" width="8" bestFit="1" customWidth="1"/>
    <col min="4459" max="4459" width="10.21875" bestFit="1" customWidth="1"/>
    <col min="4460" max="4460" width="8" bestFit="1" customWidth="1"/>
    <col min="4461" max="4461" width="10.21875" bestFit="1" customWidth="1"/>
    <col min="4462" max="4462" width="8" bestFit="1" customWidth="1"/>
    <col min="4463" max="4463" width="10.21875" bestFit="1" customWidth="1"/>
    <col min="4464" max="4464" width="8" bestFit="1" customWidth="1"/>
    <col min="4465" max="4465" width="10.21875" bestFit="1" customWidth="1"/>
    <col min="4466" max="4466" width="8" bestFit="1" customWidth="1"/>
    <col min="4467" max="4467" width="10.21875" bestFit="1" customWidth="1"/>
    <col min="4468" max="4469" width="8" bestFit="1" customWidth="1"/>
    <col min="4470" max="4470" width="10.21875" bestFit="1" customWidth="1"/>
    <col min="4471" max="4474" width="8" bestFit="1" customWidth="1"/>
    <col min="4475" max="4475" width="10.21875" bestFit="1" customWidth="1"/>
    <col min="4476" max="4476" width="8" bestFit="1" customWidth="1"/>
    <col min="4477" max="4477" width="10.21875" bestFit="1" customWidth="1"/>
    <col min="4478" max="4478" width="8" bestFit="1" customWidth="1"/>
    <col min="4479" max="4479" width="10.21875" bestFit="1" customWidth="1"/>
    <col min="4480" max="4480" width="8" bestFit="1" customWidth="1"/>
    <col min="4481" max="4481" width="10.21875" bestFit="1" customWidth="1"/>
    <col min="4482" max="4483" width="8" bestFit="1" customWidth="1"/>
    <col min="4484" max="4484" width="10.21875" bestFit="1" customWidth="1"/>
    <col min="4485" max="4485" width="6" bestFit="1" customWidth="1"/>
    <col min="4486" max="4486" width="8.6640625" bestFit="1" customWidth="1"/>
    <col min="4487" max="4488" width="8" bestFit="1" customWidth="1"/>
    <col min="4489" max="4489" width="10.21875" bestFit="1" customWidth="1"/>
    <col min="4490" max="4491" width="8" bestFit="1" customWidth="1"/>
    <col min="4492" max="4492" width="10.21875" bestFit="1" customWidth="1"/>
    <col min="4493" max="4493" width="8" bestFit="1" customWidth="1"/>
    <col min="4494" max="4494" width="10.21875" bestFit="1" customWidth="1"/>
    <col min="4495" max="4496" width="8" bestFit="1" customWidth="1"/>
    <col min="4497" max="4497" width="10.21875" bestFit="1" customWidth="1"/>
    <col min="4498" max="4498" width="8" bestFit="1" customWidth="1"/>
    <col min="4499" max="4499" width="10.21875" bestFit="1" customWidth="1"/>
    <col min="4500" max="4500" width="9" bestFit="1" customWidth="1"/>
    <col min="4501" max="4501" width="11.21875" bestFit="1" customWidth="1"/>
    <col min="4502" max="4502" width="12" bestFit="1" customWidth="1"/>
    <col min="4503" max="4503" width="12.21875" bestFit="1" customWidth="1"/>
    <col min="4504" max="4504" width="8" bestFit="1" customWidth="1"/>
    <col min="4505" max="4505" width="10.21875" bestFit="1" customWidth="1"/>
    <col min="4506" max="4506" width="6" bestFit="1" customWidth="1"/>
    <col min="4507" max="4507" width="8.6640625" bestFit="1" customWidth="1"/>
    <col min="4508" max="4508" width="8" bestFit="1" customWidth="1"/>
    <col min="4509" max="4509" width="10.21875" bestFit="1" customWidth="1"/>
    <col min="4510" max="4511" width="8" bestFit="1" customWidth="1"/>
    <col min="4512" max="4512" width="10.21875" bestFit="1" customWidth="1"/>
    <col min="4513" max="4513" width="8" bestFit="1" customWidth="1"/>
    <col min="4514" max="4514" width="10.21875" bestFit="1" customWidth="1"/>
    <col min="4515" max="4515" width="8" bestFit="1" customWidth="1"/>
    <col min="4516" max="4516" width="10.21875" bestFit="1" customWidth="1"/>
    <col min="4517" max="4517" width="8" bestFit="1" customWidth="1"/>
    <col min="4518" max="4518" width="10.21875" bestFit="1" customWidth="1"/>
    <col min="4519" max="4519" width="8" bestFit="1" customWidth="1"/>
    <col min="4520" max="4520" width="10.21875" bestFit="1" customWidth="1"/>
    <col min="4521" max="4521" width="8" bestFit="1" customWidth="1"/>
    <col min="4522" max="4522" width="10.21875" bestFit="1" customWidth="1"/>
    <col min="4523" max="4524" width="8" bestFit="1" customWidth="1"/>
    <col min="4525" max="4525" width="10.21875" bestFit="1" customWidth="1"/>
    <col min="4526" max="4526" width="8" bestFit="1" customWidth="1"/>
    <col min="4527" max="4527" width="10.21875" bestFit="1" customWidth="1"/>
    <col min="4528" max="4528" width="6" bestFit="1" customWidth="1"/>
    <col min="4529" max="4529" width="8.6640625" bestFit="1" customWidth="1"/>
    <col min="4530" max="4530" width="8" bestFit="1" customWidth="1"/>
    <col min="4531" max="4531" width="10.21875" bestFit="1" customWidth="1"/>
    <col min="4532" max="4532" width="8" bestFit="1" customWidth="1"/>
    <col min="4533" max="4533" width="10.21875" bestFit="1" customWidth="1"/>
    <col min="4534" max="4534" width="8" bestFit="1" customWidth="1"/>
    <col min="4535" max="4535" width="10.21875" bestFit="1" customWidth="1"/>
    <col min="4536" max="4536" width="8" bestFit="1" customWidth="1"/>
    <col min="4537" max="4537" width="10.21875" bestFit="1" customWidth="1"/>
    <col min="4538" max="4538" width="8" bestFit="1" customWidth="1"/>
    <col min="4539" max="4539" width="10.21875" bestFit="1" customWidth="1"/>
    <col min="4540" max="4540" width="8" bestFit="1" customWidth="1"/>
    <col min="4541" max="4541" width="10.21875" bestFit="1" customWidth="1"/>
    <col min="4542" max="4542" width="6" bestFit="1" customWidth="1"/>
    <col min="4543" max="4543" width="8.6640625" bestFit="1" customWidth="1"/>
    <col min="4544" max="4544" width="8" bestFit="1" customWidth="1"/>
    <col min="4545" max="4545" width="10.21875" bestFit="1" customWidth="1"/>
    <col min="4546" max="4546" width="8" bestFit="1" customWidth="1"/>
    <col min="4547" max="4547" width="10.21875" bestFit="1" customWidth="1"/>
    <col min="4548" max="4548" width="8" bestFit="1" customWidth="1"/>
    <col min="4549" max="4549" width="10.21875" bestFit="1" customWidth="1"/>
    <col min="4550" max="4550" width="8" bestFit="1" customWidth="1"/>
    <col min="4551" max="4551" width="10.21875" bestFit="1" customWidth="1"/>
    <col min="4552" max="4552" width="8" bestFit="1" customWidth="1"/>
    <col min="4553" max="4553" width="10.21875" bestFit="1" customWidth="1"/>
    <col min="4554" max="4554" width="8" bestFit="1" customWidth="1"/>
    <col min="4555" max="4555" width="10.21875" bestFit="1" customWidth="1"/>
    <col min="4556" max="4556" width="8" bestFit="1" customWidth="1"/>
    <col min="4557" max="4557" width="10.21875" bestFit="1" customWidth="1"/>
    <col min="4558" max="4558" width="8" bestFit="1" customWidth="1"/>
    <col min="4559" max="4559" width="10.21875" bestFit="1" customWidth="1"/>
    <col min="4560" max="4561" width="6" bestFit="1" customWidth="1"/>
    <col min="4562" max="4562" width="8.6640625" bestFit="1" customWidth="1"/>
    <col min="4563" max="4563" width="8" bestFit="1" customWidth="1"/>
    <col min="4564" max="4564" width="10.21875" bestFit="1" customWidth="1"/>
    <col min="4565" max="4565" width="8" bestFit="1" customWidth="1"/>
    <col min="4566" max="4566" width="10.21875" bestFit="1" customWidth="1"/>
    <col min="4567" max="4567" width="8" bestFit="1" customWidth="1"/>
    <col min="4568" max="4568" width="10.21875" bestFit="1" customWidth="1"/>
    <col min="4569" max="4570" width="8" bestFit="1" customWidth="1"/>
    <col min="4571" max="4571" width="10.21875" bestFit="1" customWidth="1"/>
    <col min="4572" max="4572" width="8" bestFit="1" customWidth="1"/>
    <col min="4573" max="4573" width="10.21875" bestFit="1" customWidth="1"/>
    <col min="4574" max="4574" width="8" bestFit="1" customWidth="1"/>
    <col min="4575" max="4575" width="10.21875" bestFit="1" customWidth="1"/>
    <col min="4576" max="4577" width="8" bestFit="1" customWidth="1"/>
    <col min="4578" max="4578" width="10.21875" bestFit="1" customWidth="1"/>
    <col min="4579" max="4579" width="8" bestFit="1" customWidth="1"/>
    <col min="4580" max="4580" width="10.21875" bestFit="1" customWidth="1"/>
    <col min="4581" max="4581" width="8" bestFit="1" customWidth="1"/>
    <col min="4582" max="4582" width="10.21875" bestFit="1" customWidth="1"/>
    <col min="4583" max="4583" width="8" bestFit="1" customWidth="1"/>
    <col min="4584" max="4584" width="10.21875" bestFit="1" customWidth="1"/>
    <col min="4585" max="4587" width="8" bestFit="1" customWidth="1"/>
    <col min="4588" max="4588" width="10.21875" bestFit="1" customWidth="1"/>
    <col min="4589" max="4589" width="8" bestFit="1" customWidth="1"/>
    <col min="4590" max="4590" width="10.21875" bestFit="1" customWidth="1"/>
    <col min="4591" max="4591" width="8" bestFit="1" customWidth="1"/>
    <col min="4592" max="4592" width="10.21875" bestFit="1" customWidth="1"/>
    <col min="4593" max="4593" width="8" bestFit="1" customWidth="1"/>
    <col min="4594" max="4594" width="10.21875" bestFit="1" customWidth="1"/>
    <col min="4595" max="4595" width="8" bestFit="1" customWidth="1"/>
    <col min="4596" max="4596" width="10.21875" bestFit="1" customWidth="1"/>
    <col min="4597" max="4597" width="8" bestFit="1" customWidth="1"/>
    <col min="4598" max="4598" width="10.21875" bestFit="1" customWidth="1"/>
    <col min="4599" max="4599" width="8" bestFit="1" customWidth="1"/>
    <col min="4600" max="4600" width="10.21875" bestFit="1" customWidth="1"/>
    <col min="4601" max="4601" width="8" bestFit="1" customWidth="1"/>
    <col min="4602" max="4602" width="10.21875" bestFit="1" customWidth="1"/>
    <col min="4603" max="4603" width="8" bestFit="1" customWidth="1"/>
    <col min="4604" max="4604" width="10.21875" bestFit="1" customWidth="1"/>
    <col min="4605" max="4605" width="8" bestFit="1" customWidth="1"/>
    <col min="4606" max="4606" width="10.21875" bestFit="1" customWidth="1"/>
    <col min="4607" max="4607" width="8" bestFit="1" customWidth="1"/>
    <col min="4608" max="4608" width="10.21875" bestFit="1" customWidth="1"/>
    <col min="4609" max="4609" width="8" bestFit="1" customWidth="1"/>
    <col min="4610" max="4610" width="10.21875" bestFit="1" customWidth="1"/>
    <col min="4611" max="4611" width="6" bestFit="1" customWidth="1"/>
    <col min="4612" max="4612" width="8.6640625" bestFit="1" customWidth="1"/>
    <col min="4613" max="4613" width="8" bestFit="1" customWidth="1"/>
    <col min="4614" max="4614" width="10.21875" bestFit="1" customWidth="1"/>
    <col min="4615" max="4615" width="8" bestFit="1" customWidth="1"/>
    <col min="4616" max="4616" width="10.21875" bestFit="1" customWidth="1"/>
    <col min="4617" max="4617" width="8" bestFit="1" customWidth="1"/>
    <col min="4618" max="4618" width="10.21875" bestFit="1" customWidth="1"/>
    <col min="4619" max="4619" width="8" bestFit="1" customWidth="1"/>
    <col min="4620" max="4620" width="10.21875" bestFit="1" customWidth="1"/>
    <col min="4621" max="4621" width="8" bestFit="1" customWidth="1"/>
    <col min="4622" max="4622" width="10.21875" bestFit="1" customWidth="1"/>
    <col min="4623" max="4623" width="8" bestFit="1" customWidth="1"/>
    <col min="4624" max="4624" width="10.21875" bestFit="1" customWidth="1"/>
    <col min="4625" max="4625" width="8" bestFit="1" customWidth="1"/>
    <col min="4626" max="4626" width="10.21875" bestFit="1" customWidth="1"/>
    <col min="4627" max="4627" width="8" bestFit="1" customWidth="1"/>
    <col min="4628" max="4628" width="10.21875" bestFit="1" customWidth="1"/>
    <col min="4629" max="4629" width="8" bestFit="1" customWidth="1"/>
    <col min="4630" max="4630" width="10.21875" bestFit="1" customWidth="1"/>
    <col min="4631" max="4631" width="8" bestFit="1" customWidth="1"/>
    <col min="4632" max="4632" width="10.21875" bestFit="1" customWidth="1"/>
    <col min="4633" max="4633" width="8" bestFit="1" customWidth="1"/>
    <col min="4634" max="4634" width="10.21875" bestFit="1" customWidth="1"/>
    <col min="4635" max="4635" width="12.88671875" bestFit="1" customWidth="1"/>
    <col min="4636" max="4636" width="10.21875" bestFit="1" customWidth="1"/>
    <col min="4637" max="4637" width="8" bestFit="1" customWidth="1"/>
    <col min="4638" max="4638" width="10.21875" bestFit="1" customWidth="1"/>
    <col min="4639" max="4639" width="8" bestFit="1" customWidth="1"/>
    <col min="4640" max="4640" width="10.21875" bestFit="1" customWidth="1"/>
    <col min="4641" max="4642" width="8" bestFit="1" customWidth="1"/>
    <col min="4643" max="4643" width="10.21875" bestFit="1" customWidth="1"/>
    <col min="4644" max="4644" width="8" bestFit="1" customWidth="1"/>
    <col min="4645" max="4645" width="10.21875" bestFit="1" customWidth="1"/>
    <col min="4646" max="4646" width="6" bestFit="1" customWidth="1"/>
    <col min="4647" max="4647" width="8.6640625" bestFit="1" customWidth="1"/>
    <col min="4648" max="4648" width="8" bestFit="1" customWidth="1"/>
    <col min="4649" max="4649" width="10.21875" bestFit="1" customWidth="1"/>
    <col min="4650" max="4650" width="8" bestFit="1" customWidth="1"/>
    <col min="4651" max="4651" width="10.21875" bestFit="1" customWidth="1"/>
    <col min="4652" max="4652" width="8" bestFit="1" customWidth="1"/>
    <col min="4653" max="4653" width="10.21875" bestFit="1" customWidth="1"/>
    <col min="4654" max="4654" width="6" bestFit="1" customWidth="1"/>
    <col min="4655" max="4655" width="8.6640625" bestFit="1" customWidth="1"/>
    <col min="4656" max="4656" width="8" bestFit="1" customWidth="1"/>
    <col min="4657" max="4657" width="10.21875" bestFit="1" customWidth="1"/>
    <col min="4658" max="4658" width="8" bestFit="1" customWidth="1"/>
    <col min="4659" max="4659" width="10.21875" bestFit="1" customWidth="1"/>
    <col min="4660" max="4660" width="8" bestFit="1" customWidth="1"/>
    <col min="4661" max="4661" width="10.21875" bestFit="1" customWidth="1"/>
    <col min="4662" max="4662" width="8" bestFit="1" customWidth="1"/>
    <col min="4663" max="4663" width="10.21875" bestFit="1" customWidth="1"/>
    <col min="4664" max="4664" width="8" bestFit="1" customWidth="1"/>
    <col min="4665" max="4665" width="10.21875" bestFit="1" customWidth="1"/>
    <col min="4666" max="4666" width="8" bestFit="1" customWidth="1"/>
    <col min="4667" max="4667" width="10.21875" bestFit="1" customWidth="1"/>
    <col min="4668" max="4668" width="8" bestFit="1" customWidth="1"/>
    <col min="4669" max="4669" width="10.21875" bestFit="1" customWidth="1"/>
    <col min="4670" max="4670" width="8" bestFit="1" customWidth="1"/>
    <col min="4671" max="4671" width="10.21875" bestFit="1" customWidth="1"/>
    <col min="4672" max="4672" width="8" bestFit="1" customWidth="1"/>
    <col min="4673" max="4673" width="10.21875" bestFit="1" customWidth="1"/>
    <col min="4674" max="4674" width="8" bestFit="1" customWidth="1"/>
    <col min="4675" max="4675" width="10.21875" bestFit="1" customWidth="1"/>
    <col min="4676" max="4676" width="8" bestFit="1" customWidth="1"/>
    <col min="4677" max="4677" width="10.21875" bestFit="1" customWidth="1"/>
    <col min="4678" max="4678" width="8" bestFit="1" customWidth="1"/>
    <col min="4679" max="4679" width="10.21875" bestFit="1" customWidth="1"/>
    <col min="4680" max="4680" width="8" bestFit="1" customWidth="1"/>
    <col min="4681" max="4681" width="10.21875" bestFit="1" customWidth="1"/>
    <col min="4682" max="4682" width="8" bestFit="1" customWidth="1"/>
    <col min="4683" max="4683" width="10.21875" bestFit="1" customWidth="1"/>
    <col min="4684" max="4684" width="8" bestFit="1" customWidth="1"/>
    <col min="4685" max="4685" width="10.21875" bestFit="1" customWidth="1"/>
    <col min="4686" max="4687" width="8" bestFit="1" customWidth="1"/>
    <col min="4688" max="4688" width="10.21875" bestFit="1" customWidth="1"/>
    <col min="4689" max="4689" width="6" bestFit="1" customWidth="1"/>
    <col min="4690" max="4690" width="8.6640625" bestFit="1" customWidth="1"/>
    <col min="4691" max="4692" width="8" bestFit="1" customWidth="1"/>
    <col min="4693" max="4693" width="10.21875" bestFit="1" customWidth="1"/>
    <col min="4694" max="4695" width="8" bestFit="1" customWidth="1"/>
    <col min="4696" max="4696" width="10.21875" bestFit="1" customWidth="1"/>
    <col min="4697" max="4697" width="8" bestFit="1" customWidth="1"/>
    <col min="4698" max="4698" width="10.21875" bestFit="1" customWidth="1"/>
    <col min="4699" max="4700" width="8" bestFit="1" customWidth="1"/>
    <col min="4701" max="4701" width="10.21875" bestFit="1" customWidth="1"/>
    <col min="4702" max="4704" width="8" bestFit="1" customWidth="1"/>
    <col min="4705" max="4705" width="10.21875" bestFit="1" customWidth="1"/>
    <col min="4706" max="4708" width="8" bestFit="1" customWidth="1"/>
    <col min="4709" max="4709" width="10.21875" bestFit="1" customWidth="1"/>
    <col min="4710" max="4711" width="6" bestFit="1" customWidth="1"/>
    <col min="4712" max="4712" width="8.6640625" bestFit="1" customWidth="1"/>
    <col min="4713" max="4713" width="8" bestFit="1" customWidth="1"/>
    <col min="4714" max="4714" width="10.21875" bestFit="1" customWidth="1"/>
    <col min="4715" max="4715" width="8" bestFit="1" customWidth="1"/>
    <col min="4716" max="4716" width="10.21875" bestFit="1" customWidth="1"/>
    <col min="4717" max="4717" width="8" bestFit="1" customWidth="1"/>
    <col min="4718" max="4718" width="10.21875" bestFit="1" customWidth="1"/>
    <col min="4719" max="4719" width="8" bestFit="1" customWidth="1"/>
    <col min="4720" max="4720" width="10.21875" bestFit="1" customWidth="1"/>
    <col min="4721" max="4722" width="6" bestFit="1" customWidth="1"/>
    <col min="4723" max="4723" width="8.6640625" bestFit="1" customWidth="1"/>
    <col min="4724" max="4724" width="8" bestFit="1" customWidth="1"/>
    <col min="4725" max="4725" width="10.21875" bestFit="1" customWidth="1"/>
    <col min="4726" max="4726" width="8" bestFit="1" customWidth="1"/>
    <col min="4727" max="4727" width="10.21875" bestFit="1" customWidth="1"/>
    <col min="4728" max="4728" width="8" bestFit="1" customWidth="1"/>
    <col min="4729" max="4729" width="10.21875" bestFit="1" customWidth="1"/>
    <col min="4730" max="4730" width="8" bestFit="1" customWidth="1"/>
    <col min="4731" max="4731" width="10.21875" bestFit="1" customWidth="1"/>
    <col min="4732" max="4732" width="8" bestFit="1" customWidth="1"/>
    <col min="4733" max="4733" width="10.21875" bestFit="1" customWidth="1"/>
    <col min="4734" max="4734" width="8" bestFit="1" customWidth="1"/>
    <col min="4735" max="4735" width="10.21875" bestFit="1" customWidth="1"/>
    <col min="4736" max="4736" width="8" bestFit="1" customWidth="1"/>
    <col min="4737" max="4737" width="10.21875" bestFit="1" customWidth="1"/>
    <col min="4738" max="4738" width="8" bestFit="1" customWidth="1"/>
    <col min="4739" max="4739" width="10.21875" bestFit="1" customWidth="1"/>
    <col min="4740" max="4740" width="8" bestFit="1" customWidth="1"/>
    <col min="4741" max="4741" width="10.21875" bestFit="1" customWidth="1"/>
    <col min="4742" max="4742" width="8" bestFit="1" customWidth="1"/>
    <col min="4743" max="4743" width="10.21875" bestFit="1" customWidth="1"/>
    <col min="4744" max="4744" width="8" bestFit="1" customWidth="1"/>
    <col min="4745" max="4745" width="10.21875" bestFit="1" customWidth="1"/>
    <col min="4746" max="4746" width="8" bestFit="1" customWidth="1"/>
    <col min="4747" max="4747" width="10.21875" bestFit="1" customWidth="1"/>
    <col min="4748" max="4748" width="6" bestFit="1" customWidth="1"/>
    <col min="4749" max="4749" width="8.6640625" bestFit="1" customWidth="1"/>
    <col min="4750" max="4750" width="8" bestFit="1" customWidth="1"/>
    <col min="4751" max="4751" width="10.21875" bestFit="1" customWidth="1"/>
    <col min="4752" max="4752" width="8" bestFit="1" customWidth="1"/>
    <col min="4753" max="4753" width="10.21875" bestFit="1" customWidth="1"/>
    <col min="4754" max="4754" width="8" bestFit="1" customWidth="1"/>
    <col min="4755" max="4755" width="10.21875" bestFit="1" customWidth="1"/>
    <col min="4756" max="4756" width="8" bestFit="1" customWidth="1"/>
    <col min="4757" max="4757" width="10.21875" bestFit="1" customWidth="1"/>
    <col min="4758" max="4758" width="6" bestFit="1" customWidth="1"/>
    <col min="4759" max="4759" width="8.6640625" bestFit="1" customWidth="1"/>
    <col min="4760" max="4760" width="8" bestFit="1" customWidth="1"/>
    <col min="4761" max="4761" width="10.21875" bestFit="1" customWidth="1"/>
    <col min="4762" max="4762" width="8" bestFit="1" customWidth="1"/>
    <col min="4763" max="4763" width="10.21875" bestFit="1" customWidth="1"/>
    <col min="4764" max="4764" width="8" bestFit="1" customWidth="1"/>
    <col min="4765" max="4765" width="10.21875" bestFit="1" customWidth="1"/>
    <col min="4766" max="4767" width="8" bestFit="1" customWidth="1"/>
    <col min="4768" max="4768" width="10.21875" bestFit="1" customWidth="1"/>
    <col min="4769" max="4769" width="8" bestFit="1" customWidth="1"/>
    <col min="4770" max="4770" width="10.21875" bestFit="1" customWidth="1"/>
    <col min="4771" max="4771" width="6" bestFit="1" customWidth="1"/>
    <col min="4772" max="4772" width="8.6640625" bestFit="1" customWidth="1"/>
    <col min="4773" max="4773" width="8" bestFit="1" customWidth="1"/>
    <col min="4774" max="4774" width="10.21875" bestFit="1" customWidth="1"/>
    <col min="4775" max="4775" width="8" bestFit="1" customWidth="1"/>
    <col min="4776" max="4776" width="10.21875" bestFit="1" customWidth="1"/>
    <col min="4777" max="4777" width="8" bestFit="1" customWidth="1"/>
    <col min="4778" max="4778" width="10.21875" bestFit="1" customWidth="1"/>
    <col min="4779" max="4779" width="8" bestFit="1" customWidth="1"/>
    <col min="4780" max="4780" width="10.21875" bestFit="1" customWidth="1"/>
    <col min="4781" max="4781" width="8" bestFit="1" customWidth="1"/>
    <col min="4782" max="4782" width="10.21875" bestFit="1" customWidth="1"/>
    <col min="4783" max="4783" width="8" bestFit="1" customWidth="1"/>
    <col min="4784" max="4784" width="10.21875" bestFit="1" customWidth="1"/>
    <col min="4785" max="4785" width="8" bestFit="1" customWidth="1"/>
    <col min="4786" max="4786" width="10.21875" bestFit="1" customWidth="1"/>
    <col min="4787" max="4787" width="8" bestFit="1" customWidth="1"/>
    <col min="4788" max="4788" width="10.21875" bestFit="1" customWidth="1"/>
    <col min="4789" max="4789" width="6" bestFit="1" customWidth="1"/>
    <col min="4790" max="4790" width="8.6640625" bestFit="1" customWidth="1"/>
    <col min="4791" max="4791" width="8" bestFit="1" customWidth="1"/>
    <col min="4792" max="4792" width="10.21875" bestFit="1" customWidth="1"/>
    <col min="4793" max="4793" width="8" bestFit="1" customWidth="1"/>
    <col min="4794" max="4794" width="10.21875" bestFit="1" customWidth="1"/>
    <col min="4795" max="4796" width="6" bestFit="1" customWidth="1"/>
    <col min="4797" max="4797" width="8.6640625" bestFit="1" customWidth="1"/>
    <col min="4798" max="4798" width="8" bestFit="1" customWidth="1"/>
    <col min="4799" max="4799" width="10.21875" bestFit="1" customWidth="1"/>
    <col min="4800" max="4800" width="8" bestFit="1" customWidth="1"/>
    <col min="4801" max="4801" width="10.21875" bestFit="1" customWidth="1"/>
    <col min="4802" max="4802" width="8" bestFit="1" customWidth="1"/>
    <col min="4803" max="4803" width="10.21875" bestFit="1" customWidth="1"/>
    <col min="4804" max="4804" width="8" bestFit="1" customWidth="1"/>
    <col min="4805" max="4805" width="10.21875" bestFit="1" customWidth="1"/>
    <col min="4806" max="4806" width="8" bestFit="1" customWidth="1"/>
    <col min="4807" max="4807" width="10.21875" bestFit="1" customWidth="1"/>
    <col min="4808" max="4808" width="8" bestFit="1" customWidth="1"/>
    <col min="4809" max="4809" width="10.21875" bestFit="1" customWidth="1"/>
    <col min="4810" max="4811" width="8" bestFit="1" customWidth="1"/>
    <col min="4812" max="4812" width="10.21875" bestFit="1" customWidth="1"/>
    <col min="4813" max="4813" width="8" bestFit="1" customWidth="1"/>
    <col min="4814" max="4814" width="10.21875" bestFit="1" customWidth="1"/>
    <col min="4815" max="4815" width="8" bestFit="1" customWidth="1"/>
    <col min="4816" max="4816" width="10.21875" bestFit="1" customWidth="1"/>
    <col min="4817" max="4817" width="8" bestFit="1" customWidth="1"/>
    <col min="4818" max="4818" width="10.21875" bestFit="1" customWidth="1"/>
    <col min="4819" max="4819" width="8" bestFit="1" customWidth="1"/>
    <col min="4820" max="4820" width="10.21875" bestFit="1" customWidth="1"/>
    <col min="4821" max="4821" width="8" bestFit="1" customWidth="1"/>
    <col min="4822" max="4822" width="10.21875" bestFit="1" customWidth="1"/>
    <col min="4823" max="4825" width="8" bestFit="1" customWidth="1"/>
    <col min="4826" max="4826" width="10.21875" bestFit="1" customWidth="1"/>
    <col min="4827" max="4829" width="8" bestFit="1" customWidth="1"/>
    <col min="4830" max="4830" width="10.21875" bestFit="1" customWidth="1"/>
    <col min="4831" max="4832" width="8" bestFit="1" customWidth="1"/>
    <col min="4833" max="4833" width="10.21875" bestFit="1" customWidth="1"/>
    <col min="4834" max="4835" width="8" bestFit="1" customWidth="1"/>
    <col min="4836" max="4836" width="10.21875" bestFit="1" customWidth="1"/>
    <col min="4837" max="4839" width="8" bestFit="1" customWidth="1"/>
    <col min="4840" max="4840" width="10.21875" bestFit="1" customWidth="1"/>
    <col min="4841" max="4841" width="8" bestFit="1" customWidth="1"/>
    <col min="4842" max="4842" width="10.21875" bestFit="1" customWidth="1"/>
    <col min="4843" max="4843" width="8" bestFit="1" customWidth="1"/>
    <col min="4844" max="4844" width="10.21875" bestFit="1" customWidth="1"/>
    <col min="4845" max="4845" width="8" bestFit="1" customWidth="1"/>
    <col min="4846" max="4846" width="10.21875" bestFit="1" customWidth="1"/>
    <col min="4847" max="4847" width="8" bestFit="1" customWidth="1"/>
    <col min="4848" max="4848" width="10.21875" bestFit="1" customWidth="1"/>
    <col min="4849" max="4849" width="8" bestFit="1" customWidth="1"/>
    <col min="4850" max="4850" width="10.21875" bestFit="1" customWidth="1"/>
    <col min="4851" max="4851" width="8" bestFit="1" customWidth="1"/>
    <col min="4852" max="4852" width="10.21875" bestFit="1" customWidth="1"/>
    <col min="4853" max="4853" width="6" bestFit="1" customWidth="1"/>
    <col min="4854" max="4854" width="8.6640625" bestFit="1" customWidth="1"/>
    <col min="4855" max="4855" width="8" bestFit="1" customWidth="1"/>
    <col min="4856" max="4856" width="10.21875" bestFit="1" customWidth="1"/>
    <col min="4857" max="4857" width="8" bestFit="1" customWidth="1"/>
    <col min="4858" max="4858" width="10.21875" bestFit="1" customWidth="1"/>
    <col min="4859" max="4859" width="8" bestFit="1" customWidth="1"/>
    <col min="4860" max="4860" width="10.21875" bestFit="1" customWidth="1"/>
    <col min="4861" max="4861" width="8" bestFit="1" customWidth="1"/>
    <col min="4862" max="4862" width="10.21875" bestFit="1" customWidth="1"/>
    <col min="4863" max="4863" width="8" bestFit="1" customWidth="1"/>
    <col min="4864" max="4864" width="10.21875" bestFit="1" customWidth="1"/>
    <col min="4865" max="4867" width="8" bestFit="1" customWidth="1"/>
    <col min="4868" max="4868" width="10.21875" bestFit="1" customWidth="1"/>
    <col min="4869" max="4869" width="8" bestFit="1" customWidth="1"/>
    <col min="4870" max="4870" width="10.21875" bestFit="1" customWidth="1"/>
    <col min="4871" max="4871" width="8" bestFit="1" customWidth="1"/>
    <col min="4872" max="4872" width="10.21875" bestFit="1" customWidth="1"/>
    <col min="4873" max="4873" width="8" bestFit="1" customWidth="1"/>
    <col min="4874" max="4874" width="10.21875" bestFit="1" customWidth="1"/>
    <col min="4875" max="4875" width="8" bestFit="1" customWidth="1"/>
    <col min="4876" max="4876" width="10.21875" bestFit="1" customWidth="1"/>
    <col min="4877" max="4878" width="8" bestFit="1" customWidth="1"/>
    <col min="4879" max="4879" width="10.21875" bestFit="1" customWidth="1"/>
    <col min="4880" max="4880" width="8" bestFit="1" customWidth="1"/>
    <col min="4881" max="4881" width="10.21875" bestFit="1" customWidth="1"/>
    <col min="4882" max="4882" width="8" bestFit="1" customWidth="1"/>
    <col min="4883" max="4883" width="10.21875" bestFit="1" customWidth="1"/>
    <col min="4884" max="4884" width="8" bestFit="1" customWidth="1"/>
    <col min="4885" max="4885" width="10.21875" bestFit="1" customWidth="1"/>
    <col min="4886" max="4888" width="8" bestFit="1" customWidth="1"/>
    <col min="4889" max="4889" width="10.21875" bestFit="1" customWidth="1"/>
    <col min="4890" max="4891" width="8" bestFit="1" customWidth="1"/>
    <col min="4892" max="4892" width="10.21875" bestFit="1" customWidth="1"/>
    <col min="4893" max="4893" width="6" bestFit="1" customWidth="1"/>
    <col min="4894" max="4894" width="8.6640625" bestFit="1" customWidth="1"/>
    <col min="4895" max="4895" width="8" bestFit="1" customWidth="1"/>
    <col min="4896" max="4896" width="10.21875" bestFit="1" customWidth="1"/>
    <col min="4897" max="4897" width="8" bestFit="1" customWidth="1"/>
    <col min="4898" max="4898" width="10.21875" bestFit="1" customWidth="1"/>
    <col min="4899" max="4899" width="8" bestFit="1" customWidth="1"/>
    <col min="4900" max="4900" width="10.21875" bestFit="1" customWidth="1"/>
    <col min="4901" max="4901" width="8" bestFit="1" customWidth="1"/>
    <col min="4902" max="4902" width="10.21875" bestFit="1" customWidth="1"/>
    <col min="4903" max="4903" width="8" bestFit="1" customWidth="1"/>
    <col min="4904" max="4904" width="10.21875" bestFit="1" customWidth="1"/>
    <col min="4905" max="4906" width="8" bestFit="1" customWidth="1"/>
    <col min="4907" max="4907" width="10.21875" bestFit="1" customWidth="1"/>
    <col min="4908" max="4908" width="8" bestFit="1" customWidth="1"/>
    <col min="4909" max="4909" width="10.21875" bestFit="1" customWidth="1"/>
    <col min="4910" max="4910" width="8" bestFit="1" customWidth="1"/>
    <col min="4911" max="4911" width="10.21875" bestFit="1" customWidth="1"/>
    <col min="4912" max="4912" width="8" bestFit="1" customWidth="1"/>
    <col min="4913" max="4913" width="10.21875" bestFit="1" customWidth="1"/>
    <col min="4914" max="4914" width="8" bestFit="1" customWidth="1"/>
    <col min="4915" max="4915" width="10.21875" bestFit="1" customWidth="1"/>
    <col min="4916" max="4916" width="8" bestFit="1" customWidth="1"/>
    <col min="4917" max="4917" width="10.21875" bestFit="1" customWidth="1"/>
    <col min="4918" max="4918" width="8" bestFit="1" customWidth="1"/>
    <col min="4919" max="4919" width="10.21875" bestFit="1" customWidth="1"/>
    <col min="4920" max="4920" width="8" bestFit="1" customWidth="1"/>
    <col min="4921" max="4921" width="10.21875" bestFit="1" customWidth="1"/>
    <col min="4922" max="4922" width="8" bestFit="1" customWidth="1"/>
    <col min="4923" max="4923" width="10.21875" bestFit="1" customWidth="1"/>
    <col min="4924" max="4924" width="8" bestFit="1" customWidth="1"/>
    <col min="4925" max="4925" width="10.21875" bestFit="1" customWidth="1"/>
    <col min="4926" max="4927" width="8" bestFit="1" customWidth="1"/>
    <col min="4928" max="4928" width="10.21875" bestFit="1" customWidth="1"/>
    <col min="4929" max="4929" width="8" bestFit="1" customWidth="1"/>
    <col min="4930" max="4930" width="10.21875" bestFit="1" customWidth="1"/>
    <col min="4931" max="4932" width="8" bestFit="1" customWidth="1"/>
    <col min="4933" max="4933" width="10.21875" bestFit="1" customWidth="1"/>
    <col min="4934" max="4934" width="8" bestFit="1" customWidth="1"/>
    <col min="4935" max="4935" width="10.21875" bestFit="1" customWidth="1"/>
    <col min="4936" max="4936" width="8" bestFit="1" customWidth="1"/>
    <col min="4937" max="4937" width="10.21875" bestFit="1" customWidth="1"/>
    <col min="4938" max="4938" width="8" bestFit="1" customWidth="1"/>
    <col min="4939" max="4939" width="10.21875" bestFit="1" customWidth="1"/>
    <col min="4940" max="4940" width="8" bestFit="1" customWidth="1"/>
    <col min="4941" max="4941" width="10.21875" bestFit="1" customWidth="1"/>
    <col min="4942" max="4942" width="8" bestFit="1" customWidth="1"/>
    <col min="4943" max="4943" width="10.21875" bestFit="1" customWidth="1"/>
    <col min="4944" max="4944" width="8" bestFit="1" customWidth="1"/>
    <col min="4945" max="4945" width="10.21875" bestFit="1" customWidth="1"/>
    <col min="4946" max="4946" width="8" bestFit="1" customWidth="1"/>
    <col min="4947" max="4947" width="10.21875" bestFit="1" customWidth="1"/>
    <col min="4948" max="4948" width="8" bestFit="1" customWidth="1"/>
    <col min="4949" max="4949" width="10.21875" bestFit="1" customWidth="1"/>
    <col min="4950" max="4950" width="8" bestFit="1" customWidth="1"/>
    <col min="4951" max="4951" width="10.21875" bestFit="1" customWidth="1"/>
    <col min="4952" max="4952" width="8" bestFit="1" customWidth="1"/>
    <col min="4953" max="4953" width="10.21875" bestFit="1" customWidth="1"/>
    <col min="4954" max="4954" width="8" bestFit="1" customWidth="1"/>
    <col min="4955" max="4955" width="10.21875" bestFit="1" customWidth="1"/>
    <col min="4956" max="4957" width="8" bestFit="1" customWidth="1"/>
    <col min="4958" max="4958" width="10.21875" bestFit="1" customWidth="1"/>
    <col min="4959" max="4960" width="6" bestFit="1" customWidth="1"/>
    <col min="4961" max="4961" width="8.6640625" bestFit="1" customWidth="1"/>
    <col min="4962" max="4962" width="8" bestFit="1" customWidth="1"/>
    <col min="4963" max="4963" width="10.21875" bestFit="1" customWidth="1"/>
    <col min="4964" max="4964" width="8" bestFit="1" customWidth="1"/>
    <col min="4965" max="4965" width="10.21875" bestFit="1" customWidth="1"/>
    <col min="4966" max="4966" width="8" bestFit="1" customWidth="1"/>
    <col min="4967" max="4967" width="10.21875" bestFit="1" customWidth="1"/>
    <col min="4968" max="4968" width="8" bestFit="1" customWidth="1"/>
    <col min="4969" max="4969" width="10.21875" bestFit="1" customWidth="1"/>
    <col min="4970" max="4970" width="8" bestFit="1" customWidth="1"/>
    <col min="4971" max="4971" width="10.21875" bestFit="1" customWidth="1"/>
    <col min="4972" max="4972" width="8" bestFit="1" customWidth="1"/>
    <col min="4973" max="4973" width="10.21875" bestFit="1" customWidth="1"/>
    <col min="4974" max="4974" width="8" bestFit="1" customWidth="1"/>
    <col min="4975" max="4975" width="10.21875" bestFit="1" customWidth="1"/>
    <col min="4976" max="4976" width="8" bestFit="1" customWidth="1"/>
    <col min="4977" max="4977" width="10.21875" bestFit="1" customWidth="1"/>
    <col min="4978" max="4978" width="8" bestFit="1" customWidth="1"/>
    <col min="4979" max="4979" width="10.21875" bestFit="1" customWidth="1"/>
    <col min="4980" max="4981" width="8" bestFit="1" customWidth="1"/>
    <col min="4982" max="4982" width="10.21875" bestFit="1" customWidth="1"/>
    <col min="4983" max="4983" width="8" bestFit="1" customWidth="1"/>
    <col min="4984" max="4984" width="10.21875" bestFit="1" customWidth="1"/>
    <col min="4985" max="4985" width="8" bestFit="1" customWidth="1"/>
    <col min="4986" max="4986" width="10.21875" bestFit="1" customWidth="1"/>
    <col min="4987" max="4987" width="8" bestFit="1" customWidth="1"/>
    <col min="4988" max="4988" width="10.21875" bestFit="1" customWidth="1"/>
    <col min="4989" max="4989" width="8" bestFit="1" customWidth="1"/>
    <col min="4990" max="4990" width="10.21875" bestFit="1" customWidth="1"/>
    <col min="4991" max="4991" width="8" bestFit="1" customWidth="1"/>
    <col min="4992" max="4992" width="10.21875" bestFit="1" customWidth="1"/>
    <col min="4993" max="4993" width="6" bestFit="1" customWidth="1"/>
    <col min="4994" max="4994" width="8.6640625" bestFit="1" customWidth="1"/>
    <col min="4995" max="4995" width="8" bestFit="1" customWidth="1"/>
    <col min="4996" max="4996" width="10.21875" bestFit="1" customWidth="1"/>
    <col min="4997" max="4997" width="8" bestFit="1" customWidth="1"/>
    <col min="4998" max="4998" width="10.21875" bestFit="1" customWidth="1"/>
    <col min="4999" max="4999" width="8" bestFit="1" customWidth="1"/>
    <col min="5000" max="5000" width="10.21875" bestFit="1" customWidth="1"/>
    <col min="5001" max="5001" width="8" bestFit="1" customWidth="1"/>
    <col min="5002" max="5002" width="10.21875" bestFit="1" customWidth="1"/>
    <col min="5003" max="5003" width="8" bestFit="1" customWidth="1"/>
    <col min="5004" max="5004" width="10.21875" bestFit="1" customWidth="1"/>
    <col min="5005" max="5005" width="8" bestFit="1" customWidth="1"/>
    <col min="5006" max="5006" width="10.21875" bestFit="1" customWidth="1"/>
    <col min="5007" max="5007" width="8" bestFit="1" customWidth="1"/>
    <col min="5008" max="5008" width="10.21875" bestFit="1" customWidth="1"/>
    <col min="5009" max="5009" width="6" bestFit="1" customWidth="1"/>
    <col min="5010" max="5010" width="8.6640625" bestFit="1" customWidth="1"/>
    <col min="5011" max="5011" width="8" bestFit="1" customWidth="1"/>
    <col min="5012" max="5012" width="10.21875" bestFit="1" customWidth="1"/>
    <col min="5013" max="5013" width="8" bestFit="1" customWidth="1"/>
    <col min="5014" max="5014" width="10.21875" bestFit="1" customWidth="1"/>
    <col min="5015" max="5015" width="8" bestFit="1" customWidth="1"/>
    <col min="5016" max="5016" width="10.21875" bestFit="1" customWidth="1"/>
    <col min="5017" max="5018" width="8" bestFit="1" customWidth="1"/>
    <col min="5019" max="5019" width="10.21875" bestFit="1" customWidth="1"/>
    <col min="5020" max="5020" width="8" bestFit="1" customWidth="1"/>
    <col min="5021" max="5021" width="10.21875" bestFit="1" customWidth="1"/>
    <col min="5022" max="5022" width="8" bestFit="1" customWidth="1"/>
    <col min="5023" max="5023" width="10.21875" bestFit="1" customWidth="1"/>
    <col min="5024" max="5024" width="8" bestFit="1" customWidth="1"/>
    <col min="5025" max="5025" width="10.21875" bestFit="1" customWidth="1"/>
    <col min="5026" max="5026" width="8" bestFit="1" customWidth="1"/>
    <col min="5027" max="5027" width="10.21875" bestFit="1" customWidth="1"/>
    <col min="5028" max="5029" width="6" bestFit="1" customWidth="1"/>
    <col min="5030" max="5030" width="8.6640625" bestFit="1" customWidth="1"/>
    <col min="5031" max="5031" width="8" bestFit="1" customWidth="1"/>
    <col min="5032" max="5032" width="10.21875" bestFit="1" customWidth="1"/>
    <col min="5033" max="5033" width="8" bestFit="1" customWidth="1"/>
    <col min="5034" max="5034" width="10.21875" bestFit="1" customWidth="1"/>
    <col min="5035" max="5036" width="8" bestFit="1" customWidth="1"/>
    <col min="5037" max="5037" width="10.21875" bestFit="1" customWidth="1"/>
    <col min="5038" max="5039" width="8" bestFit="1" customWidth="1"/>
    <col min="5040" max="5040" width="10.21875" bestFit="1" customWidth="1"/>
    <col min="5041" max="5041" width="8" bestFit="1" customWidth="1"/>
    <col min="5042" max="5042" width="10.21875" bestFit="1" customWidth="1"/>
    <col min="5043" max="5043" width="8" bestFit="1" customWidth="1"/>
    <col min="5044" max="5044" width="10.21875" bestFit="1" customWidth="1"/>
    <col min="5045" max="5046" width="8" bestFit="1" customWidth="1"/>
    <col min="5047" max="5047" width="10.21875" bestFit="1" customWidth="1"/>
    <col min="5048" max="5048" width="8" bestFit="1" customWidth="1"/>
    <col min="5049" max="5049" width="10.21875" bestFit="1" customWidth="1"/>
    <col min="5050" max="5050" width="8" bestFit="1" customWidth="1"/>
    <col min="5051" max="5051" width="10.21875" bestFit="1" customWidth="1"/>
    <col min="5052" max="5052" width="8" bestFit="1" customWidth="1"/>
    <col min="5053" max="5053" width="10.21875" bestFit="1" customWidth="1"/>
    <col min="5054" max="5054" width="8" bestFit="1" customWidth="1"/>
    <col min="5055" max="5055" width="10.21875" bestFit="1" customWidth="1"/>
    <col min="5056" max="5056" width="8" bestFit="1" customWidth="1"/>
    <col min="5057" max="5057" width="10.21875" bestFit="1" customWidth="1"/>
    <col min="5058" max="5060" width="8" bestFit="1" customWidth="1"/>
    <col min="5061" max="5061" width="10.21875" bestFit="1" customWidth="1"/>
    <col min="5062" max="5062" width="14" bestFit="1" customWidth="1"/>
    <col min="5063" max="5063" width="21.5546875" bestFit="1" customWidth="1"/>
    <col min="5064" max="5064" width="14" bestFit="1" customWidth="1"/>
    <col min="5065" max="5065" width="21.5546875" bestFit="1" customWidth="1"/>
    <col min="5066" max="5066" width="6" bestFit="1" customWidth="1"/>
    <col min="5067" max="5067" width="8.6640625" bestFit="1" customWidth="1"/>
    <col min="5068" max="5069" width="8" bestFit="1" customWidth="1"/>
    <col min="5070" max="5070" width="10.21875" bestFit="1" customWidth="1"/>
    <col min="5071" max="5071" width="8" bestFit="1" customWidth="1"/>
    <col min="5072" max="5072" width="10.21875" bestFit="1" customWidth="1"/>
    <col min="5073" max="5074" width="8" bestFit="1" customWidth="1"/>
    <col min="5075" max="5075" width="10.21875" bestFit="1" customWidth="1"/>
    <col min="5076" max="5076" width="8" bestFit="1" customWidth="1"/>
    <col min="5077" max="5077" width="10.21875" bestFit="1" customWidth="1"/>
    <col min="5078" max="5081" width="8" bestFit="1" customWidth="1"/>
    <col min="5082" max="5082" width="10.21875" bestFit="1" customWidth="1"/>
    <col min="5083" max="5084" width="8" bestFit="1" customWidth="1"/>
    <col min="5085" max="5085" width="10.21875" bestFit="1" customWidth="1"/>
    <col min="5086" max="5088" width="8" bestFit="1" customWidth="1"/>
    <col min="5089" max="5089" width="10.21875" bestFit="1" customWidth="1"/>
    <col min="5090" max="5090" width="8" bestFit="1" customWidth="1"/>
    <col min="5091" max="5091" width="10.21875" bestFit="1" customWidth="1"/>
    <col min="5092" max="5093" width="8" bestFit="1" customWidth="1"/>
    <col min="5094" max="5094" width="10.21875" bestFit="1" customWidth="1"/>
    <col min="5095" max="5096" width="8" bestFit="1" customWidth="1"/>
    <col min="5097" max="5097" width="10.21875" bestFit="1" customWidth="1"/>
    <col min="5098" max="5098" width="14" bestFit="1" customWidth="1"/>
    <col min="5099" max="5099" width="21.5546875" bestFit="1" customWidth="1"/>
    <col min="5100" max="5100" width="8" bestFit="1" customWidth="1"/>
    <col min="5101" max="5101" width="10.21875" bestFit="1" customWidth="1"/>
    <col min="5102" max="5102" width="14" bestFit="1" customWidth="1"/>
    <col min="5103" max="5103" width="21.5546875" bestFit="1" customWidth="1"/>
    <col min="5104" max="5104" width="8" bestFit="1" customWidth="1"/>
    <col min="5105" max="5105" width="10.21875" bestFit="1" customWidth="1"/>
    <col min="5106" max="5106" width="8" bestFit="1" customWidth="1"/>
    <col min="5107" max="5107" width="10.21875" bestFit="1" customWidth="1"/>
    <col min="5108" max="5109" width="8" bestFit="1" customWidth="1"/>
    <col min="5110" max="5110" width="10.21875" bestFit="1" customWidth="1"/>
    <col min="5111" max="5111" width="8" bestFit="1" customWidth="1"/>
    <col min="5112" max="5112" width="10.21875" bestFit="1" customWidth="1"/>
    <col min="5113" max="5113" width="8" bestFit="1" customWidth="1"/>
    <col min="5114" max="5114" width="10.21875" bestFit="1" customWidth="1"/>
    <col min="5115" max="5116" width="8" bestFit="1" customWidth="1"/>
    <col min="5117" max="5117" width="10.21875" bestFit="1" customWidth="1"/>
    <col min="5118" max="5118" width="8" bestFit="1" customWidth="1"/>
    <col min="5119" max="5119" width="10.21875" bestFit="1" customWidth="1"/>
    <col min="5120" max="5120" width="8" bestFit="1" customWidth="1"/>
    <col min="5121" max="5121" width="10.21875" bestFit="1" customWidth="1"/>
    <col min="5122" max="5122" width="8" bestFit="1" customWidth="1"/>
    <col min="5123" max="5123" width="10.21875" bestFit="1" customWidth="1"/>
    <col min="5124" max="5124" width="8" bestFit="1" customWidth="1"/>
    <col min="5125" max="5125" width="10.21875" bestFit="1" customWidth="1"/>
    <col min="5126" max="5126" width="8" bestFit="1" customWidth="1"/>
    <col min="5127" max="5127" width="10.21875" bestFit="1" customWidth="1"/>
    <col min="5128" max="5128" width="8" bestFit="1" customWidth="1"/>
    <col min="5129" max="5129" width="10.21875" bestFit="1" customWidth="1"/>
    <col min="5130" max="5131" width="8" bestFit="1" customWidth="1"/>
    <col min="5132" max="5132" width="10.21875" bestFit="1" customWidth="1"/>
    <col min="5133" max="5136" width="8" bestFit="1" customWidth="1"/>
    <col min="5137" max="5137" width="10.21875" bestFit="1" customWidth="1"/>
    <col min="5138" max="5138" width="8" bestFit="1" customWidth="1"/>
    <col min="5139" max="5139" width="10.21875" bestFit="1" customWidth="1"/>
    <col min="5140" max="5140" width="8" bestFit="1" customWidth="1"/>
    <col min="5141" max="5141" width="10.21875" bestFit="1" customWidth="1"/>
    <col min="5142" max="5142" width="8" bestFit="1" customWidth="1"/>
    <col min="5143" max="5143" width="10.21875" bestFit="1" customWidth="1"/>
    <col min="5144" max="5145" width="8" bestFit="1" customWidth="1"/>
    <col min="5146" max="5146" width="10.21875" bestFit="1" customWidth="1"/>
    <col min="5147" max="5147" width="6" bestFit="1" customWidth="1"/>
    <col min="5148" max="5148" width="8.6640625" bestFit="1" customWidth="1"/>
    <col min="5149" max="5150" width="8" bestFit="1" customWidth="1"/>
    <col min="5151" max="5151" width="10.21875" bestFit="1" customWidth="1"/>
    <col min="5152" max="5153" width="8" bestFit="1" customWidth="1"/>
    <col min="5154" max="5154" width="10.21875" bestFit="1" customWidth="1"/>
    <col min="5155" max="5155" width="8" bestFit="1" customWidth="1"/>
    <col min="5156" max="5156" width="10.21875" bestFit="1" customWidth="1"/>
    <col min="5157" max="5158" width="8" bestFit="1" customWidth="1"/>
    <col min="5159" max="5159" width="10.21875" bestFit="1" customWidth="1"/>
    <col min="5160" max="5160" width="8" bestFit="1" customWidth="1"/>
    <col min="5161" max="5161" width="10.21875" bestFit="1" customWidth="1"/>
    <col min="5162" max="5162" width="9" bestFit="1" customWidth="1"/>
    <col min="5163" max="5163" width="11.21875" bestFit="1" customWidth="1"/>
    <col min="5164" max="5164" width="12" bestFit="1" customWidth="1"/>
    <col min="5165" max="5165" width="12.21875" bestFit="1" customWidth="1"/>
    <col min="5166" max="5166" width="8" bestFit="1" customWidth="1"/>
    <col min="5167" max="5167" width="10.21875" bestFit="1" customWidth="1"/>
    <col min="5168" max="5168" width="6" bestFit="1" customWidth="1"/>
    <col min="5169" max="5169" width="8.6640625" bestFit="1" customWidth="1"/>
    <col min="5170" max="5170" width="8" bestFit="1" customWidth="1"/>
    <col min="5171" max="5171" width="10.21875" bestFit="1" customWidth="1"/>
    <col min="5172" max="5173" width="8" bestFit="1" customWidth="1"/>
    <col min="5174" max="5174" width="10.21875" bestFit="1" customWidth="1"/>
    <col min="5175" max="5175" width="8" bestFit="1" customWidth="1"/>
    <col min="5176" max="5176" width="10.21875" bestFit="1" customWidth="1"/>
    <col min="5177" max="5177" width="8" bestFit="1" customWidth="1"/>
    <col min="5178" max="5178" width="10.21875" bestFit="1" customWidth="1"/>
    <col min="5179" max="5179" width="8" bestFit="1" customWidth="1"/>
    <col min="5180" max="5180" width="10.21875" bestFit="1" customWidth="1"/>
    <col min="5181" max="5181" width="8" bestFit="1" customWidth="1"/>
    <col min="5182" max="5182" width="10.21875" bestFit="1" customWidth="1"/>
    <col min="5183" max="5183" width="8" bestFit="1" customWidth="1"/>
    <col min="5184" max="5184" width="10.21875" bestFit="1" customWidth="1"/>
    <col min="5185" max="5186" width="8" bestFit="1" customWidth="1"/>
    <col min="5187" max="5187" width="10.21875" bestFit="1" customWidth="1"/>
    <col min="5188" max="5188" width="8" bestFit="1" customWidth="1"/>
    <col min="5189" max="5189" width="10.21875" bestFit="1" customWidth="1"/>
    <col min="5190" max="5190" width="6" bestFit="1" customWidth="1"/>
    <col min="5191" max="5191" width="8.6640625" bestFit="1" customWidth="1"/>
    <col min="5192" max="5192" width="8" bestFit="1" customWidth="1"/>
    <col min="5193" max="5193" width="10.21875" bestFit="1" customWidth="1"/>
    <col min="5194" max="5194" width="8" bestFit="1" customWidth="1"/>
    <col min="5195" max="5195" width="10.21875" bestFit="1" customWidth="1"/>
    <col min="5196" max="5196" width="8" bestFit="1" customWidth="1"/>
    <col min="5197" max="5197" width="10.21875" bestFit="1" customWidth="1"/>
    <col min="5198" max="5198" width="8" bestFit="1" customWidth="1"/>
    <col min="5199" max="5199" width="10.21875" bestFit="1" customWidth="1"/>
    <col min="5200" max="5200" width="8" bestFit="1" customWidth="1"/>
    <col min="5201" max="5201" width="10.21875" bestFit="1" customWidth="1"/>
    <col min="5202" max="5202" width="8" bestFit="1" customWidth="1"/>
    <col min="5203" max="5203" width="10.21875" bestFit="1" customWidth="1"/>
    <col min="5204" max="5204" width="6" bestFit="1" customWidth="1"/>
    <col min="5205" max="5205" width="8.6640625" bestFit="1" customWidth="1"/>
    <col min="5206" max="5206" width="8" bestFit="1" customWidth="1"/>
    <col min="5207" max="5207" width="10.21875" bestFit="1" customWidth="1"/>
    <col min="5208" max="5208" width="8" bestFit="1" customWidth="1"/>
    <col min="5209" max="5209" width="10.21875" bestFit="1" customWidth="1"/>
    <col min="5210" max="5210" width="8" bestFit="1" customWidth="1"/>
    <col min="5211" max="5211" width="10.21875" bestFit="1" customWidth="1"/>
    <col min="5212" max="5212" width="8" bestFit="1" customWidth="1"/>
    <col min="5213" max="5213" width="10.21875" bestFit="1" customWidth="1"/>
    <col min="5214" max="5214" width="8" bestFit="1" customWidth="1"/>
    <col min="5215" max="5215" width="10.21875" bestFit="1" customWidth="1"/>
    <col min="5216" max="5216" width="8" bestFit="1" customWidth="1"/>
    <col min="5217" max="5217" width="10.21875" bestFit="1" customWidth="1"/>
    <col min="5218" max="5218" width="8" bestFit="1" customWidth="1"/>
    <col min="5219" max="5219" width="10.21875" bestFit="1" customWidth="1"/>
    <col min="5220" max="5220" width="8" bestFit="1" customWidth="1"/>
    <col min="5221" max="5221" width="10.21875" bestFit="1" customWidth="1"/>
    <col min="5222" max="5223" width="6" bestFit="1" customWidth="1"/>
    <col min="5224" max="5224" width="8.6640625" bestFit="1" customWidth="1"/>
    <col min="5225" max="5225" width="8" bestFit="1" customWidth="1"/>
    <col min="5226" max="5226" width="10.21875" bestFit="1" customWidth="1"/>
    <col min="5227" max="5227" width="8" bestFit="1" customWidth="1"/>
    <col min="5228" max="5228" width="10.21875" bestFit="1" customWidth="1"/>
    <col min="5229" max="5229" width="8" bestFit="1" customWidth="1"/>
    <col min="5230" max="5230" width="10.21875" bestFit="1" customWidth="1"/>
    <col min="5231" max="5232" width="8" bestFit="1" customWidth="1"/>
    <col min="5233" max="5233" width="10.21875" bestFit="1" customWidth="1"/>
    <col min="5234" max="5234" width="8" bestFit="1" customWidth="1"/>
    <col min="5235" max="5235" width="10.21875" bestFit="1" customWidth="1"/>
    <col min="5236" max="5236" width="8" bestFit="1" customWidth="1"/>
    <col min="5237" max="5237" width="10.21875" bestFit="1" customWidth="1"/>
    <col min="5238" max="5239" width="8" bestFit="1" customWidth="1"/>
    <col min="5240" max="5240" width="10.21875" bestFit="1" customWidth="1"/>
    <col min="5241" max="5241" width="8" bestFit="1" customWidth="1"/>
    <col min="5242" max="5242" width="10.21875" bestFit="1" customWidth="1"/>
    <col min="5243" max="5243" width="8" bestFit="1" customWidth="1"/>
    <col min="5244" max="5244" width="10.21875" bestFit="1" customWidth="1"/>
    <col min="5245" max="5245" width="8" bestFit="1" customWidth="1"/>
    <col min="5246" max="5246" width="10.21875" bestFit="1" customWidth="1"/>
    <col min="5247" max="5249" width="8" bestFit="1" customWidth="1"/>
    <col min="5250" max="5250" width="10.21875" bestFit="1" customWidth="1"/>
    <col min="5251" max="5251" width="8" bestFit="1" customWidth="1"/>
    <col min="5252" max="5252" width="10.21875" bestFit="1" customWidth="1"/>
    <col min="5253" max="5253" width="8" bestFit="1" customWidth="1"/>
    <col min="5254" max="5254" width="10.21875" bestFit="1" customWidth="1"/>
    <col min="5255" max="5255" width="8" bestFit="1" customWidth="1"/>
    <col min="5256" max="5256" width="10.21875" bestFit="1" customWidth="1"/>
    <col min="5257" max="5257" width="8" bestFit="1" customWidth="1"/>
    <col min="5258" max="5258" width="10.21875" bestFit="1" customWidth="1"/>
    <col min="5259" max="5259" width="8" bestFit="1" customWidth="1"/>
    <col min="5260" max="5260" width="10.21875" bestFit="1" customWidth="1"/>
    <col min="5261" max="5261" width="8" bestFit="1" customWidth="1"/>
    <col min="5262" max="5262" width="10.21875" bestFit="1" customWidth="1"/>
    <col min="5263" max="5263" width="8" bestFit="1" customWidth="1"/>
    <col min="5264" max="5264" width="10.21875" bestFit="1" customWidth="1"/>
    <col min="5265" max="5265" width="8" bestFit="1" customWidth="1"/>
    <col min="5266" max="5266" width="10.21875" bestFit="1" customWidth="1"/>
    <col min="5267" max="5267" width="8" bestFit="1" customWidth="1"/>
    <col min="5268" max="5268" width="10.21875" bestFit="1" customWidth="1"/>
    <col min="5269" max="5269" width="8" bestFit="1" customWidth="1"/>
    <col min="5270" max="5270" width="10.21875" bestFit="1" customWidth="1"/>
    <col min="5271" max="5271" width="8" bestFit="1" customWidth="1"/>
    <col min="5272" max="5272" width="10.21875" bestFit="1" customWidth="1"/>
    <col min="5273" max="5273" width="6" bestFit="1" customWidth="1"/>
    <col min="5274" max="5274" width="8.6640625" bestFit="1" customWidth="1"/>
    <col min="5275" max="5275" width="8" bestFit="1" customWidth="1"/>
    <col min="5276" max="5276" width="10.21875" bestFit="1" customWidth="1"/>
    <col min="5277" max="5277" width="8" bestFit="1" customWidth="1"/>
    <col min="5278" max="5278" width="10.21875" bestFit="1" customWidth="1"/>
    <col min="5279" max="5279" width="8" bestFit="1" customWidth="1"/>
    <col min="5280" max="5280" width="10.21875" bestFit="1" customWidth="1"/>
    <col min="5281" max="5281" width="8" bestFit="1" customWidth="1"/>
    <col min="5282" max="5282" width="10.21875" bestFit="1" customWidth="1"/>
    <col min="5283" max="5283" width="8" bestFit="1" customWidth="1"/>
    <col min="5284" max="5284" width="10.21875" bestFit="1" customWidth="1"/>
    <col min="5285" max="5285" width="8" bestFit="1" customWidth="1"/>
    <col min="5286" max="5286" width="10.21875" bestFit="1" customWidth="1"/>
    <col min="5287" max="5287" width="8" bestFit="1" customWidth="1"/>
    <col min="5288" max="5288" width="10.21875" bestFit="1" customWidth="1"/>
    <col min="5289" max="5289" width="8" bestFit="1" customWidth="1"/>
    <col min="5290" max="5290" width="10.21875" bestFit="1" customWidth="1"/>
    <col min="5291" max="5291" width="8" bestFit="1" customWidth="1"/>
    <col min="5292" max="5292" width="10.21875" bestFit="1" customWidth="1"/>
    <col min="5293" max="5293" width="8" bestFit="1" customWidth="1"/>
    <col min="5294" max="5294" width="10.21875" bestFit="1" customWidth="1"/>
    <col min="5295" max="5295" width="8" bestFit="1" customWidth="1"/>
    <col min="5296" max="5296" width="10.21875" bestFit="1" customWidth="1"/>
    <col min="5297" max="5297" width="33.44140625" bestFit="1" customWidth="1"/>
    <col min="5298" max="5298" width="10.21875" bestFit="1" customWidth="1"/>
    <col min="5299" max="5299" width="8" bestFit="1" customWidth="1"/>
    <col min="5300" max="5300" width="10.21875" bestFit="1" customWidth="1"/>
    <col min="5301" max="5301" width="8" bestFit="1" customWidth="1"/>
    <col min="5302" max="5302" width="10.21875" bestFit="1" customWidth="1"/>
    <col min="5303" max="5304" width="8" bestFit="1" customWidth="1"/>
    <col min="5305" max="5305" width="10.21875" bestFit="1" customWidth="1"/>
    <col min="5306" max="5306" width="8" bestFit="1" customWidth="1"/>
    <col min="5307" max="5307" width="10.21875" bestFit="1" customWidth="1"/>
    <col min="5308" max="5308" width="6" bestFit="1" customWidth="1"/>
    <col min="5309" max="5309" width="8.6640625" bestFit="1" customWidth="1"/>
    <col min="5310" max="5310" width="8" bestFit="1" customWidth="1"/>
    <col min="5311" max="5311" width="10.21875" bestFit="1" customWidth="1"/>
    <col min="5312" max="5312" width="8" bestFit="1" customWidth="1"/>
    <col min="5313" max="5313" width="10.21875" bestFit="1" customWidth="1"/>
    <col min="5314" max="5314" width="8" bestFit="1" customWidth="1"/>
    <col min="5315" max="5315" width="10.21875" bestFit="1" customWidth="1"/>
    <col min="5316" max="5316" width="6" bestFit="1" customWidth="1"/>
    <col min="5317" max="5317" width="8.6640625" bestFit="1" customWidth="1"/>
    <col min="5318" max="5318" width="8" bestFit="1" customWidth="1"/>
    <col min="5319" max="5319" width="10.21875" bestFit="1" customWidth="1"/>
    <col min="5320" max="5320" width="8" bestFit="1" customWidth="1"/>
    <col min="5321" max="5321" width="10.21875" bestFit="1" customWidth="1"/>
    <col min="5322" max="5322" width="8" bestFit="1" customWidth="1"/>
    <col min="5323" max="5323" width="10.21875" bestFit="1" customWidth="1"/>
    <col min="5324" max="5324" width="8" bestFit="1" customWidth="1"/>
    <col min="5325" max="5325" width="10.21875" bestFit="1" customWidth="1"/>
    <col min="5326" max="5326" width="8" bestFit="1" customWidth="1"/>
    <col min="5327" max="5327" width="10.21875" bestFit="1" customWidth="1"/>
    <col min="5328" max="5328" width="8" bestFit="1" customWidth="1"/>
    <col min="5329" max="5329" width="10.21875" bestFit="1" customWidth="1"/>
    <col min="5330" max="5330" width="8" bestFit="1" customWidth="1"/>
    <col min="5331" max="5331" width="10.21875" bestFit="1" customWidth="1"/>
    <col min="5332" max="5332" width="8" bestFit="1" customWidth="1"/>
    <col min="5333" max="5333" width="10.21875" bestFit="1" customWidth="1"/>
    <col min="5334" max="5334" width="8" bestFit="1" customWidth="1"/>
    <col min="5335" max="5335" width="10.21875" bestFit="1" customWidth="1"/>
    <col min="5336" max="5336" width="8" bestFit="1" customWidth="1"/>
    <col min="5337" max="5337" width="10.21875" bestFit="1" customWidth="1"/>
    <col min="5338" max="5338" width="8" bestFit="1" customWidth="1"/>
    <col min="5339" max="5339" width="10.21875" bestFit="1" customWidth="1"/>
    <col min="5340" max="5340" width="8" bestFit="1" customWidth="1"/>
    <col min="5341" max="5341" width="10.21875" bestFit="1" customWidth="1"/>
    <col min="5342" max="5342" width="8" bestFit="1" customWidth="1"/>
    <col min="5343" max="5343" width="10.21875" bestFit="1" customWidth="1"/>
    <col min="5344" max="5344" width="8" bestFit="1" customWidth="1"/>
    <col min="5345" max="5345" width="10.21875" bestFit="1" customWidth="1"/>
    <col min="5346" max="5346" width="8" bestFit="1" customWidth="1"/>
    <col min="5347" max="5347" width="10.21875" bestFit="1" customWidth="1"/>
    <col min="5348" max="5349" width="8" bestFit="1" customWidth="1"/>
    <col min="5350" max="5350" width="10.21875" bestFit="1" customWidth="1"/>
    <col min="5351" max="5351" width="6" bestFit="1" customWidth="1"/>
    <col min="5352" max="5352" width="8.6640625" bestFit="1" customWidth="1"/>
    <col min="5353" max="5354" width="8" bestFit="1" customWidth="1"/>
    <col min="5355" max="5355" width="10.21875" bestFit="1" customWidth="1"/>
    <col min="5356" max="5357" width="8" bestFit="1" customWidth="1"/>
    <col min="5358" max="5358" width="10.21875" bestFit="1" customWidth="1"/>
    <col min="5359" max="5359" width="8" bestFit="1" customWidth="1"/>
    <col min="5360" max="5360" width="10.21875" bestFit="1" customWidth="1"/>
    <col min="5361" max="5362" width="8" bestFit="1" customWidth="1"/>
    <col min="5363" max="5363" width="10.21875" bestFit="1" customWidth="1"/>
    <col min="5364" max="5366" width="8" bestFit="1" customWidth="1"/>
    <col min="5367" max="5367" width="10.21875" bestFit="1" customWidth="1"/>
    <col min="5368" max="5370" width="8" bestFit="1" customWidth="1"/>
    <col min="5371" max="5371" width="10.21875" bestFit="1" customWidth="1"/>
    <col min="5372" max="5373" width="6" bestFit="1" customWidth="1"/>
    <col min="5374" max="5374" width="8.6640625" bestFit="1" customWidth="1"/>
    <col min="5375" max="5375" width="8" bestFit="1" customWidth="1"/>
    <col min="5376" max="5376" width="10.21875" bestFit="1" customWidth="1"/>
    <col min="5377" max="5377" width="8" bestFit="1" customWidth="1"/>
    <col min="5378" max="5378" width="10.21875" bestFit="1" customWidth="1"/>
    <col min="5379" max="5379" width="8" bestFit="1" customWidth="1"/>
    <col min="5380" max="5380" width="10.21875" bestFit="1" customWidth="1"/>
    <col min="5381" max="5381" width="8" bestFit="1" customWidth="1"/>
    <col min="5382" max="5382" width="10.21875" bestFit="1" customWidth="1"/>
    <col min="5383" max="5384" width="6" bestFit="1" customWidth="1"/>
    <col min="5385" max="5385" width="8.6640625" bestFit="1" customWidth="1"/>
    <col min="5386" max="5386" width="8" bestFit="1" customWidth="1"/>
    <col min="5387" max="5387" width="10.21875" bestFit="1" customWidth="1"/>
    <col min="5388" max="5388" width="8" bestFit="1" customWidth="1"/>
    <col min="5389" max="5389" width="10.21875" bestFit="1" customWidth="1"/>
    <col min="5390" max="5390" width="8" bestFit="1" customWidth="1"/>
    <col min="5391" max="5391" width="10.21875" bestFit="1" customWidth="1"/>
    <col min="5392" max="5392" width="8" bestFit="1" customWidth="1"/>
    <col min="5393" max="5393" width="10.21875" bestFit="1" customWidth="1"/>
    <col min="5394" max="5394" width="8" bestFit="1" customWidth="1"/>
    <col min="5395" max="5395" width="10.21875" bestFit="1" customWidth="1"/>
    <col min="5396" max="5396" width="8" bestFit="1" customWidth="1"/>
    <col min="5397" max="5397" width="10.21875" bestFit="1" customWidth="1"/>
    <col min="5398" max="5398" width="8" bestFit="1" customWidth="1"/>
    <col min="5399" max="5399" width="10.21875" bestFit="1" customWidth="1"/>
    <col min="5400" max="5400" width="8" bestFit="1" customWidth="1"/>
    <col min="5401" max="5401" width="10.21875" bestFit="1" customWidth="1"/>
    <col min="5402" max="5402" width="8" bestFit="1" customWidth="1"/>
    <col min="5403" max="5403" width="10.21875" bestFit="1" customWidth="1"/>
    <col min="5404" max="5404" width="8" bestFit="1" customWidth="1"/>
    <col min="5405" max="5405" width="10.21875" bestFit="1" customWidth="1"/>
    <col min="5406" max="5406" width="8" bestFit="1" customWidth="1"/>
    <col min="5407" max="5407" width="10.21875" bestFit="1" customWidth="1"/>
    <col min="5408" max="5408" width="8" bestFit="1" customWidth="1"/>
    <col min="5409" max="5409" width="10.21875" bestFit="1" customWidth="1"/>
    <col min="5410" max="5410" width="6" bestFit="1" customWidth="1"/>
    <col min="5411" max="5411" width="8.6640625" bestFit="1" customWidth="1"/>
    <col min="5412" max="5412" width="8" bestFit="1" customWidth="1"/>
    <col min="5413" max="5413" width="10.21875" bestFit="1" customWidth="1"/>
    <col min="5414" max="5414" width="8" bestFit="1" customWidth="1"/>
    <col min="5415" max="5415" width="10.21875" bestFit="1" customWidth="1"/>
    <col min="5416" max="5416" width="8" bestFit="1" customWidth="1"/>
    <col min="5417" max="5417" width="10.21875" bestFit="1" customWidth="1"/>
    <col min="5418" max="5418" width="8" bestFit="1" customWidth="1"/>
    <col min="5419" max="5419" width="10.21875" bestFit="1" customWidth="1"/>
    <col min="5420" max="5420" width="6" bestFit="1" customWidth="1"/>
    <col min="5421" max="5421" width="8.6640625" bestFit="1" customWidth="1"/>
    <col min="5422" max="5422" width="8" bestFit="1" customWidth="1"/>
    <col min="5423" max="5423" width="10.21875" bestFit="1" customWidth="1"/>
    <col min="5424" max="5424" width="8" bestFit="1" customWidth="1"/>
    <col min="5425" max="5425" width="10.21875" bestFit="1" customWidth="1"/>
    <col min="5426" max="5426" width="8" bestFit="1" customWidth="1"/>
    <col min="5427" max="5427" width="10.21875" bestFit="1" customWidth="1"/>
    <col min="5428" max="5429" width="8" bestFit="1" customWidth="1"/>
    <col min="5430" max="5430" width="10.21875" bestFit="1" customWidth="1"/>
    <col min="5431" max="5431" width="8" bestFit="1" customWidth="1"/>
    <col min="5432" max="5432" width="10.21875" bestFit="1" customWidth="1"/>
    <col min="5433" max="5433" width="6" bestFit="1" customWidth="1"/>
    <col min="5434" max="5434" width="8.6640625" bestFit="1" customWidth="1"/>
    <col min="5435" max="5435" width="8" bestFit="1" customWidth="1"/>
    <col min="5436" max="5436" width="10.21875" bestFit="1" customWidth="1"/>
    <col min="5437" max="5437" width="8" bestFit="1" customWidth="1"/>
    <col min="5438" max="5438" width="10.21875" bestFit="1" customWidth="1"/>
    <col min="5439" max="5439" width="8" bestFit="1" customWidth="1"/>
    <col min="5440" max="5440" width="10.21875" bestFit="1" customWidth="1"/>
    <col min="5441" max="5441" width="8" bestFit="1" customWidth="1"/>
    <col min="5442" max="5442" width="10.21875" bestFit="1" customWidth="1"/>
    <col min="5443" max="5443" width="8" bestFit="1" customWidth="1"/>
    <col min="5444" max="5444" width="10.21875" bestFit="1" customWidth="1"/>
    <col min="5445" max="5445" width="8" bestFit="1" customWidth="1"/>
    <col min="5446" max="5446" width="10.21875" bestFit="1" customWidth="1"/>
    <col min="5447" max="5447" width="8" bestFit="1" customWidth="1"/>
    <col min="5448" max="5448" width="10.21875" bestFit="1" customWidth="1"/>
    <col min="5449" max="5449" width="8" bestFit="1" customWidth="1"/>
    <col min="5450" max="5450" width="10.21875" bestFit="1" customWidth="1"/>
    <col min="5451" max="5451" width="6" bestFit="1" customWidth="1"/>
    <col min="5452" max="5452" width="8.6640625" bestFit="1" customWidth="1"/>
    <col min="5453" max="5453" width="8" bestFit="1" customWidth="1"/>
    <col min="5454" max="5454" width="10.21875" bestFit="1" customWidth="1"/>
    <col min="5455" max="5455" width="8" bestFit="1" customWidth="1"/>
    <col min="5456" max="5456" width="10.21875" bestFit="1" customWidth="1"/>
    <col min="5457" max="5458" width="6" bestFit="1" customWidth="1"/>
    <col min="5459" max="5459" width="8.6640625" bestFit="1" customWidth="1"/>
    <col min="5460" max="5460" width="8" bestFit="1" customWidth="1"/>
    <col min="5461" max="5461" width="10.21875" bestFit="1" customWidth="1"/>
    <col min="5462" max="5462" width="8" bestFit="1" customWidth="1"/>
    <col min="5463" max="5463" width="10.21875" bestFit="1" customWidth="1"/>
    <col min="5464" max="5464" width="8" bestFit="1" customWidth="1"/>
    <col min="5465" max="5465" width="10.21875" bestFit="1" customWidth="1"/>
    <col min="5466" max="5466" width="8" bestFit="1" customWidth="1"/>
    <col min="5467" max="5467" width="10.21875" bestFit="1" customWidth="1"/>
    <col min="5468" max="5468" width="8" bestFit="1" customWidth="1"/>
    <col min="5469" max="5469" width="10.21875" bestFit="1" customWidth="1"/>
    <col min="5470" max="5470" width="8" bestFit="1" customWidth="1"/>
    <col min="5471" max="5471" width="10.21875" bestFit="1" customWidth="1"/>
    <col min="5472" max="5473" width="8" bestFit="1" customWidth="1"/>
    <col min="5474" max="5474" width="10.21875" bestFit="1" customWidth="1"/>
    <col min="5475" max="5475" width="8" bestFit="1" customWidth="1"/>
    <col min="5476" max="5476" width="10.21875" bestFit="1" customWidth="1"/>
    <col min="5477" max="5477" width="8" bestFit="1" customWidth="1"/>
    <col min="5478" max="5478" width="10.21875" bestFit="1" customWidth="1"/>
    <col min="5479" max="5479" width="8" bestFit="1" customWidth="1"/>
    <col min="5480" max="5480" width="10.21875" bestFit="1" customWidth="1"/>
    <col min="5481" max="5481" width="8" bestFit="1" customWidth="1"/>
    <col min="5482" max="5482" width="10.21875" bestFit="1" customWidth="1"/>
    <col min="5483" max="5483" width="8" bestFit="1" customWidth="1"/>
    <col min="5484" max="5484" width="10.21875" bestFit="1" customWidth="1"/>
    <col min="5485" max="5487" width="8" bestFit="1" customWidth="1"/>
    <col min="5488" max="5488" width="10.21875" bestFit="1" customWidth="1"/>
    <col min="5489" max="5491" width="8" bestFit="1" customWidth="1"/>
    <col min="5492" max="5492" width="10.21875" bestFit="1" customWidth="1"/>
    <col min="5493" max="5494" width="8" bestFit="1" customWidth="1"/>
    <col min="5495" max="5495" width="10.21875" bestFit="1" customWidth="1"/>
    <col min="5496" max="5497" width="8" bestFit="1" customWidth="1"/>
    <col min="5498" max="5498" width="10.21875" bestFit="1" customWidth="1"/>
    <col min="5499" max="5501" width="8" bestFit="1" customWidth="1"/>
    <col min="5502" max="5502" width="10.21875" bestFit="1" customWidth="1"/>
    <col min="5503" max="5503" width="8" bestFit="1" customWidth="1"/>
    <col min="5504" max="5504" width="10.21875" bestFit="1" customWidth="1"/>
    <col min="5505" max="5505" width="8" bestFit="1" customWidth="1"/>
    <col min="5506" max="5506" width="10.21875" bestFit="1" customWidth="1"/>
    <col min="5507" max="5507" width="8" bestFit="1" customWidth="1"/>
    <col min="5508" max="5508" width="10.21875" bestFit="1" customWidth="1"/>
    <col min="5509" max="5509" width="8" bestFit="1" customWidth="1"/>
    <col min="5510" max="5510" width="10.21875" bestFit="1" customWidth="1"/>
    <col min="5511" max="5511" width="8" bestFit="1" customWidth="1"/>
    <col min="5512" max="5512" width="10.21875" bestFit="1" customWidth="1"/>
    <col min="5513" max="5513" width="8" bestFit="1" customWidth="1"/>
    <col min="5514" max="5514" width="10.21875" bestFit="1" customWidth="1"/>
    <col min="5515" max="5515" width="6" bestFit="1" customWidth="1"/>
    <col min="5516" max="5516" width="8.6640625" bestFit="1" customWidth="1"/>
    <col min="5517" max="5517" width="8" bestFit="1" customWidth="1"/>
    <col min="5518" max="5518" width="10.21875" bestFit="1" customWidth="1"/>
    <col min="5519" max="5519" width="8" bestFit="1" customWidth="1"/>
    <col min="5520" max="5520" width="10.21875" bestFit="1" customWidth="1"/>
    <col min="5521" max="5521" width="8" bestFit="1" customWidth="1"/>
    <col min="5522" max="5522" width="10.21875" bestFit="1" customWidth="1"/>
    <col min="5523" max="5523" width="8" bestFit="1" customWidth="1"/>
    <col min="5524" max="5524" width="10.21875" bestFit="1" customWidth="1"/>
    <col min="5525" max="5525" width="8" bestFit="1" customWidth="1"/>
    <col min="5526" max="5526" width="10.21875" bestFit="1" customWidth="1"/>
    <col min="5527" max="5529" width="8" bestFit="1" customWidth="1"/>
    <col min="5530" max="5530" width="10.21875" bestFit="1" customWidth="1"/>
    <col min="5531" max="5531" width="8" bestFit="1" customWidth="1"/>
    <col min="5532" max="5532" width="10.21875" bestFit="1" customWidth="1"/>
    <col min="5533" max="5533" width="8" bestFit="1" customWidth="1"/>
    <col min="5534" max="5534" width="10.21875" bestFit="1" customWidth="1"/>
    <col min="5535" max="5535" width="8" bestFit="1" customWidth="1"/>
    <col min="5536" max="5536" width="10.21875" bestFit="1" customWidth="1"/>
    <col min="5537" max="5537" width="8" bestFit="1" customWidth="1"/>
    <col min="5538" max="5538" width="10.21875" bestFit="1" customWidth="1"/>
    <col min="5539" max="5540" width="8" bestFit="1" customWidth="1"/>
    <col min="5541" max="5541" width="10.21875" bestFit="1" customWidth="1"/>
    <col min="5542" max="5542" width="8" bestFit="1" customWidth="1"/>
    <col min="5543" max="5543" width="10.21875" bestFit="1" customWidth="1"/>
    <col min="5544" max="5544" width="8" bestFit="1" customWidth="1"/>
    <col min="5545" max="5545" width="10.21875" bestFit="1" customWidth="1"/>
    <col min="5546" max="5546" width="8" bestFit="1" customWidth="1"/>
    <col min="5547" max="5547" width="10.21875" bestFit="1" customWidth="1"/>
    <col min="5548" max="5550" width="8" bestFit="1" customWidth="1"/>
    <col min="5551" max="5551" width="10.21875" bestFit="1" customWidth="1"/>
    <col min="5552" max="5553" width="8" bestFit="1" customWidth="1"/>
    <col min="5554" max="5554" width="10.21875" bestFit="1" customWidth="1"/>
    <col min="5555" max="5555" width="6" bestFit="1" customWidth="1"/>
    <col min="5556" max="5556" width="8.6640625" bestFit="1" customWidth="1"/>
    <col min="5557" max="5557" width="8" bestFit="1" customWidth="1"/>
    <col min="5558" max="5558" width="10.21875" bestFit="1" customWidth="1"/>
    <col min="5559" max="5559" width="8" bestFit="1" customWidth="1"/>
    <col min="5560" max="5560" width="10.21875" bestFit="1" customWidth="1"/>
    <col min="5561" max="5561" width="8" bestFit="1" customWidth="1"/>
    <col min="5562" max="5562" width="10.21875" bestFit="1" customWidth="1"/>
    <col min="5563" max="5563" width="8" bestFit="1" customWidth="1"/>
    <col min="5564" max="5564" width="10.21875" bestFit="1" customWidth="1"/>
    <col min="5565" max="5565" width="8" bestFit="1" customWidth="1"/>
    <col min="5566" max="5566" width="10.21875" bestFit="1" customWidth="1"/>
    <col min="5567" max="5568" width="8" bestFit="1" customWidth="1"/>
    <col min="5569" max="5569" width="10.21875" bestFit="1" customWidth="1"/>
    <col min="5570" max="5570" width="8" bestFit="1" customWidth="1"/>
    <col min="5571" max="5571" width="10.21875" bestFit="1" customWidth="1"/>
    <col min="5572" max="5572" width="8" bestFit="1" customWidth="1"/>
    <col min="5573" max="5573" width="10.21875" bestFit="1" customWidth="1"/>
    <col min="5574" max="5574" width="8" bestFit="1" customWidth="1"/>
    <col min="5575" max="5575" width="10.21875" bestFit="1" customWidth="1"/>
    <col min="5576" max="5576" width="8" bestFit="1" customWidth="1"/>
    <col min="5577" max="5577" width="10.21875" bestFit="1" customWidth="1"/>
    <col min="5578" max="5578" width="8" bestFit="1" customWidth="1"/>
    <col min="5579" max="5579" width="10.21875" bestFit="1" customWidth="1"/>
    <col min="5580" max="5580" width="8" bestFit="1" customWidth="1"/>
    <col min="5581" max="5581" width="10.21875" bestFit="1" customWidth="1"/>
    <col min="5582" max="5582" width="8" bestFit="1" customWidth="1"/>
    <col min="5583" max="5583" width="10.21875" bestFit="1" customWidth="1"/>
    <col min="5584" max="5584" width="8" bestFit="1" customWidth="1"/>
    <col min="5585" max="5585" width="10.21875" bestFit="1" customWidth="1"/>
    <col min="5586" max="5586" width="8" bestFit="1" customWidth="1"/>
    <col min="5587" max="5587" width="10.21875" bestFit="1" customWidth="1"/>
    <col min="5588" max="5589" width="8" bestFit="1" customWidth="1"/>
    <col min="5590" max="5590" width="10.21875" bestFit="1" customWidth="1"/>
    <col min="5591" max="5591" width="8" bestFit="1" customWidth="1"/>
    <col min="5592" max="5592" width="10.21875" bestFit="1" customWidth="1"/>
    <col min="5593" max="5594" width="8" bestFit="1" customWidth="1"/>
    <col min="5595" max="5595" width="10.21875" bestFit="1" customWidth="1"/>
    <col min="5596" max="5596" width="8" bestFit="1" customWidth="1"/>
    <col min="5597" max="5597" width="10.21875" bestFit="1" customWidth="1"/>
    <col min="5598" max="5598" width="8" bestFit="1" customWidth="1"/>
    <col min="5599" max="5599" width="10.21875" bestFit="1" customWidth="1"/>
    <col min="5600" max="5600" width="8" bestFit="1" customWidth="1"/>
    <col min="5601" max="5601" width="10.21875" bestFit="1" customWidth="1"/>
    <col min="5602" max="5602" width="8" bestFit="1" customWidth="1"/>
    <col min="5603" max="5603" width="10.21875" bestFit="1" customWidth="1"/>
    <col min="5604" max="5604" width="8" bestFit="1" customWidth="1"/>
    <col min="5605" max="5605" width="10.21875" bestFit="1" customWidth="1"/>
    <col min="5606" max="5606" width="8" bestFit="1" customWidth="1"/>
    <col min="5607" max="5607" width="10.21875" bestFit="1" customWidth="1"/>
    <col min="5608" max="5608" width="8" bestFit="1" customWidth="1"/>
    <col min="5609" max="5609" width="10.21875" bestFit="1" customWidth="1"/>
    <col min="5610" max="5610" width="8" bestFit="1" customWidth="1"/>
    <col min="5611" max="5611" width="10.21875" bestFit="1" customWidth="1"/>
    <col min="5612" max="5612" width="8" bestFit="1" customWidth="1"/>
    <col min="5613" max="5613" width="10.21875" bestFit="1" customWidth="1"/>
    <col min="5614" max="5614" width="8" bestFit="1" customWidth="1"/>
    <col min="5615" max="5615" width="10.21875" bestFit="1" customWidth="1"/>
    <col min="5616" max="5616" width="8" bestFit="1" customWidth="1"/>
    <col min="5617" max="5617" width="10.21875" bestFit="1" customWidth="1"/>
    <col min="5618" max="5619" width="8" bestFit="1" customWidth="1"/>
    <col min="5620" max="5620" width="10.21875" bestFit="1" customWidth="1"/>
    <col min="5621" max="5622" width="6" bestFit="1" customWidth="1"/>
    <col min="5623" max="5623" width="8.6640625" bestFit="1" customWidth="1"/>
    <col min="5624" max="5624" width="8" bestFit="1" customWidth="1"/>
    <col min="5625" max="5625" width="10.21875" bestFit="1" customWidth="1"/>
    <col min="5626" max="5626" width="8" bestFit="1" customWidth="1"/>
    <col min="5627" max="5627" width="10.21875" bestFit="1" customWidth="1"/>
    <col min="5628" max="5628" width="8" bestFit="1" customWidth="1"/>
    <col min="5629" max="5629" width="10.21875" bestFit="1" customWidth="1"/>
    <col min="5630" max="5630" width="8" bestFit="1" customWidth="1"/>
    <col min="5631" max="5631" width="10.21875" bestFit="1" customWidth="1"/>
    <col min="5632" max="5632" width="8" bestFit="1" customWidth="1"/>
    <col min="5633" max="5633" width="10.21875" bestFit="1" customWidth="1"/>
    <col min="5634" max="5634" width="8" bestFit="1" customWidth="1"/>
    <col min="5635" max="5635" width="10.21875" bestFit="1" customWidth="1"/>
    <col min="5636" max="5636" width="8" bestFit="1" customWidth="1"/>
    <col min="5637" max="5637" width="10.21875" bestFit="1" customWidth="1"/>
    <col min="5638" max="5638" width="8" bestFit="1" customWidth="1"/>
    <col min="5639" max="5639" width="10.21875" bestFit="1" customWidth="1"/>
    <col min="5640" max="5640" width="8" bestFit="1" customWidth="1"/>
    <col min="5641" max="5641" width="10.21875" bestFit="1" customWidth="1"/>
    <col min="5642" max="5643" width="8" bestFit="1" customWidth="1"/>
    <col min="5644" max="5644" width="10.21875" bestFit="1" customWidth="1"/>
    <col min="5645" max="5645" width="8" bestFit="1" customWidth="1"/>
    <col min="5646" max="5646" width="10.21875" bestFit="1" customWidth="1"/>
    <col min="5647" max="5647" width="8" bestFit="1" customWidth="1"/>
    <col min="5648" max="5648" width="10.21875" bestFit="1" customWidth="1"/>
    <col min="5649" max="5649" width="8" bestFit="1" customWidth="1"/>
    <col min="5650" max="5650" width="10.21875" bestFit="1" customWidth="1"/>
    <col min="5651" max="5651" width="8" bestFit="1" customWidth="1"/>
    <col min="5652" max="5652" width="10.21875" bestFit="1" customWidth="1"/>
    <col min="5653" max="5653" width="8" bestFit="1" customWidth="1"/>
    <col min="5654" max="5654" width="10.21875" bestFit="1" customWidth="1"/>
    <col min="5655" max="5655" width="6" bestFit="1" customWidth="1"/>
    <col min="5656" max="5656" width="8.6640625" bestFit="1" customWidth="1"/>
    <col min="5657" max="5657" width="8" bestFit="1" customWidth="1"/>
    <col min="5658" max="5658" width="10.21875" bestFit="1" customWidth="1"/>
    <col min="5659" max="5659" width="8" bestFit="1" customWidth="1"/>
    <col min="5660" max="5660" width="10.21875" bestFit="1" customWidth="1"/>
    <col min="5661" max="5661" width="8" bestFit="1" customWidth="1"/>
    <col min="5662" max="5662" width="10.21875" bestFit="1" customWidth="1"/>
    <col min="5663" max="5663" width="8" bestFit="1" customWidth="1"/>
    <col min="5664" max="5664" width="10.21875" bestFit="1" customWidth="1"/>
    <col min="5665" max="5665" width="8" bestFit="1" customWidth="1"/>
    <col min="5666" max="5666" width="10.21875" bestFit="1" customWidth="1"/>
    <col min="5667" max="5667" width="8" bestFit="1" customWidth="1"/>
    <col min="5668" max="5668" width="10.21875" bestFit="1" customWidth="1"/>
    <col min="5669" max="5669" width="8" bestFit="1" customWidth="1"/>
    <col min="5670" max="5670" width="10.21875" bestFit="1" customWidth="1"/>
    <col min="5671" max="5671" width="6" bestFit="1" customWidth="1"/>
    <col min="5672" max="5672" width="8.6640625" bestFit="1" customWidth="1"/>
    <col min="5673" max="5673" width="8" bestFit="1" customWidth="1"/>
    <col min="5674" max="5674" width="10.21875" bestFit="1" customWidth="1"/>
    <col min="5675" max="5675" width="8" bestFit="1" customWidth="1"/>
    <col min="5676" max="5676" width="10.21875" bestFit="1" customWidth="1"/>
    <col min="5677" max="5677" width="8" bestFit="1" customWidth="1"/>
    <col min="5678" max="5678" width="10.21875" bestFit="1" customWidth="1"/>
    <col min="5679" max="5680" width="8" bestFit="1" customWidth="1"/>
    <col min="5681" max="5681" width="10.21875" bestFit="1" customWidth="1"/>
    <col min="5682" max="5682" width="8" bestFit="1" customWidth="1"/>
    <col min="5683" max="5683" width="10.21875" bestFit="1" customWidth="1"/>
    <col min="5684" max="5684" width="8" bestFit="1" customWidth="1"/>
    <col min="5685" max="5685" width="10.21875" bestFit="1" customWidth="1"/>
    <col min="5686" max="5686" width="8" bestFit="1" customWidth="1"/>
    <col min="5687" max="5687" width="10.21875" bestFit="1" customWidth="1"/>
    <col min="5688" max="5688" width="8" bestFit="1" customWidth="1"/>
    <col min="5689" max="5689" width="10.21875" bestFit="1" customWidth="1"/>
    <col min="5690" max="5691" width="6" bestFit="1" customWidth="1"/>
    <col min="5692" max="5692" width="8.6640625" bestFit="1" customWidth="1"/>
    <col min="5693" max="5693" width="8" bestFit="1" customWidth="1"/>
    <col min="5694" max="5694" width="10.21875" bestFit="1" customWidth="1"/>
    <col min="5695" max="5695" width="8" bestFit="1" customWidth="1"/>
    <col min="5696" max="5696" width="10.21875" bestFit="1" customWidth="1"/>
    <col min="5697" max="5698" width="8" bestFit="1" customWidth="1"/>
    <col min="5699" max="5699" width="10.21875" bestFit="1" customWidth="1"/>
    <col min="5700" max="5701" width="8" bestFit="1" customWidth="1"/>
    <col min="5702" max="5702" width="10.21875" bestFit="1" customWidth="1"/>
    <col min="5703" max="5703" width="8" bestFit="1" customWidth="1"/>
    <col min="5704" max="5704" width="10.21875" bestFit="1" customWidth="1"/>
    <col min="5705" max="5705" width="8" bestFit="1" customWidth="1"/>
    <col min="5706" max="5706" width="10.21875" bestFit="1" customWidth="1"/>
    <col min="5707" max="5708" width="8" bestFit="1" customWidth="1"/>
    <col min="5709" max="5709" width="10.21875" bestFit="1" customWidth="1"/>
    <col min="5710" max="5710" width="8" bestFit="1" customWidth="1"/>
    <col min="5711" max="5711" width="10.21875" bestFit="1" customWidth="1"/>
    <col min="5712" max="5712" width="8" bestFit="1" customWidth="1"/>
    <col min="5713" max="5713" width="10.21875" bestFit="1" customWidth="1"/>
    <col min="5714" max="5714" width="8" bestFit="1" customWidth="1"/>
    <col min="5715" max="5715" width="10.21875" bestFit="1" customWidth="1"/>
    <col min="5716" max="5716" width="8" bestFit="1" customWidth="1"/>
    <col min="5717" max="5717" width="10.21875" bestFit="1" customWidth="1"/>
    <col min="5718" max="5718" width="8" bestFit="1" customWidth="1"/>
    <col min="5719" max="5719" width="10.21875" bestFit="1" customWidth="1"/>
    <col min="5720" max="5722" width="8" bestFit="1" customWidth="1"/>
    <col min="5723" max="5723" width="10.21875" bestFit="1" customWidth="1"/>
    <col min="5724" max="5724" width="14" bestFit="1" customWidth="1"/>
    <col min="5725" max="5725" width="21.5546875" bestFit="1" customWidth="1"/>
    <col min="5726" max="5726" width="14" bestFit="1" customWidth="1"/>
    <col min="5727" max="5727" width="21.5546875" bestFit="1" customWidth="1"/>
    <col min="5728" max="5728" width="6" bestFit="1" customWidth="1"/>
    <col min="5729" max="5729" width="8.6640625" bestFit="1" customWidth="1"/>
    <col min="5730" max="5731" width="8" bestFit="1" customWidth="1"/>
    <col min="5732" max="5732" width="10.21875" bestFit="1" customWidth="1"/>
    <col min="5733" max="5733" width="8" bestFit="1" customWidth="1"/>
    <col min="5734" max="5734" width="10.21875" bestFit="1" customWidth="1"/>
    <col min="5735" max="5736" width="8" bestFit="1" customWidth="1"/>
    <col min="5737" max="5737" width="10.21875" bestFit="1" customWidth="1"/>
    <col min="5738" max="5738" width="8" bestFit="1" customWidth="1"/>
    <col min="5739" max="5739" width="10.21875" bestFit="1" customWidth="1"/>
    <col min="5740" max="5743" width="8" bestFit="1" customWidth="1"/>
    <col min="5744" max="5744" width="10.21875" bestFit="1" customWidth="1"/>
    <col min="5745" max="5746" width="8" bestFit="1" customWidth="1"/>
    <col min="5747" max="5747" width="10.21875" bestFit="1" customWidth="1"/>
    <col min="5748" max="5750" width="8" bestFit="1" customWidth="1"/>
    <col min="5751" max="5751" width="10.21875" bestFit="1" customWidth="1"/>
    <col min="5752" max="5752" width="8" bestFit="1" customWidth="1"/>
    <col min="5753" max="5753" width="10.21875" bestFit="1" customWidth="1"/>
    <col min="5754" max="5755" width="8" bestFit="1" customWidth="1"/>
    <col min="5756" max="5756" width="10.21875" bestFit="1" customWidth="1"/>
    <col min="5757" max="5758" width="8" bestFit="1" customWidth="1"/>
    <col min="5759" max="5759" width="10.21875" bestFit="1" customWidth="1"/>
    <col min="5760" max="5760" width="14" bestFit="1" customWidth="1"/>
    <col min="5761" max="5761" width="21.5546875" bestFit="1" customWidth="1"/>
    <col min="5762" max="5762" width="8" bestFit="1" customWidth="1"/>
    <col min="5763" max="5763" width="10.21875" bestFit="1" customWidth="1"/>
    <col min="5764" max="5764" width="14" bestFit="1" customWidth="1"/>
    <col min="5765" max="5765" width="21.5546875" bestFit="1" customWidth="1"/>
    <col min="5766" max="5766" width="8" bestFit="1" customWidth="1"/>
    <col min="5767" max="5767" width="10.21875" bestFit="1" customWidth="1"/>
    <col min="5768" max="5768" width="8" bestFit="1" customWidth="1"/>
    <col min="5769" max="5769" width="10.21875" bestFit="1" customWidth="1"/>
    <col min="5770" max="5771" width="8" bestFit="1" customWidth="1"/>
    <col min="5772" max="5772" width="10.21875" bestFit="1" customWidth="1"/>
    <col min="5773" max="5773" width="8" bestFit="1" customWidth="1"/>
    <col min="5774" max="5774" width="10.21875" bestFit="1" customWidth="1"/>
    <col min="5775" max="5775" width="8" bestFit="1" customWidth="1"/>
    <col min="5776" max="5776" width="10.21875" bestFit="1" customWidth="1"/>
    <col min="5777" max="5778" width="8" bestFit="1" customWidth="1"/>
    <col min="5779" max="5779" width="10.21875" bestFit="1" customWidth="1"/>
    <col min="5780" max="5780" width="8" bestFit="1" customWidth="1"/>
    <col min="5781" max="5781" width="10.21875" bestFit="1" customWidth="1"/>
    <col min="5782" max="5782" width="8" bestFit="1" customWidth="1"/>
    <col min="5783" max="5783" width="10.21875" bestFit="1" customWidth="1"/>
    <col min="5784" max="5784" width="8" bestFit="1" customWidth="1"/>
    <col min="5785" max="5785" width="10.21875" bestFit="1" customWidth="1"/>
    <col min="5786" max="5786" width="8" bestFit="1" customWidth="1"/>
    <col min="5787" max="5787" width="10.21875" bestFit="1" customWidth="1"/>
    <col min="5788" max="5788" width="8" bestFit="1" customWidth="1"/>
    <col min="5789" max="5789" width="10.21875" bestFit="1" customWidth="1"/>
    <col min="5790" max="5790" width="8" bestFit="1" customWidth="1"/>
    <col min="5791" max="5791" width="10.21875" bestFit="1" customWidth="1"/>
    <col min="5792" max="5793" width="8" bestFit="1" customWidth="1"/>
    <col min="5794" max="5794" width="10.21875" bestFit="1" customWidth="1"/>
    <col min="5795" max="5798" width="8" bestFit="1" customWidth="1"/>
    <col min="5799" max="5799" width="10.21875" bestFit="1" customWidth="1"/>
    <col min="5800" max="5800" width="8" bestFit="1" customWidth="1"/>
    <col min="5801" max="5801" width="10.21875" bestFit="1" customWidth="1"/>
    <col min="5802" max="5802" width="8" bestFit="1" customWidth="1"/>
    <col min="5803" max="5803" width="10.21875" bestFit="1" customWidth="1"/>
    <col min="5804" max="5804" width="8" bestFit="1" customWidth="1"/>
    <col min="5805" max="5805" width="10.21875" bestFit="1" customWidth="1"/>
    <col min="5806" max="5807" width="8" bestFit="1" customWidth="1"/>
    <col min="5808" max="5808" width="10.21875" bestFit="1" customWidth="1"/>
    <col min="5809" max="5809" width="6" bestFit="1" customWidth="1"/>
    <col min="5810" max="5810" width="8.6640625" bestFit="1" customWidth="1"/>
    <col min="5811" max="5812" width="8" bestFit="1" customWidth="1"/>
    <col min="5813" max="5813" width="10.21875" bestFit="1" customWidth="1"/>
    <col min="5814" max="5815" width="8" bestFit="1" customWidth="1"/>
    <col min="5816" max="5816" width="10.21875" bestFit="1" customWidth="1"/>
    <col min="5817" max="5817" width="8" bestFit="1" customWidth="1"/>
    <col min="5818" max="5818" width="10.21875" bestFit="1" customWidth="1"/>
    <col min="5819" max="5820" width="8" bestFit="1" customWidth="1"/>
    <col min="5821" max="5821" width="10.21875" bestFit="1" customWidth="1"/>
    <col min="5822" max="5822" width="8" bestFit="1" customWidth="1"/>
    <col min="5823" max="5823" width="10.21875" bestFit="1" customWidth="1"/>
    <col min="5824" max="5826" width="12" bestFit="1" customWidth="1"/>
    <col min="5827" max="5827" width="12.21875" bestFit="1" customWidth="1"/>
    <col min="5828" max="5828" width="8" bestFit="1" customWidth="1"/>
    <col min="5829" max="5829" width="10.21875" bestFit="1" customWidth="1"/>
    <col min="5830" max="5830" width="6" bestFit="1" customWidth="1"/>
    <col min="5831" max="5831" width="8.6640625" bestFit="1" customWidth="1"/>
    <col min="5832" max="5832" width="8" bestFit="1" customWidth="1"/>
    <col min="5833" max="5833" width="10.21875" bestFit="1" customWidth="1"/>
    <col min="5834" max="5835" width="8" bestFit="1" customWidth="1"/>
    <col min="5836" max="5836" width="10.21875" bestFit="1" customWidth="1"/>
    <col min="5837" max="5837" width="8" bestFit="1" customWidth="1"/>
    <col min="5838" max="5838" width="10.21875" bestFit="1" customWidth="1"/>
    <col min="5839" max="5839" width="8" bestFit="1" customWidth="1"/>
    <col min="5840" max="5840" width="10.21875" bestFit="1" customWidth="1"/>
    <col min="5841" max="5841" width="8" bestFit="1" customWidth="1"/>
    <col min="5842" max="5842" width="10.21875" bestFit="1" customWidth="1"/>
    <col min="5843" max="5843" width="8" bestFit="1" customWidth="1"/>
    <col min="5844" max="5844" width="10.21875" bestFit="1" customWidth="1"/>
    <col min="5845" max="5845" width="8" bestFit="1" customWidth="1"/>
    <col min="5846" max="5846" width="10.21875" bestFit="1" customWidth="1"/>
    <col min="5847" max="5848" width="8" bestFit="1" customWidth="1"/>
    <col min="5849" max="5849" width="10.21875" bestFit="1" customWidth="1"/>
    <col min="5850" max="5850" width="8" bestFit="1" customWidth="1"/>
    <col min="5851" max="5851" width="10.21875" bestFit="1" customWidth="1"/>
    <col min="5852" max="5852" width="6" bestFit="1" customWidth="1"/>
    <col min="5853" max="5853" width="8.6640625" bestFit="1" customWidth="1"/>
    <col min="5854" max="5854" width="8" bestFit="1" customWidth="1"/>
    <col min="5855" max="5855" width="10.21875" bestFit="1" customWidth="1"/>
    <col min="5856" max="5856" width="8" bestFit="1" customWidth="1"/>
    <col min="5857" max="5857" width="10.21875" bestFit="1" customWidth="1"/>
    <col min="5858" max="5858" width="8" bestFit="1" customWidth="1"/>
    <col min="5859" max="5859" width="10.21875" bestFit="1" customWidth="1"/>
    <col min="5860" max="5860" width="8" bestFit="1" customWidth="1"/>
    <col min="5861" max="5861" width="10.21875" bestFit="1" customWidth="1"/>
    <col min="5862" max="5862" width="8" bestFit="1" customWidth="1"/>
    <col min="5863" max="5863" width="10.21875" bestFit="1" customWidth="1"/>
    <col min="5864" max="5864" width="8" bestFit="1" customWidth="1"/>
    <col min="5865" max="5865" width="10.21875" bestFit="1" customWidth="1"/>
    <col min="5866" max="5866" width="6" bestFit="1" customWidth="1"/>
    <col min="5867" max="5867" width="8.6640625" bestFit="1" customWidth="1"/>
    <col min="5868" max="5868" width="8" bestFit="1" customWidth="1"/>
    <col min="5869" max="5869" width="10.21875" bestFit="1" customWidth="1"/>
    <col min="5870" max="5870" width="8" bestFit="1" customWidth="1"/>
    <col min="5871" max="5871" width="10.21875" bestFit="1" customWidth="1"/>
    <col min="5872" max="5872" width="8" bestFit="1" customWidth="1"/>
    <col min="5873" max="5873" width="10.21875" bestFit="1" customWidth="1"/>
    <col min="5874" max="5874" width="8" bestFit="1" customWidth="1"/>
    <col min="5875" max="5875" width="10.21875" bestFit="1" customWidth="1"/>
    <col min="5876" max="5876" width="8" bestFit="1" customWidth="1"/>
    <col min="5877" max="5877" width="10.21875" bestFit="1" customWidth="1"/>
    <col min="5878" max="5878" width="8" bestFit="1" customWidth="1"/>
    <col min="5879" max="5879" width="10.21875" bestFit="1" customWidth="1"/>
    <col min="5880" max="5880" width="8" bestFit="1" customWidth="1"/>
    <col min="5881" max="5881" width="10.21875" bestFit="1" customWidth="1"/>
    <col min="5882" max="5882" width="8" bestFit="1" customWidth="1"/>
    <col min="5883" max="5883" width="10.21875" bestFit="1" customWidth="1"/>
    <col min="5884" max="5885" width="6" bestFit="1" customWidth="1"/>
    <col min="5886" max="5886" width="8.6640625" bestFit="1" customWidth="1"/>
    <col min="5887" max="5887" width="8" bestFit="1" customWidth="1"/>
    <col min="5888" max="5888" width="10.21875" bestFit="1" customWidth="1"/>
    <col min="5889" max="5889" width="8" bestFit="1" customWidth="1"/>
    <col min="5890" max="5890" width="10.21875" bestFit="1" customWidth="1"/>
    <col min="5891" max="5891" width="8" bestFit="1" customWidth="1"/>
    <col min="5892" max="5892" width="10.21875" bestFit="1" customWidth="1"/>
    <col min="5893" max="5894" width="8" bestFit="1" customWidth="1"/>
    <col min="5895" max="5895" width="10.21875" bestFit="1" customWidth="1"/>
    <col min="5896" max="5896" width="8" bestFit="1" customWidth="1"/>
    <col min="5897" max="5897" width="10.21875" bestFit="1" customWidth="1"/>
    <col min="5898" max="5898" width="8" bestFit="1" customWidth="1"/>
    <col min="5899" max="5899" width="10.21875" bestFit="1" customWidth="1"/>
    <col min="5900" max="5901" width="8" bestFit="1" customWidth="1"/>
    <col min="5902" max="5902" width="10.21875" bestFit="1" customWidth="1"/>
    <col min="5903" max="5903" width="8" bestFit="1" customWidth="1"/>
    <col min="5904" max="5904" width="10.21875" bestFit="1" customWidth="1"/>
    <col min="5905" max="5905" width="8" bestFit="1" customWidth="1"/>
    <col min="5906" max="5906" width="10.21875" bestFit="1" customWidth="1"/>
    <col min="5907" max="5907" width="8" bestFit="1" customWidth="1"/>
    <col min="5908" max="5908" width="10.21875" bestFit="1" customWidth="1"/>
    <col min="5909" max="5911" width="8" bestFit="1" customWidth="1"/>
    <col min="5912" max="5912" width="10.21875" bestFit="1" customWidth="1"/>
    <col min="5913" max="5913" width="8" bestFit="1" customWidth="1"/>
    <col min="5914" max="5914" width="10.21875" bestFit="1" customWidth="1"/>
    <col min="5915" max="5915" width="8" bestFit="1" customWidth="1"/>
    <col min="5916" max="5916" width="10.21875" bestFit="1" customWidth="1"/>
    <col min="5917" max="5917" width="8" bestFit="1" customWidth="1"/>
    <col min="5918" max="5918" width="10.21875" bestFit="1" customWidth="1"/>
    <col min="5919" max="5919" width="8" bestFit="1" customWidth="1"/>
    <col min="5920" max="5920" width="10.21875" bestFit="1" customWidth="1"/>
    <col min="5921" max="5921" width="8" bestFit="1" customWidth="1"/>
    <col min="5922" max="5922" width="10.21875" bestFit="1" customWidth="1"/>
    <col min="5923" max="5923" width="8" bestFit="1" customWidth="1"/>
    <col min="5924" max="5924" width="10.21875" bestFit="1" customWidth="1"/>
    <col min="5925" max="5925" width="8" bestFit="1" customWidth="1"/>
    <col min="5926" max="5926" width="10.21875" bestFit="1" customWidth="1"/>
    <col min="5927" max="5927" width="8" bestFit="1" customWidth="1"/>
    <col min="5928" max="5928" width="10.21875" bestFit="1" customWidth="1"/>
    <col min="5929" max="5929" width="8" bestFit="1" customWidth="1"/>
    <col min="5930" max="5930" width="10.21875" bestFit="1" customWidth="1"/>
    <col min="5931" max="5931" width="8" bestFit="1" customWidth="1"/>
    <col min="5932" max="5932" width="10.21875" bestFit="1" customWidth="1"/>
    <col min="5933" max="5933" width="8" bestFit="1" customWidth="1"/>
    <col min="5934" max="5934" width="10.21875" bestFit="1" customWidth="1"/>
    <col min="5935" max="5935" width="6" bestFit="1" customWidth="1"/>
    <col min="5936" max="5936" width="8.6640625" bestFit="1" customWidth="1"/>
    <col min="5937" max="5937" width="8" bestFit="1" customWidth="1"/>
    <col min="5938" max="5938" width="10.21875" bestFit="1" customWidth="1"/>
    <col min="5939" max="5939" width="8" bestFit="1" customWidth="1"/>
    <col min="5940" max="5940" width="10.21875" bestFit="1" customWidth="1"/>
    <col min="5941" max="5941" width="8" bestFit="1" customWidth="1"/>
    <col min="5942" max="5942" width="10.21875" bestFit="1" customWidth="1"/>
    <col min="5943" max="5943" width="8" bestFit="1" customWidth="1"/>
    <col min="5944" max="5944" width="10.21875" bestFit="1" customWidth="1"/>
    <col min="5945" max="5945" width="8" bestFit="1" customWidth="1"/>
    <col min="5946" max="5946" width="10.21875" bestFit="1" customWidth="1"/>
    <col min="5947" max="5947" width="8" bestFit="1" customWidth="1"/>
    <col min="5948" max="5948" width="10.21875" bestFit="1" customWidth="1"/>
    <col min="5949" max="5949" width="8" bestFit="1" customWidth="1"/>
    <col min="5950" max="5950" width="10.21875" bestFit="1" customWidth="1"/>
    <col min="5951" max="5951" width="8" bestFit="1" customWidth="1"/>
    <col min="5952" max="5952" width="10.21875" bestFit="1" customWidth="1"/>
    <col min="5953" max="5953" width="8" bestFit="1" customWidth="1"/>
    <col min="5954" max="5954" width="10.21875" bestFit="1" customWidth="1"/>
    <col min="5955" max="5955" width="8" bestFit="1" customWidth="1"/>
    <col min="5956" max="5956" width="10.21875" bestFit="1" customWidth="1"/>
    <col min="5957" max="5957" width="8" bestFit="1" customWidth="1"/>
    <col min="5958" max="5958" width="10.21875" bestFit="1" customWidth="1"/>
    <col min="5959" max="5959" width="31.109375" bestFit="1" customWidth="1"/>
    <col min="5960" max="5960" width="10.21875" bestFit="1" customWidth="1"/>
    <col min="5961" max="5961" width="8" bestFit="1" customWidth="1"/>
    <col min="5962" max="5962" width="10.21875" bestFit="1" customWidth="1"/>
    <col min="5963" max="5963" width="8" bestFit="1" customWidth="1"/>
    <col min="5964" max="5964" width="10.21875" bestFit="1" customWidth="1"/>
    <col min="5965" max="5966" width="8" bestFit="1" customWidth="1"/>
    <col min="5967" max="5967" width="10.21875" bestFit="1" customWidth="1"/>
    <col min="5968" max="5968" width="8" bestFit="1" customWidth="1"/>
    <col min="5969" max="5969" width="10.21875" bestFit="1" customWidth="1"/>
    <col min="5970" max="5970" width="6" bestFit="1" customWidth="1"/>
    <col min="5971" max="5971" width="8.6640625" bestFit="1" customWidth="1"/>
    <col min="5972" max="5972" width="8" bestFit="1" customWidth="1"/>
    <col min="5973" max="5973" width="10.21875" bestFit="1" customWidth="1"/>
    <col min="5974" max="5974" width="8" bestFit="1" customWidth="1"/>
    <col min="5975" max="5975" width="10.21875" bestFit="1" customWidth="1"/>
    <col min="5976" max="5976" width="8" bestFit="1" customWidth="1"/>
    <col min="5977" max="5977" width="10.21875" bestFit="1" customWidth="1"/>
    <col min="5978" max="5978" width="6" bestFit="1" customWidth="1"/>
    <col min="5979" max="5979" width="8.6640625" bestFit="1" customWidth="1"/>
    <col min="5980" max="5980" width="8" bestFit="1" customWidth="1"/>
    <col min="5981" max="5981" width="10.21875" bestFit="1" customWidth="1"/>
    <col min="5982" max="5982" width="8" bestFit="1" customWidth="1"/>
    <col min="5983" max="5983" width="10.21875" bestFit="1" customWidth="1"/>
    <col min="5984" max="5984" width="8" bestFit="1" customWidth="1"/>
    <col min="5985" max="5985" width="10.21875" bestFit="1" customWidth="1"/>
    <col min="5986" max="5986" width="8" bestFit="1" customWidth="1"/>
    <col min="5987" max="5987" width="10.21875" bestFit="1" customWidth="1"/>
    <col min="5988" max="5988" width="8" bestFit="1" customWidth="1"/>
    <col min="5989" max="5989" width="10.21875" bestFit="1" customWidth="1"/>
    <col min="5990" max="5990" width="8" bestFit="1" customWidth="1"/>
    <col min="5991" max="5991" width="10.21875" bestFit="1" customWidth="1"/>
    <col min="5992" max="5992" width="8" bestFit="1" customWidth="1"/>
    <col min="5993" max="5993" width="10.21875" bestFit="1" customWidth="1"/>
    <col min="5994" max="5994" width="8" bestFit="1" customWidth="1"/>
    <col min="5995" max="5995" width="10.21875" bestFit="1" customWidth="1"/>
    <col min="5996" max="5996" width="8" bestFit="1" customWidth="1"/>
    <col min="5997" max="5997" width="10.21875" bestFit="1" customWidth="1"/>
    <col min="5998" max="5998" width="8" bestFit="1" customWidth="1"/>
    <col min="5999" max="5999" width="10.21875" bestFit="1" customWidth="1"/>
    <col min="6000" max="6000" width="8" bestFit="1" customWidth="1"/>
    <col min="6001" max="6001" width="10.21875" bestFit="1" customWidth="1"/>
    <col min="6002" max="6002" width="8" bestFit="1" customWidth="1"/>
    <col min="6003" max="6003" width="10.21875" bestFit="1" customWidth="1"/>
    <col min="6004" max="6004" width="8" bestFit="1" customWidth="1"/>
    <col min="6005" max="6005" width="10.21875" bestFit="1" customWidth="1"/>
    <col min="6006" max="6006" width="8" bestFit="1" customWidth="1"/>
    <col min="6007" max="6007" width="10.21875" bestFit="1" customWidth="1"/>
    <col min="6008" max="6008" width="8" bestFit="1" customWidth="1"/>
    <col min="6009" max="6009" width="10.21875" bestFit="1" customWidth="1"/>
    <col min="6010" max="6011" width="8" bestFit="1" customWidth="1"/>
    <col min="6012" max="6012" width="10.21875" bestFit="1" customWidth="1"/>
    <col min="6013" max="6013" width="6" bestFit="1" customWidth="1"/>
    <col min="6014" max="6014" width="8.6640625" bestFit="1" customWidth="1"/>
    <col min="6015" max="6016" width="8" bestFit="1" customWidth="1"/>
    <col min="6017" max="6017" width="10.21875" bestFit="1" customWidth="1"/>
    <col min="6018" max="6019" width="8" bestFit="1" customWidth="1"/>
    <col min="6020" max="6020" width="10.21875" bestFit="1" customWidth="1"/>
    <col min="6021" max="6021" width="8" bestFit="1" customWidth="1"/>
    <col min="6022" max="6022" width="10.21875" bestFit="1" customWidth="1"/>
    <col min="6023" max="6024" width="8" bestFit="1" customWidth="1"/>
    <col min="6025" max="6025" width="10.21875" bestFit="1" customWidth="1"/>
    <col min="6026" max="6028" width="8" bestFit="1" customWidth="1"/>
    <col min="6029" max="6029" width="10.21875" bestFit="1" customWidth="1"/>
    <col min="6030" max="6032" width="8" bestFit="1" customWidth="1"/>
    <col min="6033" max="6033" width="10.21875" bestFit="1" customWidth="1"/>
    <col min="6034" max="6035" width="6" bestFit="1" customWidth="1"/>
    <col min="6036" max="6036" width="8.6640625" bestFit="1" customWidth="1"/>
    <col min="6037" max="6037" width="8" bestFit="1" customWidth="1"/>
    <col min="6038" max="6038" width="10.21875" bestFit="1" customWidth="1"/>
    <col min="6039" max="6039" width="8" bestFit="1" customWidth="1"/>
    <col min="6040" max="6040" width="10.21875" bestFit="1" customWidth="1"/>
    <col min="6041" max="6041" width="8" bestFit="1" customWidth="1"/>
    <col min="6042" max="6042" width="10.21875" bestFit="1" customWidth="1"/>
    <col min="6043" max="6043" width="8" bestFit="1" customWidth="1"/>
    <col min="6044" max="6044" width="10.21875" bestFit="1" customWidth="1"/>
    <col min="6045" max="6046" width="6" bestFit="1" customWidth="1"/>
    <col min="6047" max="6047" width="8.6640625" bestFit="1" customWidth="1"/>
    <col min="6048" max="6048" width="8" bestFit="1" customWidth="1"/>
    <col min="6049" max="6049" width="10.21875" bestFit="1" customWidth="1"/>
    <col min="6050" max="6050" width="8" bestFit="1" customWidth="1"/>
    <col min="6051" max="6051" width="10.21875" bestFit="1" customWidth="1"/>
    <col min="6052" max="6052" width="8" bestFit="1" customWidth="1"/>
    <col min="6053" max="6053" width="10.21875" bestFit="1" customWidth="1"/>
    <col min="6054" max="6054" width="8" bestFit="1" customWidth="1"/>
    <col min="6055" max="6055" width="10.21875" bestFit="1" customWidth="1"/>
    <col min="6056" max="6056" width="8" bestFit="1" customWidth="1"/>
    <col min="6057" max="6057" width="10.21875" bestFit="1" customWidth="1"/>
    <col min="6058" max="6058" width="8" bestFit="1" customWidth="1"/>
    <col min="6059" max="6059" width="10.21875" bestFit="1" customWidth="1"/>
    <col min="6060" max="6060" width="8" bestFit="1" customWidth="1"/>
    <col min="6061" max="6061" width="10.21875" bestFit="1" customWidth="1"/>
    <col min="6062" max="6062" width="8" bestFit="1" customWidth="1"/>
    <col min="6063" max="6063" width="10.21875" bestFit="1" customWidth="1"/>
    <col min="6064" max="6064" width="8" bestFit="1" customWidth="1"/>
    <col min="6065" max="6065" width="10.21875" bestFit="1" customWidth="1"/>
    <col min="6066" max="6066" width="8" bestFit="1" customWidth="1"/>
    <col min="6067" max="6067" width="10.21875" bestFit="1" customWidth="1"/>
    <col min="6068" max="6068" width="8" bestFit="1" customWidth="1"/>
    <col min="6069" max="6069" width="10.21875" bestFit="1" customWidth="1"/>
    <col min="6070" max="6070" width="8" bestFit="1" customWidth="1"/>
    <col min="6071" max="6071" width="10.21875" bestFit="1" customWidth="1"/>
    <col min="6072" max="6072" width="6" bestFit="1" customWidth="1"/>
    <col min="6073" max="6073" width="8.6640625" bestFit="1" customWidth="1"/>
    <col min="6074" max="6074" width="8" bestFit="1" customWidth="1"/>
    <col min="6075" max="6075" width="10.21875" bestFit="1" customWidth="1"/>
    <col min="6076" max="6076" width="8" bestFit="1" customWidth="1"/>
    <col min="6077" max="6077" width="10.21875" bestFit="1" customWidth="1"/>
    <col min="6078" max="6078" width="8" bestFit="1" customWidth="1"/>
    <col min="6079" max="6079" width="10.21875" bestFit="1" customWidth="1"/>
    <col min="6080" max="6080" width="8" bestFit="1" customWidth="1"/>
    <col min="6081" max="6081" width="10.21875" bestFit="1" customWidth="1"/>
    <col min="6082" max="6082" width="6" bestFit="1" customWidth="1"/>
    <col min="6083" max="6083" width="8.6640625" bestFit="1" customWidth="1"/>
    <col min="6084" max="6084" width="8" bestFit="1" customWidth="1"/>
    <col min="6085" max="6085" width="10.21875" bestFit="1" customWidth="1"/>
    <col min="6086" max="6086" width="8" bestFit="1" customWidth="1"/>
    <col min="6087" max="6087" width="10.21875" bestFit="1" customWidth="1"/>
    <col min="6088" max="6088" width="8" bestFit="1" customWidth="1"/>
    <col min="6089" max="6089" width="10.21875" bestFit="1" customWidth="1"/>
    <col min="6090" max="6091" width="8" bestFit="1" customWidth="1"/>
    <col min="6092" max="6092" width="10.21875" bestFit="1" customWidth="1"/>
    <col min="6093" max="6093" width="8" bestFit="1" customWidth="1"/>
    <col min="6094" max="6094" width="10.21875" bestFit="1" customWidth="1"/>
    <col min="6095" max="6095" width="6" bestFit="1" customWidth="1"/>
    <col min="6096" max="6096" width="8.6640625" bestFit="1" customWidth="1"/>
    <col min="6097" max="6097" width="8" bestFit="1" customWidth="1"/>
    <col min="6098" max="6098" width="10.21875" bestFit="1" customWidth="1"/>
    <col min="6099" max="6099" width="8" bestFit="1" customWidth="1"/>
    <col min="6100" max="6100" width="10.21875" bestFit="1" customWidth="1"/>
    <col min="6101" max="6101" width="8" bestFit="1" customWidth="1"/>
    <col min="6102" max="6102" width="10.21875" bestFit="1" customWidth="1"/>
    <col min="6103" max="6103" width="8" bestFit="1" customWidth="1"/>
    <col min="6104" max="6104" width="10.21875" bestFit="1" customWidth="1"/>
    <col min="6105" max="6105" width="8" bestFit="1" customWidth="1"/>
    <col min="6106" max="6106" width="10.21875" bestFit="1" customWidth="1"/>
    <col min="6107" max="6107" width="8" bestFit="1" customWidth="1"/>
    <col min="6108" max="6108" width="10.21875" bestFit="1" customWidth="1"/>
    <col min="6109" max="6109" width="8" bestFit="1" customWidth="1"/>
    <col min="6110" max="6110" width="10.21875" bestFit="1" customWidth="1"/>
    <col min="6111" max="6111" width="8" bestFit="1" customWidth="1"/>
    <col min="6112" max="6112" width="10.21875" bestFit="1" customWidth="1"/>
    <col min="6113" max="6113" width="6" bestFit="1" customWidth="1"/>
    <col min="6114" max="6114" width="8.6640625" bestFit="1" customWidth="1"/>
    <col min="6115" max="6115" width="8" bestFit="1" customWidth="1"/>
    <col min="6116" max="6116" width="10.21875" bestFit="1" customWidth="1"/>
    <col min="6117" max="6117" width="8" bestFit="1" customWidth="1"/>
    <col min="6118" max="6118" width="10.21875" bestFit="1" customWidth="1"/>
    <col min="6119" max="6120" width="6" bestFit="1" customWidth="1"/>
    <col min="6121" max="6121" width="8.6640625" bestFit="1" customWidth="1"/>
    <col min="6122" max="6122" width="8" bestFit="1" customWidth="1"/>
    <col min="6123" max="6123" width="10.21875" bestFit="1" customWidth="1"/>
    <col min="6124" max="6124" width="8" bestFit="1" customWidth="1"/>
    <col min="6125" max="6125" width="10.21875" bestFit="1" customWidth="1"/>
    <col min="6126" max="6126" width="8" bestFit="1" customWidth="1"/>
    <col min="6127" max="6127" width="10.21875" bestFit="1" customWidth="1"/>
    <col min="6128" max="6128" width="8" bestFit="1" customWidth="1"/>
    <col min="6129" max="6129" width="10.21875" bestFit="1" customWidth="1"/>
    <col min="6130" max="6130" width="8" bestFit="1" customWidth="1"/>
    <col min="6131" max="6131" width="10.21875" bestFit="1" customWidth="1"/>
    <col min="6132" max="6132" width="8" bestFit="1" customWidth="1"/>
    <col min="6133" max="6133" width="10.21875" bestFit="1" customWidth="1"/>
    <col min="6134" max="6135" width="8" bestFit="1" customWidth="1"/>
    <col min="6136" max="6136" width="10.21875" bestFit="1" customWidth="1"/>
    <col min="6137" max="6137" width="8" bestFit="1" customWidth="1"/>
    <col min="6138" max="6138" width="10.21875" bestFit="1" customWidth="1"/>
    <col min="6139" max="6139" width="8" bestFit="1" customWidth="1"/>
    <col min="6140" max="6140" width="10.21875" bestFit="1" customWidth="1"/>
    <col min="6141" max="6141" width="8" bestFit="1" customWidth="1"/>
    <col min="6142" max="6142" width="10.21875" bestFit="1" customWidth="1"/>
    <col min="6143" max="6143" width="8" bestFit="1" customWidth="1"/>
    <col min="6144" max="6144" width="10.21875" bestFit="1" customWidth="1"/>
    <col min="6145" max="6145" width="8" bestFit="1" customWidth="1"/>
    <col min="6146" max="6146" width="10.21875" bestFit="1" customWidth="1"/>
    <col min="6147" max="6149" width="8" bestFit="1" customWidth="1"/>
    <col min="6150" max="6150" width="10.21875" bestFit="1" customWidth="1"/>
    <col min="6151" max="6153" width="8" bestFit="1" customWidth="1"/>
    <col min="6154" max="6154" width="10.21875" bestFit="1" customWidth="1"/>
    <col min="6155" max="6156" width="8" bestFit="1" customWidth="1"/>
    <col min="6157" max="6157" width="10.21875" bestFit="1" customWidth="1"/>
    <col min="6158" max="6159" width="8" bestFit="1" customWidth="1"/>
    <col min="6160" max="6160" width="10.21875" bestFit="1" customWidth="1"/>
    <col min="6161" max="6163" width="8" bestFit="1" customWidth="1"/>
    <col min="6164" max="6164" width="10.21875" bestFit="1" customWidth="1"/>
    <col min="6165" max="6165" width="8" bestFit="1" customWidth="1"/>
    <col min="6166" max="6166" width="10.21875" bestFit="1" customWidth="1"/>
    <col min="6167" max="6167" width="8" bestFit="1" customWidth="1"/>
    <col min="6168" max="6168" width="10.21875" bestFit="1" customWidth="1"/>
    <col min="6169" max="6169" width="8" bestFit="1" customWidth="1"/>
    <col min="6170" max="6170" width="10.21875" bestFit="1" customWidth="1"/>
    <col min="6171" max="6171" width="8" bestFit="1" customWidth="1"/>
    <col min="6172" max="6172" width="10.21875" bestFit="1" customWidth="1"/>
    <col min="6173" max="6173" width="8" bestFit="1" customWidth="1"/>
    <col min="6174" max="6174" width="10.21875" bestFit="1" customWidth="1"/>
    <col min="6175" max="6175" width="8" bestFit="1" customWidth="1"/>
    <col min="6176" max="6176" width="10.21875" bestFit="1" customWidth="1"/>
    <col min="6177" max="6177" width="6" bestFit="1" customWidth="1"/>
    <col min="6178" max="6178" width="8.6640625" bestFit="1" customWidth="1"/>
    <col min="6179" max="6179" width="8" bestFit="1" customWidth="1"/>
    <col min="6180" max="6180" width="10.21875" bestFit="1" customWidth="1"/>
    <col min="6181" max="6181" width="8" bestFit="1" customWidth="1"/>
    <col min="6182" max="6182" width="10.21875" bestFit="1" customWidth="1"/>
    <col min="6183" max="6183" width="8" bestFit="1" customWidth="1"/>
    <col min="6184" max="6184" width="10.21875" bestFit="1" customWidth="1"/>
    <col min="6185" max="6185" width="8" bestFit="1" customWidth="1"/>
    <col min="6186" max="6186" width="10.21875" bestFit="1" customWidth="1"/>
    <col min="6187" max="6187" width="8" bestFit="1" customWidth="1"/>
    <col min="6188" max="6188" width="10.21875" bestFit="1" customWidth="1"/>
    <col min="6189" max="6191" width="8" bestFit="1" customWidth="1"/>
    <col min="6192" max="6192" width="10.21875" bestFit="1" customWidth="1"/>
    <col min="6193" max="6193" width="8" bestFit="1" customWidth="1"/>
    <col min="6194" max="6194" width="10.21875" bestFit="1" customWidth="1"/>
    <col min="6195" max="6195" width="8" bestFit="1" customWidth="1"/>
    <col min="6196" max="6196" width="10.21875" bestFit="1" customWidth="1"/>
    <col min="6197" max="6197" width="8" bestFit="1" customWidth="1"/>
    <col min="6198" max="6198" width="10.21875" bestFit="1" customWidth="1"/>
    <col min="6199" max="6199" width="8" bestFit="1" customWidth="1"/>
    <col min="6200" max="6200" width="10.21875" bestFit="1" customWidth="1"/>
    <col min="6201" max="6202" width="8" bestFit="1" customWidth="1"/>
    <col min="6203" max="6203" width="10.21875" bestFit="1" customWidth="1"/>
    <col min="6204" max="6204" width="8" bestFit="1" customWidth="1"/>
    <col min="6205" max="6205" width="10.21875" bestFit="1" customWidth="1"/>
    <col min="6206" max="6206" width="8" bestFit="1" customWidth="1"/>
    <col min="6207" max="6207" width="10.21875" bestFit="1" customWidth="1"/>
    <col min="6208" max="6208" width="8" bestFit="1" customWidth="1"/>
    <col min="6209" max="6209" width="10.21875" bestFit="1" customWidth="1"/>
    <col min="6210" max="6212" width="8" bestFit="1" customWidth="1"/>
    <col min="6213" max="6213" width="10.21875" bestFit="1" customWidth="1"/>
    <col min="6214" max="6215" width="8" bestFit="1" customWidth="1"/>
    <col min="6216" max="6216" width="10.21875" bestFit="1" customWidth="1"/>
    <col min="6217" max="6217" width="6" bestFit="1" customWidth="1"/>
    <col min="6218" max="6218" width="8.6640625" bestFit="1" customWidth="1"/>
    <col min="6219" max="6219" width="8" bestFit="1" customWidth="1"/>
    <col min="6220" max="6220" width="10.21875" bestFit="1" customWidth="1"/>
    <col min="6221" max="6221" width="8" bestFit="1" customWidth="1"/>
    <col min="6222" max="6222" width="10.21875" bestFit="1" customWidth="1"/>
    <col min="6223" max="6223" width="8" bestFit="1" customWidth="1"/>
    <col min="6224" max="6224" width="10.21875" bestFit="1" customWidth="1"/>
    <col min="6225" max="6225" width="8" bestFit="1" customWidth="1"/>
    <col min="6226" max="6226" width="10.21875" bestFit="1" customWidth="1"/>
    <col min="6227" max="6227" width="8" bestFit="1" customWidth="1"/>
    <col min="6228" max="6228" width="10.21875" bestFit="1" customWidth="1"/>
    <col min="6229" max="6230" width="8" bestFit="1" customWidth="1"/>
    <col min="6231" max="6231" width="10.21875" bestFit="1" customWidth="1"/>
    <col min="6232" max="6232" width="8" bestFit="1" customWidth="1"/>
    <col min="6233" max="6233" width="10.21875" bestFit="1" customWidth="1"/>
    <col min="6234" max="6234" width="8" bestFit="1" customWidth="1"/>
    <col min="6235" max="6235" width="10.21875" bestFit="1" customWidth="1"/>
    <col min="6236" max="6236" width="8" bestFit="1" customWidth="1"/>
    <col min="6237" max="6237" width="10.21875" bestFit="1" customWidth="1"/>
    <col min="6238" max="6238" width="8" bestFit="1" customWidth="1"/>
    <col min="6239" max="6239" width="10.21875" bestFit="1" customWidth="1"/>
    <col min="6240" max="6240" width="8" bestFit="1" customWidth="1"/>
    <col min="6241" max="6241" width="10.21875" bestFit="1" customWidth="1"/>
    <col min="6242" max="6242" width="8" bestFit="1" customWidth="1"/>
    <col min="6243" max="6243" width="10.21875" bestFit="1" customWidth="1"/>
    <col min="6244" max="6244" width="8" bestFit="1" customWidth="1"/>
    <col min="6245" max="6245" width="10.21875" bestFit="1" customWidth="1"/>
    <col min="6246" max="6246" width="8" bestFit="1" customWidth="1"/>
    <col min="6247" max="6247" width="10.21875" bestFit="1" customWidth="1"/>
    <col min="6248" max="6248" width="8" bestFit="1" customWidth="1"/>
    <col min="6249" max="6249" width="10.21875" bestFit="1" customWidth="1"/>
    <col min="6250" max="6251" width="8" bestFit="1" customWidth="1"/>
    <col min="6252" max="6252" width="10.21875" bestFit="1" customWidth="1"/>
    <col min="6253" max="6253" width="8" bestFit="1" customWidth="1"/>
    <col min="6254" max="6254" width="10.21875" bestFit="1" customWidth="1"/>
    <col min="6255" max="6256" width="8" bestFit="1" customWidth="1"/>
    <col min="6257" max="6257" width="10.21875" bestFit="1" customWidth="1"/>
    <col min="6258" max="6258" width="8" bestFit="1" customWidth="1"/>
    <col min="6259" max="6259" width="10.21875" bestFit="1" customWidth="1"/>
    <col min="6260" max="6260" width="8" bestFit="1" customWidth="1"/>
    <col min="6261" max="6261" width="10.21875" bestFit="1" customWidth="1"/>
    <col min="6262" max="6262" width="8" bestFit="1" customWidth="1"/>
    <col min="6263" max="6263" width="10.21875" bestFit="1" customWidth="1"/>
    <col min="6264" max="6264" width="8" bestFit="1" customWidth="1"/>
    <col min="6265" max="6265" width="10.21875" bestFit="1" customWidth="1"/>
    <col min="6266" max="6266" width="8" bestFit="1" customWidth="1"/>
    <col min="6267" max="6267" width="10.21875" bestFit="1" customWidth="1"/>
    <col min="6268" max="6268" width="8" bestFit="1" customWidth="1"/>
    <col min="6269" max="6269" width="10.21875" bestFit="1" customWidth="1"/>
    <col min="6270" max="6270" width="8" bestFit="1" customWidth="1"/>
    <col min="6271" max="6271" width="10.21875" bestFit="1" customWidth="1"/>
    <col min="6272" max="6272" width="8" bestFit="1" customWidth="1"/>
    <col min="6273" max="6273" width="10.21875" bestFit="1" customWidth="1"/>
    <col min="6274" max="6274" width="8" bestFit="1" customWidth="1"/>
    <col min="6275" max="6275" width="10.21875" bestFit="1" customWidth="1"/>
    <col min="6276" max="6276" width="8" bestFit="1" customWidth="1"/>
    <col min="6277" max="6277" width="10.21875" bestFit="1" customWidth="1"/>
    <col min="6278" max="6278" width="8" bestFit="1" customWidth="1"/>
    <col min="6279" max="6279" width="10.21875" bestFit="1" customWidth="1"/>
    <col min="6280" max="6281" width="8" bestFit="1" customWidth="1"/>
    <col min="6282" max="6282" width="10.21875" bestFit="1" customWidth="1"/>
    <col min="6283" max="6284" width="6" bestFit="1" customWidth="1"/>
    <col min="6285" max="6285" width="8.6640625" bestFit="1" customWidth="1"/>
    <col min="6286" max="6286" width="8" bestFit="1" customWidth="1"/>
    <col min="6287" max="6287" width="10.21875" bestFit="1" customWidth="1"/>
    <col min="6288" max="6288" width="8" bestFit="1" customWidth="1"/>
    <col min="6289" max="6289" width="10.21875" bestFit="1" customWidth="1"/>
    <col min="6290" max="6290" width="8" bestFit="1" customWidth="1"/>
    <col min="6291" max="6291" width="10.21875" bestFit="1" customWidth="1"/>
    <col min="6292" max="6292" width="8" bestFit="1" customWidth="1"/>
    <col min="6293" max="6293" width="10.21875" bestFit="1" customWidth="1"/>
    <col min="6294" max="6294" width="8" bestFit="1" customWidth="1"/>
    <col min="6295" max="6295" width="10.21875" bestFit="1" customWidth="1"/>
    <col min="6296" max="6296" width="8" bestFit="1" customWidth="1"/>
    <col min="6297" max="6297" width="10.21875" bestFit="1" customWidth="1"/>
    <col min="6298" max="6298" width="8" bestFit="1" customWidth="1"/>
    <col min="6299" max="6299" width="10.21875" bestFit="1" customWidth="1"/>
    <col min="6300" max="6300" width="8" bestFit="1" customWidth="1"/>
    <col min="6301" max="6301" width="10.21875" bestFit="1" customWidth="1"/>
    <col min="6302" max="6302" width="8" bestFit="1" customWidth="1"/>
    <col min="6303" max="6303" width="10.21875" bestFit="1" customWidth="1"/>
    <col min="6304" max="6305" width="8" bestFit="1" customWidth="1"/>
    <col min="6306" max="6306" width="10.21875" bestFit="1" customWidth="1"/>
    <col min="6307" max="6307" width="8" bestFit="1" customWidth="1"/>
    <col min="6308" max="6308" width="10.21875" bestFit="1" customWidth="1"/>
    <col min="6309" max="6309" width="8" bestFit="1" customWidth="1"/>
    <col min="6310" max="6310" width="10.21875" bestFit="1" customWidth="1"/>
    <col min="6311" max="6311" width="8" bestFit="1" customWidth="1"/>
    <col min="6312" max="6312" width="10.21875" bestFit="1" customWidth="1"/>
    <col min="6313" max="6313" width="8" bestFit="1" customWidth="1"/>
    <col min="6314" max="6314" width="10.21875" bestFit="1" customWidth="1"/>
    <col min="6315" max="6315" width="8" bestFit="1" customWidth="1"/>
    <col min="6316" max="6316" width="10.21875" bestFit="1" customWidth="1"/>
    <col min="6317" max="6317" width="6" bestFit="1" customWidth="1"/>
    <col min="6318" max="6318" width="8.6640625" bestFit="1" customWidth="1"/>
    <col min="6319" max="6319" width="8" bestFit="1" customWidth="1"/>
    <col min="6320" max="6320" width="10.21875" bestFit="1" customWidth="1"/>
    <col min="6321" max="6321" width="8" bestFit="1" customWidth="1"/>
    <col min="6322" max="6322" width="10.21875" bestFit="1" customWidth="1"/>
    <col min="6323" max="6323" width="8" bestFit="1" customWidth="1"/>
    <col min="6324" max="6324" width="10.21875" bestFit="1" customWidth="1"/>
    <col min="6325" max="6325" width="8" bestFit="1" customWidth="1"/>
    <col min="6326" max="6326" width="10.21875" bestFit="1" customWidth="1"/>
    <col min="6327" max="6327" width="8" bestFit="1" customWidth="1"/>
    <col min="6328" max="6328" width="10.21875" bestFit="1" customWidth="1"/>
    <col min="6329" max="6329" width="8" bestFit="1" customWidth="1"/>
    <col min="6330" max="6330" width="10.21875" bestFit="1" customWidth="1"/>
    <col min="6331" max="6331" width="8" bestFit="1" customWidth="1"/>
    <col min="6332" max="6332" width="10.21875" bestFit="1" customWidth="1"/>
    <col min="6333" max="6333" width="6" bestFit="1" customWidth="1"/>
    <col min="6334" max="6334" width="8.6640625" bestFit="1" customWidth="1"/>
    <col min="6335" max="6335" width="8" bestFit="1" customWidth="1"/>
    <col min="6336" max="6336" width="10.21875" bestFit="1" customWidth="1"/>
    <col min="6337" max="6337" width="8" bestFit="1" customWidth="1"/>
    <col min="6338" max="6338" width="10.21875" bestFit="1" customWidth="1"/>
    <col min="6339" max="6339" width="8" bestFit="1" customWidth="1"/>
    <col min="6340" max="6340" width="10.21875" bestFit="1" customWidth="1"/>
    <col min="6341" max="6342" width="8" bestFit="1" customWidth="1"/>
    <col min="6343" max="6343" width="10.21875" bestFit="1" customWidth="1"/>
    <col min="6344" max="6344" width="8" bestFit="1" customWidth="1"/>
    <col min="6345" max="6345" width="10.21875" bestFit="1" customWidth="1"/>
    <col min="6346" max="6346" width="8" bestFit="1" customWidth="1"/>
    <col min="6347" max="6347" width="10.21875" bestFit="1" customWidth="1"/>
    <col min="6348" max="6348" width="8" bestFit="1" customWidth="1"/>
    <col min="6349" max="6349" width="10.21875" bestFit="1" customWidth="1"/>
    <col min="6350" max="6350" width="8" bestFit="1" customWidth="1"/>
    <col min="6351" max="6351" width="10.21875" bestFit="1" customWidth="1"/>
    <col min="6352" max="6353" width="6" bestFit="1" customWidth="1"/>
    <col min="6354" max="6354" width="8.6640625" bestFit="1" customWidth="1"/>
    <col min="6355" max="6355" width="8" bestFit="1" customWidth="1"/>
    <col min="6356" max="6356" width="10.21875" bestFit="1" customWidth="1"/>
    <col min="6357" max="6357" width="8" bestFit="1" customWidth="1"/>
    <col min="6358" max="6358" width="10.21875" bestFit="1" customWidth="1"/>
    <col min="6359" max="6360" width="8" bestFit="1" customWidth="1"/>
    <col min="6361" max="6361" width="10.21875" bestFit="1" customWidth="1"/>
    <col min="6362" max="6363" width="8" bestFit="1" customWidth="1"/>
    <col min="6364" max="6364" width="10.21875" bestFit="1" customWidth="1"/>
    <col min="6365" max="6365" width="8" bestFit="1" customWidth="1"/>
    <col min="6366" max="6366" width="10.21875" bestFit="1" customWidth="1"/>
    <col min="6367" max="6367" width="8" bestFit="1" customWidth="1"/>
    <col min="6368" max="6368" width="10.21875" bestFit="1" customWidth="1"/>
    <col min="6369" max="6370" width="8" bestFit="1" customWidth="1"/>
    <col min="6371" max="6371" width="10.21875" bestFit="1" customWidth="1"/>
    <col min="6372" max="6372" width="8" bestFit="1" customWidth="1"/>
    <col min="6373" max="6373" width="10.21875" bestFit="1" customWidth="1"/>
    <col min="6374" max="6374" width="8" bestFit="1" customWidth="1"/>
    <col min="6375" max="6375" width="10.21875" bestFit="1" customWidth="1"/>
    <col min="6376" max="6376" width="8" bestFit="1" customWidth="1"/>
    <col min="6377" max="6377" width="10.21875" bestFit="1" customWidth="1"/>
    <col min="6378" max="6378" width="8" bestFit="1" customWidth="1"/>
    <col min="6379" max="6379" width="10.21875" bestFit="1" customWidth="1"/>
    <col min="6380" max="6380" width="8" bestFit="1" customWidth="1"/>
    <col min="6381" max="6381" width="10.21875" bestFit="1" customWidth="1"/>
    <col min="6382" max="6384" width="8" bestFit="1" customWidth="1"/>
    <col min="6385" max="6385" width="10.21875" bestFit="1" customWidth="1"/>
    <col min="6386" max="6386" width="14" bestFit="1" customWidth="1"/>
    <col min="6387" max="6387" width="21.5546875" bestFit="1" customWidth="1"/>
    <col min="6388" max="6388" width="14" bestFit="1" customWidth="1"/>
    <col min="6389" max="6389" width="21.5546875" bestFit="1" customWidth="1"/>
    <col min="6390" max="6390" width="6" bestFit="1" customWidth="1"/>
    <col min="6391" max="6391" width="8.6640625" bestFit="1" customWidth="1"/>
    <col min="6392" max="6393" width="8" bestFit="1" customWidth="1"/>
    <col min="6394" max="6394" width="10.21875" bestFit="1" customWidth="1"/>
    <col min="6395" max="6395" width="8" bestFit="1" customWidth="1"/>
    <col min="6396" max="6396" width="10.21875" bestFit="1" customWidth="1"/>
    <col min="6397" max="6398" width="8" bestFit="1" customWidth="1"/>
    <col min="6399" max="6399" width="10.21875" bestFit="1" customWidth="1"/>
    <col min="6400" max="6400" width="8" bestFit="1" customWidth="1"/>
    <col min="6401" max="6401" width="10.21875" bestFit="1" customWidth="1"/>
    <col min="6402" max="6405" width="8" bestFit="1" customWidth="1"/>
    <col min="6406" max="6406" width="10.21875" bestFit="1" customWidth="1"/>
    <col min="6407" max="6408" width="8" bestFit="1" customWidth="1"/>
    <col min="6409" max="6409" width="10.21875" bestFit="1" customWidth="1"/>
    <col min="6410" max="6412" width="8" bestFit="1" customWidth="1"/>
    <col min="6413" max="6413" width="10.21875" bestFit="1" customWidth="1"/>
    <col min="6414" max="6414" width="8" bestFit="1" customWidth="1"/>
    <col min="6415" max="6415" width="10.21875" bestFit="1" customWidth="1"/>
    <col min="6416" max="6417" width="8" bestFit="1" customWidth="1"/>
    <col min="6418" max="6418" width="10.21875" bestFit="1" customWidth="1"/>
    <col min="6419" max="6420" width="8" bestFit="1" customWidth="1"/>
    <col min="6421" max="6421" width="10.21875" bestFit="1" customWidth="1"/>
    <col min="6422" max="6422" width="14" bestFit="1" customWidth="1"/>
    <col min="6423" max="6423" width="21.5546875" bestFit="1" customWidth="1"/>
    <col min="6424" max="6424" width="8" bestFit="1" customWidth="1"/>
    <col min="6425" max="6425" width="10.21875" bestFit="1" customWidth="1"/>
    <col min="6426" max="6426" width="14" bestFit="1" customWidth="1"/>
    <col min="6427" max="6427" width="21.5546875" bestFit="1" customWidth="1"/>
    <col min="6428" max="6428" width="8" bestFit="1" customWidth="1"/>
    <col min="6429" max="6429" width="10.21875" bestFit="1" customWidth="1"/>
    <col min="6430" max="6430" width="8" bestFit="1" customWidth="1"/>
    <col min="6431" max="6431" width="10.21875" bestFit="1" customWidth="1"/>
    <col min="6432" max="6433" width="8" bestFit="1" customWidth="1"/>
    <col min="6434" max="6434" width="10.21875" bestFit="1" customWidth="1"/>
    <col min="6435" max="6435" width="8" bestFit="1" customWidth="1"/>
    <col min="6436" max="6436" width="10.21875" bestFit="1" customWidth="1"/>
    <col min="6437" max="6437" width="8" bestFit="1" customWidth="1"/>
    <col min="6438" max="6438" width="10.21875" bestFit="1" customWidth="1"/>
    <col min="6439" max="6440" width="8" bestFit="1" customWidth="1"/>
    <col min="6441" max="6441" width="10.21875" bestFit="1" customWidth="1"/>
    <col min="6442" max="6442" width="8" bestFit="1" customWidth="1"/>
    <col min="6443" max="6443" width="10.21875" bestFit="1" customWidth="1"/>
    <col min="6444" max="6444" width="8" bestFit="1" customWidth="1"/>
    <col min="6445" max="6445" width="10.21875" bestFit="1" customWidth="1"/>
    <col min="6446" max="6446" width="8" bestFit="1" customWidth="1"/>
    <col min="6447" max="6447" width="10.21875" bestFit="1" customWidth="1"/>
    <col min="6448" max="6448" width="8" bestFit="1" customWidth="1"/>
    <col min="6449" max="6449" width="10.21875" bestFit="1" customWidth="1"/>
    <col min="6450" max="6450" width="8" bestFit="1" customWidth="1"/>
    <col min="6451" max="6451" width="10.21875" bestFit="1" customWidth="1"/>
    <col min="6452" max="6452" width="8" bestFit="1" customWidth="1"/>
    <col min="6453" max="6453" width="10.21875" bestFit="1" customWidth="1"/>
    <col min="6454" max="6455" width="8" bestFit="1" customWidth="1"/>
    <col min="6456" max="6456" width="10.21875" bestFit="1" customWidth="1"/>
    <col min="6457" max="6460" width="8" bestFit="1" customWidth="1"/>
    <col min="6461" max="6461" width="10.21875" bestFit="1" customWidth="1"/>
    <col min="6462" max="6462" width="8" bestFit="1" customWidth="1"/>
    <col min="6463" max="6463" width="10.21875" bestFit="1" customWidth="1"/>
    <col min="6464" max="6464" width="8" bestFit="1" customWidth="1"/>
    <col min="6465" max="6465" width="10.21875" bestFit="1" customWidth="1"/>
    <col min="6466" max="6466" width="8" bestFit="1" customWidth="1"/>
    <col min="6467" max="6467" width="10.21875" bestFit="1" customWidth="1"/>
    <col min="6468" max="6469" width="8" bestFit="1" customWidth="1"/>
    <col min="6470" max="6470" width="10.21875" bestFit="1" customWidth="1"/>
    <col min="6471" max="6471" width="6" bestFit="1" customWidth="1"/>
    <col min="6472" max="6472" width="8.6640625" bestFit="1" customWidth="1"/>
    <col min="6473" max="6474" width="8" bestFit="1" customWidth="1"/>
    <col min="6475" max="6475" width="10.21875" bestFit="1" customWidth="1"/>
    <col min="6476" max="6477" width="8" bestFit="1" customWidth="1"/>
    <col min="6478" max="6478" width="10.21875" bestFit="1" customWidth="1"/>
    <col min="6479" max="6479" width="8" bestFit="1" customWidth="1"/>
    <col min="6480" max="6480" width="10.21875" bestFit="1" customWidth="1"/>
    <col min="6481" max="6482" width="8" bestFit="1" customWidth="1"/>
    <col min="6483" max="6483" width="10.21875" bestFit="1" customWidth="1"/>
    <col min="6484" max="6484" width="8" bestFit="1" customWidth="1"/>
    <col min="6485" max="6485" width="10.21875" bestFit="1" customWidth="1"/>
    <col min="6486" max="6488" width="12" bestFit="1" customWidth="1"/>
    <col min="6489" max="6489" width="12.21875" bestFit="1" customWidth="1"/>
    <col min="6490" max="6490" width="8" bestFit="1" customWidth="1"/>
    <col min="6491" max="6491" width="10.21875" bestFit="1" customWidth="1"/>
    <col min="6492" max="6492" width="6" bestFit="1" customWidth="1"/>
    <col min="6493" max="6493" width="8.6640625" bestFit="1" customWidth="1"/>
    <col min="6494" max="6494" width="8" bestFit="1" customWidth="1"/>
    <col min="6495" max="6495" width="10.21875" bestFit="1" customWidth="1"/>
    <col min="6496" max="6497" width="8" bestFit="1" customWidth="1"/>
    <col min="6498" max="6498" width="10.21875" bestFit="1" customWidth="1"/>
    <col min="6499" max="6499" width="8" bestFit="1" customWidth="1"/>
    <col min="6500" max="6500" width="10.21875" bestFit="1" customWidth="1"/>
    <col min="6501" max="6501" width="8" bestFit="1" customWidth="1"/>
    <col min="6502" max="6502" width="10.21875" bestFit="1" customWidth="1"/>
    <col min="6503" max="6503" width="8" bestFit="1" customWidth="1"/>
    <col min="6504" max="6504" width="10.21875" bestFit="1" customWidth="1"/>
    <col min="6505" max="6505" width="8" bestFit="1" customWidth="1"/>
    <col min="6506" max="6506" width="10.21875" bestFit="1" customWidth="1"/>
    <col min="6507" max="6507" width="8" bestFit="1" customWidth="1"/>
    <col min="6508" max="6508" width="10.21875" bestFit="1" customWidth="1"/>
    <col min="6509" max="6510" width="8" bestFit="1" customWidth="1"/>
    <col min="6511" max="6511" width="10.21875" bestFit="1" customWidth="1"/>
    <col min="6512" max="6512" width="8" bestFit="1" customWidth="1"/>
    <col min="6513" max="6513" width="10.21875" bestFit="1" customWidth="1"/>
    <col min="6514" max="6514" width="6" bestFit="1" customWidth="1"/>
    <col min="6515" max="6515" width="8.6640625" bestFit="1" customWidth="1"/>
    <col min="6516" max="6516" width="8" bestFit="1" customWidth="1"/>
    <col min="6517" max="6517" width="10.21875" bestFit="1" customWidth="1"/>
    <col min="6518" max="6518" width="8" bestFit="1" customWidth="1"/>
    <col min="6519" max="6519" width="10.21875" bestFit="1" customWidth="1"/>
    <col min="6520" max="6520" width="8" bestFit="1" customWidth="1"/>
    <col min="6521" max="6521" width="10.21875" bestFit="1" customWidth="1"/>
    <col min="6522" max="6522" width="8" bestFit="1" customWidth="1"/>
    <col min="6523" max="6523" width="10.21875" bestFit="1" customWidth="1"/>
    <col min="6524" max="6524" width="8" bestFit="1" customWidth="1"/>
    <col min="6525" max="6525" width="10.21875" bestFit="1" customWidth="1"/>
    <col min="6526" max="6526" width="8" bestFit="1" customWidth="1"/>
    <col min="6527" max="6527" width="10.21875" bestFit="1" customWidth="1"/>
    <col min="6528" max="6528" width="6" bestFit="1" customWidth="1"/>
    <col min="6529" max="6529" width="8.6640625" bestFit="1" customWidth="1"/>
    <col min="6530" max="6530" width="8" bestFit="1" customWidth="1"/>
    <col min="6531" max="6531" width="10.21875" bestFit="1" customWidth="1"/>
    <col min="6532" max="6532" width="8" bestFit="1" customWidth="1"/>
    <col min="6533" max="6533" width="10.21875" bestFit="1" customWidth="1"/>
    <col min="6534" max="6534" width="8" bestFit="1" customWidth="1"/>
    <col min="6535" max="6535" width="10.21875" bestFit="1" customWidth="1"/>
    <col min="6536" max="6536" width="8" bestFit="1" customWidth="1"/>
    <col min="6537" max="6537" width="10.21875" bestFit="1" customWidth="1"/>
    <col min="6538" max="6538" width="8" bestFit="1" customWidth="1"/>
    <col min="6539" max="6539" width="10.21875" bestFit="1" customWidth="1"/>
    <col min="6540" max="6540" width="8" bestFit="1" customWidth="1"/>
    <col min="6541" max="6541" width="10.21875" bestFit="1" customWidth="1"/>
    <col min="6542" max="6542" width="8" bestFit="1" customWidth="1"/>
    <col min="6543" max="6543" width="10.21875" bestFit="1" customWidth="1"/>
    <col min="6544" max="6544" width="8" bestFit="1" customWidth="1"/>
    <col min="6545" max="6545" width="10.21875" bestFit="1" customWidth="1"/>
    <col min="6546" max="6547" width="6" bestFit="1" customWidth="1"/>
    <col min="6548" max="6548" width="8.6640625" bestFit="1" customWidth="1"/>
    <col min="6549" max="6549" width="8" bestFit="1" customWidth="1"/>
    <col min="6550" max="6550" width="10.21875" bestFit="1" customWidth="1"/>
    <col min="6551" max="6551" width="8" bestFit="1" customWidth="1"/>
    <col min="6552" max="6552" width="10.21875" bestFit="1" customWidth="1"/>
    <col min="6553" max="6553" width="8" bestFit="1" customWidth="1"/>
    <col min="6554" max="6554" width="10.21875" bestFit="1" customWidth="1"/>
    <col min="6555" max="6556" width="8" bestFit="1" customWidth="1"/>
    <col min="6557" max="6557" width="10.21875" bestFit="1" customWidth="1"/>
    <col min="6558" max="6558" width="8" bestFit="1" customWidth="1"/>
    <col min="6559" max="6559" width="10.21875" bestFit="1" customWidth="1"/>
    <col min="6560" max="6560" width="8" bestFit="1" customWidth="1"/>
    <col min="6561" max="6561" width="10.21875" bestFit="1" customWidth="1"/>
    <col min="6562" max="6563" width="8" bestFit="1" customWidth="1"/>
    <col min="6564" max="6564" width="10.21875" bestFit="1" customWidth="1"/>
    <col min="6565" max="6565" width="8" bestFit="1" customWidth="1"/>
    <col min="6566" max="6566" width="10.21875" bestFit="1" customWidth="1"/>
    <col min="6567" max="6567" width="8" bestFit="1" customWidth="1"/>
    <col min="6568" max="6568" width="10.21875" bestFit="1" customWidth="1"/>
    <col min="6569" max="6569" width="8" bestFit="1" customWidth="1"/>
    <col min="6570" max="6570" width="10.21875" bestFit="1" customWidth="1"/>
    <col min="6571" max="6573" width="8" bestFit="1" customWidth="1"/>
    <col min="6574" max="6574" width="10.21875" bestFit="1" customWidth="1"/>
    <col min="6575" max="6575" width="8" bestFit="1" customWidth="1"/>
    <col min="6576" max="6576" width="10.21875" bestFit="1" customWidth="1"/>
    <col min="6577" max="6577" width="8" bestFit="1" customWidth="1"/>
    <col min="6578" max="6578" width="10.21875" bestFit="1" customWidth="1"/>
    <col min="6579" max="6579" width="8" bestFit="1" customWidth="1"/>
    <col min="6580" max="6580" width="10.21875" bestFit="1" customWidth="1"/>
    <col min="6581" max="6581" width="8" bestFit="1" customWidth="1"/>
    <col min="6582" max="6582" width="10.21875" bestFit="1" customWidth="1"/>
    <col min="6583" max="6583" width="8" bestFit="1" customWidth="1"/>
    <col min="6584" max="6584" width="10.21875" bestFit="1" customWidth="1"/>
    <col min="6585" max="6585" width="8" bestFit="1" customWidth="1"/>
    <col min="6586" max="6586" width="10.21875" bestFit="1" customWidth="1"/>
    <col min="6587" max="6587" width="8" bestFit="1" customWidth="1"/>
    <col min="6588" max="6588" width="10.21875" bestFit="1" customWidth="1"/>
    <col min="6589" max="6589" width="8" bestFit="1" customWidth="1"/>
    <col min="6590" max="6590" width="10.21875" bestFit="1" customWidth="1"/>
    <col min="6591" max="6591" width="8" bestFit="1" customWidth="1"/>
    <col min="6592" max="6592" width="10.21875" bestFit="1" customWidth="1"/>
    <col min="6593" max="6593" width="8" bestFit="1" customWidth="1"/>
    <col min="6594" max="6594" width="10.21875" bestFit="1" customWidth="1"/>
    <col min="6595" max="6595" width="8" bestFit="1" customWidth="1"/>
    <col min="6596" max="6596" width="10.21875" bestFit="1" customWidth="1"/>
    <col min="6597" max="6597" width="6" bestFit="1" customWidth="1"/>
    <col min="6598" max="6598" width="8.6640625" bestFit="1" customWidth="1"/>
    <col min="6599" max="6599" width="8" bestFit="1" customWidth="1"/>
    <col min="6600" max="6600" width="10.21875" bestFit="1" customWidth="1"/>
    <col min="6601" max="6601" width="8" bestFit="1" customWidth="1"/>
    <col min="6602" max="6602" width="10.21875" bestFit="1" customWidth="1"/>
    <col min="6603" max="6603" width="8" bestFit="1" customWidth="1"/>
    <col min="6604" max="6604" width="10.21875" bestFit="1" customWidth="1"/>
    <col min="6605" max="6605" width="8" bestFit="1" customWidth="1"/>
    <col min="6606" max="6606" width="10.21875" bestFit="1" customWidth="1"/>
    <col min="6607" max="6607" width="8" bestFit="1" customWidth="1"/>
    <col min="6608" max="6608" width="10.21875" bestFit="1" customWidth="1"/>
    <col min="6609" max="6609" width="8" bestFit="1" customWidth="1"/>
    <col min="6610" max="6610" width="10.21875" bestFit="1" customWidth="1"/>
    <col min="6611" max="6611" width="8" bestFit="1" customWidth="1"/>
    <col min="6612" max="6612" width="10.21875" bestFit="1" customWidth="1"/>
    <col min="6613" max="6613" width="8" bestFit="1" customWidth="1"/>
    <col min="6614" max="6614" width="10.21875" bestFit="1" customWidth="1"/>
    <col min="6615" max="6615" width="8" bestFit="1" customWidth="1"/>
    <col min="6616" max="6616" width="10.21875" bestFit="1" customWidth="1"/>
    <col min="6617" max="6617" width="8" bestFit="1" customWidth="1"/>
    <col min="6618" max="6618" width="10.21875" bestFit="1" customWidth="1"/>
    <col min="6619" max="6619" width="8" bestFit="1" customWidth="1"/>
    <col min="6620" max="6620" width="10.21875" bestFit="1" customWidth="1"/>
    <col min="6621" max="6621" width="28.88671875" bestFit="1" customWidth="1"/>
    <col min="6622" max="6622" width="10.21875" bestFit="1" customWidth="1"/>
    <col min="6623" max="6623" width="8" bestFit="1" customWidth="1"/>
    <col min="6624" max="6624" width="10.21875" bestFit="1" customWidth="1"/>
    <col min="6625" max="6625" width="8" bestFit="1" customWidth="1"/>
    <col min="6626" max="6626" width="10.21875" bestFit="1" customWidth="1"/>
    <col min="6627" max="6628" width="8" bestFit="1" customWidth="1"/>
    <col min="6629" max="6629" width="10.21875" bestFit="1" customWidth="1"/>
    <col min="6630" max="6630" width="8" bestFit="1" customWidth="1"/>
    <col min="6631" max="6631" width="10.21875" bestFit="1" customWidth="1"/>
    <col min="6632" max="6632" width="6" bestFit="1" customWidth="1"/>
    <col min="6633" max="6633" width="8.6640625" bestFit="1" customWidth="1"/>
    <col min="6634" max="6634" width="8" bestFit="1" customWidth="1"/>
    <col min="6635" max="6635" width="10.21875" bestFit="1" customWidth="1"/>
    <col min="6636" max="6636" width="8" bestFit="1" customWidth="1"/>
    <col min="6637" max="6637" width="10.21875" bestFit="1" customWidth="1"/>
    <col min="6638" max="6638" width="8" bestFit="1" customWidth="1"/>
    <col min="6639" max="6639" width="10.21875" bestFit="1" customWidth="1"/>
    <col min="6640" max="6640" width="6" bestFit="1" customWidth="1"/>
    <col min="6641" max="6641" width="8.6640625" bestFit="1" customWidth="1"/>
    <col min="6642" max="6642" width="8" bestFit="1" customWidth="1"/>
    <col min="6643" max="6643" width="10.21875" bestFit="1" customWidth="1"/>
    <col min="6644" max="6644" width="8" bestFit="1" customWidth="1"/>
    <col min="6645" max="6645" width="10.21875" bestFit="1" customWidth="1"/>
    <col min="6646" max="6646" width="8" bestFit="1" customWidth="1"/>
    <col min="6647" max="6647" width="10.21875" bestFit="1" customWidth="1"/>
    <col min="6648" max="6648" width="8" bestFit="1" customWidth="1"/>
    <col min="6649" max="6649" width="10.21875" bestFit="1" customWidth="1"/>
    <col min="6650" max="6650" width="8" bestFit="1" customWidth="1"/>
    <col min="6651" max="6651" width="10.21875" bestFit="1" customWidth="1"/>
    <col min="6652" max="6652" width="8" bestFit="1" customWidth="1"/>
    <col min="6653" max="6653" width="10.21875" bestFit="1" customWidth="1"/>
    <col min="6654" max="6654" width="8" bestFit="1" customWidth="1"/>
    <col min="6655" max="6655" width="10.21875" bestFit="1" customWidth="1"/>
    <col min="6656" max="6656" width="8" bestFit="1" customWidth="1"/>
    <col min="6657" max="6657" width="10.21875" bestFit="1" customWidth="1"/>
    <col min="6658" max="6658" width="8" bestFit="1" customWidth="1"/>
    <col min="6659" max="6659" width="10.21875" bestFit="1" customWidth="1"/>
    <col min="6660" max="6660" width="8" bestFit="1" customWidth="1"/>
    <col min="6661" max="6661" width="10.21875" bestFit="1" customWidth="1"/>
    <col min="6662" max="6662" width="8" bestFit="1" customWidth="1"/>
    <col min="6663" max="6663" width="10.21875" bestFit="1" customWidth="1"/>
    <col min="6664" max="6664" width="8" bestFit="1" customWidth="1"/>
    <col min="6665" max="6665" width="10.21875" bestFit="1" customWidth="1"/>
    <col min="6666" max="6666" width="8" bestFit="1" customWidth="1"/>
    <col min="6667" max="6667" width="10.21875" bestFit="1" customWidth="1"/>
    <col min="6668" max="6668" width="8" bestFit="1" customWidth="1"/>
    <col min="6669" max="6669" width="10.21875" bestFit="1" customWidth="1"/>
    <col min="6670" max="6670" width="8" bestFit="1" customWidth="1"/>
    <col min="6671" max="6671" width="10.21875" bestFit="1" customWidth="1"/>
    <col min="6672" max="6673" width="8" bestFit="1" customWidth="1"/>
    <col min="6674" max="6674" width="10.21875" bestFit="1" customWidth="1"/>
    <col min="6675" max="6675" width="6" bestFit="1" customWidth="1"/>
    <col min="6676" max="6676" width="8.6640625" bestFit="1" customWidth="1"/>
    <col min="6677" max="6678" width="8" bestFit="1" customWidth="1"/>
    <col min="6679" max="6679" width="10.21875" bestFit="1" customWidth="1"/>
    <col min="6680" max="6681" width="8" bestFit="1" customWidth="1"/>
    <col min="6682" max="6682" width="10.21875" bestFit="1" customWidth="1"/>
    <col min="6683" max="6683" width="8" bestFit="1" customWidth="1"/>
    <col min="6684" max="6684" width="10.21875" bestFit="1" customWidth="1"/>
    <col min="6685" max="6686" width="8" bestFit="1" customWidth="1"/>
    <col min="6687" max="6687" width="10.21875" bestFit="1" customWidth="1"/>
    <col min="6688" max="6690" width="8" bestFit="1" customWidth="1"/>
    <col min="6691" max="6691" width="10.21875" bestFit="1" customWidth="1"/>
    <col min="6692" max="6694" width="8" bestFit="1" customWidth="1"/>
    <col min="6695" max="6695" width="10.21875" bestFit="1" customWidth="1"/>
    <col min="6696" max="6697" width="6" bestFit="1" customWidth="1"/>
    <col min="6698" max="6698" width="8.6640625" bestFit="1" customWidth="1"/>
    <col min="6699" max="6699" width="8" bestFit="1" customWidth="1"/>
    <col min="6700" max="6700" width="10.21875" bestFit="1" customWidth="1"/>
    <col min="6701" max="6701" width="8" bestFit="1" customWidth="1"/>
    <col min="6702" max="6702" width="10.21875" bestFit="1" customWidth="1"/>
    <col min="6703" max="6703" width="8" bestFit="1" customWidth="1"/>
    <col min="6704" max="6704" width="10.21875" bestFit="1" customWidth="1"/>
    <col min="6705" max="6705" width="8" bestFit="1" customWidth="1"/>
    <col min="6706" max="6706" width="10.21875" bestFit="1" customWidth="1"/>
    <col min="6707" max="6708" width="6" bestFit="1" customWidth="1"/>
    <col min="6709" max="6709" width="8.6640625" bestFit="1" customWidth="1"/>
    <col min="6710" max="6710" width="8" bestFit="1" customWidth="1"/>
    <col min="6711" max="6711" width="10.21875" bestFit="1" customWidth="1"/>
    <col min="6712" max="6712" width="8" bestFit="1" customWidth="1"/>
    <col min="6713" max="6713" width="10.21875" bestFit="1" customWidth="1"/>
    <col min="6714" max="6714" width="8" bestFit="1" customWidth="1"/>
    <col min="6715" max="6715" width="10.21875" bestFit="1" customWidth="1"/>
    <col min="6716" max="6716" width="8" bestFit="1" customWidth="1"/>
    <col min="6717" max="6717" width="10.21875" bestFit="1" customWidth="1"/>
    <col min="6718" max="6718" width="8" bestFit="1" customWidth="1"/>
    <col min="6719" max="6719" width="10.21875" bestFit="1" customWidth="1"/>
    <col min="6720" max="6720" width="8" bestFit="1" customWidth="1"/>
    <col min="6721" max="6721" width="10.21875" bestFit="1" customWidth="1"/>
    <col min="6722" max="6722" width="8" bestFit="1" customWidth="1"/>
    <col min="6723" max="6723" width="10.21875" bestFit="1" customWidth="1"/>
    <col min="6724" max="6724" width="8" bestFit="1" customWidth="1"/>
    <col min="6725" max="6725" width="10.21875" bestFit="1" customWidth="1"/>
    <col min="6726" max="6726" width="8" bestFit="1" customWidth="1"/>
    <col min="6727" max="6727" width="10.21875" bestFit="1" customWidth="1"/>
    <col min="6728" max="6728" width="8" bestFit="1" customWidth="1"/>
    <col min="6729" max="6729" width="10.21875" bestFit="1" customWidth="1"/>
    <col min="6730" max="6730" width="8" bestFit="1" customWidth="1"/>
    <col min="6731" max="6731" width="10.21875" bestFit="1" customWidth="1"/>
    <col min="6732" max="6732" width="8" bestFit="1" customWidth="1"/>
    <col min="6733" max="6733" width="10.21875" bestFit="1" customWidth="1"/>
    <col min="6734" max="6734" width="6" bestFit="1" customWidth="1"/>
    <col min="6735" max="6735" width="8.6640625" bestFit="1" customWidth="1"/>
    <col min="6736" max="6736" width="8" bestFit="1" customWidth="1"/>
    <col min="6737" max="6737" width="10.21875" bestFit="1" customWidth="1"/>
    <col min="6738" max="6738" width="8" bestFit="1" customWidth="1"/>
    <col min="6739" max="6739" width="10.21875" bestFit="1" customWidth="1"/>
    <col min="6740" max="6740" width="8" bestFit="1" customWidth="1"/>
    <col min="6741" max="6741" width="10.21875" bestFit="1" customWidth="1"/>
    <col min="6742" max="6742" width="8" bestFit="1" customWidth="1"/>
    <col min="6743" max="6743" width="10.21875" bestFit="1" customWidth="1"/>
    <col min="6744" max="6744" width="6" bestFit="1" customWidth="1"/>
    <col min="6745" max="6745" width="8.6640625" bestFit="1" customWidth="1"/>
    <col min="6746" max="6746" width="8" bestFit="1" customWidth="1"/>
    <col min="6747" max="6747" width="10.21875" bestFit="1" customWidth="1"/>
    <col min="6748" max="6748" width="8" bestFit="1" customWidth="1"/>
    <col min="6749" max="6749" width="10.21875" bestFit="1" customWidth="1"/>
    <col min="6750" max="6750" width="8" bestFit="1" customWidth="1"/>
    <col min="6751" max="6751" width="10.21875" bestFit="1" customWidth="1"/>
    <col min="6752" max="6753" width="8" bestFit="1" customWidth="1"/>
    <col min="6754" max="6754" width="10.21875" bestFit="1" customWidth="1"/>
    <col min="6755" max="6755" width="8" bestFit="1" customWidth="1"/>
    <col min="6756" max="6756" width="10.21875" bestFit="1" customWidth="1"/>
    <col min="6757" max="6757" width="6" bestFit="1" customWidth="1"/>
    <col min="6758" max="6758" width="8.6640625" bestFit="1" customWidth="1"/>
    <col min="6759" max="6759" width="8" bestFit="1" customWidth="1"/>
    <col min="6760" max="6760" width="10.21875" bestFit="1" customWidth="1"/>
    <col min="6761" max="6761" width="8" bestFit="1" customWidth="1"/>
    <col min="6762" max="6762" width="10.21875" bestFit="1" customWidth="1"/>
    <col min="6763" max="6763" width="8" bestFit="1" customWidth="1"/>
    <col min="6764" max="6764" width="10.21875" bestFit="1" customWidth="1"/>
    <col min="6765" max="6765" width="8" bestFit="1" customWidth="1"/>
    <col min="6766" max="6766" width="10.21875" bestFit="1" customWidth="1"/>
    <col min="6767" max="6767" width="8" bestFit="1" customWidth="1"/>
    <col min="6768" max="6768" width="10.21875" bestFit="1" customWidth="1"/>
    <col min="6769" max="6769" width="8" bestFit="1" customWidth="1"/>
    <col min="6770" max="6770" width="10.21875" bestFit="1" customWidth="1"/>
    <col min="6771" max="6771" width="8" bestFit="1" customWidth="1"/>
    <col min="6772" max="6772" width="10.21875" bestFit="1" customWidth="1"/>
    <col min="6773" max="6773" width="8" bestFit="1" customWidth="1"/>
    <col min="6774" max="6774" width="10.21875" bestFit="1" customWidth="1"/>
    <col min="6775" max="6775" width="6" bestFit="1" customWidth="1"/>
    <col min="6776" max="6776" width="8.6640625" bestFit="1" customWidth="1"/>
    <col min="6777" max="6777" width="8" bestFit="1" customWidth="1"/>
    <col min="6778" max="6778" width="10.21875" bestFit="1" customWidth="1"/>
    <col min="6779" max="6779" width="8" bestFit="1" customWidth="1"/>
    <col min="6780" max="6780" width="10.21875" bestFit="1" customWidth="1"/>
    <col min="6781" max="6782" width="6" bestFit="1" customWidth="1"/>
    <col min="6783" max="6783" width="8.6640625" bestFit="1" customWidth="1"/>
    <col min="6784" max="6784" width="8" bestFit="1" customWidth="1"/>
    <col min="6785" max="6785" width="10.21875" bestFit="1" customWidth="1"/>
    <col min="6786" max="6786" width="8" bestFit="1" customWidth="1"/>
    <col min="6787" max="6787" width="10.21875" bestFit="1" customWidth="1"/>
    <col min="6788" max="6788" width="8" bestFit="1" customWidth="1"/>
    <col min="6789" max="6789" width="10.21875" bestFit="1" customWidth="1"/>
    <col min="6790" max="6790" width="8" bestFit="1" customWidth="1"/>
    <col min="6791" max="6791" width="10.21875" bestFit="1" customWidth="1"/>
    <col min="6792" max="6792" width="8" bestFit="1" customWidth="1"/>
    <col min="6793" max="6793" width="10.21875" bestFit="1" customWidth="1"/>
    <col min="6794" max="6794" width="8" bestFit="1" customWidth="1"/>
    <col min="6795" max="6795" width="10.21875" bestFit="1" customWidth="1"/>
    <col min="6796" max="6797" width="8" bestFit="1" customWidth="1"/>
    <col min="6798" max="6798" width="10.21875" bestFit="1" customWidth="1"/>
    <col min="6799" max="6799" width="8" bestFit="1" customWidth="1"/>
    <col min="6800" max="6800" width="10.21875" bestFit="1" customWidth="1"/>
    <col min="6801" max="6801" width="8" bestFit="1" customWidth="1"/>
    <col min="6802" max="6802" width="10.21875" bestFit="1" customWidth="1"/>
    <col min="6803" max="6803" width="8" bestFit="1" customWidth="1"/>
    <col min="6804" max="6804" width="10.21875" bestFit="1" customWidth="1"/>
    <col min="6805" max="6805" width="8" bestFit="1" customWidth="1"/>
    <col min="6806" max="6806" width="10.21875" bestFit="1" customWidth="1"/>
    <col min="6807" max="6807" width="8" bestFit="1" customWidth="1"/>
    <col min="6808" max="6808" width="10.21875" bestFit="1" customWidth="1"/>
    <col min="6809" max="6811" width="8" bestFit="1" customWidth="1"/>
    <col min="6812" max="6812" width="10.21875" bestFit="1" customWidth="1"/>
    <col min="6813" max="6815" width="8" bestFit="1" customWidth="1"/>
    <col min="6816" max="6816" width="10.21875" bestFit="1" customWidth="1"/>
    <col min="6817" max="6818" width="8" bestFit="1" customWidth="1"/>
    <col min="6819" max="6819" width="10.21875" bestFit="1" customWidth="1"/>
    <col min="6820" max="6821" width="8" bestFit="1" customWidth="1"/>
    <col min="6822" max="6822" width="10.21875" bestFit="1" customWidth="1"/>
    <col min="6823" max="6825" width="8" bestFit="1" customWidth="1"/>
    <col min="6826" max="6826" width="10.21875" bestFit="1" customWidth="1"/>
    <col min="6827" max="6827" width="8" bestFit="1" customWidth="1"/>
    <col min="6828" max="6828" width="10.21875" bestFit="1" customWidth="1"/>
    <col min="6829" max="6829" width="8" bestFit="1" customWidth="1"/>
    <col min="6830" max="6830" width="10.21875" bestFit="1" customWidth="1"/>
    <col min="6831" max="6831" width="8" bestFit="1" customWidth="1"/>
    <col min="6832" max="6832" width="10.21875" bestFit="1" customWidth="1"/>
    <col min="6833" max="6833" width="8" bestFit="1" customWidth="1"/>
    <col min="6834" max="6834" width="10.21875" bestFit="1" customWidth="1"/>
    <col min="6835" max="6835" width="8" bestFit="1" customWidth="1"/>
    <col min="6836" max="6836" width="10.21875" bestFit="1" customWidth="1"/>
    <col min="6837" max="6837" width="8" bestFit="1" customWidth="1"/>
    <col min="6838" max="6838" width="10.21875" bestFit="1" customWidth="1"/>
    <col min="6839" max="6839" width="6" bestFit="1" customWidth="1"/>
    <col min="6840" max="6840" width="8.6640625" bestFit="1" customWidth="1"/>
    <col min="6841" max="6841" width="8" bestFit="1" customWidth="1"/>
    <col min="6842" max="6842" width="10.21875" bestFit="1" customWidth="1"/>
    <col min="6843" max="6843" width="8" bestFit="1" customWidth="1"/>
    <col min="6844" max="6844" width="10.21875" bestFit="1" customWidth="1"/>
    <col min="6845" max="6845" width="8" bestFit="1" customWidth="1"/>
    <col min="6846" max="6846" width="10.21875" bestFit="1" customWidth="1"/>
    <col min="6847" max="6847" width="8" bestFit="1" customWidth="1"/>
    <col min="6848" max="6848" width="10.21875" bestFit="1" customWidth="1"/>
    <col min="6849" max="6849" width="8" bestFit="1" customWidth="1"/>
    <col min="6850" max="6850" width="10.21875" bestFit="1" customWidth="1"/>
    <col min="6851" max="6853" width="8" bestFit="1" customWidth="1"/>
    <col min="6854" max="6854" width="10.21875" bestFit="1" customWidth="1"/>
    <col min="6855" max="6855" width="8" bestFit="1" customWidth="1"/>
    <col min="6856" max="6856" width="10.21875" bestFit="1" customWidth="1"/>
    <col min="6857" max="6857" width="8" bestFit="1" customWidth="1"/>
    <col min="6858" max="6858" width="10.21875" bestFit="1" customWidth="1"/>
    <col min="6859" max="6859" width="8" bestFit="1" customWidth="1"/>
    <col min="6860" max="6860" width="10.21875" bestFit="1" customWidth="1"/>
    <col min="6861" max="6861" width="8" bestFit="1" customWidth="1"/>
    <col min="6862" max="6862" width="10.21875" bestFit="1" customWidth="1"/>
    <col min="6863" max="6864" width="8" bestFit="1" customWidth="1"/>
    <col min="6865" max="6865" width="10.21875" bestFit="1" customWidth="1"/>
    <col min="6866" max="6866" width="8" bestFit="1" customWidth="1"/>
    <col min="6867" max="6867" width="10.21875" bestFit="1" customWidth="1"/>
    <col min="6868" max="6868" width="8" bestFit="1" customWidth="1"/>
    <col min="6869" max="6869" width="10.21875" bestFit="1" customWidth="1"/>
    <col min="6870" max="6870" width="8" bestFit="1" customWidth="1"/>
    <col min="6871" max="6871" width="10.21875" bestFit="1" customWidth="1"/>
    <col min="6872" max="6874" width="8" bestFit="1" customWidth="1"/>
    <col min="6875" max="6875" width="10.21875" bestFit="1" customWidth="1"/>
    <col min="6876" max="6877" width="8" bestFit="1" customWidth="1"/>
    <col min="6878" max="6878" width="10.21875" bestFit="1" customWidth="1"/>
    <col min="6879" max="6879" width="6" bestFit="1" customWidth="1"/>
    <col min="6880" max="6880" width="8.6640625" bestFit="1" customWidth="1"/>
    <col min="6881" max="6881" width="8" bestFit="1" customWidth="1"/>
    <col min="6882" max="6882" width="10.21875" bestFit="1" customWidth="1"/>
    <col min="6883" max="6883" width="8" bestFit="1" customWidth="1"/>
    <col min="6884" max="6884" width="10.21875" bestFit="1" customWidth="1"/>
    <col min="6885" max="6885" width="8" bestFit="1" customWidth="1"/>
    <col min="6886" max="6886" width="10.21875" bestFit="1" customWidth="1"/>
    <col min="6887" max="6887" width="8" bestFit="1" customWidth="1"/>
    <col min="6888" max="6888" width="10.21875" bestFit="1" customWidth="1"/>
    <col min="6889" max="6889" width="8" bestFit="1" customWidth="1"/>
    <col min="6890" max="6890" width="10.21875" bestFit="1" customWidth="1"/>
    <col min="6891" max="6892" width="8" bestFit="1" customWidth="1"/>
    <col min="6893" max="6893" width="10.21875" bestFit="1" customWidth="1"/>
    <col min="6894" max="6894" width="8" bestFit="1" customWidth="1"/>
    <col min="6895" max="6895" width="10.21875" bestFit="1" customWidth="1"/>
    <col min="6896" max="6896" width="8" bestFit="1" customWidth="1"/>
    <col min="6897" max="6897" width="10.21875" bestFit="1" customWidth="1"/>
    <col min="6898" max="6898" width="8" bestFit="1" customWidth="1"/>
    <col min="6899" max="6899" width="10.21875" bestFit="1" customWidth="1"/>
    <col min="6900" max="6900" width="8" bestFit="1" customWidth="1"/>
    <col min="6901" max="6901" width="10.21875" bestFit="1" customWidth="1"/>
    <col min="6902" max="6902" width="8" bestFit="1" customWidth="1"/>
    <col min="6903" max="6903" width="10.21875" bestFit="1" customWidth="1"/>
    <col min="6904" max="6904" width="8" bestFit="1" customWidth="1"/>
    <col min="6905" max="6905" width="10.21875" bestFit="1" customWidth="1"/>
    <col min="6906" max="6906" width="8" bestFit="1" customWidth="1"/>
    <col min="6907" max="6907" width="10.21875" bestFit="1" customWidth="1"/>
    <col min="6908" max="6908" width="8" bestFit="1" customWidth="1"/>
    <col min="6909" max="6909" width="10.21875" bestFit="1" customWidth="1"/>
    <col min="6910" max="6910" width="8" bestFit="1" customWidth="1"/>
    <col min="6911" max="6911" width="10.21875" bestFit="1" customWidth="1"/>
    <col min="6912" max="6913" width="8" bestFit="1" customWidth="1"/>
    <col min="6914" max="6914" width="10.21875" bestFit="1" customWidth="1"/>
    <col min="6915" max="6915" width="8" bestFit="1" customWidth="1"/>
    <col min="6916" max="6916" width="10.21875" bestFit="1" customWidth="1"/>
    <col min="6917" max="6918" width="8" bestFit="1" customWidth="1"/>
    <col min="6919" max="6919" width="10.21875" bestFit="1" customWidth="1"/>
    <col min="6920" max="6920" width="8" bestFit="1" customWidth="1"/>
    <col min="6921" max="6921" width="10.21875" bestFit="1" customWidth="1"/>
    <col min="6922" max="6922" width="8" bestFit="1" customWidth="1"/>
    <col min="6923" max="6923" width="10.21875" bestFit="1" customWidth="1"/>
    <col min="6924" max="6924" width="8" bestFit="1" customWidth="1"/>
    <col min="6925" max="6925" width="10.21875" bestFit="1" customWidth="1"/>
    <col min="6926" max="6926" width="8" bestFit="1" customWidth="1"/>
    <col min="6927" max="6927" width="10.21875" bestFit="1" customWidth="1"/>
    <col min="6928" max="6928" width="8" bestFit="1" customWidth="1"/>
    <col min="6929" max="6929" width="10.21875" bestFit="1" customWidth="1"/>
    <col min="6930" max="6930" width="8" bestFit="1" customWidth="1"/>
    <col min="6931" max="6931" width="10.21875" bestFit="1" customWidth="1"/>
    <col min="6932" max="6932" width="8" bestFit="1" customWidth="1"/>
    <col min="6933" max="6933" width="10.21875" bestFit="1" customWidth="1"/>
    <col min="6934" max="6934" width="8" bestFit="1" customWidth="1"/>
    <col min="6935" max="6935" width="10.21875" bestFit="1" customWidth="1"/>
    <col min="6936" max="6936" width="8" bestFit="1" customWidth="1"/>
    <col min="6937" max="6937" width="10.21875" bestFit="1" customWidth="1"/>
    <col min="6938" max="6938" width="8" bestFit="1" customWidth="1"/>
    <col min="6939" max="6939" width="10.21875" bestFit="1" customWidth="1"/>
    <col min="6940" max="6940" width="8" bestFit="1" customWidth="1"/>
    <col min="6941" max="6941" width="10.21875" bestFit="1" customWidth="1"/>
    <col min="6942" max="6943" width="8" bestFit="1" customWidth="1"/>
    <col min="6944" max="6944" width="10.21875" bestFit="1" customWidth="1"/>
    <col min="6945" max="6946" width="6" bestFit="1" customWidth="1"/>
    <col min="6947" max="6947" width="8.6640625" bestFit="1" customWidth="1"/>
    <col min="6948" max="6948" width="8" bestFit="1" customWidth="1"/>
    <col min="6949" max="6949" width="10.21875" bestFit="1" customWidth="1"/>
    <col min="6950" max="6950" width="8" bestFit="1" customWidth="1"/>
    <col min="6951" max="6951" width="10.21875" bestFit="1" customWidth="1"/>
    <col min="6952" max="6952" width="8" bestFit="1" customWidth="1"/>
    <col min="6953" max="6953" width="10.21875" bestFit="1" customWidth="1"/>
    <col min="6954" max="6954" width="8" bestFit="1" customWidth="1"/>
    <col min="6955" max="6955" width="10.21875" bestFit="1" customWidth="1"/>
    <col min="6956" max="6956" width="8" bestFit="1" customWidth="1"/>
    <col min="6957" max="6957" width="10.21875" bestFit="1" customWidth="1"/>
    <col min="6958" max="6958" width="8" bestFit="1" customWidth="1"/>
    <col min="6959" max="6959" width="10.21875" bestFit="1" customWidth="1"/>
    <col min="6960" max="6960" width="8" bestFit="1" customWidth="1"/>
    <col min="6961" max="6961" width="10.21875" bestFit="1" customWidth="1"/>
    <col min="6962" max="6962" width="8" bestFit="1" customWidth="1"/>
    <col min="6963" max="6963" width="10.21875" bestFit="1" customWidth="1"/>
    <col min="6964" max="6964" width="8" bestFit="1" customWidth="1"/>
    <col min="6965" max="6965" width="10.21875" bestFit="1" customWidth="1"/>
    <col min="6966" max="6967" width="8" bestFit="1" customWidth="1"/>
    <col min="6968" max="6968" width="10.21875" bestFit="1" customWidth="1"/>
    <col min="6969" max="6969" width="8" bestFit="1" customWidth="1"/>
    <col min="6970" max="6970" width="10.21875" bestFit="1" customWidth="1"/>
    <col min="6971" max="6971" width="8" bestFit="1" customWidth="1"/>
    <col min="6972" max="6972" width="10.21875" bestFit="1" customWidth="1"/>
    <col min="6973" max="6973" width="8" bestFit="1" customWidth="1"/>
    <col min="6974" max="6974" width="10.21875" bestFit="1" customWidth="1"/>
    <col min="6975" max="6975" width="8" bestFit="1" customWidth="1"/>
    <col min="6976" max="6976" width="10.21875" bestFit="1" customWidth="1"/>
    <col min="6977" max="6977" width="8" bestFit="1" customWidth="1"/>
    <col min="6978" max="6978" width="10.21875" bestFit="1" customWidth="1"/>
    <col min="6979" max="6979" width="6" bestFit="1" customWidth="1"/>
    <col min="6980" max="6980" width="8.6640625" bestFit="1" customWidth="1"/>
    <col min="6981" max="6981" width="8" bestFit="1" customWidth="1"/>
    <col min="6982" max="6982" width="10.21875" bestFit="1" customWidth="1"/>
    <col min="6983" max="6983" width="8" bestFit="1" customWidth="1"/>
    <col min="6984" max="6984" width="10.21875" bestFit="1" customWidth="1"/>
    <col min="6985" max="6985" width="8" bestFit="1" customWidth="1"/>
    <col min="6986" max="6986" width="10.21875" bestFit="1" customWidth="1"/>
    <col min="6987" max="6987" width="8" bestFit="1" customWidth="1"/>
    <col min="6988" max="6988" width="10.21875" bestFit="1" customWidth="1"/>
    <col min="6989" max="6989" width="8" bestFit="1" customWidth="1"/>
    <col min="6990" max="6990" width="10.21875" bestFit="1" customWidth="1"/>
    <col min="6991" max="6991" width="8" bestFit="1" customWidth="1"/>
    <col min="6992" max="6992" width="10.21875" bestFit="1" customWidth="1"/>
    <col min="6993" max="6993" width="8" bestFit="1" customWidth="1"/>
    <col min="6994" max="6994" width="10.21875" bestFit="1" customWidth="1"/>
    <col min="6995" max="6995" width="6" bestFit="1" customWidth="1"/>
    <col min="6996" max="6996" width="8.6640625" bestFit="1" customWidth="1"/>
    <col min="6997" max="6997" width="8" bestFit="1" customWidth="1"/>
    <col min="6998" max="6998" width="10.21875" bestFit="1" customWidth="1"/>
    <col min="6999" max="6999" width="8" bestFit="1" customWidth="1"/>
    <col min="7000" max="7000" width="10.21875" bestFit="1" customWidth="1"/>
    <col min="7001" max="7001" width="8" bestFit="1" customWidth="1"/>
    <col min="7002" max="7002" width="10.21875" bestFit="1" customWidth="1"/>
    <col min="7003" max="7004" width="8" bestFit="1" customWidth="1"/>
    <col min="7005" max="7005" width="10.21875" bestFit="1" customWidth="1"/>
    <col min="7006" max="7006" width="8" bestFit="1" customWidth="1"/>
    <col min="7007" max="7007" width="10.21875" bestFit="1" customWidth="1"/>
    <col min="7008" max="7008" width="8" bestFit="1" customWidth="1"/>
    <col min="7009" max="7009" width="10.21875" bestFit="1" customWidth="1"/>
    <col min="7010" max="7010" width="8" bestFit="1" customWidth="1"/>
    <col min="7011" max="7011" width="10.21875" bestFit="1" customWidth="1"/>
    <col min="7012" max="7012" width="8" bestFit="1" customWidth="1"/>
    <col min="7013" max="7013" width="10.21875" bestFit="1" customWidth="1"/>
    <col min="7014" max="7015" width="6" bestFit="1" customWidth="1"/>
    <col min="7016" max="7016" width="8.6640625" bestFit="1" customWidth="1"/>
    <col min="7017" max="7017" width="8" bestFit="1" customWidth="1"/>
    <col min="7018" max="7018" width="10.21875" bestFit="1" customWidth="1"/>
    <col min="7019" max="7019" width="8" bestFit="1" customWidth="1"/>
    <col min="7020" max="7020" width="10.21875" bestFit="1" customWidth="1"/>
    <col min="7021" max="7022" width="8" bestFit="1" customWidth="1"/>
    <col min="7023" max="7023" width="10.21875" bestFit="1" customWidth="1"/>
    <col min="7024" max="7025" width="8" bestFit="1" customWidth="1"/>
    <col min="7026" max="7026" width="10.21875" bestFit="1" customWidth="1"/>
    <col min="7027" max="7027" width="8" bestFit="1" customWidth="1"/>
    <col min="7028" max="7028" width="10.21875" bestFit="1" customWidth="1"/>
    <col min="7029" max="7029" width="8" bestFit="1" customWidth="1"/>
    <col min="7030" max="7030" width="10.21875" bestFit="1" customWidth="1"/>
    <col min="7031" max="7032" width="8" bestFit="1" customWidth="1"/>
    <col min="7033" max="7033" width="10.21875" bestFit="1" customWidth="1"/>
    <col min="7034" max="7034" width="8" bestFit="1" customWidth="1"/>
    <col min="7035" max="7035" width="10.21875" bestFit="1" customWidth="1"/>
    <col min="7036" max="7036" width="8" bestFit="1" customWidth="1"/>
    <col min="7037" max="7037" width="10.21875" bestFit="1" customWidth="1"/>
    <col min="7038" max="7038" width="8" bestFit="1" customWidth="1"/>
    <col min="7039" max="7039" width="10.21875" bestFit="1" customWidth="1"/>
    <col min="7040" max="7040" width="8" bestFit="1" customWidth="1"/>
    <col min="7041" max="7041" width="10.21875" bestFit="1" customWidth="1"/>
    <col min="7042" max="7042" width="8" bestFit="1" customWidth="1"/>
    <col min="7043" max="7043" width="10.21875" bestFit="1" customWidth="1"/>
    <col min="7044" max="7046" width="8" bestFit="1" customWidth="1"/>
    <col min="7047" max="7047" width="10.21875" bestFit="1" customWidth="1"/>
    <col min="7048" max="7048" width="14" bestFit="1" customWidth="1"/>
    <col min="7049" max="7049" width="21.5546875" bestFit="1" customWidth="1"/>
    <col min="7050" max="7050" width="14" bestFit="1" customWidth="1"/>
    <col min="7051" max="7051" width="21.5546875" bestFit="1" customWidth="1"/>
    <col min="7052" max="7052" width="6" bestFit="1" customWidth="1"/>
    <col min="7053" max="7053" width="8.6640625" bestFit="1" customWidth="1"/>
    <col min="7054" max="7055" width="8" bestFit="1" customWidth="1"/>
    <col min="7056" max="7056" width="10.21875" bestFit="1" customWidth="1"/>
    <col min="7057" max="7057" width="8" bestFit="1" customWidth="1"/>
    <col min="7058" max="7058" width="10.21875" bestFit="1" customWidth="1"/>
    <col min="7059" max="7060" width="8" bestFit="1" customWidth="1"/>
    <col min="7061" max="7061" width="10.21875" bestFit="1" customWidth="1"/>
    <col min="7062" max="7062" width="8" bestFit="1" customWidth="1"/>
    <col min="7063" max="7063" width="10.21875" bestFit="1" customWidth="1"/>
    <col min="7064" max="7067" width="8" bestFit="1" customWidth="1"/>
    <col min="7068" max="7068" width="10.21875" bestFit="1" customWidth="1"/>
    <col min="7069" max="7070" width="8" bestFit="1" customWidth="1"/>
    <col min="7071" max="7071" width="10.21875" bestFit="1" customWidth="1"/>
    <col min="7072" max="7074" width="8" bestFit="1" customWidth="1"/>
    <col min="7075" max="7075" width="10.21875" bestFit="1" customWidth="1"/>
    <col min="7076" max="7076" width="8" bestFit="1" customWidth="1"/>
    <col min="7077" max="7077" width="10.21875" bestFit="1" customWidth="1"/>
    <col min="7078" max="7079" width="8" bestFit="1" customWidth="1"/>
    <col min="7080" max="7080" width="10.21875" bestFit="1" customWidth="1"/>
    <col min="7081" max="7082" width="8" bestFit="1" customWidth="1"/>
    <col min="7083" max="7083" width="10.21875" bestFit="1" customWidth="1"/>
    <col min="7084" max="7084" width="14" bestFit="1" customWidth="1"/>
    <col min="7085" max="7085" width="21.5546875" bestFit="1" customWidth="1"/>
    <col min="7086" max="7086" width="8" bestFit="1" customWidth="1"/>
    <col min="7087" max="7087" width="10.21875" bestFit="1" customWidth="1"/>
    <col min="7088" max="7088" width="14" bestFit="1" customWidth="1"/>
    <col min="7089" max="7089" width="21.5546875" bestFit="1" customWidth="1"/>
    <col min="7090" max="7090" width="8" bestFit="1" customWidth="1"/>
    <col min="7091" max="7091" width="10.21875" bestFit="1" customWidth="1"/>
    <col min="7092" max="7092" width="8" bestFit="1" customWidth="1"/>
    <col min="7093" max="7093" width="10.21875" bestFit="1" customWidth="1"/>
    <col min="7094" max="7095" width="8" bestFit="1" customWidth="1"/>
    <col min="7096" max="7096" width="10.21875" bestFit="1" customWidth="1"/>
    <col min="7097" max="7097" width="8" bestFit="1" customWidth="1"/>
    <col min="7098" max="7098" width="10.21875" bestFit="1" customWidth="1"/>
    <col min="7099" max="7099" width="8" bestFit="1" customWidth="1"/>
    <col min="7100" max="7100" width="10.21875" bestFit="1" customWidth="1"/>
    <col min="7101" max="7102" width="8" bestFit="1" customWidth="1"/>
    <col min="7103" max="7103" width="10.21875" bestFit="1" customWidth="1"/>
    <col min="7104" max="7104" width="8" bestFit="1" customWidth="1"/>
    <col min="7105" max="7105" width="10.21875" bestFit="1" customWidth="1"/>
    <col min="7106" max="7106" width="8" bestFit="1" customWidth="1"/>
    <col min="7107" max="7107" width="10.21875" bestFit="1" customWidth="1"/>
    <col min="7108" max="7108" width="8" bestFit="1" customWidth="1"/>
    <col min="7109" max="7109" width="10.21875" bestFit="1" customWidth="1"/>
    <col min="7110" max="7110" width="8" bestFit="1" customWidth="1"/>
    <col min="7111" max="7111" width="10.21875" bestFit="1" customWidth="1"/>
    <col min="7112" max="7112" width="8" bestFit="1" customWidth="1"/>
    <col min="7113" max="7113" width="10.21875" bestFit="1" customWidth="1"/>
    <col min="7114" max="7114" width="8" bestFit="1" customWidth="1"/>
    <col min="7115" max="7115" width="10.21875" bestFit="1" customWidth="1"/>
    <col min="7116" max="7117" width="8" bestFit="1" customWidth="1"/>
    <col min="7118" max="7118" width="10.21875" bestFit="1" customWidth="1"/>
    <col min="7119" max="7122" width="8" bestFit="1" customWidth="1"/>
    <col min="7123" max="7123" width="10.21875" bestFit="1" customWidth="1"/>
    <col min="7124" max="7124" width="8" bestFit="1" customWidth="1"/>
    <col min="7125" max="7125" width="10.21875" bestFit="1" customWidth="1"/>
    <col min="7126" max="7126" width="8" bestFit="1" customWidth="1"/>
    <col min="7127" max="7127" width="10.21875" bestFit="1" customWidth="1"/>
    <col min="7128" max="7128" width="8" bestFit="1" customWidth="1"/>
    <col min="7129" max="7129" width="10.21875" bestFit="1" customWidth="1"/>
    <col min="7130" max="7131" width="8" bestFit="1" customWidth="1"/>
    <col min="7132" max="7132" width="10.21875" bestFit="1" customWidth="1"/>
    <col min="7133" max="7133" width="6" bestFit="1" customWidth="1"/>
    <col min="7134" max="7134" width="8.6640625" bestFit="1" customWidth="1"/>
    <col min="7135" max="7136" width="8" bestFit="1" customWidth="1"/>
    <col min="7137" max="7137" width="10.21875" bestFit="1" customWidth="1"/>
    <col min="7138" max="7139" width="8" bestFit="1" customWidth="1"/>
    <col min="7140" max="7140" width="10.21875" bestFit="1" customWidth="1"/>
    <col min="7141" max="7141" width="8" bestFit="1" customWidth="1"/>
    <col min="7142" max="7142" width="10.21875" bestFit="1" customWidth="1"/>
    <col min="7143" max="7144" width="8" bestFit="1" customWidth="1"/>
    <col min="7145" max="7145" width="10.21875" bestFit="1" customWidth="1"/>
    <col min="7146" max="7146" width="8" bestFit="1" customWidth="1"/>
    <col min="7147" max="7147" width="10.21875" bestFit="1" customWidth="1"/>
    <col min="7148" max="7150" width="12" bestFit="1" customWidth="1"/>
    <col min="7151" max="7151" width="12.21875" bestFit="1" customWidth="1"/>
    <col min="7152" max="7152" width="8" bestFit="1" customWidth="1"/>
    <col min="7153" max="7153" width="10.21875" bestFit="1" customWidth="1"/>
    <col min="7154" max="7154" width="6" bestFit="1" customWidth="1"/>
    <col min="7155" max="7155" width="8.6640625" bestFit="1" customWidth="1"/>
    <col min="7156" max="7156" width="8" bestFit="1" customWidth="1"/>
    <col min="7157" max="7157" width="10.21875" bestFit="1" customWidth="1"/>
    <col min="7158" max="7159" width="8" bestFit="1" customWidth="1"/>
    <col min="7160" max="7160" width="10.21875" bestFit="1" customWidth="1"/>
    <col min="7161" max="7161" width="8" bestFit="1" customWidth="1"/>
    <col min="7162" max="7162" width="10.21875" bestFit="1" customWidth="1"/>
    <col min="7163" max="7163" width="8" bestFit="1" customWidth="1"/>
    <col min="7164" max="7164" width="10.21875" bestFit="1" customWidth="1"/>
    <col min="7165" max="7165" width="8" bestFit="1" customWidth="1"/>
    <col min="7166" max="7166" width="10.21875" bestFit="1" customWidth="1"/>
    <col min="7167" max="7167" width="8" bestFit="1" customWidth="1"/>
    <col min="7168" max="7168" width="10.21875" bestFit="1" customWidth="1"/>
    <col min="7169" max="7169" width="8" bestFit="1" customWidth="1"/>
    <col min="7170" max="7170" width="10.21875" bestFit="1" customWidth="1"/>
    <col min="7171" max="7172" width="8" bestFit="1" customWidth="1"/>
    <col min="7173" max="7173" width="10.21875" bestFit="1" customWidth="1"/>
    <col min="7174" max="7174" width="8" bestFit="1" customWidth="1"/>
    <col min="7175" max="7175" width="10.21875" bestFit="1" customWidth="1"/>
    <col min="7176" max="7176" width="6" bestFit="1" customWidth="1"/>
    <col min="7177" max="7177" width="8.6640625" bestFit="1" customWidth="1"/>
    <col min="7178" max="7178" width="8" bestFit="1" customWidth="1"/>
    <col min="7179" max="7179" width="10.21875" bestFit="1" customWidth="1"/>
    <col min="7180" max="7180" width="8" bestFit="1" customWidth="1"/>
    <col min="7181" max="7181" width="10.21875" bestFit="1" customWidth="1"/>
    <col min="7182" max="7182" width="8" bestFit="1" customWidth="1"/>
    <col min="7183" max="7183" width="10.21875" bestFit="1" customWidth="1"/>
    <col min="7184" max="7184" width="8" bestFit="1" customWidth="1"/>
    <col min="7185" max="7185" width="10.21875" bestFit="1" customWidth="1"/>
    <col min="7186" max="7186" width="8" bestFit="1" customWidth="1"/>
    <col min="7187" max="7187" width="10.21875" bestFit="1" customWidth="1"/>
    <col min="7188" max="7188" width="8" bestFit="1" customWidth="1"/>
    <col min="7189" max="7189" width="10.21875" bestFit="1" customWidth="1"/>
    <col min="7190" max="7190" width="6" bestFit="1" customWidth="1"/>
    <col min="7191" max="7191" width="8.6640625" bestFit="1" customWidth="1"/>
    <col min="7192" max="7192" width="8" bestFit="1" customWidth="1"/>
    <col min="7193" max="7193" width="10.21875" bestFit="1" customWidth="1"/>
    <col min="7194" max="7194" width="8" bestFit="1" customWidth="1"/>
    <col min="7195" max="7195" width="10.21875" bestFit="1" customWidth="1"/>
    <col min="7196" max="7196" width="8" bestFit="1" customWidth="1"/>
    <col min="7197" max="7197" width="10.21875" bestFit="1" customWidth="1"/>
    <col min="7198" max="7198" width="8" bestFit="1" customWidth="1"/>
    <col min="7199" max="7199" width="10.21875" bestFit="1" customWidth="1"/>
    <col min="7200" max="7200" width="8" bestFit="1" customWidth="1"/>
    <col min="7201" max="7201" width="10.21875" bestFit="1" customWidth="1"/>
    <col min="7202" max="7202" width="8" bestFit="1" customWidth="1"/>
    <col min="7203" max="7203" width="10.21875" bestFit="1" customWidth="1"/>
    <col min="7204" max="7204" width="8" bestFit="1" customWidth="1"/>
    <col min="7205" max="7205" width="10.21875" bestFit="1" customWidth="1"/>
    <col min="7206" max="7206" width="8" bestFit="1" customWidth="1"/>
    <col min="7207" max="7207" width="10.21875" bestFit="1" customWidth="1"/>
    <col min="7208" max="7209" width="6" bestFit="1" customWidth="1"/>
    <col min="7210" max="7210" width="8.6640625" bestFit="1" customWidth="1"/>
    <col min="7211" max="7211" width="8" bestFit="1" customWidth="1"/>
    <col min="7212" max="7212" width="10.21875" bestFit="1" customWidth="1"/>
    <col min="7213" max="7213" width="8" bestFit="1" customWidth="1"/>
    <col min="7214" max="7214" width="10.21875" bestFit="1" customWidth="1"/>
    <col min="7215" max="7215" width="8" bestFit="1" customWidth="1"/>
    <col min="7216" max="7216" width="10.21875" bestFit="1" customWidth="1"/>
    <col min="7217" max="7218" width="8" bestFit="1" customWidth="1"/>
    <col min="7219" max="7219" width="10.21875" bestFit="1" customWidth="1"/>
    <col min="7220" max="7220" width="8" bestFit="1" customWidth="1"/>
    <col min="7221" max="7221" width="10.21875" bestFit="1" customWidth="1"/>
    <col min="7222" max="7222" width="8" bestFit="1" customWidth="1"/>
    <col min="7223" max="7223" width="10.21875" bestFit="1" customWidth="1"/>
    <col min="7224" max="7225" width="8" bestFit="1" customWidth="1"/>
    <col min="7226" max="7226" width="10.21875" bestFit="1" customWidth="1"/>
    <col min="7227" max="7227" width="8" bestFit="1" customWidth="1"/>
    <col min="7228" max="7228" width="10.21875" bestFit="1" customWidth="1"/>
    <col min="7229" max="7229" width="8" bestFit="1" customWidth="1"/>
    <col min="7230" max="7230" width="10.21875" bestFit="1" customWidth="1"/>
    <col min="7231" max="7231" width="8" bestFit="1" customWidth="1"/>
    <col min="7232" max="7232" width="10.21875" bestFit="1" customWidth="1"/>
    <col min="7233" max="7235" width="8" bestFit="1" customWidth="1"/>
    <col min="7236" max="7236" width="10.21875" bestFit="1" customWidth="1"/>
    <col min="7237" max="7237" width="8" bestFit="1" customWidth="1"/>
    <col min="7238" max="7238" width="10.21875" bestFit="1" customWidth="1"/>
    <col min="7239" max="7239" width="8" bestFit="1" customWidth="1"/>
    <col min="7240" max="7240" width="10.21875" bestFit="1" customWidth="1"/>
    <col min="7241" max="7241" width="8" bestFit="1" customWidth="1"/>
    <col min="7242" max="7242" width="10.21875" bestFit="1" customWidth="1"/>
    <col min="7243" max="7243" width="8" bestFit="1" customWidth="1"/>
    <col min="7244" max="7244" width="10.21875" bestFit="1" customWidth="1"/>
    <col min="7245" max="7245" width="8" bestFit="1" customWidth="1"/>
    <col min="7246" max="7246" width="10.21875" bestFit="1" customWidth="1"/>
    <col min="7247" max="7247" width="8" bestFit="1" customWidth="1"/>
    <col min="7248" max="7248" width="10.21875" bestFit="1" customWidth="1"/>
    <col min="7249" max="7249" width="8" bestFit="1" customWidth="1"/>
    <col min="7250" max="7250" width="10.21875" bestFit="1" customWidth="1"/>
    <col min="7251" max="7251" width="8" bestFit="1" customWidth="1"/>
    <col min="7252" max="7252" width="10.21875" bestFit="1" customWidth="1"/>
    <col min="7253" max="7253" width="8" bestFit="1" customWidth="1"/>
    <col min="7254" max="7254" width="10.21875" bestFit="1" customWidth="1"/>
    <col min="7255" max="7255" width="8" bestFit="1" customWidth="1"/>
    <col min="7256" max="7256" width="10.21875" bestFit="1" customWidth="1"/>
    <col min="7257" max="7257" width="8" bestFit="1" customWidth="1"/>
    <col min="7258" max="7258" width="10.21875" bestFit="1" customWidth="1"/>
    <col min="7259" max="7259" width="6" bestFit="1" customWidth="1"/>
    <col min="7260" max="7260" width="8.6640625" bestFit="1" customWidth="1"/>
    <col min="7261" max="7261" width="8" bestFit="1" customWidth="1"/>
    <col min="7262" max="7262" width="10.21875" bestFit="1" customWidth="1"/>
    <col min="7263" max="7263" width="8" bestFit="1" customWidth="1"/>
    <col min="7264" max="7264" width="10.21875" bestFit="1" customWidth="1"/>
    <col min="7265" max="7265" width="8" bestFit="1" customWidth="1"/>
    <col min="7266" max="7266" width="10.21875" bestFit="1" customWidth="1"/>
    <col min="7267" max="7267" width="8" bestFit="1" customWidth="1"/>
    <col min="7268" max="7268" width="10.21875" bestFit="1" customWidth="1"/>
    <col min="7269" max="7269" width="8" bestFit="1" customWidth="1"/>
    <col min="7270" max="7270" width="10.21875" bestFit="1" customWidth="1"/>
    <col min="7271" max="7271" width="8" bestFit="1" customWidth="1"/>
    <col min="7272" max="7272" width="10.21875" bestFit="1" customWidth="1"/>
    <col min="7273" max="7273" width="8" bestFit="1" customWidth="1"/>
    <col min="7274" max="7274" width="10.21875" bestFit="1" customWidth="1"/>
    <col min="7275" max="7275" width="8" bestFit="1" customWidth="1"/>
    <col min="7276" max="7276" width="10.21875" bestFit="1" customWidth="1"/>
    <col min="7277" max="7277" width="8" bestFit="1" customWidth="1"/>
    <col min="7278" max="7278" width="10.21875" bestFit="1" customWidth="1"/>
    <col min="7279" max="7279" width="8" bestFit="1" customWidth="1"/>
    <col min="7280" max="7280" width="10.21875" bestFit="1" customWidth="1"/>
    <col min="7281" max="7281" width="8" bestFit="1" customWidth="1"/>
    <col min="7282" max="7282" width="10.21875" bestFit="1" customWidth="1"/>
    <col min="7283" max="7283" width="19.109375" bestFit="1" customWidth="1"/>
    <col min="7284" max="7284" width="10.21875" bestFit="1" customWidth="1"/>
    <col min="7285" max="7285" width="8" bestFit="1" customWidth="1"/>
    <col min="7286" max="7286" width="10.21875" bestFit="1" customWidth="1"/>
    <col min="7287" max="7287" width="8" bestFit="1" customWidth="1"/>
    <col min="7288" max="7288" width="10.21875" bestFit="1" customWidth="1"/>
    <col min="7289" max="7290" width="8" bestFit="1" customWidth="1"/>
    <col min="7291" max="7291" width="10.21875" bestFit="1" customWidth="1"/>
    <col min="7292" max="7292" width="8" bestFit="1" customWidth="1"/>
    <col min="7293" max="7293" width="10.21875" bestFit="1" customWidth="1"/>
    <col min="7294" max="7294" width="6" bestFit="1" customWidth="1"/>
    <col min="7295" max="7295" width="8.6640625" bestFit="1" customWidth="1"/>
    <col min="7296" max="7296" width="8" bestFit="1" customWidth="1"/>
    <col min="7297" max="7297" width="10.21875" bestFit="1" customWidth="1"/>
    <col min="7298" max="7298" width="8" bestFit="1" customWidth="1"/>
    <col min="7299" max="7299" width="10.21875" bestFit="1" customWidth="1"/>
    <col min="7300" max="7300" width="8" bestFit="1" customWidth="1"/>
    <col min="7301" max="7301" width="10.21875" bestFit="1" customWidth="1"/>
    <col min="7302" max="7302" width="6" bestFit="1" customWidth="1"/>
    <col min="7303" max="7303" width="8.6640625" bestFit="1" customWidth="1"/>
    <col min="7304" max="7304" width="8" bestFit="1" customWidth="1"/>
    <col min="7305" max="7305" width="10.21875" bestFit="1" customWidth="1"/>
    <col min="7306" max="7306" width="8" bestFit="1" customWidth="1"/>
    <col min="7307" max="7307" width="10.21875" bestFit="1" customWidth="1"/>
    <col min="7308" max="7308" width="8" bestFit="1" customWidth="1"/>
    <col min="7309" max="7309" width="10.21875" bestFit="1" customWidth="1"/>
    <col min="7310" max="7310" width="8" bestFit="1" customWidth="1"/>
    <col min="7311" max="7311" width="10.21875" bestFit="1" customWidth="1"/>
    <col min="7312" max="7312" width="8" bestFit="1" customWidth="1"/>
    <col min="7313" max="7313" width="10.21875" bestFit="1" customWidth="1"/>
    <col min="7314" max="7314" width="8" bestFit="1" customWidth="1"/>
    <col min="7315" max="7315" width="10.21875" bestFit="1" customWidth="1"/>
    <col min="7316" max="7316" width="8" bestFit="1" customWidth="1"/>
    <col min="7317" max="7317" width="10.21875" bestFit="1" customWidth="1"/>
    <col min="7318" max="7318" width="8" bestFit="1" customWidth="1"/>
    <col min="7319" max="7319" width="10.21875" bestFit="1" customWidth="1"/>
    <col min="7320" max="7320" width="8" bestFit="1" customWidth="1"/>
    <col min="7321" max="7321" width="10.21875" bestFit="1" customWidth="1"/>
    <col min="7322" max="7322" width="8" bestFit="1" customWidth="1"/>
    <col min="7323" max="7323" width="10.21875" bestFit="1" customWidth="1"/>
    <col min="7324" max="7324" width="8" bestFit="1" customWidth="1"/>
    <col min="7325" max="7325" width="10.21875" bestFit="1" customWidth="1"/>
    <col min="7326" max="7326" width="8" bestFit="1" customWidth="1"/>
    <col min="7327" max="7327" width="10.21875" bestFit="1" customWidth="1"/>
    <col min="7328" max="7328" width="8" bestFit="1" customWidth="1"/>
    <col min="7329" max="7329" width="10.21875" bestFit="1" customWidth="1"/>
    <col min="7330" max="7330" width="8" bestFit="1" customWidth="1"/>
    <col min="7331" max="7331" width="10.21875" bestFit="1" customWidth="1"/>
    <col min="7332" max="7332" width="8" bestFit="1" customWidth="1"/>
    <col min="7333" max="7333" width="10.21875" bestFit="1" customWidth="1"/>
    <col min="7334" max="7335" width="8" bestFit="1" customWidth="1"/>
    <col min="7336" max="7336" width="10.21875" bestFit="1" customWidth="1"/>
    <col min="7337" max="7337" width="6" bestFit="1" customWidth="1"/>
    <col min="7338" max="7338" width="8.6640625" bestFit="1" customWidth="1"/>
    <col min="7339" max="7340" width="8" bestFit="1" customWidth="1"/>
    <col min="7341" max="7341" width="10.21875" bestFit="1" customWidth="1"/>
    <col min="7342" max="7343" width="8" bestFit="1" customWidth="1"/>
    <col min="7344" max="7344" width="10.21875" bestFit="1" customWidth="1"/>
    <col min="7345" max="7345" width="8" bestFit="1" customWidth="1"/>
    <col min="7346" max="7346" width="10.21875" bestFit="1" customWidth="1"/>
    <col min="7347" max="7348" width="8" bestFit="1" customWidth="1"/>
    <col min="7349" max="7349" width="10.21875" bestFit="1" customWidth="1"/>
    <col min="7350" max="7352" width="8" bestFit="1" customWidth="1"/>
    <col min="7353" max="7353" width="10.21875" bestFit="1" customWidth="1"/>
    <col min="7354" max="7356" width="8" bestFit="1" customWidth="1"/>
    <col min="7357" max="7357" width="10.21875" bestFit="1" customWidth="1"/>
    <col min="7358" max="7359" width="6" bestFit="1" customWidth="1"/>
    <col min="7360" max="7360" width="8.6640625" bestFit="1" customWidth="1"/>
    <col min="7361" max="7361" width="8" bestFit="1" customWidth="1"/>
    <col min="7362" max="7362" width="10.21875" bestFit="1" customWidth="1"/>
    <col min="7363" max="7363" width="8" bestFit="1" customWidth="1"/>
    <col min="7364" max="7364" width="10.21875" bestFit="1" customWidth="1"/>
    <col min="7365" max="7365" width="8" bestFit="1" customWidth="1"/>
    <col min="7366" max="7366" width="10.21875" bestFit="1" customWidth="1"/>
    <col min="7367" max="7367" width="8" bestFit="1" customWidth="1"/>
    <col min="7368" max="7368" width="10.21875" bestFit="1" customWidth="1"/>
    <col min="7369" max="7370" width="6" bestFit="1" customWidth="1"/>
    <col min="7371" max="7371" width="8.6640625" bestFit="1" customWidth="1"/>
    <col min="7372" max="7372" width="8" bestFit="1" customWidth="1"/>
    <col min="7373" max="7373" width="10.21875" bestFit="1" customWidth="1"/>
    <col min="7374" max="7374" width="8" bestFit="1" customWidth="1"/>
    <col min="7375" max="7375" width="10.21875" bestFit="1" customWidth="1"/>
    <col min="7376" max="7376" width="8" bestFit="1" customWidth="1"/>
    <col min="7377" max="7377" width="10.21875" bestFit="1" customWidth="1"/>
    <col min="7378" max="7378" width="8" bestFit="1" customWidth="1"/>
    <col min="7379" max="7379" width="10.21875" bestFit="1" customWidth="1"/>
    <col min="7380" max="7380" width="8" bestFit="1" customWidth="1"/>
    <col min="7381" max="7381" width="10.21875" bestFit="1" customWidth="1"/>
    <col min="7382" max="7382" width="8" bestFit="1" customWidth="1"/>
    <col min="7383" max="7383" width="10.21875" bestFit="1" customWidth="1"/>
    <col min="7384" max="7384" width="8" bestFit="1" customWidth="1"/>
    <col min="7385" max="7385" width="10.21875" bestFit="1" customWidth="1"/>
    <col min="7386" max="7386" width="8" bestFit="1" customWidth="1"/>
    <col min="7387" max="7387" width="10.21875" bestFit="1" customWidth="1"/>
    <col min="7388" max="7388" width="8" bestFit="1" customWidth="1"/>
    <col min="7389" max="7389" width="10.21875" bestFit="1" customWidth="1"/>
    <col min="7390" max="7390" width="8" bestFit="1" customWidth="1"/>
    <col min="7391" max="7391" width="10.21875" bestFit="1" customWidth="1"/>
    <col min="7392" max="7392" width="8" bestFit="1" customWidth="1"/>
    <col min="7393" max="7393" width="10.21875" bestFit="1" customWidth="1"/>
    <col min="7394" max="7394" width="8" bestFit="1" customWidth="1"/>
    <col min="7395" max="7395" width="10.21875" bestFit="1" customWidth="1"/>
    <col min="7396" max="7396" width="6" bestFit="1" customWidth="1"/>
    <col min="7397" max="7397" width="8.6640625" bestFit="1" customWidth="1"/>
    <col min="7398" max="7398" width="8" bestFit="1" customWidth="1"/>
    <col min="7399" max="7399" width="10.21875" bestFit="1" customWidth="1"/>
    <col min="7400" max="7400" width="8" bestFit="1" customWidth="1"/>
    <col min="7401" max="7401" width="10.21875" bestFit="1" customWidth="1"/>
    <col min="7402" max="7402" width="8" bestFit="1" customWidth="1"/>
    <col min="7403" max="7403" width="10.21875" bestFit="1" customWidth="1"/>
    <col min="7404" max="7404" width="8" bestFit="1" customWidth="1"/>
    <col min="7405" max="7405" width="10.21875" bestFit="1" customWidth="1"/>
    <col min="7406" max="7406" width="6" bestFit="1" customWidth="1"/>
    <col min="7407" max="7407" width="8.6640625" bestFit="1" customWidth="1"/>
    <col min="7408" max="7408" width="8" bestFit="1" customWidth="1"/>
    <col min="7409" max="7409" width="10.21875" bestFit="1" customWidth="1"/>
    <col min="7410" max="7410" width="8" bestFit="1" customWidth="1"/>
    <col min="7411" max="7411" width="10.21875" bestFit="1" customWidth="1"/>
    <col min="7412" max="7412" width="8" bestFit="1" customWidth="1"/>
    <col min="7413" max="7413" width="10.21875" bestFit="1" customWidth="1"/>
    <col min="7414" max="7415" width="8" bestFit="1" customWidth="1"/>
    <col min="7416" max="7416" width="10.21875" bestFit="1" customWidth="1"/>
    <col min="7417" max="7417" width="8" bestFit="1" customWidth="1"/>
    <col min="7418" max="7418" width="10.21875" bestFit="1" customWidth="1"/>
    <col min="7419" max="7419" width="6" bestFit="1" customWidth="1"/>
    <col min="7420" max="7420" width="8.6640625" bestFit="1" customWidth="1"/>
    <col min="7421" max="7421" width="8" bestFit="1" customWidth="1"/>
    <col min="7422" max="7422" width="10.21875" bestFit="1" customWidth="1"/>
    <col min="7423" max="7423" width="8" bestFit="1" customWidth="1"/>
    <col min="7424" max="7424" width="10.21875" bestFit="1" customWidth="1"/>
    <col min="7425" max="7425" width="8" bestFit="1" customWidth="1"/>
    <col min="7426" max="7426" width="10.21875" bestFit="1" customWidth="1"/>
    <col min="7427" max="7427" width="8" bestFit="1" customWidth="1"/>
    <col min="7428" max="7428" width="10.21875" bestFit="1" customWidth="1"/>
    <col min="7429" max="7429" width="8" bestFit="1" customWidth="1"/>
    <col min="7430" max="7430" width="10.21875" bestFit="1" customWidth="1"/>
    <col min="7431" max="7431" width="8" bestFit="1" customWidth="1"/>
    <col min="7432" max="7432" width="10.21875" bestFit="1" customWidth="1"/>
    <col min="7433" max="7433" width="8" bestFit="1" customWidth="1"/>
    <col min="7434" max="7434" width="10.21875" bestFit="1" customWidth="1"/>
    <col min="7435" max="7435" width="8" bestFit="1" customWidth="1"/>
    <col min="7436" max="7436" width="10.21875" bestFit="1" customWidth="1"/>
    <col min="7437" max="7437" width="6" bestFit="1" customWidth="1"/>
    <col min="7438" max="7438" width="8.6640625" bestFit="1" customWidth="1"/>
    <col min="7439" max="7439" width="8" bestFit="1" customWidth="1"/>
    <col min="7440" max="7440" width="10.21875" bestFit="1" customWidth="1"/>
    <col min="7441" max="7441" width="8" bestFit="1" customWidth="1"/>
    <col min="7442" max="7442" width="10.21875" bestFit="1" customWidth="1"/>
    <col min="7443" max="7444" width="6" bestFit="1" customWidth="1"/>
    <col min="7445" max="7445" width="8.6640625" bestFit="1" customWidth="1"/>
    <col min="7446" max="7446" width="8" bestFit="1" customWidth="1"/>
    <col min="7447" max="7447" width="10.21875" bestFit="1" customWidth="1"/>
    <col min="7448" max="7448" width="8" bestFit="1" customWidth="1"/>
    <col min="7449" max="7449" width="10.21875" bestFit="1" customWidth="1"/>
    <col min="7450" max="7450" width="8" bestFit="1" customWidth="1"/>
    <col min="7451" max="7451" width="10.21875" bestFit="1" customWidth="1"/>
    <col min="7452" max="7452" width="8" bestFit="1" customWidth="1"/>
    <col min="7453" max="7453" width="10.21875" bestFit="1" customWidth="1"/>
    <col min="7454" max="7454" width="8" bestFit="1" customWidth="1"/>
    <col min="7455" max="7455" width="10.21875" bestFit="1" customWidth="1"/>
    <col min="7456" max="7456" width="8" bestFit="1" customWidth="1"/>
    <col min="7457" max="7457" width="10.21875" bestFit="1" customWidth="1"/>
    <col min="7458" max="7459" width="8" bestFit="1" customWidth="1"/>
    <col min="7460" max="7460" width="10.21875" bestFit="1" customWidth="1"/>
    <col min="7461" max="7461" width="8" bestFit="1" customWidth="1"/>
    <col min="7462" max="7462" width="10.21875" bestFit="1" customWidth="1"/>
    <col min="7463" max="7463" width="8" bestFit="1" customWidth="1"/>
    <col min="7464" max="7464" width="10.21875" bestFit="1" customWidth="1"/>
    <col min="7465" max="7465" width="8" bestFit="1" customWidth="1"/>
    <col min="7466" max="7466" width="10.21875" bestFit="1" customWidth="1"/>
    <col min="7467" max="7467" width="8" bestFit="1" customWidth="1"/>
    <col min="7468" max="7468" width="10.21875" bestFit="1" customWidth="1"/>
    <col min="7469" max="7469" width="8" bestFit="1" customWidth="1"/>
    <col min="7470" max="7470" width="10.21875" bestFit="1" customWidth="1"/>
    <col min="7471" max="7473" width="8" bestFit="1" customWidth="1"/>
    <col min="7474" max="7474" width="10.21875" bestFit="1" customWidth="1"/>
    <col min="7475" max="7477" width="8" bestFit="1" customWidth="1"/>
    <col min="7478" max="7478" width="10.21875" bestFit="1" customWidth="1"/>
    <col min="7479" max="7480" width="8" bestFit="1" customWidth="1"/>
    <col min="7481" max="7481" width="10.21875" bestFit="1" customWidth="1"/>
    <col min="7482" max="7483" width="8" bestFit="1" customWidth="1"/>
    <col min="7484" max="7484" width="10.21875" bestFit="1" customWidth="1"/>
    <col min="7485" max="7487" width="8" bestFit="1" customWidth="1"/>
    <col min="7488" max="7488" width="10.21875" bestFit="1" customWidth="1"/>
    <col min="7489" max="7489" width="8" bestFit="1" customWidth="1"/>
    <col min="7490" max="7490" width="10.21875" bestFit="1" customWidth="1"/>
    <col min="7491" max="7491" width="8" bestFit="1" customWidth="1"/>
    <col min="7492" max="7492" width="10.21875" bestFit="1" customWidth="1"/>
    <col min="7493" max="7493" width="8" bestFit="1" customWidth="1"/>
    <col min="7494" max="7494" width="10.21875" bestFit="1" customWidth="1"/>
    <col min="7495" max="7495" width="8" bestFit="1" customWidth="1"/>
    <col min="7496" max="7496" width="10.21875" bestFit="1" customWidth="1"/>
    <col min="7497" max="7497" width="8" bestFit="1" customWidth="1"/>
    <col min="7498" max="7498" width="10.21875" bestFit="1" customWidth="1"/>
    <col min="7499" max="7499" width="8" bestFit="1" customWidth="1"/>
    <col min="7500" max="7500" width="10.21875" bestFit="1" customWidth="1"/>
    <col min="7501" max="7501" width="6" bestFit="1" customWidth="1"/>
    <col min="7502" max="7502" width="8.6640625" bestFit="1" customWidth="1"/>
    <col min="7503" max="7503" width="8" bestFit="1" customWidth="1"/>
    <col min="7504" max="7504" width="10.21875" bestFit="1" customWidth="1"/>
    <col min="7505" max="7505" width="8" bestFit="1" customWidth="1"/>
    <col min="7506" max="7506" width="10.21875" bestFit="1" customWidth="1"/>
    <col min="7507" max="7507" width="8" bestFit="1" customWidth="1"/>
    <col min="7508" max="7508" width="10.21875" bestFit="1" customWidth="1"/>
    <col min="7509" max="7509" width="8" bestFit="1" customWidth="1"/>
    <col min="7510" max="7510" width="10.21875" bestFit="1" customWidth="1"/>
    <col min="7511" max="7511" width="8" bestFit="1" customWidth="1"/>
    <col min="7512" max="7512" width="10.21875" bestFit="1" customWidth="1"/>
    <col min="7513" max="7515" width="8" bestFit="1" customWidth="1"/>
    <col min="7516" max="7516" width="10.21875" bestFit="1" customWidth="1"/>
    <col min="7517" max="7517" width="8" bestFit="1" customWidth="1"/>
    <col min="7518" max="7518" width="10.21875" bestFit="1" customWidth="1"/>
    <col min="7519" max="7519" width="8" bestFit="1" customWidth="1"/>
    <col min="7520" max="7520" width="10.21875" bestFit="1" customWidth="1"/>
    <col min="7521" max="7521" width="8" bestFit="1" customWidth="1"/>
    <col min="7522" max="7522" width="10.21875" bestFit="1" customWidth="1"/>
    <col min="7523" max="7523" width="8" bestFit="1" customWidth="1"/>
    <col min="7524" max="7524" width="10.21875" bestFit="1" customWidth="1"/>
    <col min="7525" max="7526" width="8" bestFit="1" customWidth="1"/>
    <col min="7527" max="7527" width="10.21875" bestFit="1" customWidth="1"/>
    <col min="7528" max="7528" width="8" bestFit="1" customWidth="1"/>
    <col min="7529" max="7529" width="10.21875" bestFit="1" customWidth="1"/>
    <col min="7530" max="7530" width="8" bestFit="1" customWidth="1"/>
    <col min="7531" max="7531" width="10.21875" bestFit="1" customWidth="1"/>
    <col min="7532" max="7532" width="8" bestFit="1" customWidth="1"/>
    <col min="7533" max="7533" width="10.21875" bestFit="1" customWidth="1"/>
    <col min="7534" max="7536" width="8" bestFit="1" customWidth="1"/>
    <col min="7537" max="7537" width="10.21875" bestFit="1" customWidth="1"/>
    <col min="7538" max="7539" width="8" bestFit="1" customWidth="1"/>
    <col min="7540" max="7540" width="10.21875" bestFit="1" customWidth="1"/>
    <col min="7541" max="7541" width="6" bestFit="1" customWidth="1"/>
    <col min="7542" max="7542" width="8.6640625" bestFit="1" customWidth="1"/>
    <col min="7543" max="7543" width="8" bestFit="1" customWidth="1"/>
    <col min="7544" max="7544" width="10.21875" bestFit="1" customWidth="1"/>
    <col min="7545" max="7545" width="8" bestFit="1" customWidth="1"/>
    <col min="7546" max="7546" width="10.21875" bestFit="1" customWidth="1"/>
    <col min="7547" max="7547" width="8" bestFit="1" customWidth="1"/>
    <col min="7548" max="7548" width="10.21875" bestFit="1" customWidth="1"/>
    <col min="7549" max="7549" width="8" bestFit="1" customWidth="1"/>
    <col min="7550" max="7550" width="10.21875" bestFit="1" customWidth="1"/>
    <col min="7551" max="7551" width="8" bestFit="1" customWidth="1"/>
    <col min="7552" max="7552" width="10.21875" bestFit="1" customWidth="1"/>
    <col min="7553" max="7554" width="8" bestFit="1" customWidth="1"/>
    <col min="7555" max="7555" width="10.21875" bestFit="1" customWidth="1"/>
    <col min="7556" max="7556" width="8" bestFit="1" customWidth="1"/>
    <col min="7557" max="7557" width="10.21875" bestFit="1" customWidth="1"/>
    <col min="7558" max="7558" width="8" bestFit="1" customWidth="1"/>
    <col min="7559" max="7559" width="10.21875" bestFit="1" customWidth="1"/>
    <col min="7560" max="7560" width="8" bestFit="1" customWidth="1"/>
    <col min="7561" max="7561" width="10.21875" bestFit="1" customWidth="1"/>
    <col min="7562" max="7562" width="8" bestFit="1" customWidth="1"/>
    <col min="7563" max="7563" width="10.21875" bestFit="1" customWidth="1"/>
    <col min="7564" max="7564" width="8" bestFit="1" customWidth="1"/>
    <col min="7565" max="7565" width="10.21875" bestFit="1" customWidth="1"/>
    <col min="7566" max="7566" width="8" bestFit="1" customWidth="1"/>
    <col min="7567" max="7567" width="10.21875" bestFit="1" customWidth="1"/>
    <col min="7568" max="7568" width="8" bestFit="1" customWidth="1"/>
    <col min="7569" max="7569" width="10.21875" bestFit="1" customWidth="1"/>
    <col min="7570" max="7570" width="8" bestFit="1" customWidth="1"/>
    <col min="7571" max="7571" width="10.21875" bestFit="1" customWidth="1"/>
    <col min="7572" max="7572" width="8" bestFit="1" customWidth="1"/>
    <col min="7573" max="7573" width="10.21875" bestFit="1" customWidth="1"/>
    <col min="7574" max="7575" width="8" bestFit="1" customWidth="1"/>
    <col min="7576" max="7576" width="10.21875" bestFit="1" customWidth="1"/>
    <col min="7577" max="7577" width="8" bestFit="1" customWidth="1"/>
    <col min="7578" max="7578" width="10.21875" bestFit="1" customWidth="1"/>
    <col min="7579" max="7580" width="8" bestFit="1" customWidth="1"/>
    <col min="7581" max="7581" width="10.21875" bestFit="1" customWidth="1"/>
    <col min="7582" max="7582" width="8" bestFit="1" customWidth="1"/>
    <col min="7583" max="7583" width="10.21875" bestFit="1" customWidth="1"/>
    <col min="7584" max="7584" width="8" bestFit="1" customWidth="1"/>
    <col min="7585" max="7585" width="10.21875" bestFit="1" customWidth="1"/>
    <col min="7586" max="7586" width="8" bestFit="1" customWidth="1"/>
    <col min="7587" max="7587" width="10.21875" bestFit="1" customWidth="1"/>
    <col min="7588" max="7588" width="8" bestFit="1" customWidth="1"/>
    <col min="7589" max="7589" width="10.21875" bestFit="1" customWidth="1"/>
    <col min="7590" max="7590" width="8" bestFit="1" customWidth="1"/>
    <col min="7591" max="7591" width="10.21875" bestFit="1" customWidth="1"/>
    <col min="7592" max="7592" width="8" bestFit="1" customWidth="1"/>
    <col min="7593" max="7593" width="10.21875" bestFit="1" customWidth="1"/>
    <col min="7594" max="7594" width="8" bestFit="1" customWidth="1"/>
    <col min="7595" max="7595" width="10.21875" bestFit="1" customWidth="1"/>
    <col min="7596" max="7596" width="8" bestFit="1" customWidth="1"/>
    <col min="7597" max="7597" width="10.21875" bestFit="1" customWidth="1"/>
    <col min="7598" max="7598" width="8" bestFit="1" customWidth="1"/>
    <col min="7599" max="7599" width="10.21875" bestFit="1" customWidth="1"/>
    <col min="7600" max="7600" width="8" bestFit="1" customWidth="1"/>
    <col min="7601" max="7601" width="10.21875" bestFit="1" customWidth="1"/>
    <col min="7602" max="7602" width="8" bestFit="1" customWidth="1"/>
    <col min="7603" max="7603" width="10.21875" bestFit="1" customWidth="1"/>
    <col min="7604" max="7605" width="8" bestFit="1" customWidth="1"/>
    <col min="7606" max="7606" width="10.21875" bestFit="1" customWidth="1"/>
    <col min="7607" max="7608" width="6" bestFit="1" customWidth="1"/>
    <col min="7609" max="7609" width="8.6640625" bestFit="1" customWidth="1"/>
    <col min="7610" max="7610" width="8" bestFit="1" customWidth="1"/>
    <col min="7611" max="7611" width="10.21875" bestFit="1" customWidth="1"/>
    <col min="7612" max="7612" width="8" bestFit="1" customWidth="1"/>
    <col min="7613" max="7613" width="10.21875" bestFit="1" customWidth="1"/>
    <col min="7614" max="7614" width="8" bestFit="1" customWidth="1"/>
    <col min="7615" max="7615" width="10.21875" bestFit="1" customWidth="1"/>
    <col min="7616" max="7616" width="8" bestFit="1" customWidth="1"/>
    <col min="7617" max="7617" width="10.21875" bestFit="1" customWidth="1"/>
    <col min="7618" max="7618" width="8" bestFit="1" customWidth="1"/>
    <col min="7619" max="7619" width="10.21875" bestFit="1" customWidth="1"/>
    <col min="7620" max="7620" width="8" bestFit="1" customWidth="1"/>
    <col min="7621" max="7621" width="10.21875" bestFit="1" customWidth="1"/>
    <col min="7622" max="7622" width="8" bestFit="1" customWidth="1"/>
    <col min="7623" max="7623" width="10.21875" bestFit="1" customWidth="1"/>
    <col min="7624" max="7624" width="8" bestFit="1" customWidth="1"/>
    <col min="7625" max="7625" width="10.21875" bestFit="1" customWidth="1"/>
    <col min="7626" max="7626" width="8" bestFit="1" customWidth="1"/>
    <col min="7627" max="7627" width="10.21875" bestFit="1" customWidth="1"/>
    <col min="7628" max="7629" width="8" bestFit="1" customWidth="1"/>
    <col min="7630" max="7630" width="10.21875" bestFit="1" customWidth="1"/>
    <col min="7631" max="7631" width="8" bestFit="1" customWidth="1"/>
    <col min="7632" max="7632" width="10.21875" bestFit="1" customWidth="1"/>
    <col min="7633" max="7633" width="8" bestFit="1" customWidth="1"/>
    <col min="7634" max="7634" width="10.21875" bestFit="1" customWidth="1"/>
    <col min="7635" max="7635" width="8" bestFit="1" customWidth="1"/>
    <col min="7636" max="7636" width="10.21875" bestFit="1" customWidth="1"/>
    <col min="7637" max="7637" width="8" bestFit="1" customWidth="1"/>
    <col min="7638" max="7638" width="10.21875" bestFit="1" customWidth="1"/>
    <col min="7639" max="7639" width="8" bestFit="1" customWidth="1"/>
    <col min="7640" max="7640" width="10.21875" bestFit="1" customWidth="1"/>
    <col min="7641" max="7641" width="6" bestFit="1" customWidth="1"/>
    <col min="7642" max="7642" width="8.6640625" bestFit="1" customWidth="1"/>
    <col min="7643" max="7643" width="8" bestFit="1" customWidth="1"/>
    <col min="7644" max="7644" width="10.21875" bestFit="1" customWidth="1"/>
    <col min="7645" max="7645" width="8" bestFit="1" customWidth="1"/>
    <col min="7646" max="7646" width="10.21875" bestFit="1" customWidth="1"/>
    <col min="7647" max="7647" width="8" bestFit="1" customWidth="1"/>
    <col min="7648" max="7648" width="10.21875" bestFit="1" customWidth="1"/>
    <col min="7649" max="7649" width="8" bestFit="1" customWidth="1"/>
    <col min="7650" max="7650" width="10.21875" bestFit="1" customWidth="1"/>
    <col min="7651" max="7651" width="8" bestFit="1" customWidth="1"/>
    <col min="7652" max="7652" width="10.21875" bestFit="1" customWidth="1"/>
    <col min="7653" max="7653" width="8" bestFit="1" customWidth="1"/>
    <col min="7654" max="7654" width="10.21875" bestFit="1" customWidth="1"/>
    <col min="7655" max="7655" width="8" bestFit="1" customWidth="1"/>
    <col min="7656" max="7656" width="10.21875" bestFit="1" customWidth="1"/>
    <col min="7657" max="7657" width="6" bestFit="1" customWidth="1"/>
    <col min="7658" max="7658" width="8.6640625" bestFit="1" customWidth="1"/>
    <col min="7659" max="7659" width="8" bestFit="1" customWidth="1"/>
    <col min="7660" max="7660" width="10.21875" bestFit="1" customWidth="1"/>
    <col min="7661" max="7661" width="8" bestFit="1" customWidth="1"/>
    <col min="7662" max="7662" width="10.21875" bestFit="1" customWidth="1"/>
    <col min="7663" max="7663" width="8" bestFit="1" customWidth="1"/>
    <col min="7664" max="7664" width="10.21875" bestFit="1" customWidth="1"/>
    <col min="7665" max="7666" width="8" bestFit="1" customWidth="1"/>
    <col min="7667" max="7667" width="10.21875" bestFit="1" customWidth="1"/>
    <col min="7668" max="7668" width="8" bestFit="1" customWidth="1"/>
    <col min="7669" max="7669" width="10.21875" bestFit="1" customWidth="1"/>
    <col min="7670" max="7670" width="8" bestFit="1" customWidth="1"/>
    <col min="7671" max="7671" width="10.21875" bestFit="1" customWidth="1"/>
    <col min="7672" max="7672" width="8" bestFit="1" customWidth="1"/>
    <col min="7673" max="7673" width="10.21875" bestFit="1" customWidth="1"/>
    <col min="7674" max="7674" width="8" bestFit="1" customWidth="1"/>
    <col min="7675" max="7675" width="10.21875" bestFit="1" customWidth="1"/>
    <col min="7676" max="7677" width="6" bestFit="1" customWidth="1"/>
    <col min="7678" max="7678" width="8.6640625" bestFit="1" customWidth="1"/>
    <col min="7679" max="7679" width="8" bestFit="1" customWidth="1"/>
    <col min="7680" max="7680" width="10.21875" bestFit="1" customWidth="1"/>
    <col min="7681" max="7681" width="8" bestFit="1" customWidth="1"/>
    <col min="7682" max="7682" width="10.21875" bestFit="1" customWidth="1"/>
    <col min="7683" max="7684" width="8" bestFit="1" customWidth="1"/>
    <col min="7685" max="7685" width="10.21875" bestFit="1" customWidth="1"/>
    <col min="7686" max="7687" width="8" bestFit="1" customWidth="1"/>
    <col min="7688" max="7688" width="10.21875" bestFit="1" customWidth="1"/>
    <col min="7689" max="7689" width="8" bestFit="1" customWidth="1"/>
    <col min="7690" max="7690" width="10.21875" bestFit="1" customWidth="1"/>
    <col min="7691" max="7691" width="8" bestFit="1" customWidth="1"/>
    <col min="7692" max="7692" width="10.21875" bestFit="1" customWidth="1"/>
    <col min="7693" max="7694" width="8" bestFit="1" customWidth="1"/>
    <col min="7695" max="7695" width="10.21875" bestFit="1" customWidth="1"/>
    <col min="7696" max="7696" width="8" bestFit="1" customWidth="1"/>
    <col min="7697" max="7697" width="10.21875" bestFit="1" customWidth="1"/>
    <col min="7698" max="7698" width="8" bestFit="1" customWidth="1"/>
    <col min="7699" max="7699" width="10.21875" bestFit="1" customWidth="1"/>
    <col min="7700" max="7700" width="8" bestFit="1" customWidth="1"/>
    <col min="7701" max="7701" width="10.21875" bestFit="1" customWidth="1"/>
    <col min="7702" max="7702" width="8" bestFit="1" customWidth="1"/>
    <col min="7703" max="7703" width="10.21875" bestFit="1" customWidth="1"/>
    <col min="7704" max="7704" width="8" bestFit="1" customWidth="1"/>
    <col min="7705" max="7705" width="10.21875" bestFit="1" customWidth="1"/>
    <col min="7706" max="7708" width="8" bestFit="1" customWidth="1"/>
    <col min="7709" max="7709" width="10.21875" bestFit="1" customWidth="1"/>
    <col min="7710" max="7710" width="14" bestFit="1" customWidth="1"/>
    <col min="7711" max="7711" width="21.5546875" bestFit="1" customWidth="1"/>
    <col min="7712" max="7712" width="14" bestFit="1" customWidth="1"/>
    <col min="7713" max="7713" width="21.5546875" bestFit="1" customWidth="1"/>
    <col min="7714" max="7714" width="6" bestFit="1" customWidth="1"/>
    <col min="7715" max="7715" width="8.6640625" bestFit="1" customWidth="1"/>
    <col min="7716" max="7717" width="8" bestFit="1" customWidth="1"/>
    <col min="7718" max="7718" width="10.21875" bestFit="1" customWidth="1"/>
    <col min="7719" max="7719" width="8" bestFit="1" customWidth="1"/>
    <col min="7720" max="7720" width="10.21875" bestFit="1" customWidth="1"/>
    <col min="7721" max="7722" width="8" bestFit="1" customWidth="1"/>
    <col min="7723" max="7723" width="10.21875" bestFit="1" customWidth="1"/>
    <col min="7724" max="7724" width="8" bestFit="1" customWidth="1"/>
    <col min="7725" max="7725" width="10.21875" bestFit="1" customWidth="1"/>
    <col min="7726" max="7729" width="8" bestFit="1" customWidth="1"/>
    <col min="7730" max="7730" width="10.21875" bestFit="1" customWidth="1"/>
    <col min="7731" max="7732" width="8" bestFit="1" customWidth="1"/>
    <col min="7733" max="7733" width="10.21875" bestFit="1" customWidth="1"/>
    <col min="7734" max="7736" width="8" bestFit="1" customWidth="1"/>
    <col min="7737" max="7737" width="10.21875" bestFit="1" customWidth="1"/>
    <col min="7738" max="7738" width="8" bestFit="1" customWidth="1"/>
    <col min="7739" max="7739" width="10.21875" bestFit="1" customWidth="1"/>
    <col min="7740" max="7741" width="8" bestFit="1" customWidth="1"/>
    <col min="7742" max="7742" width="10.21875" bestFit="1" customWidth="1"/>
    <col min="7743" max="7744" width="8" bestFit="1" customWidth="1"/>
    <col min="7745" max="7745" width="10.21875" bestFit="1" customWidth="1"/>
    <col min="7746" max="7746" width="14" bestFit="1" customWidth="1"/>
    <col min="7747" max="7747" width="21.5546875" bestFit="1" customWidth="1"/>
    <col min="7748" max="7748" width="8" bestFit="1" customWidth="1"/>
    <col min="7749" max="7749" width="10.21875" bestFit="1" customWidth="1"/>
    <col min="7750" max="7750" width="14" bestFit="1" customWidth="1"/>
    <col min="7751" max="7751" width="21.5546875" bestFit="1" customWidth="1"/>
    <col min="7752" max="7752" width="8" bestFit="1" customWidth="1"/>
    <col min="7753" max="7753" width="10.21875" bestFit="1" customWidth="1"/>
    <col min="7754" max="7754" width="8" bestFit="1" customWidth="1"/>
    <col min="7755" max="7755" width="10.21875" bestFit="1" customWidth="1"/>
    <col min="7756" max="7757" width="8" bestFit="1" customWidth="1"/>
    <col min="7758" max="7758" width="10.21875" bestFit="1" customWidth="1"/>
    <col min="7759" max="7759" width="8" bestFit="1" customWidth="1"/>
    <col min="7760" max="7760" width="10.21875" bestFit="1" customWidth="1"/>
    <col min="7761" max="7761" width="8" bestFit="1" customWidth="1"/>
    <col min="7762" max="7762" width="10.21875" bestFit="1" customWidth="1"/>
    <col min="7763" max="7764" width="8" bestFit="1" customWidth="1"/>
    <col min="7765" max="7765" width="10.21875" bestFit="1" customWidth="1"/>
    <col min="7766" max="7766" width="8" bestFit="1" customWidth="1"/>
    <col min="7767" max="7767" width="10.21875" bestFit="1" customWidth="1"/>
    <col min="7768" max="7768" width="8" bestFit="1" customWidth="1"/>
    <col min="7769" max="7769" width="10.21875" bestFit="1" customWidth="1"/>
    <col min="7770" max="7770" width="8" bestFit="1" customWidth="1"/>
    <col min="7771" max="7771" width="10.21875" bestFit="1" customWidth="1"/>
    <col min="7772" max="7772" width="8" bestFit="1" customWidth="1"/>
    <col min="7773" max="7773" width="10.21875" bestFit="1" customWidth="1"/>
    <col min="7774" max="7774" width="8" bestFit="1" customWidth="1"/>
    <col min="7775" max="7775" width="10.21875" bestFit="1" customWidth="1"/>
    <col min="7776" max="7776" width="8" bestFit="1" customWidth="1"/>
    <col min="7777" max="7777" width="10.21875" bestFit="1" customWidth="1"/>
    <col min="7778" max="7779" width="8" bestFit="1" customWidth="1"/>
    <col min="7780" max="7780" width="10.21875" bestFit="1" customWidth="1"/>
    <col min="7781" max="7784" width="8" bestFit="1" customWidth="1"/>
    <col min="7785" max="7785" width="10.21875" bestFit="1" customWidth="1"/>
    <col min="7786" max="7786" width="8" bestFit="1" customWidth="1"/>
    <col min="7787" max="7787" width="10.21875" bestFit="1" customWidth="1"/>
    <col min="7788" max="7788" width="8" bestFit="1" customWidth="1"/>
    <col min="7789" max="7789" width="10.21875" bestFit="1" customWidth="1"/>
    <col min="7790" max="7790" width="8" bestFit="1" customWidth="1"/>
    <col min="7791" max="7791" width="10.21875" bestFit="1" customWidth="1"/>
    <col min="7792" max="7793" width="8" bestFit="1" customWidth="1"/>
    <col min="7794" max="7794" width="10.21875" bestFit="1" customWidth="1"/>
    <col min="7795" max="7795" width="6" bestFit="1" customWidth="1"/>
    <col min="7796" max="7796" width="8.6640625" bestFit="1" customWidth="1"/>
    <col min="7797" max="7798" width="8" bestFit="1" customWidth="1"/>
    <col min="7799" max="7799" width="10.21875" bestFit="1" customWidth="1"/>
    <col min="7800" max="7801" width="8" bestFit="1" customWidth="1"/>
    <col min="7802" max="7802" width="10.21875" bestFit="1" customWidth="1"/>
    <col min="7803" max="7803" width="8" bestFit="1" customWidth="1"/>
    <col min="7804" max="7804" width="10.21875" bestFit="1" customWidth="1"/>
    <col min="7805" max="7806" width="8" bestFit="1" customWidth="1"/>
    <col min="7807" max="7807" width="10.21875" bestFit="1" customWidth="1"/>
    <col min="7808" max="7808" width="8" bestFit="1" customWidth="1"/>
    <col min="7809" max="7809" width="10.21875" bestFit="1" customWidth="1"/>
    <col min="7810" max="7812" width="12" bestFit="1" customWidth="1"/>
    <col min="7813" max="7813" width="12.21875" bestFit="1" customWidth="1"/>
    <col min="7814" max="7814" width="8" bestFit="1" customWidth="1"/>
    <col min="7815" max="7815" width="10.21875" bestFit="1" customWidth="1"/>
    <col min="7816" max="7816" width="6" bestFit="1" customWidth="1"/>
    <col min="7817" max="7817" width="8.6640625" bestFit="1" customWidth="1"/>
    <col min="7818" max="7818" width="8" bestFit="1" customWidth="1"/>
    <col min="7819" max="7819" width="10.21875" bestFit="1" customWidth="1"/>
    <col min="7820" max="7821" width="8" bestFit="1" customWidth="1"/>
    <col min="7822" max="7822" width="10.21875" bestFit="1" customWidth="1"/>
    <col min="7823" max="7823" width="8" bestFit="1" customWidth="1"/>
    <col min="7824" max="7824" width="10.21875" bestFit="1" customWidth="1"/>
    <col min="7825" max="7825" width="8" bestFit="1" customWidth="1"/>
    <col min="7826" max="7826" width="10.21875" bestFit="1" customWidth="1"/>
    <col min="7827" max="7827" width="8" bestFit="1" customWidth="1"/>
    <col min="7828" max="7828" width="10.21875" bestFit="1" customWidth="1"/>
    <col min="7829" max="7829" width="8" bestFit="1" customWidth="1"/>
    <col min="7830" max="7830" width="10.21875" bestFit="1" customWidth="1"/>
    <col min="7831" max="7831" width="8" bestFit="1" customWidth="1"/>
    <col min="7832" max="7832" width="10.21875" bestFit="1" customWidth="1"/>
    <col min="7833" max="7834" width="8" bestFit="1" customWidth="1"/>
    <col min="7835" max="7835" width="10.21875" bestFit="1" customWidth="1"/>
    <col min="7836" max="7836" width="8" bestFit="1" customWidth="1"/>
    <col min="7837" max="7837" width="10.21875" bestFit="1" customWidth="1"/>
    <col min="7838" max="7838" width="6" bestFit="1" customWidth="1"/>
    <col min="7839" max="7839" width="8.6640625" bestFit="1" customWidth="1"/>
    <col min="7840" max="7840" width="8" bestFit="1" customWidth="1"/>
    <col min="7841" max="7841" width="10.21875" bestFit="1" customWidth="1"/>
    <col min="7842" max="7842" width="8" bestFit="1" customWidth="1"/>
    <col min="7843" max="7843" width="10.21875" bestFit="1" customWidth="1"/>
    <col min="7844" max="7844" width="8" bestFit="1" customWidth="1"/>
    <col min="7845" max="7845" width="10.21875" bestFit="1" customWidth="1"/>
    <col min="7846" max="7846" width="8" bestFit="1" customWidth="1"/>
    <col min="7847" max="7847" width="10.21875" bestFit="1" customWidth="1"/>
    <col min="7848" max="7848" width="8" bestFit="1" customWidth="1"/>
    <col min="7849" max="7849" width="10.21875" bestFit="1" customWidth="1"/>
    <col min="7850" max="7850" width="8" bestFit="1" customWidth="1"/>
    <col min="7851" max="7851" width="10.21875" bestFit="1" customWidth="1"/>
    <col min="7852" max="7852" width="6" bestFit="1" customWidth="1"/>
    <col min="7853" max="7853" width="8.6640625" bestFit="1" customWidth="1"/>
    <col min="7854" max="7854" width="8" bestFit="1" customWidth="1"/>
    <col min="7855" max="7855" width="10.21875" bestFit="1" customWidth="1"/>
    <col min="7856" max="7856" width="8" bestFit="1" customWidth="1"/>
    <col min="7857" max="7857" width="10.21875" bestFit="1" customWidth="1"/>
    <col min="7858" max="7858" width="8" bestFit="1" customWidth="1"/>
    <col min="7859" max="7859" width="10.21875" bestFit="1" customWidth="1"/>
    <col min="7860" max="7860" width="8" bestFit="1" customWidth="1"/>
    <col min="7861" max="7861" width="10.21875" bestFit="1" customWidth="1"/>
    <col min="7862" max="7862" width="8" bestFit="1" customWidth="1"/>
    <col min="7863" max="7863" width="10.21875" bestFit="1" customWidth="1"/>
    <col min="7864" max="7864" width="8" bestFit="1" customWidth="1"/>
    <col min="7865" max="7865" width="10.21875" bestFit="1" customWidth="1"/>
    <col min="7866" max="7866" width="8" bestFit="1" customWidth="1"/>
    <col min="7867" max="7867" width="10.21875" bestFit="1" customWidth="1"/>
    <col min="7868" max="7868" width="8" bestFit="1" customWidth="1"/>
    <col min="7869" max="7869" width="10.21875" bestFit="1" customWidth="1"/>
    <col min="7870" max="7871" width="6" bestFit="1" customWidth="1"/>
    <col min="7872" max="7872" width="8.6640625" bestFit="1" customWidth="1"/>
    <col min="7873" max="7873" width="8" bestFit="1" customWidth="1"/>
    <col min="7874" max="7874" width="10.21875" bestFit="1" customWidth="1"/>
    <col min="7875" max="7875" width="8" bestFit="1" customWidth="1"/>
    <col min="7876" max="7876" width="10.21875" bestFit="1" customWidth="1"/>
    <col min="7877" max="7877" width="8" bestFit="1" customWidth="1"/>
    <col min="7878" max="7878" width="10.21875" bestFit="1" customWidth="1"/>
    <col min="7879" max="7880" width="8" bestFit="1" customWidth="1"/>
    <col min="7881" max="7881" width="10.21875" bestFit="1" customWidth="1"/>
    <col min="7882" max="7882" width="8" bestFit="1" customWidth="1"/>
    <col min="7883" max="7883" width="10.21875" bestFit="1" customWidth="1"/>
    <col min="7884" max="7884" width="8" bestFit="1" customWidth="1"/>
    <col min="7885" max="7885" width="10.21875" bestFit="1" customWidth="1"/>
    <col min="7886" max="7887" width="8" bestFit="1" customWidth="1"/>
    <col min="7888" max="7888" width="10.21875" bestFit="1" customWidth="1"/>
    <col min="7889" max="7889" width="8" bestFit="1" customWidth="1"/>
    <col min="7890" max="7890" width="10.21875" bestFit="1" customWidth="1"/>
    <col min="7891" max="7891" width="8" bestFit="1" customWidth="1"/>
    <col min="7892" max="7892" width="10.21875" bestFit="1" customWidth="1"/>
    <col min="7893" max="7893" width="8" bestFit="1" customWidth="1"/>
    <col min="7894" max="7894" width="10.21875" bestFit="1" customWidth="1"/>
    <col min="7895" max="7897" width="8" bestFit="1" customWidth="1"/>
    <col min="7898" max="7898" width="10.21875" bestFit="1" customWidth="1"/>
    <col min="7899" max="7899" width="8" bestFit="1" customWidth="1"/>
    <col min="7900" max="7900" width="10.21875" bestFit="1" customWidth="1"/>
    <col min="7901" max="7901" width="8" bestFit="1" customWidth="1"/>
    <col min="7902" max="7902" width="10.21875" bestFit="1" customWidth="1"/>
    <col min="7903" max="7903" width="8" bestFit="1" customWidth="1"/>
    <col min="7904" max="7904" width="10.21875" bestFit="1" customWidth="1"/>
    <col min="7905" max="7905" width="8" bestFit="1" customWidth="1"/>
    <col min="7906" max="7906" width="10.21875" bestFit="1" customWidth="1"/>
    <col min="7907" max="7907" width="8" bestFit="1" customWidth="1"/>
    <col min="7908" max="7908" width="10.21875" bestFit="1" customWidth="1"/>
    <col min="7909" max="7909" width="8" bestFit="1" customWidth="1"/>
    <col min="7910" max="7910" width="10.21875" bestFit="1" customWidth="1"/>
    <col min="7911" max="7911" width="8" bestFit="1" customWidth="1"/>
    <col min="7912" max="7912" width="10.21875" bestFit="1" customWidth="1"/>
    <col min="7913" max="7913" width="8" bestFit="1" customWidth="1"/>
    <col min="7914" max="7914" width="10.21875" bestFit="1" customWidth="1"/>
    <col min="7915" max="7915" width="8" bestFit="1" customWidth="1"/>
    <col min="7916" max="7916" width="10.21875" bestFit="1" customWidth="1"/>
    <col min="7917" max="7917" width="8" bestFit="1" customWidth="1"/>
    <col min="7918" max="7918" width="10.21875" bestFit="1" customWidth="1"/>
    <col min="7919" max="7919" width="8" bestFit="1" customWidth="1"/>
    <col min="7920" max="7920" width="10.21875" bestFit="1" customWidth="1"/>
    <col min="7921" max="7921" width="6" bestFit="1" customWidth="1"/>
    <col min="7922" max="7922" width="8.6640625" bestFit="1" customWidth="1"/>
    <col min="7923" max="7923" width="8" bestFit="1" customWidth="1"/>
    <col min="7924" max="7924" width="10.21875" bestFit="1" customWidth="1"/>
    <col min="7925" max="7925" width="8" bestFit="1" customWidth="1"/>
    <col min="7926" max="7926" width="10.21875" bestFit="1" customWidth="1"/>
    <col min="7927" max="7927" width="8" bestFit="1" customWidth="1"/>
    <col min="7928" max="7928" width="10.21875" bestFit="1" customWidth="1"/>
    <col min="7929" max="7929" width="8" bestFit="1" customWidth="1"/>
    <col min="7930" max="7930" width="10.21875" bestFit="1" customWidth="1"/>
    <col min="7931" max="7931" width="8" bestFit="1" customWidth="1"/>
    <col min="7932" max="7932" width="10.21875" bestFit="1" customWidth="1"/>
    <col min="7933" max="7933" width="8" bestFit="1" customWidth="1"/>
    <col min="7934" max="7934" width="10.21875" bestFit="1" customWidth="1"/>
    <col min="7935" max="7935" width="8" bestFit="1" customWidth="1"/>
    <col min="7936" max="7936" width="10.21875" bestFit="1" customWidth="1"/>
    <col min="7937" max="7937" width="8" bestFit="1" customWidth="1"/>
    <col min="7938" max="7938" width="10.21875" bestFit="1" customWidth="1"/>
    <col min="7939" max="7939" width="8" bestFit="1" customWidth="1"/>
    <col min="7940" max="7940" width="10.21875" bestFit="1" customWidth="1"/>
    <col min="7941" max="7941" width="8" bestFit="1" customWidth="1"/>
    <col min="7942" max="7942" width="10.21875" bestFit="1" customWidth="1"/>
    <col min="7943" max="7943" width="8" bestFit="1" customWidth="1"/>
    <col min="7944" max="7944" width="10.21875" bestFit="1" customWidth="1"/>
    <col min="7945" max="7945" width="24.21875" bestFit="1" customWidth="1"/>
    <col min="7946" max="7946" width="33.6640625" bestFit="1" customWidth="1"/>
    <col min="7947" max="7947" width="37" bestFit="1" customWidth="1"/>
    <col min="7948" max="7948" width="31.44140625" bestFit="1" customWidth="1"/>
    <col min="7949" max="7949" width="19.109375" bestFit="1" customWidth="1"/>
    <col min="7950" max="7950" width="38.109375" bestFit="1" customWidth="1"/>
    <col min="7951" max="7951" width="23.6640625" bestFit="1" customWidth="1"/>
    <col min="7952" max="7952" width="17.77734375" bestFit="1" customWidth="1"/>
    <col min="7953" max="7953" width="38.33203125" bestFit="1" customWidth="1"/>
    <col min="7954" max="7954" width="35.88671875" bestFit="1" customWidth="1"/>
    <col min="7955" max="7955" width="33.77734375" bestFit="1" customWidth="1"/>
    <col min="7956" max="7956" width="23.88671875" bestFit="1" customWidth="1"/>
  </cols>
  <sheetData>
    <row r="1" spans="1:18" ht="21" x14ac:dyDescent="0.3">
      <c r="A1" s="24" t="s">
        <v>63</v>
      </c>
      <c r="B1" s="24"/>
      <c r="C1" s="24"/>
      <c r="D1" s="24"/>
      <c r="E1" s="24"/>
      <c r="F1" s="24"/>
      <c r="G1" s="24"/>
      <c r="H1" s="24"/>
      <c r="I1" s="24"/>
      <c r="J1" s="24"/>
      <c r="K1" s="24"/>
      <c r="L1" s="24"/>
      <c r="M1" s="24"/>
    </row>
    <row r="3" spans="1:18" x14ac:dyDescent="0.3">
      <c r="A3" t="s">
        <v>52</v>
      </c>
      <c r="B3" t="s">
        <v>53</v>
      </c>
      <c r="C3" t="s">
        <v>54</v>
      </c>
      <c r="D3" t="s">
        <v>55</v>
      </c>
      <c r="E3" t="s">
        <v>57</v>
      </c>
      <c r="F3" t="s">
        <v>56</v>
      </c>
      <c r="G3" t="s">
        <v>51</v>
      </c>
      <c r="H3" t="s">
        <v>58</v>
      </c>
      <c r="I3" t="s">
        <v>59</v>
      </c>
      <c r="J3" t="s">
        <v>60</v>
      </c>
      <c r="K3" t="s">
        <v>61</v>
      </c>
      <c r="L3" t="s">
        <v>62</v>
      </c>
    </row>
    <row r="4" spans="1:18" x14ac:dyDescent="0.3">
      <c r="A4" s="25">
        <v>224036.70000000004</v>
      </c>
      <c r="B4" s="25">
        <v>51495.8</v>
      </c>
      <c r="C4" s="25">
        <v>18882.2</v>
      </c>
      <c r="D4" s="25">
        <v>0</v>
      </c>
      <c r="E4" s="25">
        <v>16691.700000000008</v>
      </c>
      <c r="F4" s="25">
        <v>16878.899999999998</v>
      </c>
      <c r="G4" s="25">
        <v>17100</v>
      </c>
      <c r="H4" s="25">
        <v>15500.999999999996</v>
      </c>
      <c r="I4" s="25">
        <v>16306.900000000003</v>
      </c>
      <c r="J4" s="25">
        <v>17195.199999999997</v>
      </c>
      <c r="K4" s="25">
        <v>16272.100000000004</v>
      </c>
      <c r="L4" s="25">
        <v>16383.699999999999</v>
      </c>
    </row>
    <row r="6" spans="1:18" x14ac:dyDescent="0.3">
      <c r="E6" s="16"/>
      <c r="F6" s="22"/>
      <c r="G6" s="22"/>
      <c r="H6" s="22"/>
    </row>
    <row r="7" spans="1:18" x14ac:dyDescent="0.3">
      <c r="E7" s="16"/>
    </row>
    <row r="8" spans="1:18" x14ac:dyDescent="0.3">
      <c r="A8" t="str" cm="1">
        <f t="array" ref="A8:B20">TRANSPOSE(A3:M4)</f>
        <v>Sum of Food &amp; Drinks</v>
      </c>
      <c r="B8">
        <v>224036.70000000004</v>
      </c>
      <c r="D8" s="15"/>
      <c r="E8" s="17"/>
      <c r="F8" s="18"/>
      <c r="G8" s="18"/>
      <c r="H8" s="18"/>
      <c r="O8" s="17"/>
      <c r="P8" s="17"/>
      <c r="Q8" s="17"/>
      <c r="R8" s="17"/>
    </row>
    <row r="9" spans="1:18" x14ac:dyDescent="0.3">
      <c r="A9" t="str">
        <v>Sum of Clothing &amp; Footwear (all)</v>
      </c>
      <c r="B9">
        <v>51495.8</v>
      </c>
      <c r="E9" s="19"/>
      <c r="F9" s="18"/>
      <c r="G9" s="18"/>
      <c r="H9" s="18"/>
    </row>
    <row r="10" spans="1:18" x14ac:dyDescent="0.3">
      <c r="A10" t="str">
        <v>Sum of Pan, tobacco and intoxicants</v>
      </c>
      <c r="B10">
        <v>18882.2</v>
      </c>
      <c r="E10" s="17"/>
      <c r="F10" s="18"/>
      <c r="G10" s="18"/>
      <c r="H10" s="18"/>
    </row>
    <row r="11" spans="1:18" x14ac:dyDescent="0.3">
      <c r="A11" t="str">
        <v>Sum of Housing</v>
      </c>
      <c r="B11">
        <v>0</v>
      </c>
      <c r="E11" s="17"/>
      <c r="F11" s="18"/>
      <c r="G11" s="18"/>
      <c r="H11" s="18"/>
    </row>
    <row r="12" spans="1:18" x14ac:dyDescent="0.3">
      <c r="A12" t="str">
        <v>Sum of Household goods and services</v>
      </c>
      <c r="B12">
        <v>16691.700000000008</v>
      </c>
      <c r="E12" s="17"/>
      <c r="F12" s="18"/>
      <c r="G12" s="18"/>
      <c r="H12" s="18"/>
    </row>
    <row r="13" spans="1:18" x14ac:dyDescent="0.3">
      <c r="A13" t="str">
        <v>Sum of Fuel and light</v>
      </c>
      <c r="B13">
        <v>16878.899999999998</v>
      </c>
      <c r="E13" s="17"/>
      <c r="F13" s="18"/>
      <c r="G13" s="18"/>
      <c r="H13" s="18"/>
    </row>
    <row r="14" spans="1:18" x14ac:dyDescent="0.3">
      <c r="A14" t="str">
        <v>Sum of Health</v>
      </c>
      <c r="B14">
        <v>17100</v>
      </c>
      <c r="E14" s="17"/>
      <c r="F14" s="18"/>
      <c r="G14" s="18"/>
      <c r="H14" s="18"/>
    </row>
    <row r="15" spans="1:18" x14ac:dyDescent="0.3">
      <c r="A15" t="str">
        <v>Sum of Transport and communication</v>
      </c>
      <c r="B15">
        <v>15500.999999999996</v>
      </c>
      <c r="E15" s="17"/>
      <c r="F15" s="18"/>
      <c r="G15" s="18"/>
      <c r="H15" s="18"/>
    </row>
    <row r="16" spans="1:18" x14ac:dyDescent="0.3">
      <c r="A16" t="str">
        <v>Sum of Recreation and amusement</v>
      </c>
      <c r="B16">
        <v>16306.900000000003</v>
      </c>
      <c r="E16" s="17"/>
      <c r="F16" s="18"/>
      <c r="G16" s="18"/>
      <c r="H16" s="18"/>
    </row>
    <row r="17" spans="1:13" x14ac:dyDescent="0.3">
      <c r="A17" t="str">
        <v>Sum of Education</v>
      </c>
      <c r="B17">
        <v>17195.199999999997</v>
      </c>
      <c r="E17" s="17"/>
      <c r="F17" s="18"/>
      <c r="G17" s="18"/>
      <c r="H17" s="18"/>
    </row>
    <row r="18" spans="1:13" x14ac:dyDescent="0.3">
      <c r="A18" t="str">
        <v>Sum of Personal care and effects</v>
      </c>
      <c r="B18">
        <v>16272.100000000004</v>
      </c>
      <c r="E18" s="17"/>
      <c r="F18" s="18"/>
      <c r="G18" s="18"/>
      <c r="H18" s="18"/>
    </row>
    <row r="19" spans="1:13" x14ac:dyDescent="0.3">
      <c r="A19" t="str">
        <v>Sum of Miscellaneous</v>
      </c>
      <c r="B19">
        <v>16383.699999999999</v>
      </c>
      <c r="C19">
        <f>SUM(B8:B19)</f>
        <v>426744.20000000013</v>
      </c>
      <c r="E19" s="17"/>
      <c r="F19" s="18"/>
      <c r="G19" s="18"/>
      <c r="H19" s="18"/>
    </row>
    <row r="20" spans="1:13" x14ac:dyDescent="0.3">
      <c r="A20">
        <v>0</v>
      </c>
      <c r="B20">
        <v>0</v>
      </c>
    </row>
    <row r="23" spans="1:13" ht="21" x14ac:dyDescent="0.3">
      <c r="A23" s="24" t="s">
        <v>67</v>
      </c>
      <c r="B23" s="24"/>
      <c r="C23" s="24"/>
      <c r="D23" s="24"/>
      <c r="E23" s="24"/>
      <c r="F23" s="24"/>
      <c r="G23" s="24"/>
      <c r="H23" s="24"/>
      <c r="I23" s="24"/>
      <c r="J23" s="24"/>
      <c r="K23" s="24"/>
      <c r="L23" s="24"/>
      <c r="M23" s="24"/>
    </row>
    <row r="24" spans="1:13" x14ac:dyDescent="0.3">
      <c r="E24" s="16"/>
    </row>
    <row r="25" spans="1:13" x14ac:dyDescent="0.3">
      <c r="A25" s="32" t="s">
        <v>0</v>
      </c>
      <c r="B25" t="s">
        <v>33</v>
      </c>
      <c r="E25" s="20"/>
    </row>
    <row r="26" spans="1:13" x14ac:dyDescent="0.3">
      <c r="E26" s="21"/>
    </row>
    <row r="27" spans="1:13" x14ac:dyDescent="0.3">
      <c r="A27" s="32" t="s">
        <v>64</v>
      </c>
      <c r="B27" s="32" t="s">
        <v>68</v>
      </c>
    </row>
    <row r="28" spans="1:13" x14ac:dyDescent="0.3">
      <c r="A28" s="32" t="s">
        <v>65</v>
      </c>
      <c r="B28" t="s">
        <v>31</v>
      </c>
      <c r="C28" t="s">
        <v>44</v>
      </c>
      <c r="D28" t="s">
        <v>66</v>
      </c>
      <c r="G28" s="39" t="s">
        <v>1</v>
      </c>
      <c r="H28" s="39" t="s">
        <v>69</v>
      </c>
    </row>
    <row r="29" spans="1:13" x14ac:dyDescent="0.3">
      <c r="A29" s="33">
        <v>2017</v>
      </c>
      <c r="B29" s="25">
        <v>130.30000000000001</v>
      </c>
      <c r="C29" s="25">
        <v>137.19999999999999</v>
      </c>
      <c r="D29" s="25">
        <v>267.5</v>
      </c>
      <c r="E29">
        <f>GETPIVOTDATA("General index",$A$27,"Year",2017,"Month","December")-GETPIVOTDATA("General index",$A$27,"Year",2017,"Month","January")</f>
        <v>6.8999999999999773</v>
      </c>
      <c r="G29" s="37">
        <v>2017</v>
      </c>
      <c r="H29" s="38">
        <f>E29/GETPIVOTDATA("General index",$A$27,"Year",2017,"Month","January")</f>
        <v>5.295471987720627E-2</v>
      </c>
    </row>
    <row r="30" spans="1:13" x14ac:dyDescent="0.3">
      <c r="A30" s="33">
        <v>2018</v>
      </c>
      <c r="B30" s="25">
        <v>136.9</v>
      </c>
      <c r="C30" s="25">
        <v>140.1</v>
      </c>
      <c r="D30" s="25">
        <v>277</v>
      </c>
      <c r="E30">
        <f>GETPIVOTDATA("General index",$A$27,"Year",2018,"Month","December")-GETPIVOTDATA("General index",$A$27,"Year",2018,"Month","January")</f>
        <v>3.1999999999999886</v>
      </c>
      <c r="G30" s="37">
        <v>2018</v>
      </c>
      <c r="H30" s="38">
        <f>E30/GETPIVOTDATA("General index",$A$27,"Year",2018,"Month","January")</f>
        <v>2.3374726077428697E-2</v>
      </c>
    </row>
    <row r="31" spans="1:13" x14ac:dyDescent="0.3">
      <c r="A31" s="33">
        <v>2019</v>
      </c>
      <c r="B31" s="25">
        <v>139.6</v>
      </c>
      <c r="C31" s="25">
        <v>150.4</v>
      </c>
      <c r="D31" s="25">
        <v>290</v>
      </c>
      <c r="E31">
        <f>GETPIVOTDATA("General index",$A$27,"Year",2019,"Month","December")-GETPIVOTDATA("General index",$A$27,"Year",2019,"Month","January")</f>
        <v>10.800000000000011</v>
      </c>
      <c r="G31" s="37">
        <v>2019</v>
      </c>
      <c r="H31" s="38">
        <f>E31/GETPIVOTDATA("General index",$A$27,"Year",2019,"Month","January")</f>
        <v>7.7363896848137617E-2</v>
      </c>
    </row>
    <row r="32" spans="1:13" x14ac:dyDescent="0.3">
      <c r="A32" s="33">
        <v>2020</v>
      </c>
      <c r="B32" s="25">
        <v>150.19999999999999</v>
      </c>
      <c r="C32" s="25">
        <v>158.9</v>
      </c>
      <c r="D32" s="25">
        <v>309.10000000000002</v>
      </c>
      <c r="E32">
        <f>GETPIVOTDATA("General index",$A$27,"Year",2020,"Month","December")-GETPIVOTDATA("General index",$A$27,"Year",2020,"Month","January")</f>
        <v>8.7000000000000171</v>
      </c>
      <c r="G32" s="37">
        <v>2020</v>
      </c>
      <c r="H32" s="38">
        <f>E32/GETPIVOTDATA("General index",$A$27,"Year",2020,"Month","January")</f>
        <v>5.7922769640479481E-2</v>
      </c>
    </row>
    <row r="33" spans="1:13" x14ac:dyDescent="0.3">
      <c r="A33" s="33">
        <v>2021</v>
      </c>
      <c r="B33" s="25">
        <v>157.30000000000001</v>
      </c>
      <c r="C33" s="25">
        <v>166.2</v>
      </c>
      <c r="D33" s="25">
        <v>323.5</v>
      </c>
      <c r="E33">
        <f>GETPIVOTDATA("General index",$A$27,"Year",2021,"Month","December")-GETPIVOTDATA("General index",$A$27,"Year",2021,"Month","January")</f>
        <v>8.8999999999999773</v>
      </c>
      <c r="G33" s="37">
        <v>2021</v>
      </c>
      <c r="H33" s="38">
        <f>E33/GETPIVOTDATA("General index",$A$27,"Year",2021,"Month","January")</f>
        <v>5.657978385251098E-2</v>
      </c>
    </row>
    <row r="34" spans="1:13" x14ac:dyDescent="0.3">
      <c r="A34" s="33">
        <v>2022</v>
      </c>
      <c r="B34" s="25">
        <v>165.7</v>
      </c>
      <c r="C34" s="25">
        <v>175.7</v>
      </c>
      <c r="D34" s="25">
        <v>341.4</v>
      </c>
      <c r="E34">
        <f>GETPIVOTDATA("General index",$A$27,"Year",2022,"Month","December")-GETPIVOTDATA("General index",$A$27,"Year",2022,"Month","January")</f>
        <v>10</v>
      </c>
      <c r="G34" s="37">
        <v>2022</v>
      </c>
      <c r="H34" s="38">
        <f>E34/GETPIVOTDATA("General index",$A$27,"Year",2022,"Month","January")</f>
        <v>6.0350030175015092E-2</v>
      </c>
    </row>
    <row r="35" spans="1:13" x14ac:dyDescent="0.3">
      <c r="A35" s="33" t="s">
        <v>66</v>
      </c>
      <c r="B35" s="25">
        <v>880</v>
      </c>
      <c r="C35" s="25">
        <v>928.5</v>
      </c>
      <c r="D35" s="25">
        <v>1808.5</v>
      </c>
    </row>
    <row r="36" spans="1:13" x14ac:dyDescent="0.3">
      <c r="E36" s="20"/>
    </row>
    <row r="37" spans="1:13" x14ac:dyDescent="0.3">
      <c r="E37" s="42"/>
    </row>
    <row r="38" spans="1:13" ht="21" x14ac:dyDescent="0.3">
      <c r="A38" s="24" t="s">
        <v>209</v>
      </c>
      <c r="B38" s="24"/>
      <c r="C38" s="24"/>
      <c r="D38" s="24"/>
      <c r="E38" s="24"/>
      <c r="F38" s="24"/>
      <c r="G38" s="24"/>
      <c r="H38" s="24"/>
      <c r="I38" s="24"/>
      <c r="J38" s="24"/>
      <c r="K38" s="24"/>
      <c r="L38" s="24"/>
      <c r="M38" s="24"/>
    </row>
    <row r="39" spans="1:13" x14ac:dyDescent="0.3">
      <c r="E39" s="42"/>
    </row>
    <row r="40" spans="1:13" x14ac:dyDescent="0.3">
      <c r="A40" s="41" t="s">
        <v>209</v>
      </c>
    </row>
    <row r="41" spans="1:13" x14ac:dyDescent="0.3">
      <c r="E41" s="42"/>
    </row>
    <row r="42" spans="1:13" x14ac:dyDescent="0.3">
      <c r="A42" s="1" t="s">
        <v>0</v>
      </c>
      <c r="B42" s="2" t="s">
        <v>1</v>
      </c>
      <c r="C42" s="2" t="s">
        <v>2</v>
      </c>
      <c r="D42" s="2" t="s">
        <v>49</v>
      </c>
      <c r="E42" s="43"/>
      <c r="F42" s="43"/>
      <c r="G42" s="43"/>
    </row>
    <row r="43" spans="1:13" x14ac:dyDescent="0.3">
      <c r="A43" s="30" t="s">
        <v>30</v>
      </c>
      <c r="B43" s="26">
        <v>2022</v>
      </c>
      <c r="C43" s="26" t="s">
        <v>37</v>
      </c>
      <c r="D43" s="26">
        <v>2226.8000000000002</v>
      </c>
    </row>
    <row r="44" spans="1:13" x14ac:dyDescent="0.3">
      <c r="A44" s="31" t="s">
        <v>30</v>
      </c>
      <c r="B44" s="28">
        <v>2022</v>
      </c>
      <c r="C44" s="28" t="s">
        <v>38</v>
      </c>
      <c r="D44" s="28">
        <v>2248.3000000000002</v>
      </c>
      <c r="E44" s="36">
        <f>(D44-D43)/D43</f>
        <v>9.6551104724268005E-3</v>
      </c>
      <c r="F44" s="36"/>
      <c r="G44" s="36"/>
    </row>
    <row r="45" spans="1:13" x14ac:dyDescent="0.3">
      <c r="A45" s="30" t="s">
        <v>30</v>
      </c>
      <c r="B45" s="26">
        <v>2022</v>
      </c>
      <c r="C45" s="26" t="s">
        <v>39</v>
      </c>
      <c r="D45" s="26">
        <v>2252.5</v>
      </c>
      <c r="E45" s="36">
        <f>(D45-D44)/D44</f>
        <v>1.8680781034558635E-3</v>
      </c>
      <c r="F45" s="36"/>
      <c r="G45" s="36"/>
    </row>
    <row r="46" spans="1:13" x14ac:dyDescent="0.3">
      <c r="A46" s="31" t="s">
        <v>30</v>
      </c>
      <c r="B46" s="28">
        <v>2022</v>
      </c>
      <c r="C46" s="28" t="s">
        <v>40</v>
      </c>
      <c r="D46" s="28">
        <v>2255.7999999999997</v>
      </c>
      <c r="E46" s="36">
        <f>(D46-D45)/D45</f>
        <v>1.4650388457268489E-3</v>
      </c>
      <c r="F46" s="36"/>
      <c r="G46" s="18"/>
    </row>
    <row r="47" spans="1:13" x14ac:dyDescent="0.3">
      <c r="A47" s="30" t="s">
        <v>30</v>
      </c>
      <c r="B47" s="26">
        <v>2022</v>
      </c>
      <c r="C47" s="26" t="s">
        <v>41</v>
      </c>
      <c r="D47" s="26">
        <v>2267.8000000000002</v>
      </c>
      <c r="E47" s="36">
        <f>(D47-D46)/D46</f>
        <v>5.3196205337354627E-3</v>
      </c>
      <c r="F47" s="36"/>
      <c r="G47" s="36"/>
    </row>
    <row r="48" spans="1:13" x14ac:dyDescent="0.3">
      <c r="A48" s="31" t="s">
        <v>30</v>
      </c>
      <c r="B48" s="28">
        <v>2022</v>
      </c>
      <c r="C48" s="28" t="s">
        <v>42</v>
      </c>
      <c r="D48" s="28">
        <v>2284.5</v>
      </c>
      <c r="E48" s="36">
        <f>(D48-D47)/D47</f>
        <v>7.3639650762853063E-3</v>
      </c>
      <c r="F48" s="36"/>
      <c r="G48" s="36"/>
    </row>
    <row r="49" spans="1:7" x14ac:dyDescent="0.3">
      <c r="A49" s="30" t="s">
        <v>30</v>
      </c>
      <c r="B49" s="26">
        <v>2022</v>
      </c>
      <c r="C49" s="26" t="s">
        <v>43</v>
      </c>
      <c r="D49" s="26">
        <v>2287.6999999999998</v>
      </c>
      <c r="E49" s="36">
        <f>(D49-D48)/D48</f>
        <v>1.4007441453271255E-3</v>
      </c>
      <c r="F49" s="36"/>
      <c r="G49" s="36"/>
    </row>
    <row r="50" spans="1:7" x14ac:dyDescent="0.3">
      <c r="A50" s="31" t="s">
        <v>30</v>
      </c>
      <c r="B50" s="28">
        <v>2022</v>
      </c>
      <c r="C50" s="28" t="s">
        <v>44</v>
      </c>
      <c r="D50" s="28">
        <v>2277.1</v>
      </c>
      <c r="E50" s="36">
        <f>(D50-D49)/D49</f>
        <v>-4.6334746688813698E-3</v>
      </c>
      <c r="F50" s="36"/>
      <c r="G50" s="36"/>
    </row>
    <row r="51" spans="1:7" x14ac:dyDescent="0.3">
      <c r="A51" s="30" t="s">
        <v>30</v>
      </c>
      <c r="B51" s="26">
        <v>2023</v>
      </c>
      <c r="C51" s="26" t="s">
        <v>31</v>
      </c>
      <c r="D51" s="26">
        <v>2283.2000000000003</v>
      </c>
      <c r="E51" s="36">
        <f>(D51-D50)/D50</f>
        <v>2.678845900487622E-3</v>
      </c>
      <c r="F51" s="36"/>
      <c r="G51" s="36"/>
    </row>
    <row r="52" spans="1:7" x14ac:dyDescent="0.3">
      <c r="A52" s="31" t="s">
        <v>30</v>
      </c>
      <c r="B52" s="28">
        <v>2023</v>
      </c>
      <c r="C52" s="28" t="s">
        <v>34</v>
      </c>
      <c r="D52" s="28">
        <v>2265.6999999999998</v>
      </c>
      <c r="E52" s="36">
        <f>(D52-D51)/D51</f>
        <v>-7.6646811492643886E-3</v>
      </c>
      <c r="F52" s="36"/>
      <c r="G52" s="36"/>
    </row>
    <row r="53" spans="1:7" x14ac:dyDescent="0.3">
      <c r="A53" s="30" t="s">
        <v>30</v>
      </c>
      <c r="B53" s="26">
        <v>2023</v>
      </c>
      <c r="C53" s="26" t="s">
        <v>35</v>
      </c>
      <c r="D53" s="26">
        <v>2265.8000000000002</v>
      </c>
      <c r="E53" s="36">
        <f>(D53-D52)/D52</f>
        <v>4.4136469965292762E-5</v>
      </c>
      <c r="F53" s="36"/>
      <c r="G53" s="36"/>
    </row>
    <row r="54" spans="1:7" x14ac:dyDescent="0.3">
      <c r="A54" s="31" t="s">
        <v>30</v>
      </c>
      <c r="B54" s="28">
        <v>2023</v>
      </c>
      <c r="C54" s="28" t="s">
        <v>36</v>
      </c>
      <c r="D54" s="28">
        <v>2274.1999999999998</v>
      </c>
      <c r="E54" s="36">
        <f>(D54-D53)/D53</f>
        <v>3.7072998499424643E-3</v>
      </c>
      <c r="F54" s="36"/>
      <c r="G54" s="36"/>
    </row>
    <row r="55" spans="1:7" x14ac:dyDescent="0.3">
      <c r="A55" s="30" t="s">
        <v>30</v>
      </c>
      <c r="B55" s="26">
        <v>2023</v>
      </c>
      <c r="C55" s="26" t="s">
        <v>37</v>
      </c>
      <c r="D55" s="26">
        <v>2290.7000000000007</v>
      </c>
      <c r="E55" s="36">
        <f>(D55-D54)/D54</f>
        <v>7.2552985665292899E-3</v>
      </c>
      <c r="F55" s="36"/>
      <c r="G55" s="36"/>
    </row>
    <row r="58" spans="1:7" x14ac:dyDescent="0.3">
      <c r="A58" s="1" t="s">
        <v>0</v>
      </c>
      <c r="B58" s="2" t="s">
        <v>1</v>
      </c>
      <c r="C58" s="2" t="s">
        <v>2</v>
      </c>
      <c r="D58" s="2" t="s">
        <v>49</v>
      </c>
    </row>
    <row r="59" spans="1:7" x14ac:dyDescent="0.3">
      <c r="A59" s="10" t="s">
        <v>33</v>
      </c>
      <c r="B59" s="5">
        <v>2022</v>
      </c>
      <c r="C59" s="5" t="s">
        <v>37</v>
      </c>
      <c r="D59" s="26">
        <v>2238.9000000000005</v>
      </c>
    </row>
    <row r="60" spans="1:7" x14ac:dyDescent="0.3">
      <c r="A60" s="9" t="s">
        <v>33</v>
      </c>
      <c r="B60" s="7">
        <v>2022</v>
      </c>
      <c r="C60" s="7" t="s">
        <v>38</v>
      </c>
      <c r="D60" s="28">
        <v>2261.9</v>
      </c>
      <c r="E60" s="36">
        <f>(D60-D59)/D59</f>
        <v>1.0272901871454526E-2</v>
      </c>
    </row>
    <row r="61" spans="1:7" x14ac:dyDescent="0.3">
      <c r="A61" s="10" t="s">
        <v>33</v>
      </c>
      <c r="B61" s="5">
        <v>2022</v>
      </c>
      <c r="C61" s="5" t="s">
        <v>39</v>
      </c>
      <c r="D61" s="26">
        <v>2266.3000000000002</v>
      </c>
      <c r="E61" s="36">
        <f>(D61-D60)/D60</f>
        <v>1.9452672531942573E-3</v>
      </c>
    </row>
    <row r="62" spans="1:7" x14ac:dyDescent="0.3">
      <c r="A62" s="9" t="s">
        <v>33</v>
      </c>
      <c r="B62" s="7">
        <v>2022</v>
      </c>
      <c r="C62" s="7" t="s">
        <v>40</v>
      </c>
      <c r="D62" s="28">
        <v>2269.2000000000003</v>
      </c>
      <c r="E62" s="36">
        <f>(D62-D61)/D61</f>
        <v>1.279618761858576E-3</v>
      </c>
    </row>
    <row r="63" spans="1:7" x14ac:dyDescent="0.3">
      <c r="A63" s="10" t="s">
        <v>33</v>
      </c>
      <c r="B63" s="5">
        <v>2022</v>
      </c>
      <c r="C63" s="5" t="s">
        <v>41</v>
      </c>
      <c r="D63" s="26">
        <v>2280.9</v>
      </c>
      <c r="E63" s="36">
        <f>(D63-D62)/D62</f>
        <v>5.1560021152828386E-3</v>
      </c>
    </row>
    <row r="64" spans="1:7" x14ac:dyDescent="0.3">
      <c r="A64" s="9" t="s">
        <v>33</v>
      </c>
      <c r="B64" s="7">
        <v>2022</v>
      </c>
      <c r="C64" s="7" t="s">
        <v>42</v>
      </c>
      <c r="D64" s="28">
        <v>2297.3000000000002</v>
      </c>
      <c r="E64" s="36">
        <f>(D64-D63)/D63</f>
        <v>7.1901442413082953E-3</v>
      </c>
    </row>
    <row r="65" spans="1:5" x14ac:dyDescent="0.3">
      <c r="A65" s="10" t="s">
        <v>33</v>
      </c>
      <c r="B65" s="5">
        <v>2022</v>
      </c>
      <c r="C65" s="5" t="s">
        <v>43</v>
      </c>
      <c r="D65" s="26">
        <v>2296.8000000000002</v>
      </c>
      <c r="E65" s="36">
        <f>(D65-D64)/D64</f>
        <v>-2.1764680276846731E-4</v>
      </c>
    </row>
    <row r="66" spans="1:5" x14ac:dyDescent="0.3">
      <c r="A66" s="9" t="s">
        <v>33</v>
      </c>
      <c r="B66" s="7">
        <v>2022</v>
      </c>
      <c r="C66" s="7" t="s">
        <v>44</v>
      </c>
      <c r="D66" s="28">
        <v>2283.4</v>
      </c>
      <c r="E66" s="36">
        <f>(D66-D65)/D65</f>
        <v>-5.8342041100662182E-3</v>
      </c>
    </row>
    <row r="67" spans="1:5" x14ac:dyDescent="0.3">
      <c r="A67" s="10" t="s">
        <v>33</v>
      </c>
      <c r="B67" s="5">
        <v>2023</v>
      </c>
      <c r="C67" s="5" t="s">
        <v>31</v>
      </c>
      <c r="D67" s="26">
        <v>2292.6999999999998</v>
      </c>
      <c r="E67" s="36">
        <f>(D67-D66)/D66</f>
        <v>4.0728737847068961E-3</v>
      </c>
    </row>
    <row r="68" spans="1:5" x14ac:dyDescent="0.3">
      <c r="A68" s="9" t="s">
        <v>33</v>
      </c>
      <c r="B68" s="7">
        <v>2023</v>
      </c>
      <c r="C68" s="7" t="s">
        <v>34</v>
      </c>
      <c r="D68" s="28">
        <v>2279.1</v>
      </c>
      <c r="E68" s="36">
        <f>(D68-D67)/D67</f>
        <v>-5.9318707201116193E-3</v>
      </c>
    </row>
    <row r="69" spans="1:5" x14ac:dyDescent="0.3">
      <c r="A69" s="10" t="s">
        <v>33</v>
      </c>
      <c r="B69" s="5">
        <v>2023</v>
      </c>
      <c r="C69" s="5" t="s">
        <v>35</v>
      </c>
      <c r="D69" s="26">
        <v>2279.1999999999998</v>
      </c>
      <c r="E69" s="36">
        <f>(D69-D68)/D68</f>
        <v>4.3876968978943027E-5</v>
      </c>
    </row>
    <row r="70" spans="1:5" x14ac:dyDescent="0.3">
      <c r="A70" s="9" t="s">
        <v>33</v>
      </c>
      <c r="B70" s="7">
        <v>2023</v>
      </c>
      <c r="C70" s="7" t="s">
        <v>36</v>
      </c>
      <c r="D70" s="28">
        <v>2289.6000000000004</v>
      </c>
      <c r="E70" s="36">
        <f>(D70-D69)/D69</f>
        <v>4.5630045630048032E-3</v>
      </c>
    </row>
    <row r="71" spans="1:5" x14ac:dyDescent="0.3">
      <c r="A71" s="10" t="s">
        <v>33</v>
      </c>
      <c r="B71" s="5">
        <v>2023</v>
      </c>
      <c r="C71" s="5" t="s">
        <v>37</v>
      </c>
      <c r="D71" s="26">
        <v>2306.9</v>
      </c>
      <c r="E71" s="36">
        <f>(D71-D70)/D70</f>
        <v>7.5559049615652185E-3</v>
      </c>
    </row>
    <row r="74" spans="1:5" x14ac:dyDescent="0.3">
      <c r="A74" s="1" t="s">
        <v>0</v>
      </c>
      <c r="B74" s="2" t="s">
        <v>1</v>
      </c>
      <c r="C74" s="2" t="s">
        <v>2</v>
      </c>
      <c r="D74" s="2" t="s">
        <v>49</v>
      </c>
    </row>
    <row r="75" spans="1:5" x14ac:dyDescent="0.3">
      <c r="A75" s="30" t="s">
        <v>32</v>
      </c>
      <c r="B75" s="26">
        <v>2022</v>
      </c>
      <c r="C75" s="26" t="s">
        <v>37</v>
      </c>
      <c r="D75" s="26">
        <v>2262.2000000000003</v>
      </c>
    </row>
    <row r="76" spans="1:5" x14ac:dyDescent="0.3">
      <c r="A76" s="31" t="s">
        <v>32</v>
      </c>
      <c r="B76" s="28">
        <v>2022</v>
      </c>
      <c r="C76" s="28" t="s">
        <v>38</v>
      </c>
      <c r="D76" s="28">
        <v>2287.5</v>
      </c>
      <c r="E76" s="36">
        <f>(D76-D75)/D75</f>
        <v>1.1183803377243269E-2</v>
      </c>
    </row>
    <row r="77" spans="1:5" x14ac:dyDescent="0.3">
      <c r="A77" s="30" t="s">
        <v>32</v>
      </c>
      <c r="B77" s="26">
        <v>2022</v>
      </c>
      <c r="C77" s="26" t="s">
        <v>39</v>
      </c>
      <c r="D77" s="26">
        <v>2291.6</v>
      </c>
      <c r="E77" s="36">
        <f>(D77-D76)/D76</f>
        <v>1.7923497267759165E-3</v>
      </c>
    </row>
    <row r="78" spans="1:5" x14ac:dyDescent="0.3">
      <c r="A78" s="31" t="s">
        <v>32</v>
      </c>
      <c r="B78" s="28">
        <v>2022</v>
      </c>
      <c r="C78" s="28" t="s">
        <v>40</v>
      </c>
      <c r="D78" s="28">
        <v>2293.6999999999998</v>
      </c>
      <c r="E78" s="36">
        <f>(D78-D77)/D77</f>
        <v>9.1639029499036005E-4</v>
      </c>
    </row>
    <row r="79" spans="1:5" x14ac:dyDescent="0.3">
      <c r="A79" s="30" t="s">
        <v>32</v>
      </c>
      <c r="B79" s="26">
        <v>2022</v>
      </c>
      <c r="C79" s="26" t="s">
        <v>41</v>
      </c>
      <c r="D79" s="26">
        <v>2306.4</v>
      </c>
      <c r="E79" s="36">
        <f>(D79-D78)/D78</f>
        <v>5.5369054366308902E-3</v>
      </c>
    </row>
    <row r="80" spans="1:5" x14ac:dyDescent="0.3">
      <c r="A80" s="31" t="s">
        <v>32</v>
      </c>
      <c r="B80" s="28">
        <v>2022</v>
      </c>
      <c r="C80" s="28" t="s">
        <v>42</v>
      </c>
      <c r="D80" s="28">
        <v>2322.3000000000002</v>
      </c>
      <c r="E80" s="36">
        <f>(D80-D79)/D79</f>
        <v>6.8938605619147117E-3</v>
      </c>
    </row>
    <row r="81" spans="1:13" x14ac:dyDescent="0.3">
      <c r="A81" s="30" t="s">
        <v>32</v>
      </c>
      <c r="B81" s="26">
        <v>2022</v>
      </c>
      <c r="C81" s="26" t="s">
        <v>43</v>
      </c>
      <c r="D81" s="26">
        <v>2314.4</v>
      </c>
      <c r="E81" s="36">
        <f>(D81-D80)/D80</f>
        <v>-3.4017999397149765E-3</v>
      </c>
    </row>
    <row r="82" spans="1:13" x14ac:dyDescent="0.3">
      <c r="A82" s="31" t="s">
        <v>32</v>
      </c>
      <c r="B82" s="28">
        <v>2022</v>
      </c>
      <c r="C82" s="28" t="s">
        <v>44</v>
      </c>
      <c r="D82" s="28">
        <v>2295.7999999999997</v>
      </c>
      <c r="E82" s="36">
        <f>(D82-D81)/D81</f>
        <v>-8.0366401659178899E-3</v>
      </c>
    </row>
    <row r="83" spans="1:13" x14ac:dyDescent="0.3">
      <c r="A83" s="30" t="s">
        <v>32</v>
      </c>
      <c r="B83" s="26">
        <v>2023</v>
      </c>
      <c r="C83" s="26" t="s">
        <v>31</v>
      </c>
      <c r="D83" s="26">
        <v>2310.2000000000003</v>
      </c>
      <c r="E83" s="36">
        <f>(D83-D82)/D82</f>
        <v>6.2723233731163631E-3</v>
      </c>
    </row>
    <row r="84" spans="1:13" x14ac:dyDescent="0.3">
      <c r="A84" s="31" t="s">
        <v>32</v>
      </c>
      <c r="B84" s="28">
        <v>2023</v>
      </c>
      <c r="C84" s="28" t="s">
        <v>34</v>
      </c>
      <c r="D84" s="28">
        <v>2303.1999999999998</v>
      </c>
      <c r="E84" s="36">
        <f>(D84-D83)/D83</f>
        <v>-3.0300406891180217E-3</v>
      </c>
    </row>
    <row r="85" spans="1:13" x14ac:dyDescent="0.3">
      <c r="A85" s="30" t="s">
        <v>32</v>
      </c>
      <c r="B85" s="26">
        <v>2023</v>
      </c>
      <c r="C85" s="26" t="s">
        <v>35</v>
      </c>
      <c r="D85" s="26">
        <v>2303.4</v>
      </c>
      <c r="E85" s="36">
        <f>(D85-D84)/D84</f>
        <v>8.6835706842772171E-5</v>
      </c>
    </row>
    <row r="86" spans="1:13" x14ac:dyDescent="0.3">
      <c r="A86" s="31" t="s">
        <v>32</v>
      </c>
      <c r="B86" s="28">
        <v>2023</v>
      </c>
      <c r="C86" s="28" t="s">
        <v>36</v>
      </c>
      <c r="D86" s="28">
        <v>2317.7000000000003</v>
      </c>
      <c r="E86" s="36">
        <f>(D86-D85)/D85</f>
        <v>6.2082139446037084E-3</v>
      </c>
    </row>
    <row r="87" spans="1:13" x14ac:dyDescent="0.3">
      <c r="A87" s="30" t="s">
        <v>32</v>
      </c>
      <c r="B87" s="26">
        <v>2023</v>
      </c>
      <c r="C87" s="26" t="s">
        <v>37</v>
      </c>
      <c r="D87" s="26">
        <v>2335.1</v>
      </c>
      <c r="E87" s="36">
        <f>(D87-D86)/D86</f>
        <v>7.5074427233894096E-3</v>
      </c>
    </row>
    <row r="88" spans="1:13" s="46" customFormat="1" x14ac:dyDescent="0.3">
      <c r="A88" s="65"/>
      <c r="B88" s="64"/>
      <c r="C88" s="64"/>
      <c r="D88" s="64"/>
      <c r="E88" s="18"/>
    </row>
    <row r="89" spans="1:13" s="46" customFormat="1" ht="21" x14ac:dyDescent="0.3">
      <c r="A89" s="24" t="s">
        <v>210</v>
      </c>
      <c r="B89" s="24"/>
      <c r="C89" s="24"/>
      <c r="D89" s="24"/>
      <c r="E89" s="24"/>
      <c r="F89" s="24"/>
      <c r="G89" s="24"/>
      <c r="H89" s="24"/>
      <c r="I89" s="24"/>
      <c r="J89" s="24"/>
      <c r="K89" s="24"/>
      <c r="L89" s="24"/>
      <c r="M89" s="24"/>
    </row>
    <row r="90" spans="1:13" ht="15" thickBot="1" x14ac:dyDescent="0.35">
      <c r="A90" s="65"/>
      <c r="B90" s="64"/>
      <c r="C90" s="64"/>
      <c r="D90" s="64"/>
      <c r="E90" s="18"/>
    </row>
    <row r="91" spans="1:13" ht="15" thickBot="1" x14ac:dyDescent="0.35">
      <c r="A91" s="72"/>
      <c r="B91" s="73" t="s">
        <v>30</v>
      </c>
      <c r="C91" s="73" t="s">
        <v>32</v>
      </c>
      <c r="D91" s="74" t="s">
        <v>33</v>
      </c>
      <c r="E91" s="18"/>
    </row>
    <row r="92" spans="1:13" x14ac:dyDescent="0.3">
      <c r="A92" s="68" t="s">
        <v>3</v>
      </c>
      <c r="B92" s="66">
        <v>0.12613784135240558</v>
      </c>
      <c r="C92" s="66">
        <v>0.10920634920634914</v>
      </c>
      <c r="D92" s="67">
        <v>0.1206451612903225</v>
      </c>
      <c r="E92" s="36"/>
    </row>
    <row r="93" spans="1:13" x14ac:dyDescent="0.3">
      <c r="A93" s="68" t="s">
        <v>4</v>
      </c>
      <c r="B93" s="66">
        <v>-2.6243093922651884E-2</v>
      </c>
      <c r="C93" s="66">
        <v>-1.7905102954341987E-2</v>
      </c>
      <c r="D93" s="67">
        <v>-2.3245214220601614E-2</v>
      </c>
    </row>
    <row r="94" spans="1:13" x14ac:dyDescent="0.3">
      <c r="A94" s="68" t="s">
        <v>5</v>
      </c>
      <c r="B94" s="66">
        <v>8.2547169811321101E-3</v>
      </c>
      <c r="C94" s="66">
        <v>2.2569444444444312E-2</v>
      </c>
      <c r="D94" s="67">
        <v>1.4051522248243426E-2</v>
      </c>
    </row>
    <row r="95" spans="1:13" x14ac:dyDescent="0.3">
      <c r="A95" s="68" t="s">
        <v>6</v>
      </c>
      <c r="B95" s="66">
        <v>8.5852478839177682E-2</v>
      </c>
      <c r="C95" s="66">
        <v>7.8125E-2</v>
      </c>
      <c r="D95" s="67">
        <v>8.2629674306393175E-2</v>
      </c>
    </row>
    <row r="96" spans="1:13" x14ac:dyDescent="0.3">
      <c r="A96" s="68" t="s">
        <v>7</v>
      </c>
      <c r="B96" s="66">
        <v>-0.16722729456991822</v>
      </c>
      <c r="C96" s="66">
        <v>-0.12831389183457045</v>
      </c>
      <c r="D96" s="67">
        <v>-0.15380786460925835</v>
      </c>
    </row>
    <row r="97" spans="1:4" x14ac:dyDescent="0.3">
      <c r="A97" s="68" t="s">
        <v>8</v>
      </c>
      <c r="B97" s="66">
        <v>1.9300361881785213E-2</v>
      </c>
      <c r="C97" s="66">
        <v>9.7645031591040623E-3</v>
      </c>
      <c r="D97" s="67">
        <v>1.4731879787860933E-2</v>
      </c>
    </row>
    <row r="98" spans="1:4" x14ac:dyDescent="0.3">
      <c r="A98" s="68" t="s">
        <v>9</v>
      </c>
      <c r="B98" s="66">
        <v>-0.11117752540346695</v>
      </c>
      <c r="C98" s="66">
        <v>-0.12529550827423167</v>
      </c>
      <c r="D98" s="67">
        <v>-0.11684037301151953</v>
      </c>
    </row>
    <row r="99" spans="1:4" x14ac:dyDescent="0.3">
      <c r="A99" s="68" t="s">
        <v>10</v>
      </c>
      <c r="B99" s="66">
        <v>6.2575941676792299E-2</v>
      </c>
      <c r="C99" s="66">
        <v>8.1295843520782465E-2</v>
      </c>
      <c r="D99" s="67">
        <v>6.8776628119293873E-2</v>
      </c>
    </row>
    <row r="100" spans="1:4" x14ac:dyDescent="0.3">
      <c r="A100" s="68" t="s">
        <v>11</v>
      </c>
      <c r="B100" s="66">
        <v>2.350965575146945E-2</v>
      </c>
      <c r="C100" s="66">
        <v>2.3064250411861591E-2</v>
      </c>
      <c r="D100" s="67">
        <v>2.3352793994995805E-2</v>
      </c>
    </row>
    <row r="101" spans="1:4" x14ac:dyDescent="0.3">
      <c r="A101" s="68" t="s">
        <v>12</v>
      </c>
      <c r="B101" s="66">
        <v>0.16993118051879297</v>
      </c>
      <c r="C101" s="66">
        <v>0.15476839237057224</v>
      </c>
      <c r="D101" s="67">
        <v>0.16515232495991453</v>
      </c>
    </row>
    <row r="102" spans="1:4" x14ac:dyDescent="0.3">
      <c r="A102" s="68" t="s">
        <v>13</v>
      </c>
      <c r="B102" s="66">
        <v>2.5832376578645237E-2</v>
      </c>
      <c r="C102" s="66">
        <v>4.2740414833438163E-2</v>
      </c>
      <c r="D102" s="67">
        <v>3.2757593805836809E-2</v>
      </c>
    </row>
    <row r="103" spans="1:4" x14ac:dyDescent="0.3">
      <c r="A103" s="68" t="s">
        <v>14</v>
      </c>
      <c r="B103" s="66">
        <v>5.0577240241891086E-2</v>
      </c>
      <c r="C103" s="66">
        <v>6.119162640901759E-2</v>
      </c>
      <c r="D103" s="67">
        <v>5.6008700380641561E-2</v>
      </c>
    </row>
    <row r="104" spans="1:4" ht="15" thickBot="1" x14ac:dyDescent="0.35">
      <c r="A104" s="69" t="s">
        <v>15</v>
      </c>
      <c r="B104" s="70">
        <v>2.5522041763341101E-2</v>
      </c>
      <c r="C104" s="70">
        <v>2.1193530395984286E-2</v>
      </c>
      <c r="D104" s="71">
        <v>2.4013722126929607E-2</v>
      </c>
    </row>
    <row r="126" spans="2:139" x14ac:dyDescent="0.3">
      <c r="B126" s="32" t="s">
        <v>68</v>
      </c>
    </row>
    <row r="127" spans="2:139" x14ac:dyDescent="0.3">
      <c r="B127">
        <v>2013</v>
      </c>
      <c r="O127" t="s">
        <v>70</v>
      </c>
      <c r="P127">
        <v>2014</v>
      </c>
      <c r="AC127" t="s">
        <v>71</v>
      </c>
      <c r="AD127">
        <v>2015</v>
      </c>
      <c r="AP127" t="s">
        <v>72</v>
      </c>
      <c r="AQ127">
        <v>2016</v>
      </c>
      <c r="BC127" t="s">
        <v>73</v>
      </c>
      <c r="BD127">
        <v>2017</v>
      </c>
      <c r="BP127" t="s">
        <v>74</v>
      </c>
      <c r="BQ127">
        <v>2018</v>
      </c>
      <c r="CC127" t="s">
        <v>75</v>
      </c>
      <c r="CD127">
        <v>2019</v>
      </c>
      <c r="CO127" t="s">
        <v>76</v>
      </c>
      <c r="CP127">
        <v>2020</v>
      </c>
      <c r="DB127" t="s">
        <v>77</v>
      </c>
      <c r="DC127">
        <v>2021</v>
      </c>
      <c r="DO127" t="s">
        <v>78</v>
      </c>
      <c r="DP127">
        <v>2022</v>
      </c>
      <c r="EB127" t="s">
        <v>79</v>
      </c>
      <c r="EC127">
        <v>2023</v>
      </c>
      <c r="EH127" t="s">
        <v>80</v>
      </c>
      <c r="EI127" t="s">
        <v>66</v>
      </c>
    </row>
    <row r="128" spans="2:139" x14ac:dyDescent="0.3">
      <c r="B128" t="s">
        <v>31</v>
      </c>
      <c r="C128" t="s">
        <v>34</v>
      </c>
      <c r="D128" t="s">
        <v>35</v>
      </c>
      <c r="E128" t="s">
        <v>36</v>
      </c>
      <c r="F128" t="s">
        <v>37</v>
      </c>
      <c r="G128" t="s">
        <v>38</v>
      </c>
      <c r="H128" t="s">
        <v>39</v>
      </c>
      <c r="I128" t="s">
        <v>40</v>
      </c>
      <c r="J128" t="s">
        <v>41</v>
      </c>
      <c r="K128" t="s">
        <v>42</v>
      </c>
      <c r="L128" t="s">
        <v>43</v>
      </c>
      <c r="M128" t="s">
        <v>44</v>
      </c>
      <c r="N128" t="s">
        <v>98</v>
      </c>
      <c r="P128" t="s">
        <v>31</v>
      </c>
      <c r="Q128" t="s">
        <v>34</v>
      </c>
      <c r="R128" t="s">
        <v>35</v>
      </c>
      <c r="S128" t="s">
        <v>36</v>
      </c>
      <c r="T128" t="s">
        <v>37</v>
      </c>
      <c r="U128" t="s">
        <v>38</v>
      </c>
      <c r="V128" t="s">
        <v>39</v>
      </c>
      <c r="W128" t="s">
        <v>40</v>
      </c>
      <c r="X128" t="s">
        <v>41</v>
      </c>
      <c r="Y128" t="s">
        <v>42</v>
      </c>
      <c r="Z128" t="s">
        <v>43</v>
      </c>
      <c r="AA128" t="s">
        <v>44</v>
      </c>
      <c r="AB128" t="s">
        <v>104</v>
      </c>
      <c r="AD128" t="s">
        <v>31</v>
      </c>
      <c r="AE128" t="s">
        <v>34</v>
      </c>
      <c r="AF128" t="s">
        <v>35</v>
      </c>
      <c r="AG128" t="s">
        <v>36</v>
      </c>
      <c r="AH128" t="s">
        <v>37</v>
      </c>
      <c r="AI128" t="s">
        <v>38</v>
      </c>
      <c r="AJ128" t="s">
        <v>39</v>
      </c>
      <c r="AK128" t="s">
        <v>40</v>
      </c>
      <c r="AL128" t="s">
        <v>41</v>
      </c>
      <c r="AM128" t="s">
        <v>42</v>
      </c>
      <c r="AN128" t="s">
        <v>43</v>
      </c>
      <c r="AO128" t="s">
        <v>44</v>
      </c>
      <c r="AQ128" t="s">
        <v>31</v>
      </c>
      <c r="AR128" t="s">
        <v>34</v>
      </c>
      <c r="AS128" t="s">
        <v>35</v>
      </c>
      <c r="AT128" t="s">
        <v>36</v>
      </c>
      <c r="AU128" t="s">
        <v>37</v>
      </c>
      <c r="AV128" t="s">
        <v>38</v>
      </c>
      <c r="AW128" t="s">
        <v>39</v>
      </c>
      <c r="AX128" t="s">
        <v>40</v>
      </c>
      <c r="AY128" t="s">
        <v>41</v>
      </c>
      <c r="AZ128" t="s">
        <v>42</v>
      </c>
      <c r="BA128" t="s">
        <v>43</v>
      </c>
      <c r="BB128" t="s">
        <v>44</v>
      </c>
      <c r="BD128" t="s">
        <v>31</v>
      </c>
      <c r="BE128" t="s">
        <v>34</v>
      </c>
      <c r="BF128" t="s">
        <v>35</v>
      </c>
      <c r="BG128" t="s">
        <v>36</v>
      </c>
      <c r="BH128" t="s">
        <v>37</v>
      </c>
      <c r="BI128" t="s">
        <v>38</v>
      </c>
      <c r="BJ128" t="s">
        <v>39</v>
      </c>
      <c r="BK128" t="s">
        <v>40</v>
      </c>
      <c r="BL128" t="s">
        <v>41</v>
      </c>
      <c r="BM128" t="s">
        <v>42</v>
      </c>
      <c r="BN128" t="s">
        <v>43</v>
      </c>
      <c r="BO128" t="s">
        <v>44</v>
      </c>
      <c r="BQ128" t="s">
        <v>31</v>
      </c>
      <c r="BR128" t="s">
        <v>34</v>
      </c>
      <c r="BS128" t="s">
        <v>35</v>
      </c>
      <c r="BT128" t="s">
        <v>36</v>
      </c>
      <c r="BU128" t="s">
        <v>37</v>
      </c>
      <c r="BV128" t="s">
        <v>38</v>
      </c>
      <c r="BW128" t="s">
        <v>39</v>
      </c>
      <c r="BX128" t="s">
        <v>40</v>
      </c>
      <c r="BY128" t="s">
        <v>41</v>
      </c>
      <c r="BZ128" t="s">
        <v>42</v>
      </c>
      <c r="CA128" t="s">
        <v>43</v>
      </c>
      <c r="CB128" t="s">
        <v>44</v>
      </c>
      <c r="CD128" t="s">
        <v>31</v>
      </c>
      <c r="CE128" t="s">
        <v>34</v>
      </c>
      <c r="CF128" t="s">
        <v>35</v>
      </c>
      <c r="CG128" t="s">
        <v>37</v>
      </c>
      <c r="CH128" t="s">
        <v>38</v>
      </c>
      <c r="CI128" t="s">
        <v>39</v>
      </c>
      <c r="CJ128" t="s">
        <v>40</v>
      </c>
      <c r="CK128" t="s">
        <v>41</v>
      </c>
      <c r="CL128" t="s">
        <v>42</v>
      </c>
      <c r="CM128" t="s">
        <v>43</v>
      </c>
      <c r="CN128" t="s">
        <v>44</v>
      </c>
      <c r="CP128" t="s">
        <v>31</v>
      </c>
      <c r="CQ128" t="s">
        <v>34</v>
      </c>
      <c r="CR128" t="s">
        <v>35</v>
      </c>
      <c r="CS128" t="s">
        <v>36</v>
      </c>
      <c r="CT128" t="s">
        <v>37</v>
      </c>
      <c r="CU128" t="s">
        <v>38</v>
      </c>
      <c r="CV128" t="s">
        <v>39</v>
      </c>
      <c r="CW128" t="s">
        <v>40</v>
      </c>
      <c r="CX128" t="s">
        <v>41</v>
      </c>
      <c r="CY128" t="s">
        <v>42</v>
      </c>
      <c r="CZ128" t="s">
        <v>43</v>
      </c>
      <c r="DA128" t="s">
        <v>44</v>
      </c>
      <c r="DC128" t="s">
        <v>31</v>
      </c>
      <c r="DD128" t="s">
        <v>34</v>
      </c>
      <c r="DE128" t="s">
        <v>35</v>
      </c>
      <c r="DF128" t="s">
        <v>36</v>
      </c>
      <c r="DG128" t="s">
        <v>37</v>
      </c>
      <c r="DH128" t="s">
        <v>38</v>
      </c>
      <c r="DI128" t="s">
        <v>39</v>
      </c>
      <c r="DJ128" t="s">
        <v>40</v>
      </c>
      <c r="DK128" t="s">
        <v>41</v>
      </c>
      <c r="DL128" t="s">
        <v>42</v>
      </c>
      <c r="DM128" t="s">
        <v>43</v>
      </c>
      <c r="DN128" t="s">
        <v>44</v>
      </c>
      <c r="DP128" t="s">
        <v>31</v>
      </c>
      <c r="DQ128" t="s">
        <v>34</v>
      </c>
      <c r="DR128" t="s">
        <v>35</v>
      </c>
      <c r="DS128" t="s">
        <v>36</v>
      </c>
      <c r="DT128" t="s">
        <v>37</v>
      </c>
      <c r="DU128" t="s">
        <v>38</v>
      </c>
      <c r="DV128" t="s">
        <v>39</v>
      </c>
      <c r="DW128" t="s">
        <v>40</v>
      </c>
      <c r="DX128" t="s">
        <v>41</v>
      </c>
      <c r="DY128" t="s">
        <v>42</v>
      </c>
      <c r="DZ128" t="s">
        <v>43</v>
      </c>
      <c r="EA128" t="s">
        <v>44</v>
      </c>
      <c r="EC128" t="s">
        <v>31</v>
      </c>
      <c r="ED128" t="s">
        <v>34</v>
      </c>
      <c r="EE128" t="s">
        <v>35</v>
      </c>
      <c r="EF128" t="s">
        <v>36</v>
      </c>
      <c r="EG128" t="s">
        <v>37</v>
      </c>
    </row>
  </sheetData>
  <mergeCells count="5">
    <mergeCell ref="A23:M23"/>
    <mergeCell ref="A38:M38"/>
    <mergeCell ref="A89:M89"/>
    <mergeCell ref="F6:H6"/>
    <mergeCell ref="A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C30C-81B3-4C9A-929A-326F5721A79F}">
  <dimension ref="A1:H37"/>
  <sheetViews>
    <sheetView workbookViewId="0">
      <selection activeCell="G2" sqref="G2"/>
    </sheetView>
  </sheetViews>
  <sheetFormatPr defaultRowHeight="14.4" x14ac:dyDescent="0.3"/>
  <cols>
    <col min="7" max="7" width="13.77734375" bestFit="1" customWidth="1"/>
    <col min="8" max="8" width="16.33203125" bestFit="1" customWidth="1"/>
  </cols>
  <sheetData>
    <row r="1" spans="1:8" x14ac:dyDescent="0.3">
      <c r="A1" s="1" t="s">
        <v>0</v>
      </c>
      <c r="B1" s="2" t="s">
        <v>1</v>
      </c>
      <c r="C1" s="2" t="s">
        <v>2</v>
      </c>
      <c r="D1" s="2" t="s">
        <v>49</v>
      </c>
      <c r="E1" s="2" t="s">
        <v>81</v>
      </c>
    </row>
    <row r="2" spans="1:8" x14ac:dyDescent="0.3">
      <c r="A2" s="31" t="s">
        <v>30</v>
      </c>
      <c r="B2" s="28">
        <v>2022</v>
      </c>
      <c r="C2" s="28" t="s">
        <v>38</v>
      </c>
      <c r="D2" s="28">
        <v>2248.3000000000002</v>
      </c>
      <c r="E2" s="36">
        <v>9.6551104724268005E-3</v>
      </c>
      <c r="G2" s="32" t="s">
        <v>65</v>
      </c>
      <c r="H2" t="s">
        <v>84</v>
      </c>
    </row>
    <row r="3" spans="1:8" x14ac:dyDescent="0.3">
      <c r="A3" s="30" t="s">
        <v>30</v>
      </c>
      <c r="B3" s="26">
        <v>2022</v>
      </c>
      <c r="C3" s="26" t="s">
        <v>39</v>
      </c>
      <c r="D3" s="26">
        <v>2252.5</v>
      </c>
      <c r="E3" s="36">
        <v>1.8680781034558635E-3</v>
      </c>
      <c r="G3" s="33">
        <v>2022</v>
      </c>
      <c r="H3" s="44">
        <v>2.2439082508076039E-2</v>
      </c>
    </row>
    <row r="4" spans="1:8" x14ac:dyDescent="0.3">
      <c r="A4" s="31" t="s">
        <v>30</v>
      </c>
      <c r="B4" s="28">
        <v>2022</v>
      </c>
      <c r="C4" s="28" t="s">
        <v>40</v>
      </c>
      <c r="D4" s="28">
        <v>2255.7999999999997</v>
      </c>
      <c r="E4" s="36">
        <v>1.4650388457268489E-3</v>
      </c>
      <c r="G4" s="34" t="s">
        <v>38</v>
      </c>
      <c r="H4" s="44">
        <v>9.6551104724268005E-3</v>
      </c>
    </row>
    <row r="5" spans="1:8" x14ac:dyDescent="0.3">
      <c r="A5" s="30" t="s">
        <v>30</v>
      </c>
      <c r="B5" s="26">
        <v>2022</v>
      </c>
      <c r="C5" s="26" t="s">
        <v>41</v>
      </c>
      <c r="D5" s="26">
        <v>2267.8000000000002</v>
      </c>
      <c r="E5" s="36">
        <v>5.3196205337354627E-3</v>
      </c>
      <c r="G5" s="34" t="s">
        <v>39</v>
      </c>
      <c r="H5" s="44">
        <v>1.8680781034558635E-3</v>
      </c>
    </row>
    <row r="6" spans="1:8" x14ac:dyDescent="0.3">
      <c r="A6" s="31" t="s">
        <v>30</v>
      </c>
      <c r="B6" s="28">
        <v>2022</v>
      </c>
      <c r="C6" s="28" t="s">
        <v>42</v>
      </c>
      <c r="D6" s="28">
        <v>2284.5</v>
      </c>
      <c r="E6" s="36">
        <v>7.3639650762853063E-3</v>
      </c>
      <c r="G6" s="34" t="s">
        <v>40</v>
      </c>
      <c r="H6" s="44">
        <v>1.4650388457268489E-3</v>
      </c>
    </row>
    <row r="7" spans="1:8" x14ac:dyDescent="0.3">
      <c r="A7" s="30" t="s">
        <v>30</v>
      </c>
      <c r="B7" s="26">
        <v>2022</v>
      </c>
      <c r="C7" s="26" t="s">
        <v>43</v>
      </c>
      <c r="D7" s="26">
        <v>2287.6999999999998</v>
      </c>
      <c r="E7" s="36">
        <v>1.4007441453271255E-3</v>
      </c>
      <c r="G7" s="34" t="s">
        <v>41</v>
      </c>
      <c r="H7" s="44">
        <v>5.3196205337354627E-3</v>
      </c>
    </row>
    <row r="8" spans="1:8" x14ac:dyDescent="0.3">
      <c r="A8" s="31" t="s">
        <v>30</v>
      </c>
      <c r="B8" s="28">
        <v>2022</v>
      </c>
      <c r="C8" s="28" t="s">
        <v>44</v>
      </c>
      <c r="D8" s="28">
        <v>2277.1</v>
      </c>
      <c r="E8" s="36">
        <v>-4.6334746688813698E-3</v>
      </c>
      <c r="G8" s="34" t="s">
        <v>42</v>
      </c>
      <c r="H8" s="44">
        <v>7.3639650762853063E-3</v>
      </c>
    </row>
    <row r="9" spans="1:8" x14ac:dyDescent="0.3">
      <c r="A9" s="30" t="s">
        <v>30</v>
      </c>
      <c r="B9" s="26">
        <v>2023</v>
      </c>
      <c r="C9" s="26" t="s">
        <v>31</v>
      </c>
      <c r="D9" s="26">
        <v>2283.2000000000003</v>
      </c>
      <c r="E9" s="36">
        <v>2.678845900487622E-3</v>
      </c>
      <c r="G9" s="34" t="s">
        <v>43</v>
      </c>
      <c r="H9" s="44">
        <v>1.4007441453271255E-3</v>
      </c>
    </row>
    <row r="10" spans="1:8" x14ac:dyDescent="0.3">
      <c r="A10" s="31" t="s">
        <v>30</v>
      </c>
      <c r="B10" s="28">
        <v>2023</v>
      </c>
      <c r="C10" s="28" t="s">
        <v>34</v>
      </c>
      <c r="D10" s="28">
        <v>2265.6999999999998</v>
      </c>
      <c r="E10" s="36">
        <v>-7.6646811492643886E-3</v>
      </c>
      <c r="G10" s="34" t="s">
        <v>44</v>
      </c>
      <c r="H10" s="44">
        <v>-4.6334746688813698E-3</v>
      </c>
    </row>
    <row r="11" spans="1:8" x14ac:dyDescent="0.3">
      <c r="A11" s="30" t="s">
        <v>30</v>
      </c>
      <c r="B11" s="26">
        <v>2023</v>
      </c>
      <c r="C11" s="26" t="s">
        <v>35</v>
      </c>
      <c r="D11" s="26">
        <v>2265.8000000000002</v>
      </c>
      <c r="E11" s="36">
        <v>4.4136469965292762E-5</v>
      </c>
      <c r="G11" s="33">
        <v>2023</v>
      </c>
      <c r="H11" s="44">
        <v>6.0208996376602802E-3</v>
      </c>
    </row>
    <row r="12" spans="1:8" x14ac:dyDescent="0.3">
      <c r="A12" s="31" t="s">
        <v>30</v>
      </c>
      <c r="B12" s="28">
        <v>2023</v>
      </c>
      <c r="C12" s="28" t="s">
        <v>36</v>
      </c>
      <c r="D12" s="28">
        <v>2274.1999999999998</v>
      </c>
      <c r="E12" s="36">
        <v>3.7072998499424643E-3</v>
      </c>
      <c r="G12" s="34" t="s">
        <v>31</v>
      </c>
      <c r="H12" s="44">
        <v>2.678845900487622E-3</v>
      </c>
    </row>
    <row r="13" spans="1:8" x14ac:dyDescent="0.3">
      <c r="A13" s="30" t="s">
        <v>30</v>
      </c>
      <c r="B13" s="26">
        <v>2023</v>
      </c>
      <c r="C13" s="26" t="s">
        <v>37</v>
      </c>
      <c r="D13" s="26">
        <v>2290.7000000000007</v>
      </c>
      <c r="E13" s="36">
        <v>7.2552985665292899E-3</v>
      </c>
      <c r="G13" s="34" t="s">
        <v>34</v>
      </c>
      <c r="H13" s="44">
        <v>-7.6646811492643886E-3</v>
      </c>
    </row>
    <row r="14" spans="1:8" x14ac:dyDescent="0.3">
      <c r="A14" s="9" t="s">
        <v>33</v>
      </c>
      <c r="B14" s="7">
        <v>2022</v>
      </c>
      <c r="C14" s="7" t="s">
        <v>38</v>
      </c>
      <c r="D14" s="28">
        <v>2261.9</v>
      </c>
      <c r="E14" s="36">
        <v>1.0272901871454526E-2</v>
      </c>
      <c r="G14" s="34" t="s">
        <v>35</v>
      </c>
      <c r="H14" s="44">
        <v>4.4136469965292762E-5</v>
      </c>
    </row>
    <row r="15" spans="1:8" x14ac:dyDescent="0.3">
      <c r="A15" s="10" t="s">
        <v>33</v>
      </c>
      <c r="B15" s="5">
        <v>2022</v>
      </c>
      <c r="C15" s="5" t="s">
        <v>39</v>
      </c>
      <c r="D15" s="26">
        <v>2266.3000000000002</v>
      </c>
      <c r="E15" s="36">
        <v>1.9452672531942573E-3</v>
      </c>
      <c r="G15" s="34" t="s">
        <v>36</v>
      </c>
      <c r="H15" s="44">
        <v>3.7072998499424643E-3</v>
      </c>
    </row>
    <row r="16" spans="1:8" x14ac:dyDescent="0.3">
      <c r="A16" s="9" t="s">
        <v>33</v>
      </c>
      <c r="B16" s="7">
        <v>2022</v>
      </c>
      <c r="C16" s="7" t="s">
        <v>40</v>
      </c>
      <c r="D16" s="28">
        <v>2269.2000000000003</v>
      </c>
      <c r="E16" s="36">
        <v>1.279618761858576E-3</v>
      </c>
      <c r="G16" s="34" t="s">
        <v>37</v>
      </c>
      <c r="H16" s="44">
        <v>7.2552985665292899E-3</v>
      </c>
    </row>
    <row r="17" spans="1:8" x14ac:dyDescent="0.3">
      <c r="A17" s="10" t="s">
        <v>33</v>
      </c>
      <c r="B17" s="5">
        <v>2022</v>
      </c>
      <c r="C17" s="5" t="s">
        <v>41</v>
      </c>
      <c r="D17" s="26">
        <v>2280.9</v>
      </c>
      <c r="E17" s="36">
        <v>5.1560021152828386E-3</v>
      </c>
      <c r="G17" s="33" t="s">
        <v>66</v>
      </c>
      <c r="H17" s="44">
        <v>2.8459982145736317E-2</v>
      </c>
    </row>
    <row r="18" spans="1:8" x14ac:dyDescent="0.3">
      <c r="A18" s="9" t="s">
        <v>33</v>
      </c>
      <c r="B18" s="7">
        <v>2022</v>
      </c>
      <c r="C18" s="7" t="s">
        <v>42</v>
      </c>
      <c r="D18" s="28">
        <v>2297.3000000000002</v>
      </c>
      <c r="E18" s="36">
        <v>7.1901442413082953E-3</v>
      </c>
    </row>
    <row r="19" spans="1:8" x14ac:dyDescent="0.3">
      <c r="A19" s="10" t="s">
        <v>33</v>
      </c>
      <c r="B19" s="5">
        <v>2022</v>
      </c>
      <c r="C19" s="5" t="s">
        <v>43</v>
      </c>
      <c r="D19" s="26">
        <v>2296.8000000000002</v>
      </c>
      <c r="E19" s="36">
        <v>-2.1764680276846731E-4</v>
      </c>
    </row>
    <row r="20" spans="1:8" x14ac:dyDescent="0.3">
      <c r="A20" s="9" t="s">
        <v>33</v>
      </c>
      <c r="B20" s="7">
        <v>2022</v>
      </c>
      <c r="C20" s="7" t="s">
        <v>44</v>
      </c>
      <c r="D20" s="28">
        <v>2283.4</v>
      </c>
      <c r="E20" s="36">
        <v>-5.8342041100662182E-3</v>
      </c>
    </row>
    <row r="21" spans="1:8" x14ac:dyDescent="0.3">
      <c r="A21" s="10" t="s">
        <v>33</v>
      </c>
      <c r="B21" s="5">
        <v>2023</v>
      </c>
      <c r="C21" s="5" t="s">
        <v>31</v>
      </c>
      <c r="D21" s="26">
        <v>2292.6999999999998</v>
      </c>
      <c r="E21" s="36">
        <v>4.0728737847068961E-3</v>
      </c>
    </row>
    <row r="22" spans="1:8" x14ac:dyDescent="0.3">
      <c r="A22" s="9" t="s">
        <v>33</v>
      </c>
      <c r="B22" s="7">
        <v>2023</v>
      </c>
      <c r="C22" s="7" t="s">
        <v>34</v>
      </c>
      <c r="D22" s="28">
        <v>2279.1</v>
      </c>
      <c r="E22" s="36">
        <v>-5.9318707201116193E-3</v>
      </c>
    </row>
    <row r="23" spans="1:8" x14ac:dyDescent="0.3">
      <c r="A23" s="10" t="s">
        <v>33</v>
      </c>
      <c r="B23" s="5">
        <v>2023</v>
      </c>
      <c r="C23" s="5" t="s">
        <v>35</v>
      </c>
      <c r="D23" s="26">
        <v>2279.1999999999998</v>
      </c>
      <c r="E23" s="36">
        <v>4.3876968978943027E-5</v>
      </c>
    </row>
    <row r="24" spans="1:8" x14ac:dyDescent="0.3">
      <c r="A24" s="9" t="s">
        <v>33</v>
      </c>
      <c r="B24" s="7">
        <v>2023</v>
      </c>
      <c r="C24" s="7" t="s">
        <v>36</v>
      </c>
      <c r="D24" s="28">
        <v>2289.6000000000004</v>
      </c>
      <c r="E24" s="36">
        <v>4.5630045630048032E-3</v>
      </c>
    </row>
    <row r="25" spans="1:8" x14ac:dyDescent="0.3">
      <c r="A25" s="10" t="s">
        <v>33</v>
      </c>
      <c r="B25" s="5">
        <v>2023</v>
      </c>
      <c r="C25" s="5" t="s">
        <v>37</v>
      </c>
      <c r="D25" s="26">
        <v>2306.9</v>
      </c>
      <c r="E25" s="36">
        <v>7.5559049615652185E-3</v>
      </c>
    </row>
    <row r="26" spans="1:8" x14ac:dyDescent="0.3">
      <c r="A26" s="31" t="s">
        <v>32</v>
      </c>
      <c r="B26" s="28">
        <v>2022</v>
      </c>
      <c r="C26" s="28" t="s">
        <v>38</v>
      </c>
      <c r="D26" s="28">
        <v>2287.5</v>
      </c>
      <c r="E26" s="36">
        <v>1.1183803377243269E-2</v>
      </c>
    </row>
    <row r="27" spans="1:8" x14ac:dyDescent="0.3">
      <c r="A27" s="30" t="s">
        <v>32</v>
      </c>
      <c r="B27" s="26">
        <v>2022</v>
      </c>
      <c r="C27" s="26" t="s">
        <v>39</v>
      </c>
      <c r="D27" s="26">
        <v>2291.6</v>
      </c>
      <c r="E27" s="36">
        <v>1.7923497267759165E-3</v>
      </c>
    </row>
    <row r="28" spans="1:8" x14ac:dyDescent="0.3">
      <c r="A28" s="31" t="s">
        <v>32</v>
      </c>
      <c r="B28" s="28">
        <v>2022</v>
      </c>
      <c r="C28" s="28" t="s">
        <v>40</v>
      </c>
      <c r="D28" s="28">
        <v>2293.6999999999998</v>
      </c>
      <c r="E28" s="36">
        <v>9.1639029499036005E-4</v>
      </c>
    </row>
    <row r="29" spans="1:8" x14ac:dyDescent="0.3">
      <c r="A29" s="30" t="s">
        <v>32</v>
      </c>
      <c r="B29" s="26">
        <v>2022</v>
      </c>
      <c r="C29" s="26" t="s">
        <v>41</v>
      </c>
      <c r="D29" s="26">
        <v>2306.4</v>
      </c>
      <c r="E29" s="36">
        <v>5.5369054366308902E-3</v>
      </c>
    </row>
    <row r="30" spans="1:8" x14ac:dyDescent="0.3">
      <c r="A30" s="31" t="s">
        <v>32</v>
      </c>
      <c r="B30" s="28">
        <v>2022</v>
      </c>
      <c r="C30" s="28" t="s">
        <v>42</v>
      </c>
      <c r="D30" s="28">
        <v>2322.3000000000002</v>
      </c>
      <c r="E30" s="36">
        <v>6.8938605619147117E-3</v>
      </c>
    </row>
    <row r="31" spans="1:8" x14ac:dyDescent="0.3">
      <c r="A31" s="30" t="s">
        <v>32</v>
      </c>
      <c r="B31" s="26">
        <v>2022</v>
      </c>
      <c r="C31" s="26" t="s">
        <v>43</v>
      </c>
      <c r="D31" s="26">
        <v>2314.4</v>
      </c>
      <c r="E31" s="36">
        <v>-3.4017999397149765E-3</v>
      </c>
    </row>
    <row r="32" spans="1:8" x14ac:dyDescent="0.3">
      <c r="A32" s="31" t="s">
        <v>32</v>
      </c>
      <c r="B32" s="28">
        <v>2022</v>
      </c>
      <c r="C32" s="28" t="s">
        <v>44</v>
      </c>
      <c r="D32" s="28">
        <v>2295.7999999999997</v>
      </c>
      <c r="E32" s="36">
        <v>-8.0366401659178899E-3</v>
      </c>
    </row>
    <row r="33" spans="1:5" x14ac:dyDescent="0.3">
      <c r="A33" s="30" t="s">
        <v>32</v>
      </c>
      <c r="B33" s="26">
        <v>2023</v>
      </c>
      <c r="C33" s="26" t="s">
        <v>31</v>
      </c>
      <c r="D33" s="26">
        <v>2310.2000000000003</v>
      </c>
      <c r="E33" s="36">
        <v>6.2723233731163631E-3</v>
      </c>
    </row>
    <row r="34" spans="1:5" x14ac:dyDescent="0.3">
      <c r="A34" s="31" t="s">
        <v>32</v>
      </c>
      <c r="B34" s="28">
        <v>2023</v>
      </c>
      <c r="C34" s="28" t="s">
        <v>34</v>
      </c>
      <c r="D34" s="28">
        <v>2303.1999999999998</v>
      </c>
      <c r="E34" s="36">
        <v>-3.0300406891180217E-3</v>
      </c>
    </row>
    <row r="35" spans="1:5" x14ac:dyDescent="0.3">
      <c r="A35" s="30" t="s">
        <v>32</v>
      </c>
      <c r="B35" s="26">
        <v>2023</v>
      </c>
      <c r="C35" s="26" t="s">
        <v>35</v>
      </c>
      <c r="D35" s="26">
        <v>2303.4</v>
      </c>
      <c r="E35" s="36">
        <v>8.6835706842772171E-5</v>
      </c>
    </row>
    <row r="36" spans="1:5" x14ac:dyDescent="0.3">
      <c r="A36" s="31" t="s">
        <v>32</v>
      </c>
      <c r="B36" s="28">
        <v>2023</v>
      </c>
      <c r="C36" s="28" t="s">
        <v>36</v>
      </c>
      <c r="D36" s="28">
        <v>2317.7000000000003</v>
      </c>
      <c r="E36" s="36">
        <v>6.2082139446037084E-3</v>
      </c>
    </row>
    <row r="37" spans="1:5" x14ac:dyDescent="0.3">
      <c r="A37" s="30" t="s">
        <v>32</v>
      </c>
      <c r="B37" s="26">
        <v>2023</v>
      </c>
      <c r="C37" s="26" t="s">
        <v>37</v>
      </c>
      <c r="D37" s="26">
        <v>2335.1</v>
      </c>
      <c r="E37" s="36">
        <v>7.5074427233894096E-3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E322-9D42-4C0B-8DD6-47051194615D}">
  <dimension ref="A1:AH200"/>
  <sheetViews>
    <sheetView workbookViewId="0">
      <selection activeCell="C153" sqref="C153"/>
    </sheetView>
  </sheetViews>
  <sheetFormatPr defaultRowHeight="14.4" x14ac:dyDescent="0.3"/>
  <cols>
    <col min="2" max="2" width="13.77734375" bestFit="1" customWidth="1"/>
    <col min="3" max="3" width="12.88671875" bestFit="1" customWidth="1"/>
    <col min="4" max="4" width="19.44140625" bestFit="1" customWidth="1"/>
    <col min="5" max="5" width="22" bestFit="1" customWidth="1"/>
    <col min="8" max="8" width="12.21875" customWidth="1"/>
    <col min="9" max="9" width="14.21875" customWidth="1"/>
    <col min="10" max="10" width="19.21875" customWidth="1"/>
    <col min="30" max="30" width="12.44140625" bestFit="1" customWidth="1"/>
    <col min="31" max="31" width="12.77734375" bestFit="1" customWidth="1"/>
    <col min="32" max="32" width="22.21875" bestFit="1" customWidth="1"/>
    <col min="33" max="33" width="15.33203125" bestFit="1" customWidth="1"/>
  </cols>
  <sheetData>
    <row r="1" spans="1:33"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49</v>
      </c>
      <c r="AF1" s="2" t="s">
        <v>50</v>
      </c>
      <c r="AG1" s="3" t="s">
        <v>211</v>
      </c>
    </row>
    <row r="2" spans="1:33" x14ac:dyDescent="0.3">
      <c r="A2" s="31" t="s">
        <v>30</v>
      </c>
      <c r="B2" s="28">
        <v>2018</v>
      </c>
      <c r="C2" s="28" t="s">
        <v>36</v>
      </c>
      <c r="D2" s="28">
        <v>137.1</v>
      </c>
      <c r="E2" s="28">
        <v>144.5</v>
      </c>
      <c r="F2" s="28">
        <v>135.9</v>
      </c>
      <c r="G2" s="28">
        <v>142.4</v>
      </c>
      <c r="H2" s="28">
        <v>123.5</v>
      </c>
      <c r="I2" s="28">
        <v>156.4</v>
      </c>
      <c r="J2" s="28">
        <v>135.1</v>
      </c>
      <c r="K2" s="28">
        <v>128.4</v>
      </c>
      <c r="L2" s="28">
        <v>115.2</v>
      </c>
      <c r="M2" s="28">
        <v>137.19999999999999</v>
      </c>
      <c r="N2" s="28">
        <v>131.9</v>
      </c>
      <c r="O2" s="28">
        <v>153.80000000000001</v>
      </c>
      <c r="P2" s="28">
        <v>138.6</v>
      </c>
      <c r="Q2" s="28">
        <v>156.1</v>
      </c>
      <c r="R2" s="28">
        <v>150.1</v>
      </c>
      <c r="S2" s="28">
        <v>143.30000000000001</v>
      </c>
      <c r="T2" s="28">
        <v>149.1</v>
      </c>
      <c r="U2" s="28" t="s">
        <v>89</v>
      </c>
      <c r="V2" s="28">
        <v>143.80000000000001</v>
      </c>
      <c r="W2" s="28">
        <v>140.9</v>
      </c>
      <c r="X2" s="28">
        <v>137.6</v>
      </c>
      <c r="Y2" s="28">
        <v>125.3</v>
      </c>
      <c r="Z2" s="28">
        <v>136</v>
      </c>
      <c r="AA2" s="28">
        <v>143.69999999999999</v>
      </c>
      <c r="AB2" s="28">
        <v>130.4</v>
      </c>
      <c r="AC2" s="28">
        <v>134.19999999999999</v>
      </c>
      <c r="AD2" s="28">
        <v>139.1</v>
      </c>
      <c r="AE2" s="28">
        <v>1780</v>
      </c>
      <c r="AF2" s="28">
        <v>442.5</v>
      </c>
      <c r="AG2" s="29">
        <f t="shared" ref="AG2:AG56" si="0">SUM(U2:W2,Y2)</f>
        <v>410.00000000000006</v>
      </c>
    </row>
    <row r="3" spans="1:33" x14ac:dyDescent="0.3">
      <c r="A3" s="30" t="s">
        <v>32</v>
      </c>
      <c r="B3" s="26">
        <v>2018</v>
      </c>
      <c r="C3" s="26" t="s">
        <v>36</v>
      </c>
      <c r="D3" s="26">
        <v>135</v>
      </c>
      <c r="E3" s="26">
        <v>144.30000000000001</v>
      </c>
      <c r="F3" s="26">
        <v>130.80000000000001</v>
      </c>
      <c r="G3" s="26">
        <v>140.30000000000001</v>
      </c>
      <c r="H3" s="26">
        <v>116.6</v>
      </c>
      <c r="I3" s="26">
        <v>150.1</v>
      </c>
      <c r="J3" s="26">
        <v>127.6</v>
      </c>
      <c r="K3" s="26">
        <v>114</v>
      </c>
      <c r="L3" s="26">
        <v>110.6</v>
      </c>
      <c r="M3" s="26">
        <v>140.19999999999999</v>
      </c>
      <c r="N3" s="26">
        <v>126.5</v>
      </c>
      <c r="O3" s="26">
        <v>148.30000000000001</v>
      </c>
      <c r="P3" s="26">
        <v>135.69999999999999</v>
      </c>
      <c r="Q3" s="26">
        <v>159.19999999999999</v>
      </c>
      <c r="R3" s="26">
        <v>137.80000000000001</v>
      </c>
      <c r="S3" s="26">
        <v>127.4</v>
      </c>
      <c r="T3" s="26">
        <v>136.19999999999999</v>
      </c>
      <c r="U3" s="26">
        <v>142.9</v>
      </c>
      <c r="V3" s="26">
        <v>124.6</v>
      </c>
      <c r="W3" s="26">
        <v>131.80000000000001</v>
      </c>
      <c r="X3" s="26">
        <v>131.30000000000001</v>
      </c>
      <c r="Y3" s="26">
        <v>118.9</v>
      </c>
      <c r="Z3" s="26">
        <v>127.6</v>
      </c>
      <c r="AA3" s="26">
        <v>139.69999999999999</v>
      </c>
      <c r="AB3" s="26">
        <v>127.6</v>
      </c>
      <c r="AC3" s="26">
        <v>128.19999999999999</v>
      </c>
      <c r="AD3" s="26">
        <v>134.80000000000001</v>
      </c>
      <c r="AE3" s="26">
        <v>1720.0000000000002</v>
      </c>
      <c r="AF3" s="26">
        <v>401.40000000000003</v>
      </c>
      <c r="AG3" s="27">
        <f t="shared" si="0"/>
        <v>518.20000000000005</v>
      </c>
    </row>
    <row r="4" spans="1:33" x14ac:dyDescent="0.3">
      <c r="A4" s="31" t="s">
        <v>33</v>
      </c>
      <c r="B4" s="28">
        <v>2018</v>
      </c>
      <c r="C4" s="28" t="s">
        <v>36</v>
      </c>
      <c r="D4" s="28">
        <v>136.4</v>
      </c>
      <c r="E4" s="28">
        <v>144.4</v>
      </c>
      <c r="F4" s="28">
        <v>133.9</v>
      </c>
      <c r="G4" s="28">
        <v>141.6</v>
      </c>
      <c r="H4" s="28">
        <v>121</v>
      </c>
      <c r="I4" s="28">
        <v>153.5</v>
      </c>
      <c r="J4" s="28">
        <v>132.6</v>
      </c>
      <c r="K4" s="28">
        <v>123.5</v>
      </c>
      <c r="L4" s="28">
        <v>113.7</v>
      </c>
      <c r="M4" s="28">
        <v>138.19999999999999</v>
      </c>
      <c r="N4" s="28">
        <v>129.6</v>
      </c>
      <c r="O4" s="28">
        <v>151.19999999999999</v>
      </c>
      <c r="P4" s="28">
        <v>137.5</v>
      </c>
      <c r="Q4" s="28">
        <v>156.9</v>
      </c>
      <c r="R4" s="28">
        <v>145.30000000000001</v>
      </c>
      <c r="S4" s="28">
        <v>136.69999999999999</v>
      </c>
      <c r="T4" s="28">
        <v>144</v>
      </c>
      <c r="U4" s="28">
        <v>142.9</v>
      </c>
      <c r="V4" s="28">
        <v>136.5</v>
      </c>
      <c r="W4" s="28">
        <v>136.6</v>
      </c>
      <c r="X4" s="28">
        <v>135.19999999999999</v>
      </c>
      <c r="Y4" s="28">
        <v>121.9</v>
      </c>
      <c r="Z4" s="28">
        <v>131.30000000000001</v>
      </c>
      <c r="AA4" s="28">
        <v>141.4</v>
      </c>
      <c r="AB4" s="28">
        <v>129.19999999999999</v>
      </c>
      <c r="AC4" s="28">
        <v>131.30000000000001</v>
      </c>
      <c r="AD4" s="28">
        <v>137.1</v>
      </c>
      <c r="AE4" s="28">
        <v>1757.1000000000001</v>
      </c>
      <c r="AF4" s="28">
        <v>426</v>
      </c>
      <c r="AG4" s="29">
        <f t="shared" si="0"/>
        <v>537.9</v>
      </c>
    </row>
    <row r="5" spans="1:33" x14ac:dyDescent="0.3">
      <c r="A5" s="30" t="s">
        <v>30</v>
      </c>
      <c r="B5" s="26">
        <v>2018</v>
      </c>
      <c r="C5" s="26" t="s">
        <v>37</v>
      </c>
      <c r="D5" s="26">
        <v>137.4</v>
      </c>
      <c r="E5" s="26">
        <v>145.69999999999999</v>
      </c>
      <c r="F5" s="26">
        <v>135.5</v>
      </c>
      <c r="G5" s="26">
        <v>142.9</v>
      </c>
      <c r="H5" s="26">
        <v>123.6</v>
      </c>
      <c r="I5" s="26">
        <v>157.5</v>
      </c>
      <c r="J5" s="26">
        <v>137.80000000000001</v>
      </c>
      <c r="K5" s="26">
        <v>127.2</v>
      </c>
      <c r="L5" s="26">
        <v>111.8</v>
      </c>
      <c r="M5" s="26">
        <v>137.4</v>
      </c>
      <c r="N5" s="26">
        <v>132.19999999999999</v>
      </c>
      <c r="O5" s="26">
        <v>154.30000000000001</v>
      </c>
      <c r="P5" s="26">
        <v>139.1</v>
      </c>
      <c r="Q5" s="26">
        <v>157</v>
      </c>
      <c r="R5" s="26">
        <v>150.80000000000001</v>
      </c>
      <c r="S5" s="26">
        <v>144.1</v>
      </c>
      <c r="T5" s="26">
        <v>149.80000000000001</v>
      </c>
      <c r="U5" s="26" t="s">
        <v>89</v>
      </c>
      <c r="V5" s="26">
        <v>144.30000000000001</v>
      </c>
      <c r="W5" s="26">
        <v>141.80000000000001</v>
      </c>
      <c r="X5" s="26">
        <v>138.4</v>
      </c>
      <c r="Y5" s="26">
        <v>126.4</v>
      </c>
      <c r="Z5" s="26">
        <v>136.80000000000001</v>
      </c>
      <c r="AA5" s="26">
        <v>144.4</v>
      </c>
      <c r="AB5" s="26">
        <v>131.19999999999999</v>
      </c>
      <c r="AC5" s="26">
        <v>135.1</v>
      </c>
      <c r="AD5" s="26">
        <v>139.80000000000001</v>
      </c>
      <c r="AE5" s="26">
        <v>1782.4</v>
      </c>
      <c r="AF5" s="26">
        <v>444.7</v>
      </c>
      <c r="AG5" s="27">
        <f t="shared" si="0"/>
        <v>412.5</v>
      </c>
    </row>
    <row r="6" spans="1:33" x14ac:dyDescent="0.3">
      <c r="A6" s="31" t="s">
        <v>32</v>
      </c>
      <c r="B6" s="28">
        <v>2018</v>
      </c>
      <c r="C6" s="28" t="s">
        <v>37</v>
      </c>
      <c r="D6" s="28">
        <v>135</v>
      </c>
      <c r="E6" s="28">
        <v>148.19999999999999</v>
      </c>
      <c r="F6" s="28">
        <v>130.5</v>
      </c>
      <c r="G6" s="28">
        <v>140.69999999999999</v>
      </c>
      <c r="H6" s="28">
        <v>116.4</v>
      </c>
      <c r="I6" s="28">
        <v>151.30000000000001</v>
      </c>
      <c r="J6" s="28">
        <v>131.4</v>
      </c>
      <c r="K6" s="28">
        <v>112.8</v>
      </c>
      <c r="L6" s="28">
        <v>105.3</v>
      </c>
      <c r="M6" s="28">
        <v>139.6</v>
      </c>
      <c r="N6" s="28">
        <v>126.6</v>
      </c>
      <c r="O6" s="28">
        <v>148.69999999999999</v>
      </c>
      <c r="P6" s="28">
        <v>136.4</v>
      </c>
      <c r="Q6" s="28">
        <v>160.30000000000001</v>
      </c>
      <c r="R6" s="28">
        <v>138.6</v>
      </c>
      <c r="S6" s="28">
        <v>127.9</v>
      </c>
      <c r="T6" s="28">
        <v>137</v>
      </c>
      <c r="U6" s="28">
        <v>143.19999999999999</v>
      </c>
      <c r="V6" s="28">
        <v>124.7</v>
      </c>
      <c r="W6" s="28">
        <v>132.5</v>
      </c>
      <c r="X6" s="28">
        <v>132</v>
      </c>
      <c r="Y6" s="28">
        <v>119.8</v>
      </c>
      <c r="Z6" s="28">
        <v>128</v>
      </c>
      <c r="AA6" s="28">
        <v>140.4</v>
      </c>
      <c r="AB6" s="28">
        <v>128.1</v>
      </c>
      <c r="AC6" s="28">
        <v>128.9</v>
      </c>
      <c r="AD6" s="28">
        <v>135.4</v>
      </c>
      <c r="AE6" s="28">
        <v>1722.8999999999999</v>
      </c>
      <c r="AF6" s="28">
        <v>403.5</v>
      </c>
      <c r="AG6" s="29">
        <f t="shared" si="0"/>
        <v>520.19999999999993</v>
      </c>
    </row>
    <row r="7" spans="1:33" x14ac:dyDescent="0.3">
      <c r="A7" s="30" t="s">
        <v>33</v>
      </c>
      <c r="B7" s="26">
        <v>2018</v>
      </c>
      <c r="C7" s="26" t="s">
        <v>37</v>
      </c>
      <c r="D7" s="26">
        <v>136.6</v>
      </c>
      <c r="E7" s="26">
        <v>146.6</v>
      </c>
      <c r="F7" s="26">
        <v>133.6</v>
      </c>
      <c r="G7" s="26">
        <v>142.1</v>
      </c>
      <c r="H7" s="26">
        <v>121</v>
      </c>
      <c r="I7" s="26">
        <v>154.6</v>
      </c>
      <c r="J7" s="26">
        <v>135.6</v>
      </c>
      <c r="K7" s="26">
        <v>122.3</v>
      </c>
      <c r="L7" s="26">
        <v>109.6</v>
      </c>
      <c r="M7" s="26">
        <v>138.1</v>
      </c>
      <c r="N7" s="26">
        <v>129.9</v>
      </c>
      <c r="O7" s="26">
        <v>151.69999999999999</v>
      </c>
      <c r="P7" s="26">
        <v>138.1</v>
      </c>
      <c r="Q7" s="26">
        <v>157.9</v>
      </c>
      <c r="R7" s="26">
        <v>146</v>
      </c>
      <c r="S7" s="26">
        <v>137.4</v>
      </c>
      <c r="T7" s="26">
        <v>144.69999999999999</v>
      </c>
      <c r="U7" s="26">
        <v>143.19999999999999</v>
      </c>
      <c r="V7" s="26">
        <v>136.9</v>
      </c>
      <c r="W7" s="26">
        <v>137.4</v>
      </c>
      <c r="X7" s="26">
        <v>136</v>
      </c>
      <c r="Y7" s="26">
        <v>122.9</v>
      </c>
      <c r="Z7" s="26">
        <v>131.80000000000001</v>
      </c>
      <c r="AA7" s="26">
        <v>142.1</v>
      </c>
      <c r="AB7" s="26">
        <v>129.9</v>
      </c>
      <c r="AC7" s="26">
        <v>132.1</v>
      </c>
      <c r="AD7" s="26">
        <v>137.80000000000001</v>
      </c>
      <c r="AE7" s="26">
        <v>1759.8</v>
      </c>
      <c r="AF7" s="26">
        <v>428.09999999999997</v>
      </c>
      <c r="AG7" s="27">
        <f t="shared" si="0"/>
        <v>540.4</v>
      </c>
    </row>
    <row r="8" spans="1:33" x14ac:dyDescent="0.3">
      <c r="A8" s="31" t="s">
        <v>30</v>
      </c>
      <c r="B8" s="28">
        <v>2018</v>
      </c>
      <c r="C8" s="28" t="s">
        <v>38</v>
      </c>
      <c r="D8" s="28">
        <v>137.6</v>
      </c>
      <c r="E8" s="28">
        <v>148.1</v>
      </c>
      <c r="F8" s="28">
        <v>136.69999999999999</v>
      </c>
      <c r="G8" s="28">
        <v>143.19999999999999</v>
      </c>
      <c r="H8" s="28">
        <v>124</v>
      </c>
      <c r="I8" s="28">
        <v>154.1</v>
      </c>
      <c r="J8" s="28">
        <v>143.5</v>
      </c>
      <c r="K8" s="28">
        <v>126</v>
      </c>
      <c r="L8" s="28">
        <v>112.4</v>
      </c>
      <c r="M8" s="28">
        <v>137.6</v>
      </c>
      <c r="N8" s="28">
        <v>132.80000000000001</v>
      </c>
      <c r="O8" s="28">
        <v>154.30000000000001</v>
      </c>
      <c r="P8" s="28">
        <v>140</v>
      </c>
      <c r="Q8" s="28">
        <v>157.30000000000001</v>
      </c>
      <c r="R8" s="28">
        <v>151.30000000000001</v>
      </c>
      <c r="S8" s="28">
        <v>144.69999999999999</v>
      </c>
      <c r="T8" s="28">
        <v>150.30000000000001</v>
      </c>
      <c r="U8" s="28" t="s">
        <v>89</v>
      </c>
      <c r="V8" s="28">
        <v>145.1</v>
      </c>
      <c r="W8" s="28">
        <v>142.19999999999999</v>
      </c>
      <c r="X8" s="28">
        <v>138.4</v>
      </c>
      <c r="Y8" s="28">
        <v>127.4</v>
      </c>
      <c r="Z8" s="28">
        <v>137.80000000000001</v>
      </c>
      <c r="AA8" s="28">
        <v>145.1</v>
      </c>
      <c r="AB8" s="28">
        <v>131.4</v>
      </c>
      <c r="AC8" s="28">
        <v>135.6</v>
      </c>
      <c r="AD8" s="28">
        <v>140.5</v>
      </c>
      <c r="AE8" s="28">
        <v>1790.2999999999997</v>
      </c>
      <c r="AF8" s="28">
        <v>446.3</v>
      </c>
      <c r="AG8" s="29">
        <f t="shared" si="0"/>
        <v>414.69999999999993</v>
      </c>
    </row>
    <row r="9" spans="1:33" x14ac:dyDescent="0.3">
      <c r="A9" s="30" t="s">
        <v>32</v>
      </c>
      <c r="B9" s="26">
        <v>2018</v>
      </c>
      <c r="C9" s="26" t="s">
        <v>38</v>
      </c>
      <c r="D9" s="26">
        <v>135.30000000000001</v>
      </c>
      <c r="E9" s="26">
        <v>149.69999999999999</v>
      </c>
      <c r="F9" s="26">
        <v>133.9</v>
      </c>
      <c r="G9" s="26">
        <v>140.80000000000001</v>
      </c>
      <c r="H9" s="26">
        <v>116.6</v>
      </c>
      <c r="I9" s="26">
        <v>152.19999999999999</v>
      </c>
      <c r="J9" s="26">
        <v>144</v>
      </c>
      <c r="K9" s="26">
        <v>112.3</v>
      </c>
      <c r="L9" s="26">
        <v>108.4</v>
      </c>
      <c r="M9" s="26">
        <v>140</v>
      </c>
      <c r="N9" s="26">
        <v>126.7</v>
      </c>
      <c r="O9" s="26">
        <v>149</v>
      </c>
      <c r="P9" s="26">
        <v>138.4</v>
      </c>
      <c r="Q9" s="26">
        <v>161</v>
      </c>
      <c r="R9" s="26">
        <v>138.9</v>
      </c>
      <c r="S9" s="26">
        <v>128.69999999999999</v>
      </c>
      <c r="T9" s="26">
        <v>137.4</v>
      </c>
      <c r="U9" s="26">
        <v>142.5</v>
      </c>
      <c r="V9" s="26">
        <v>126.5</v>
      </c>
      <c r="W9" s="26">
        <v>133.1</v>
      </c>
      <c r="X9" s="26">
        <v>132.6</v>
      </c>
      <c r="Y9" s="26">
        <v>120.4</v>
      </c>
      <c r="Z9" s="26">
        <v>128.5</v>
      </c>
      <c r="AA9" s="26">
        <v>141.19999999999999</v>
      </c>
      <c r="AB9" s="26">
        <v>128.19999999999999</v>
      </c>
      <c r="AC9" s="26">
        <v>129.5</v>
      </c>
      <c r="AD9" s="26">
        <v>136.19999999999999</v>
      </c>
      <c r="AE9" s="26">
        <v>1747.3000000000002</v>
      </c>
      <c r="AF9" s="26">
        <v>405</v>
      </c>
      <c r="AG9" s="27">
        <f t="shared" si="0"/>
        <v>522.5</v>
      </c>
    </row>
    <row r="10" spans="1:33" x14ac:dyDescent="0.3">
      <c r="A10" s="31" t="s">
        <v>33</v>
      </c>
      <c r="B10" s="28">
        <v>2018</v>
      </c>
      <c r="C10" s="28" t="s">
        <v>38</v>
      </c>
      <c r="D10" s="28">
        <v>136.9</v>
      </c>
      <c r="E10" s="28">
        <v>148.69999999999999</v>
      </c>
      <c r="F10" s="28">
        <v>135.6</v>
      </c>
      <c r="G10" s="28">
        <v>142.30000000000001</v>
      </c>
      <c r="H10" s="28">
        <v>121.3</v>
      </c>
      <c r="I10" s="28">
        <v>153.19999999999999</v>
      </c>
      <c r="J10" s="28">
        <v>143.69999999999999</v>
      </c>
      <c r="K10" s="28">
        <v>121.4</v>
      </c>
      <c r="L10" s="28">
        <v>111.1</v>
      </c>
      <c r="M10" s="28">
        <v>138.4</v>
      </c>
      <c r="N10" s="28">
        <v>130.30000000000001</v>
      </c>
      <c r="O10" s="28">
        <v>151.80000000000001</v>
      </c>
      <c r="P10" s="28">
        <v>139.4</v>
      </c>
      <c r="Q10" s="28">
        <v>158.30000000000001</v>
      </c>
      <c r="R10" s="28">
        <v>146.4</v>
      </c>
      <c r="S10" s="28">
        <v>138.1</v>
      </c>
      <c r="T10" s="28">
        <v>145.19999999999999</v>
      </c>
      <c r="U10" s="28">
        <v>142.5</v>
      </c>
      <c r="V10" s="28">
        <v>138.1</v>
      </c>
      <c r="W10" s="28">
        <v>137.9</v>
      </c>
      <c r="X10" s="28">
        <v>136.19999999999999</v>
      </c>
      <c r="Y10" s="28">
        <v>123.7</v>
      </c>
      <c r="Z10" s="28">
        <v>132.6</v>
      </c>
      <c r="AA10" s="28">
        <v>142.80000000000001</v>
      </c>
      <c r="AB10" s="28">
        <v>130.1</v>
      </c>
      <c r="AC10" s="28">
        <v>132.6</v>
      </c>
      <c r="AD10" s="28">
        <v>138.5</v>
      </c>
      <c r="AE10" s="28">
        <v>1774.1000000000001</v>
      </c>
      <c r="AF10" s="28">
        <v>429.7</v>
      </c>
      <c r="AG10" s="29">
        <f t="shared" si="0"/>
        <v>542.20000000000005</v>
      </c>
    </row>
    <row r="11" spans="1:33" x14ac:dyDescent="0.3">
      <c r="A11" s="30" t="s">
        <v>30</v>
      </c>
      <c r="B11" s="26">
        <v>2018</v>
      </c>
      <c r="C11" s="26" t="s">
        <v>39</v>
      </c>
      <c r="D11" s="26">
        <v>138.4</v>
      </c>
      <c r="E11" s="26">
        <v>149.30000000000001</v>
      </c>
      <c r="F11" s="26">
        <v>139.30000000000001</v>
      </c>
      <c r="G11" s="26">
        <v>143.4</v>
      </c>
      <c r="H11" s="26">
        <v>124.1</v>
      </c>
      <c r="I11" s="26">
        <v>153.30000000000001</v>
      </c>
      <c r="J11" s="26">
        <v>154.19999999999999</v>
      </c>
      <c r="K11" s="26">
        <v>126.4</v>
      </c>
      <c r="L11" s="26">
        <v>114.3</v>
      </c>
      <c r="M11" s="26">
        <v>138.19999999999999</v>
      </c>
      <c r="N11" s="26">
        <v>132.80000000000001</v>
      </c>
      <c r="O11" s="26">
        <v>154.80000000000001</v>
      </c>
      <c r="P11" s="26">
        <v>142</v>
      </c>
      <c r="Q11" s="26">
        <v>156.1</v>
      </c>
      <c r="R11" s="26">
        <v>151.5</v>
      </c>
      <c r="S11" s="26">
        <v>145.1</v>
      </c>
      <c r="T11" s="26">
        <v>150.6</v>
      </c>
      <c r="U11" s="26" t="s">
        <v>89</v>
      </c>
      <c r="V11" s="26">
        <v>146.80000000000001</v>
      </c>
      <c r="W11" s="26">
        <v>143.1</v>
      </c>
      <c r="X11" s="26">
        <v>139</v>
      </c>
      <c r="Y11" s="26">
        <v>127.5</v>
      </c>
      <c r="Z11" s="26">
        <v>138.4</v>
      </c>
      <c r="AA11" s="26">
        <v>145.80000000000001</v>
      </c>
      <c r="AB11" s="26">
        <v>131.4</v>
      </c>
      <c r="AC11" s="26">
        <v>136</v>
      </c>
      <c r="AD11" s="26">
        <v>141.80000000000001</v>
      </c>
      <c r="AE11" s="26">
        <v>1810.5000000000002</v>
      </c>
      <c r="AF11" s="26">
        <v>447.20000000000005</v>
      </c>
      <c r="AG11" s="27">
        <f t="shared" si="0"/>
        <v>417.4</v>
      </c>
    </row>
    <row r="12" spans="1:33" x14ac:dyDescent="0.3">
      <c r="A12" s="31" t="s">
        <v>32</v>
      </c>
      <c r="B12" s="28">
        <v>2018</v>
      </c>
      <c r="C12" s="28" t="s">
        <v>39</v>
      </c>
      <c r="D12" s="28">
        <v>135.6</v>
      </c>
      <c r="E12" s="28">
        <v>148.6</v>
      </c>
      <c r="F12" s="28">
        <v>139.1</v>
      </c>
      <c r="G12" s="28">
        <v>141</v>
      </c>
      <c r="H12" s="28">
        <v>116.7</v>
      </c>
      <c r="I12" s="28">
        <v>149.69999999999999</v>
      </c>
      <c r="J12" s="28">
        <v>159.19999999999999</v>
      </c>
      <c r="K12" s="28">
        <v>112.6</v>
      </c>
      <c r="L12" s="28">
        <v>111.8</v>
      </c>
      <c r="M12" s="28">
        <v>140.30000000000001</v>
      </c>
      <c r="N12" s="28">
        <v>126.8</v>
      </c>
      <c r="O12" s="28">
        <v>149.4</v>
      </c>
      <c r="P12" s="28">
        <v>140.30000000000001</v>
      </c>
      <c r="Q12" s="28">
        <v>161.4</v>
      </c>
      <c r="R12" s="28">
        <v>139.6</v>
      </c>
      <c r="S12" s="28">
        <v>128.9</v>
      </c>
      <c r="T12" s="28">
        <v>137.9</v>
      </c>
      <c r="U12" s="28">
        <v>143.6</v>
      </c>
      <c r="V12" s="28">
        <v>128.1</v>
      </c>
      <c r="W12" s="28">
        <v>133.6</v>
      </c>
      <c r="X12" s="28">
        <v>133.6</v>
      </c>
      <c r="Y12" s="28">
        <v>120.1</v>
      </c>
      <c r="Z12" s="28">
        <v>129</v>
      </c>
      <c r="AA12" s="28">
        <v>144</v>
      </c>
      <c r="AB12" s="28">
        <v>128.19999999999999</v>
      </c>
      <c r="AC12" s="28">
        <v>130.19999999999999</v>
      </c>
      <c r="AD12" s="28">
        <v>137.5</v>
      </c>
      <c r="AE12" s="28">
        <v>1771.1</v>
      </c>
      <c r="AF12" s="28">
        <v>406.4</v>
      </c>
      <c r="AG12" s="29">
        <f t="shared" si="0"/>
        <v>525.4</v>
      </c>
    </row>
    <row r="13" spans="1:33" x14ac:dyDescent="0.3">
      <c r="A13" s="30" t="s">
        <v>33</v>
      </c>
      <c r="B13" s="26">
        <v>2018</v>
      </c>
      <c r="C13" s="26" t="s">
        <v>39</v>
      </c>
      <c r="D13" s="26">
        <v>137.5</v>
      </c>
      <c r="E13" s="26">
        <v>149.1</v>
      </c>
      <c r="F13" s="26">
        <v>139.19999999999999</v>
      </c>
      <c r="G13" s="26">
        <v>142.5</v>
      </c>
      <c r="H13" s="26">
        <v>121.4</v>
      </c>
      <c r="I13" s="26">
        <v>151.6</v>
      </c>
      <c r="J13" s="26">
        <v>155.9</v>
      </c>
      <c r="K13" s="26">
        <v>121.7</v>
      </c>
      <c r="L13" s="26">
        <v>113.5</v>
      </c>
      <c r="M13" s="26">
        <v>138.9</v>
      </c>
      <c r="N13" s="26">
        <v>130.30000000000001</v>
      </c>
      <c r="O13" s="26">
        <v>152.30000000000001</v>
      </c>
      <c r="P13" s="26">
        <v>141.4</v>
      </c>
      <c r="Q13" s="26">
        <v>157.5</v>
      </c>
      <c r="R13" s="26">
        <v>146.80000000000001</v>
      </c>
      <c r="S13" s="26">
        <v>138.4</v>
      </c>
      <c r="T13" s="26">
        <v>145.6</v>
      </c>
      <c r="U13" s="26">
        <v>143.6</v>
      </c>
      <c r="V13" s="26">
        <v>139.69999999999999</v>
      </c>
      <c r="W13" s="26">
        <v>138.6</v>
      </c>
      <c r="X13" s="26">
        <v>137</v>
      </c>
      <c r="Y13" s="26">
        <v>123.6</v>
      </c>
      <c r="Z13" s="26">
        <v>133.1</v>
      </c>
      <c r="AA13" s="26">
        <v>144.69999999999999</v>
      </c>
      <c r="AB13" s="26">
        <v>130.1</v>
      </c>
      <c r="AC13" s="26">
        <v>133.19999999999999</v>
      </c>
      <c r="AD13" s="26">
        <v>139.80000000000001</v>
      </c>
      <c r="AE13" s="26">
        <v>1795.3</v>
      </c>
      <c r="AF13" s="26">
        <v>430.80000000000007</v>
      </c>
      <c r="AG13" s="27">
        <f t="shared" si="0"/>
        <v>545.5</v>
      </c>
    </row>
    <row r="14" spans="1:33" x14ac:dyDescent="0.3">
      <c r="A14" s="31" t="s">
        <v>30</v>
      </c>
      <c r="B14" s="28">
        <v>2018</v>
      </c>
      <c r="C14" s="28" t="s">
        <v>40</v>
      </c>
      <c r="D14" s="28">
        <v>139.19999999999999</v>
      </c>
      <c r="E14" s="28">
        <v>148.80000000000001</v>
      </c>
      <c r="F14" s="28">
        <v>139.1</v>
      </c>
      <c r="G14" s="28">
        <v>143.5</v>
      </c>
      <c r="H14" s="28">
        <v>125</v>
      </c>
      <c r="I14" s="28">
        <v>154.4</v>
      </c>
      <c r="J14" s="28">
        <v>156.30000000000001</v>
      </c>
      <c r="K14" s="28">
        <v>126.8</v>
      </c>
      <c r="L14" s="28">
        <v>115.4</v>
      </c>
      <c r="M14" s="28">
        <v>138.6</v>
      </c>
      <c r="N14" s="28">
        <v>133.80000000000001</v>
      </c>
      <c r="O14" s="28">
        <v>155.19999999999999</v>
      </c>
      <c r="P14" s="28">
        <v>142.69999999999999</v>
      </c>
      <c r="Q14" s="28">
        <v>156.4</v>
      </c>
      <c r="R14" s="28">
        <v>152.1</v>
      </c>
      <c r="S14" s="28">
        <v>145.80000000000001</v>
      </c>
      <c r="T14" s="28">
        <v>151.30000000000001</v>
      </c>
      <c r="U14" s="28" t="s">
        <v>89</v>
      </c>
      <c r="V14" s="28">
        <v>147.69999999999999</v>
      </c>
      <c r="W14" s="28">
        <v>143.80000000000001</v>
      </c>
      <c r="X14" s="28">
        <v>139.4</v>
      </c>
      <c r="Y14" s="28">
        <v>128.30000000000001</v>
      </c>
      <c r="Z14" s="28">
        <v>138.6</v>
      </c>
      <c r="AA14" s="28">
        <v>146.9</v>
      </c>
      <c r="AB14" s="28">
        <v>131.30000000000001</v>
      </c>
      <c r="AC14" s="28">
        <v>136.6</v>
      </c>
      <c r="AD14" s="28">
        <v>142.5</v>
      </c>
      <c r="AE14" s="28">
        <v>1818.8</v>
      </c>
      <c r="AF14" s="28">
        <v>449.2</v>
      </c>
      <c r="AG14" s="29">
        <f t="shared" si="0"/>
        <v>419.8</v>
      </c>
    </row>
    <row r="15" spans="1:33" x14ac:dyDescent="0.3">
      <c r="A15" s="30" t="s">
        <v>32</v>
      </c>
      <c r="B15" s="26">
        <v>2018</v>
      </c>
      <c r="C15" s="26" t="s">
        <v>40</v>
      </c>
      <c r="D15" s="26">
        <v>136.5</v>
      </c>
      <c r="E15" s="26">
        <v>146.4</v>
      </c>
      <c r="F15" s="26">
        <v>136.6</v>
      </c>
      <c r="G15" s="26">
        <v>141.19999999999999</v>
      </c>
      <c r="H15" s="26">
        <v>117.4</v>
      </c>
      <c r="I15" s="26">
        <v>146.30000000000001</v>
      </c>
      <c r="J15" s="26">
        <v>157.30000000000001</v>
      </c>
      <c r="K15" s="26">
        <v>113.6</v>
      </c>
      <c r="L15" s="26">
        <v>113.3</v>
      </c>
      <c r="M15" s="26">
        <v>141.1</v>
      </c>
      <c r="N15" s="26">
        <v>127.4</v>
      </c>
      <c r="O15" s="26">
        <v>150.4</v>
      </c>
      <c r="P15" s="26">
        <v>140.1</v>
      </c>
      <c r="Q15" s="26">
        <v>162.1</v>
      </c>
      <c r="R15" s="26">
        <v>140</v>
      </c>
      <c r="S15" s="26">
        <v>129</v>
      </c>
      <c r="T15" s="26">
        <v>138.30000000000001</v>
      </c>
      <c r="U15" s="26">
        <v>144.6</v>
      </c>
      <c r="V15" s="26">
        <v>129.80000000000001</v>
      </c>
      <c r="W15" s="26">
        <v>134.4</v>
      </c>
      <c r="X15" s="26">
        <v>134.9</v>
      </c>
      <c r="Y15" s="26">
        <v>120.7</v>
      </c>
      <c r="Z15" s="26">
        <v>129.80000000000001</v>
      </c>
      <c r="AA15" s="26">
        <v>145.30000000000001</v>
      </c>
      <c r="AB15" s="26">
        <v>128.30000000000001</v>
      </c>
      <c r="AC15" s="26">
        <v>131</v>
      </c>
      <c r="AD15" s="26">
        <v>138</v>
      </c>
      <c r="AE15" s="26">
        <v>1767.6</v>
      </c>
      <c r="AF15" s="26">
        <v>407.3</v>
      </c>
      <c r="AG15" s="27">
        <f t="shared" si="0"/>
        <v>529.5</v>
      </c>
    </row>
    <row r="16" spans="1:33" x14ac:dyDescent="0.3">
      <c r="A16" s="31" t="s">
        <v>33</v>
      </c>
      <c r="B16" s="28">
        <v>2018</v>
      </c>
      <c r="C16" s="28" t="s">
        <v>40</v>
      </c>
      <c r="D16" s="28">
        <v>138.30000000000001</v>
      </c>
      <c r="E16" s="28">
        <v>148</v>
      </c>
      <c r="F16" s="28">
        <v>138.1</v>
      </c>
      <c r="G16" s="28">
        <v>142.6</v>
      </c>
      <c r="H16" s="28">
        <v>122.2</v>
      </c>
      <c r="I16" s="28">
        <v>150.6</v>
      </c>
      <c r="J16" s="28">
        <v>156.6</v>
      </c>
      <c r="K16" s="28">
        <v>122.4</v>
      </c>
      <c r="L16" s="28">
        <v>114.7</v>
      </c>
      <c r="M16" s="28">
        <v>139.4</v>
      </c>
      <c r="N16" s="28">
        <v>131.1</v>
      </c>
      <c r="O16" s="28">
        <v>153</v>
      </c>
      <c r="P16" s="28">
        <v>141.69999999999999</v>
      </c>
      <c r="Q16" s="28">
        <v>157.9</v>
      </c>
      <c r="R16" s="28">
        <v>147.30000000000001</v>
      </c>
      <c r="S16" s="28">
        <v>138.80000000000001</v>
      </c>
      <c r="T16" s="28">
        <v>146.1</v>
      </c>
      <c r="U16" s="28">
        <v>144.6</v>
      </c>
      <c r="V16" s="28">
        <v>140.9</v>
      </c>
      <c r="W16" s="28">
        <v>139.4</v>
      </c>
      <c r="X16" s="28">
        <v>137.69999999999999</v>
      </c>
      <c r="Y16" s="28">
        <v>124.3</v>
      </c>
      <c r="Z16" s="28">
        <v>133.6</v>
      </c>
      <c r="AA16" s="28">
        <v>146</v>
      </c>
      <c r="AB16" s="28">
        <v>130.1</v>
      </c>
      <c r="AC16" s="28">
        <v>133.9</v>
      </c>
      <c r="AD16" s="28">
        <v>140.4</v>
      </c>
      <c r="AE16" s="28">
        <v>1798.7000000000003</v>
      </c>
      <c r="AF16" s="28">
        <v>432.20000000000005</v>
      </c>
      <c r="AG16" s="29">
        <f t="shared" si="0"/>
        <v>549.19999999999993</v>
      </c>
    </row>
    <row r="17" spans="1:33" x14ac:dyDescent="0.3">
      <c r="A17" s="30" t="s">
        <v>30</v>
      </c>
      <c r="B17" s="26">
        <v>2018</v>
      </c>
      <c r="C17" s="26" t="s">
        <v>41</v>
      </c>
      <c r="D17" s="26">
        <v>139.4</v>
      </c>
      <c r="E17" s="26">
        <v>147.19999999999999</v>
      </c>
      <c r="F17" s="26">
        <v>136.6</v>
      </c>
      <c r="G17" s="26">
        <v>143.69999999999999</v>
      </c>
      <c r="H17" s="26">
        <v>124.6</v>
      </c>
      <c r="I17" s="26">
        <v>150.1</v>
      </c>
      <c r="J17" s="26">
        <v>149.4</v>
      </c>
      <c r="K17" s="26">
        <v>125.4</v>
      </c>
      <c r="L17" s="26">
        <v>114.4</v>
      </c>
      <c r="M17" s="26">
        <v>138.69999999999999</v>
      </c>
      <c r="N17" s="26">
        <v>133.1</v>
      </c>
      <c r="O17" s="26">
        <v>155.9</v>
      </c>
      <c r="P17" s="26">
        <v>141.30000000000001</v>
      </c>
      <c r="Q17" s="26">
        <v>157.69999999999999</v>
      </c>
      <c r="R17" s="26">
        <v>152.1</v>
      </c>
      <c r="S17" s="26">
        <v>146.1</v>
      </c>
      <c r="T17" s="26">
        <v>151.30000000000001</v>
      </c>
      <c r="U17" s="26" t="s">
        <v>89</v>
      </c>
      <c r="V17" s="26">
        <v>149</v>
      </c>
      <c r="W17" s="26">
        <v>144</v>
      </c>
      <c r="X17" s="26">
        <v>140</v>
      </c>
      <c r="Y17" s="26">
        <v>129.9</v>
      </c>
      <c r="Z17" s="26">
        <v>140</v>
      </c>
      <c r="AA17" s="26">
        <v>147.6</v>
      </c>
      <c r="AB17" s="26">
        <v>132</v>
      </c>
      <c r="AC17" s="26">
        <v>137.4</v>
      </c>
      <c r="AD17" s="26">
        <v>142.1</v>
      </c>
      <c r="AE17" s="26">
        <v>1799.8000000000002</v>
      </c>
      <c r="AF17" s="26">
        <v>449.5</v>
      </c>
      <c r="AG17" s="27">
        <f t="shared" si="0"/>
        <v>422.9</v>
      </c>
    </row>
    <row r="18" spans="1:33" x14ac:dyDescent="0.3">
      <c r="A18" s="31" t="s">
        <v>32</v>
      </c>
      <c r="B18" s="28">
        <v>2018</v>
      </c>
      <c r="C18" s="28" t="s">
        <v>41</v>
      </c>
      <c r="D18" s="28">
        <v>137</v>
      </c>
      <c r="E18" s="28">
        <v>143.1</v>
      </c>
      <c r="F18" s="28">
        <v>132.80000000000001</v>
      </c>
      <c r="G18" s="28">
        <v>141.5</v>
      </c>
      <c r="H18" s="28">
        <v>117.8</v>
      </c>
      <c r="I18" s="28">
        <v>140</v>
      </c>
      <c r="J18" s="28">
        <v>151.30000000000001</v>
      </c>
      <c r="K18" s="28">
        <v>113.5</v>
      </c>
      <c r="L18" s="28">
        <v>112.3</v>
      </c>
      <c r="M18" s="28">
        <v>141.19999999999999</v>
      </c>
      <c r="N18" s="28">
        <v>127.7</v>
      </c>
      <c r="O18" s="28">
        <v>151.30000000000001</v>
      </c>
      <c r="P18" s="28">
        <v>138.9</v>
      </c>
      <c r="Q18" s="28">
        <v>163.30000000000001</v>
      </c>
      <c r="R18" s="28">
        <v>140.80000000000001</v>
      </c>
      <c r="S18" s="28">
        <v>129.30000000000001</v>
      </c>
      <c r="T18" s="28">
        <v>139.1</v>
      </c>
      <c r="U18" s="28">
        <v>145.30000000000001</v>
      </c>
      <c r="V18" s="28">
        <v>131.19999999999999</v>
      </c>
      <c r="W18" s="28">
        <v>134.9</v>
      </c>
      <c r="X18" s="28">
        <v>135.69999999999999</v>
      </c>
      <c r="Y18" s="28">
        <v>122.5</v>
      </c>
      <c r="Z18" s="28">
        <v>130.19999999999999</v>
      </c>
      <c r="AA18" s="28">
        <v>145.19999999999999</v>
      </c>
      <c r="AB18" s="28">
        <v>129.30000000000001</v>
      </c>
      <c r="AC18" s="28">
        <v>131.9</v>
      </c>
      <c r="AD18" s="28">
        <v>138.1</v>
      </c>
      <c r="AE18" s="28">
        <v>1748.4</v>
      </c>
      <c r="AF18" s="28">
        <v>409.20000000000005</v>
      </c>
      <c r="AG18" s="29">
        <f t="shared" si="0"/>
        <v>533.9</v>
      </c>
    </row>
    <row r="19" spans="1:33" x14ac:dyDescent="0.3">
      <c r="A19" s="30" t="s">
        <v>33</v>
      </c>
      <c r="B19" s="26">
        <v>2018</v>
      </c>
      <c r="C19" s="26" t="s">
        <v>41</v>
      </c>
      <c r="D19" s="26">
        <v>138.6</v>
      </c>
      <c r="E19" s="26">
        <v>145.80000000000001</v>
      </c>
      <c r="F19" s="26">
        <v>135.1</v>
      </c>
      <c r="G19" s="26">
        <v>142.9</v>
      </c>
      <c r="H19" s="26">
        <v>122.1</v>
      </c>
      <c r="I19" s="26">
        <v>145.4</v>
      </c>
      <c r="J19" s="26">
        <v>150</v>
      </c>
      <c r="K19" s="26">
        <v>121.4</v>
      </c>
      <c r="L19" s="26">
        <v>113.7</v>
      </c>
      <c r="M19" s="26">
        <v>139.5</v>
      </c>
      <c r="N19" s="26">
        <v>130.80000000000001</v>
      </c>
      <c r="O19" s="26">
        <v>153.80000000000001</v>
      </c>
      <c r="P19" s="26">
        <v>140.4</v>
      </c>
      <c r="Q19" s="26">
        <v>159.19999999999999</v>
      </c>
      <c r="R19" s="26">
        <v>147.69999999999999</v>
      </c>
      <c r="S19" s="26">
        <v>139.1</v>
      </c>
      <c r="T19" s="26">
        <v>146.5</v>
      </c>
      <c r="U19" s="26">
        <v>145.30000000000001</v>
      </c>
      <c r="V19" s="26">
        <v>142.30000000000001</v>
      </c>
      <c r="W19" s="26">
        <v>139.69999999999999</v>
      </c>
      <c r="X19" s="26">
        <v>138.4</v>
      </c>
      <c r="Y19" s="26">
        <v>126</v>
      </c>
      <c r="Z19" s="26">
        <v>134.5</v>
      </c>
      <c r="AA19" s="26">
        <v>146.19999999999999</v>
      </c>
      <c r="AB19" s="26">
        <v>130.9</v>
      </c>
      <c r="AC19" s="26">
        <v>134.69999999999999</v>
      </c>
      <c r="AD19" s="26">
        <v>140.19999999999999</v>
      </c>
      <c r="AE19" s="26">
        <v>1779.5</v>
      </c>
      <c r="AF19" s="26">
        <v>433.29999999999995</v>
      </c>
      <c r="AG19" s="27">
        <f t="shared" si="0"/>
        <v>553.29999999999995</v>
      </c>
    </row>
    <row r="20" spans="1:33" x14ac:dyDescent="0.3">
      <c r="A20" s="31" t="s">
        <v>30</v>
      </c>
      <c r="B20" s="28">
        <v>2018</v>
      </c>
      <c r="C20" s="28" t="s">
        <v>42</v>
      </c>
      <c r="D20" s="28">
        <v>139.30000000000001</v>
      </c>
      <c r="E20" s="28">
        <v>147.6</v>
      </c>
      <c r="F20" s="28">
        <v>134.6</v>
      </c>
      <c r="G20" s="28">
        <v>141.9</v>
      </c>
      <c r="H20" s="28">
        <v>123.5</v>
      </c>
      <c r="I20" s="28">
        <v>144.5</v>
      </c>
      <c r="J20" s="28">
        <v>147.6</v>
      </c>
      <c r="K20" s="28">
        <v>121.4</v>
      </c>
      <c r="L20" s="28">
        <v>112.3</v>
      </c>
      <c r="M20" s="28">
        <v>139.5</v>
      </c>
      <c r="N20" s="28">
        <v>134.6</v>
      </c>
      <c r="O20" s="28">
        <v>155.19999999999999</v>
      </c>
      <c r="P20" s="28">
        <v>140.19999999999999</v>
      </c>
      <c r="Q20" s="28">
        <v>159.6</v>
      </c>
      <c r="R20" s="28">
        <v>150.69999999999999</v>
      </c>
      <c r="S20" s="28">
        <v>144.5</v>
      </c>
      <c r="T20" s="28">
        <v>149.80000000000001</v>
      </c>
      <c r="U20" s="28" t="s">
        <v>89</v>
      </c>
      <c r="V20" s="28">
        <v>149.69999999999999</v>
      </c>
      <c r="W20" s="28">
        <v>147.5</v>
      </c>
      <c r="X20" s="28">
        <v>144.80000000000001</v>
      </c>
      <c r="Y20" s="28">
        <v>130.80000000000001</v>
      </c>
      <c r="Z20" s="28">
        <v>140.1</v>
      </c>
      <c r="AA20" s="28">
        <v>148</v>
      </c>
      <c r="AB20" s="28">
        <v>134.4</v>
      </c>
      <c r="AC20" s="28">
        <v>139.80000000000001</v>
      </c>
      <c r="AD20" s="28">
        <v>142.19999999999999</v>
      </c>
      <c r="AE20" s="28">
        <v>1782.2</v>
      </c>
      <c r="AF20" s="28">
        <v>445</v>
      </c>
      <c r="AG20" s="29">
        <f t="shared" si="0"/>
        <v>428</v>
      </c>
    </row>
    <row r="21" spans="1:33" x14ac:dyDescent="0.3">
      <c r="A21" s="30" t="s">
        <v>32</v>
      </c>
      <c r="B21" s="26">
        <v>2018</v>
      </c>
      <c r="C21" s="26" t="s">
        <v>42</v>
      </c>
      <c r="D21" s="26">
        <v>137.6</v>
      </c>
      <c r="E21" s="26">
        <v>144.9</v>
      </c>
      <c r="F21" s="26">
        <v>133.5</v>
      </c>
      <c r="G21" s="26">
        <v>141.5</v>
      </c>
      <c r="H21" s="26">
        <v>118</v>
      </c>
      <c r="I21" s="26">
        <v>139.5</v>
      </c>
      <c r="J21" s="26">
        <v>153</v>
      </c>
      <c r="K21" s="26">
        <v>113.2</v>
      </c>
      <c r="L21" s="26">
        <v>112.8</v>
      </c>
      <c r="M21" s="26">
        <v>141.1</v>
      </c>
      <c r="N21" s="26">
        <v>127.6</v>
      </c>
      <c r="O21" s="26">
        <v>152</v>
      </c>
      <c r="P21" s="26">
        <v>139.4</v>
      </c>
      <c r="Q21" s="26">
        <v>164</v>
      </c>
      <c r="R21" s="26">
        <v>141.5</v>
      </c>
      <c r="S21" s="26">
        <v>129.80000000000001</v>
      </c>
      <c r="T21" s="26">
        <v>139.69999999999999</v>
      </c>
      <c r="U21" s="26">
        <v>146.30000000000001</v>
      </c>
      <c r="V21" s="26">
        <v>133.4</v>
      </c>
      <c r="W21" s="26">
        <v>135.1</v>
      </c>
      <c r="X21" s="26">
        <v>136.19999999999999</v>
      </c>
      <c r="Y21" s="26">
        <v>123.3</v>
      </c>
      <c r="Z21" s="26">
        <v>130.69999999999999</v>
      </c>
      <c r="AA21" s="26">
        <v>145.5</v>
      </c>
      <c r="AB21" s="26">
        <v>130.4</v>
      </c>
      <c r="AC21" s="26">
        <v>132.5</v>
      </c>
      <c r="AD21" s="26">
        <v>138.9</v>
      </c>
      <c r="AE21" s="26">
        <v>1754.1</v>
      </c>
      <c r="AF21" s="26">
        <v>411</v>
      </c>
      <c r="AG21" s="27">
        <f t="shared" si="0"/>
        <v>538.1</v>
      </c>
    </row>
    <row r="22" spans="1:33" x14ac:dyDescent="0.3">
      <c r="A22" s="31" t="s">
        <v>33</v>
      </c>
      <c r="B22" s="28">
        <v>2018</v>
      </c>
      <c r="C22" s="28" t="s">
        <v>42</v>
      </c>
      <c r="D22" s="28">
        <v>137.4</v>
      </c>
      <c r="E22" s="28">
        <v>149.5</v>
      </c>
      <c r="F22" s="28">
        <v>137.30000000000001</v>
      </c>
      <c r="G22" s="28">
        <v>141.9</v>
      </c>
      <c r="H22" s="28">
        <v>121.1</v>
      </c>
      <c r="I22" s="28">
        <v>142.5</v>
      </c>
      <c r="J22" s="28">
        <v>146.69999999999999</v>
      </c>
      <c r="K22" s="28">
        <v>119.1</v>
      </c>
      <c r="L22" s="28">
        <v>111.9</v>
      </c>
      <c r="M22" s="28">
        <v>141</v>
      </c>
      <c r="N22" s="28">
        <v>133.6</v>
      </c>
      <c r="O22" s="28">
        <v>154.5</v>
      </c>
      <c r="P22" s="28">
        <v>139.69999999999999</v>
      </c>
      <c r="Q22" s="28">
        <v>162.6</v>
      </c>
      <c r="R22" s="28">
        <v>148</v>
      </c>
      <c r="S22" s="28">
        <v>139.19999999999999</v>
      </c>
      <c r="T22" s="28">
        <v>146.80000000000001</v>
      </c>
      <c r="U22" s="28">
        <v>146.9</v>
      </c>
      <c r="V22" s="28">
        <v>145.30000000000001</v>
      </c>
      <c r="W22" s="28">
        <v>142.19999999999999</v>
      </c>
      <c r="X22" s="28">
        <v>142.1</v>
      </c>
      <c r="Y22" s="28">
        <v>125.5</v>
      </c>
      <c r="Z22" s="28">
        <v>136.5</v>
      </c>
      <c r="AA22" s="28">
        <v>147.80000000000001</v>
      </c>
      <c r="AB22" s="28">
        <v>132</v>
      </c>
      <c r="AC22" s="28">
        <v>136.30000000000001</v>
      </c>
      <c r="AD22" s="28">
        <v>140.80000000000001</v>
      </c>
      <c r="AE22" s="28">
        <v>1776.2</v>
      </c>
      <c r="AF22" s="28">
        <v>434</v>
      </c>
      <c r="AG22" s="29">
        <f t="shared" si="0"/>
        <v>559.90000000000009</v>
      </c>
    </row>
    <row r="23" spans="1:33" x14ac:dyDescent="0.3">
      <c r="A23" s="30" t="s">
        <v>30</v>
      </c>
      <c r="B23" s="26">
        <v>2018</v>
      </c>
      <c r="C23" s="26" t="s">
        <v>43</v>
      </c>
      <c r="D23" s="26">
        <v>137.1</v>
      </c>
      <c r="E23" s="26">
        <v>150.80000000000001</v>
      </c>
      <c r="F23" s="26">
        <v>136.69999999999999</v>
      </c>
      <c r="G23" s="26">
        <v>141.9</v>
      </c>
      <c r="H23" s="26">
        <v>122.8</v>
      </c>
      <c r="I23" s="26">
        <v>143.9</v>
      </c>
      <c r="J23" s="26">
        <v>147.5</v>
      </c>
      <c r="K23" s="26">
        <v>121</v>
      </c>
      <c r="L23" s="26">
        <v>111.6</v>
      </c>
      <c r="M23" s="26">
        <v>140.6</v>
      </c>
      <c r="N23" s="26">
        <v>137.5</v>
      </c>
      <c r="O23" s="26">
        <v>156.1</v>
      </c>
      <c r="P23" s="26">
        <v>140</v>
      </c>
      <c r="Q23" s="26">
        <v>161.9</v>
      </c>
      <c r="R23" s="26">
        <v>151.69999999999999</v>
      </c>
      <c r="S23" s="26">
        <v>145.5</v>
      </c>
      <c r="T23" s="26">
        <v>150.80000000000001</v>
      </c>
      <c r="U23" s="26" t="s">
        <v>89</v>
      </c>
      <c r="V23" s="26">
        <v>150.30000000000001</v>
      </c>
      <c r="W23" s="26">
        <v>148</v>
      </c>
      <c r="X23" s="26">
        <v>145.4</v>
      </c>
      <c r="Y23" s="26">
        <v>130.30000000000001</v>
      </c>
      <c r="Z23" s="26">
        <v>143.1</v>
      </c>
      <c r="AA23" s="26">
        <v>150.19999999999999</v>
      </c>
      <c r="AB23" s="26">
        <v>133.1</v>
      </c>
      <c r="AC23" s="26">
        <v>140.1</v>
      </c>
      <c r="AD23" s="26">
        <v>142.4</v>
      </c>
      <c r="AE23" s="26">
        <v>1787.4999999999995</v>
      </c>
      <c r="AF23" s="26">
        <v>448</v>
      </c>
      <c r="AG23" s="27">
        <f t="shared" si="0"/>
        <v>428.6</v>
      </c>
    </row>
    <row r="24" spans="1:33" x14ac:dyDescent="0.3">
      <c r="A24" s="31" t="s">
        <v>32</v>
      </c>
      <c r="B24" s="28">
        <v>2018</v>
      </c>
      <c r="C24" s="28" t="s">
        <v>43</v>
      </c>
      <c r="D24" s="28">
        <v>138.1</v>
      </c>
      <c r="E24" s="28">
        <v>146.30000000000001</v>
      </c>
      <c r="F24" s="28">
        <v>137.80000000000001</v>
      </c>
      <c r="G24" s="28">
        <v>141.6</v>
      </c>
      <c r="H24" s="28">
        <v>118.1</v>
      </c>
      <c r="I24" s="28">
        <v>141.5</v>
      </c>
      <c r="J24" s="28">
        <v>145.19999999999999</v>
      </c>
      <c r="K24" s="28">
        <v>115.3</v>
      </c>
      <c r="L24" s="28">
        <v>112.5</v>
      </c>
      <c r="M24" s="28">
        <v>141.4</v>
      </c>
      <c r="N24" s="28">
        <v>128</v>
      </c>
      <c r="O24" s="28">
        <v>152.6</v>
      </c>
      <c r="P24" s="28">
        <v>139.1</v>
      </c>
      <c r="Q24" s="28">
        <v>164.4</v>
      </c>
      <c r="R24" s="28">
        <v>142.4</v>
      </c>
      <c r="S24" s="28">
        <v>130.19999999999999</v>
      </c>
      <c r="T24" s="28">
        <v>140.5</v>
      </c>
      <c r="U24" s="28">
        <v>146.9</v>
      </c>
      <c r="V24" s="28">
        <v>136.69999999999999</v>
      </c>
      <c r="W24" s="28">
        <v>135.80000000000001</v>
      </c>
      <c r="X24" s="28">
        <v>136.80000000000001</v>
      </c>
      <c r="Y24" s="28">
        <v>121.2</v>
      </c>
      <c r="Z24" s="28">
        <v>131.30000000000001</v>
      </c>
      <c r="AA24" s="28">
        <v>146.1</v>
      </c>
      <c r="AB24" s="28">
        <v>130.5</v>
      </c>
      <c r="AC24" s="28">
        <v>132.19999999999999</v>
      </c>
      <c r="AD24" s="28">
        <v>139</v>
      </c>
      <c r="AE24" s="28">
        <v>1757.4999999999998</v>
      </c>
      <c r="AF24" s="28">
        <v>413.1</v>
      </c>
      <c r="AG24" s="29">
        <f t="shared" si="0"/>
        <v>540.6</v>
      </c>
    </row>
    <row r="25" spans="1:33" x14ac:dyDescent="0.3">
      <c r="A25" s="30" t="s">
        <v>33</v>
      </c>
      <c r="B25" s="26">
        <v>2018</v>
      </c>
      <c r="C25" s="26" t="s">
        <v>43</v>
      </c>
      <c r="D25" s="26">
        <v>137.4</v>
      </c>
      <c r="E25" s="26">
        <v>149.19999999999999</v>
      </c>
      <c r="F25" s="26">
        <v>137.1</v>
      </c>
      <c r="G25" s="26">
        <v>141.80000000000001</v>
      </c>
      <c r="H25" s="26">
        <v>121.1</v>
      </c>
      <c r="I25" s="26">
        <v>142.80000000000001</v>
      </c>
      <c r="J25" s="26">
        <v>146.69999999999999</v>
      </c>
      <c r="K25" s="26">
        <v>119.1</v>
      </c>
      <c r="L25" s="26">
        <v>111.9</v>
      </c>
      <c r="M25" s="26">
        <v>140.9</v>
      </c>
      <c r="N25" s="26">
        <v>133.5</v>
      </c>
      <c r="O25" s="26">
        <v>154.5</v>
      </c>
      <c r="P25" s="26">
        <v>139.69999999999999</v>
      </c>
      <c r="Q25" s="26">
        <v>162.6</v>
      </c>
      <c r="R25" s="26">
        <v>148</v>
      </c>
      <c r="S25" s="26">
        <v>139.1</v>
      </c>
      <c r="T25" s="26">
        <v>146.69999999999999</v>
      </c>
      <c r="U25" s="26">
        <v>146.9</v>
      </c>
      <c r="V25" s="26">
        <v>145.1</v>
      </c>
      <c r="W25" s="26">
        <v>142.19999999999999</v>
      </c>
      <c r="X25" s="26">
        <v>142.1</v>
      </c>
      <c r="Y25" s="26">
        <v>125.5</v>
      </c>
      <c r="Z25" s="26">
        <v>136.5</v>
      </c>
      <c r="AA25" s="26">
        <v>147.80000000000001</v>
      </c>
      <c r="AB25" s="26">
        <v>132</v>
      </c>
      <c r="AC25" s="26">
        <v>136.30000000000001</v>
      </c>
      <c r="AD25" s="26">
        <v>140.80000000000001</v>
      </c>
      <c r="AE25" s="26">
        <v>1775.7000000000003</v>
      </c>
      <c r="AF25" s="26">
        <v>433.8</v>
      </c>
      <c r="AG25" s="27">
        <f t="shared" si="0"/>
        <v>559.70000000000005</v>
      </c>
    </row>
    <row r="26" spans="1:33" x14ac:dyDescent="0.3">
      <c r="A26" s="31" t="s">
        <v>30</v>
      </c>
      <c r="B26" s="28">
        <v>2018</v>
      </c>
      <c r="C26" s="28" t="s">
        <v>44</v>
      </c>
      <c r="D26" s="28">
        <v>137.1</v>
      </c>
      <c r="E26" s="28">
        <v>151.9</v>
      </c>
      <c r="F26" s="28">
        <v>137.4</v>
      </c>
      <c r="G26" s="28">
        <v>142.4</v>
      </c>
      <c r="H26" s="28">
        <v>124.2</v>
      </c>
      <c r="I26" s="28">
        <v>140.19999999999999</v>
      </c>
      <c r="J26" s="28">
        <v>136.6</v>
      </c>
      <c r="K26" s="28">
        <v>120.9</v>
      </c>
      <c r="L26" s="28">
        <v>109.9</v>
      </c>
      <c r="M26" s="28">
        <v>140.19999999999999</v>
      </c>
      <c r="N26" s="28">
        <v>137.80000000000001</v>
      </c>
      <c r="O26" s="28">
        <v>156</v>
      </c>
      <c r="P26" s="28">
        <v>138.5</v>
      </c>
      <c r="Q26" s="28">
        <v>162.4</v>
      </c>
      <c r="R26" s="28">
        <v>151.6</v>
      </c>
      <c r="S26" s="28">
        <v>145.9</v>
      </c>
      <c r="T26" s="28">
        <v>150.80000000000001</v>
      </c>
      <c r="U26" s="28" t="s">
        <v>89</v>
      </c>
      <c r="V26" s="28">
        <v>149</v>
      </c>
      <c r="W26" s="28">
        <v>149.5</v>
      </c>
      <c r="X26" s="28">
        <v>149.6</v>
      </c>
      <c r="Y26" s="28">
        <v>128.9</v>
      </c>
      <c r="Z26" s="28">
        <v>143.30000000000001</v>
      </c>
      <c r="AA26" s="28">
        <v>155.1</v>
      </c>
      <c r="AB26" s="28">
        <v>133.19999999999999</v>
      </c>
      <c r="AC26" s="28">
        <v>141.6</v>
      </c>
      <c r="AD26" s="28">
        <v>141.9</v>
      </c>
      <c r="AE26" s="28">
        <v>1773.1000000000001</v>
      </c>
      <c r="AF26" s="28">
        <v>448.3</v>
      </c>
      <c r="AG26" s="29">
        <f t="shared" si="0"/>
        <v>427.4</v>
      </c>
    </row>
    <row r="27" spans="1:33" x14ac:dyDescent="0.3">
      <c r="A27" s="30" t="s">
        <v>32</v>
      </c>
      <c r="B27" s="26">
        <v>2018</v>
      </c>
      <c r="C27" s="26" t="s">
        <v>44</v>
      </c>
      <c r="D27" s="26">
        <v>138.5</v>
      </c>
      <c r="E27" s="26">
        <v>147.80000000000001</v>
      </c>
      <c r="F27" s="26">
        <v>141.1</v>
      </c>
      <c r="G27" s="26">
        <v>141.6</v>
      </c>
      <c r="H27" s="26">
        <v>118.1</v>
      </c>
      <c r="I27" s="26">
        <v>138.5</v>
      </c>
      <c r="J27" s="26">
        <v>132.4</v>
      </c>
      <c r="K27" s="26">
        <v>117.5</v>
      </c>
      <c r="L27" s="26">
        <v>111</v>
      </c>
      <c r="M27" s="26">
        <v>141.5</v>
      </c>
      <c r="N27" s="26">
        <v>128.1</v>
      </c>
      <c r="O27" s="26">
        <v>152.9</v>
      </c>
      <c r="P27" s="26">
        <v>137.6</v>
      </c>
      <c r="Q27" s="26">
        <v>164.6</v>
      </c>
      <c r="R27" s="26">
        <v>142.69999999999999</v>
      </c>
      <c r="S27" s="26">
        <v>130.30000000000001</v>
      </c>
      <c r="T27" s="26">
        <v>140.80000000000001</v>
      </c>
      <c r="U27" s="26">
        <v>146.5</v>
      </c>
      <c r="V27" s="26">
        <v>132.4</v>
      </c>
      <c r="W27" s="26">
        <v>136.19999999999999</v>
      </c>
      <c r="X27" s="26">
        <v>137.30000000000001</v>
      </c>
      <c r="Y27" s="26">
        <v>118.8</v>
      </c>
      <c r="Z27" s="26">
        <v>131.69999999999999</v>
      </c>
      <c r="AA27" s="26">
        <v>146.5</v>
      </c>
      <c r="AB27" s="26">
        <v>130.80000000000001</v>
      </c>
      <c r="AC27" s="26">
        <v>131.69999999999999</v>
      </c>
      <c r="AD27" s="26">
        <v>138</v>
      </c>
      <c r="AE27" s="26">
        <v>1746.6</v>
      </c>
      <c r="AF27" s="26">
        <v>413.8</v>
      </c>
      <c r="AG27" s="27">
        <f t="shared" si="0"/>
        <v>533.9</v>
      </c>
    </row>
    <row r="28" spans="1:33" x14ac:dyDescent="0.3">
      <c r="A28" s="31" t="s">
        <v>33</v>
      </c>
      <c r="B28" s="28">
        <v>2018</v>
      </c>
      <c r="C28" s="28" t="s">
        <v>44</v>
      </c>
      <c r="D28" s="28">
        <v>137.5</v>
      </c>
      <c r="E28" s="28">
        <v>150.5</v>
      </c>
      <c r="F28" s="28">
        <v>138.80000000000001</v>
      </c>
      <c r="G28" s="28">
        <v>142.1</v>
      </c>
      <c r="H28" s="28">
        <v>122</v>
      </c>
      <c r="I28" s="28">
        <v>139.4</v>
      </c>
      <c r="J28" s="28">
        <v>135.19999999999999</v>
      </c>
      <c r="K28" s="28">
        <v>119.8</v>
      </c>
      <c r="L28" s="28">
        <v>110.3</v>
      </c>
      <c r="M28" s="28">
        <v>140.6</v>
      </c>
      <c r="N28" s="28">
        <v>133.80000000000001</v>
      </c>
      <c r="O28" s="28">
        <v>154.6</v>
      </c>
      <c r="P28" s="28">
        <v>138.19999999999999</v>
      </c>
      <c r="Q28" s="28">
        <v>163</v>
      </c>
      <c r="R28" s="28">
        <v>148.1</v>
      </c>
      <c r="S28" s="28">
        <v>139.4</v>
      </c>
      <c r="T28" s="28">
        <v>146.80000000000001</v>
      </c>
      <c r="U28" s="28">
        <v>146.5</v>
      </c>
      <c r="V28" s="28">
        <v>142.69999999999999</v>
      </c>
      <c r="W28" s="28">
        <v>143.19999999999999</v>
      </c>
      <c r="X28" s="28">
        <v>144.9</v>
      </c>
      <c r="Y28" s="28">
        <v>123.6</v>
      </c>
      <c r="Z28" s="28">
        <v>136.80000000000001</v>
      </c>
      <c r="AA28" s="28">
        <v>150.1</v>
      </c>
      <c r="AB28" s="28">
        <v>132.19999999999999</v>
      </c>
      <c r="AC28" s="28">
        <v>136.80000000000001</v>
      </c>
      <c r="AD28" s="28">
        <v>140.1</v>
      </c>
      <c r="AE28" s="28">
        <v>1762.7999999999997</v>
      </c>
      <c r="AF28" s="28">
        <v>434.3</v>
      </c>
      <c r="AG28" s="29">
        <f t="shared" si="0"/>
        <v>556</v>
      </c>
    </row>
    <row r="29" spans="1:33" x14ac:dyDescent="0.3">
      <c r="A29" s="30" t="s">
        <v>30</v>
      </c>
      <c r="B29" s="26">
        <v>2019</v>
      </c>
      <c r="C29" s="26" t="s">
        <v>31</v>
      </c>
      <c r="D29" s="26">
        <v>136.6</v>
      </c>
      <c r="E29" s="26">
        <v>152.5</v>
      </c>
      <c r="F29" s="26">
        <v>138.19999999999999</v>
      </c>
      <c r="G29" s="26">
        <v>142.4</v>
      </c>
      <c r="H29" s="26">
        <v>123.9</v>
      </c>
      <c r="I29" s="26">
        <v>135.5</v>
      </c>
      <c r="J29" s="26">
        <v>131.69999999999999</v>
      </c>
      <c r="K29" s="26">
        <v>121.3</v>
      </c>
      <c r="L29" s="26">
        <v>108.4</v>
      </c>
      <c r="M29" s="26">
        <v>138.9</v>
      </c>
      <c r="N29" s="26">
        <v>137</v>
      </c>
      <c r="O29" s="26">
        <v>155.80000000000001</v>
      </c>
      <c r="P29" s="26">
        <v>137.4</v>
      </c>
      <c r="Q29" s="26">
        <v>162.69999999999999</v>
      </c>
      <c r="R29" s="26">
        <v>150.6</v>
      </c>
      <c r="S29" s="26">
        <v>145.1</v>
      </c>
      <c r="T29" s="26">
        <v>149.9</v>
      </c>
      <c r="U29" s="26" t="s">
        <v>89</v>
      </c>
      <c r="V29" s="26">
        <v>146.19999999999999</v>
      </c>
      <c r="W29" s="26">
        <v>150.1</v>
      </c>
      <c r="X29" s="26">
        <v>149.6</v>
      </c>
      <c r="Y29" s="26">
        <v>128.6</v>
      </c>
      <c r="Z29" s="26">
        <v>142.9</v>
      </c>
      <c r="AA29" s="26">
        <v>155.19999999999999</v>
      </c>
      <c r="AB29" s="26">
        <v>133.5</v>
      </c>
      <c r="AC29" s="26">
        <v>141.69999999999999</v>
      </c>
      <c r="AD29" s="26">
        <v>141</v>
      </c>
      <c r="AE29" s="26">
        <v>1759.6000000000001</v>
      </c>
      <c r="AF29" s="26">
        <v>445.6</v>
      </c>
      <c r="AG29" s="27">
        <f t="shared" si="0"/>
        <v>424.9</v>
      </c>
    </row>
    <row r="30" spans="1:33" x14ac:dyDescent="0.3">
      <c r="A30" s="31" t="s">
        <v>32</v>
      </c>
      <c r="B30" s="28">
        <v>2019</v>
      </c>
      <c r="C30" s="28" t="s">
        <v>31</v>
      </c>
      <c r="D30" s="28">
        <v>138.30000000000001</v>
      </c>
      <c r="E30" s="28">
        <v>149.4</v>
      </c>
      <c r="F30" s="28">
        <v>143.5</v>
      </c>
      <c r="G30" s="28">
        <v>141.69999999999999</v>
      </c>
      <c r="H30" s="28">
        <v>118.1</v>
      </c>
      <c r="I30" s="28">
        <v>135.19999999999999</v>
      </c>
      <c r="J30" s="28">
        <v>130.5</v>
      </c>
      <c r="K30" s="28">
        <v>118.2</v>
      </c>
      <c r="L30" s="28">
        <v>110.4</v>
      </c>
      <c r="M30" s="28">
        <v>140.4</v>
      </c>
      <c r="N30" s="28">
        <v>128.1</v>
      </c>
      <c r="O30" s="28">
        <v>153.19999999999999</v>
      </c>
      <c r="P30" s="28">
        <v>137.30000000000001</v>
      </c>
      <c r="Q30" s="28">
        <v>164.7</v>
      </c>
      <c r="R30" s="28">
        <v>143</v>
      </c>
      <c r="S30" s="28">
        <v>130.4</v>
      </c>
      <c r="T30" s="28">
        <v>141.1</v>
      </c>
      <c r="U30" s="28">
        <v>147.69999999999999</v>
      </c>
      <c r="V30" s="28">
        <v>128.6</v>
      </c>
      <c r="W30" s="28">
        <v>136.30000000000001</v>
      </c>
      <c r="X30" s="28">
        <v>137.80000000000001</v>
      </c>
      <c r="Y30" s="28">
        <v>118.6</v>
      </c>
      <c r="Z30" s="28">
        <v>131.9</v>
      </c>
      <c r="AA30" s="28">
        <v>146.6</v>
      </c>
      <c r="AB30" s="28">
        <v>131.69999999999999</v>
      </c>
      <c r="AC30" s="28">
        <v>131.80000000000001</v>
      </c>
      <c r="AD30" s="28">
        <v>138</v>
      </c>
      <c r="AE30" s="28">
        <v>1744.3000000000002</v>
      </c>
      <c r="AF30" s="28">
        <v>414.5</v>
      </c>
      <c r="AG30" s="29">
        <f t="shared" si="0"/>
        <v>531.19999999999993</v>
      </c>
    </row>
    <row r="31" spans="1:33" x14ac:dyDescent="0.3">
      <c r="A31" s="30" t="s">
        <v>33</v>
      </c>
      <c r="B31" s="26">
        <v>2019</v>
      </c>
      <c r="C31" s="26" t="s">
        <v>31</v>
      </c>
      <c r="D31" s="26">
        <v>137.1</v>
      </c>
      <c r="E31" s="26">
        <v>151.4</v>
      </c>
      <c r="F31" s="26">
        <v>140.19999999999999</v>
      </c>
      <c r="G31" s="26">
        <v>142.1</v>
      </c>
      <c r="H31" s="26">
        <v>121.8</v>
      </c>
      <c r="I31" s="26">
        <v>135.4</v>
      </c>
      <c r="J31" s="26">
        <v>131.30000000000001</v>
      </c>
      <c r="K31" s="26">
        <v>120.3</v>
      </c>
      <c r="L31" s="26">
        <v>109.1</v>
      </c>
      <c r="M31" s="26">
        <v>139.4</v>
      </c>
      <c r="N31" s="26">
        <v>133.30000000000001</v>
      </c>
      <c r="O31" s="26">
        <v>154.6</v>
      </c>
      <c r="P31" s="26">
        <v>137.4</v>
      </c>
      <c r="Q31" s="26">
        <v>163.19999999999999</v>
      </c>
      <c r="R31" s="26">
        <v>147.6</v>
      </c>
      <c r="S31" s="26">
        <v>139</v>
      </c>
      <c r="T31" s="26">
        <v>146.4</v>
      </c>
      <c r="U31" s="26">
        <v>147.69999999999999</v>
      </c>
      <c r="V31" s="26">
        <v>139.5</v>
      </c>
      <c r="W31" s="26">
        <v>143.6</v>
      </c>
      <c r="X31" s="26">
        <v>145.1</v>
      </c>
      <c r="Y31" s="26">
        <v>123.3</v>
      </c>
      <c r="Z31" s="26">
        <v>136.69999999999999</v>
      </c>
      <c r="AA31" s="26">
        <v>150.19999999999999</v>
      </c>
      <c r="AB31" s="26">
        <v>132.80000000000001</v>
      </c>
      <c r="AC31" s="26">
        <v>136.9</v>
      </c>
      <c r="AD31" s="26">
        <v>139.6</v>
      </c>
      <c r="AE31" s="26">
        <v>1753.3999999999999</v>
      </c>
      <c r="AF31" s="26">
        <v>433</v>
      </c>
      <c r="AG31" s="27">
        <f t="shared" si="0"/>
        <v>554.09999999999991</v>
      </c>
    </row>
    <row r="32" spans="1:33" x14ac:dyDescent="0.3">
      <c r="A32" s="31" t="s">
        <v>30</v>
      </c>
      <c r="B32" s="28">
        <v>2019</v>
      </c>
      <c r="C32" s="28" t="s">
        <v>34</v>
      </c>
      <c r="D32" s="28">
        <v>136.80000000000001</v>
      </c>
      <c r="E32" s="28">
        <v>153</v>
      </c>
      <c r="F32" s="28">
        <v>139.1</v>
      </c>
      <c r="G32" s="28">
        <v>142.5</v>
      </c>
      <c r="H32" s="28">
        <v>124.1</v>
      </c>
      <c r="I32" s="28">
        <v>135.80000000000001</v>
      </c>
      <c r="J32" s="28">
        <v>128.69999999999999</v>
      </c>
      <c r="K32" s="28">
        <v>121.5</v>
      </c>
      <c r="L32" s="28">
        <v>108.3</v>
      </c>
      <c r="M32" s="28">
        <v>139.19999999999999</v>
      </c>
      <c r="N32" s="28">
        <v>137.4</v>
      </c>
      <c r="O32" s="28">
        <v>156.19999999999999</v>
      </c>
      <c r="P32" s="28">
        <v>137.19999999999999</v>
      </c>
      <c r="Q32" s="28">
        <v>162.80000000000001</v>
      </c>
      <c r="R32" s="28">
        <v>150.5</v>
      </c>
      <c r="S32" s="28">
        <v>146.1</v>
      </c>
      <c r="T32" s="28">
        <v>149.9</v>
      </c>
      <c r="U32" s="28" t="s">
        <v>89</v>
      </c>
      <c r="V32" s="28">
        <v>145.30000000000001</v>
      </c>
      <c r="W32" s="28">
        <v>150.1</v>
      </c>
      <c r="X32" s="28">
        <v>149.9</v>
      </c>
      <c r="Y32" s="28">
        <v>129.19999999999999</v>
      </c>
      <c r="Z32" s="28">
        <v>143.4</v>
      </c>
      <c r="AA32" s="28">
        <v>155.5</v>
      </c>
      <c r="AB32" s="28">
        <v>134.9</v>
      </c>
      <c r="AC32" s="28">
        <v>142.19999999999999</v>
      </c>
      <c r="AD32" s="28">
        <v>141</v>
      </c>
      <c r="AE32" s="28">
        <v>1759.8000000000002</v>
      </c>
      <c r="AF32" s="28">
        <v>446.5</v>
      </c>
      <c r="AG32" s="29">
        <f t="shared" si="0"/>
        <v>424.59999999999997</v>
      </c>
    </row>
    <row r="33" spans="1:33" x14ac:dyDescent="0.3">
      <c r="A33" s="30" t="s">
        <v>32</v>
      </c>
      <c r="B33" s="26">
        <v>2019</v>
      </c>
      <c r="C33" s="26" t="s">
        <v>34</v>
      </c>
      <c r="D33" s="26">
        <v>139.4</v>
      </c>
      <c r="E33" s="26">
        <v>150.1</v>
      </c>
      <c r="F33" s="26">
        <v>145.30000000000001</v>
      </c>
      <c r="G33" s="26">
        <v>141.69999999999999</v>
      </c>
      <c r="H33" s="26">
        <v>118.4</v>
      </c>
      <c r="I33" s="26">
        <v>137</v>
      </c>
      <c r="J33" s="26">
        <v>131.6</v>
      </c>
      <c r="K33" s="26">
        <v>119.9</v>
      </c>
      <c r="L33" s="26">
        <v>110.4</v>
      </c>
      <c r="M33" s="26">
        <v>140.80000000000001</v>
      </c>
      <c r="N33" s="26">
        <v>128.30000000000001</v>
      </c>
      <c r="O33" s="26">
        <v>153.5</v>
      </c>
      <c r="P33" s="26">
        <v>138</v>
      </c>
      <c r="Q33" s="26">
        <v>164.9</v>
      </c>
      <c r="R33" s="26">
        <v>143.30000000000001</v>
      </c>
      <c r="S33" s="26">
        <v>130.80000000000001</v>
      </c>
      <c r="T33" s="26">
        <v>141.4</v>
      </c>
      <c r="U33" s="26">
        <v>148.5</v>
      </c>
      <c r="V33" s="26">
        <v>127.1</v>
      </c>
      <c r="W33" s="26">
        <v>136.6</v>
      </c>
      <c r="X33" s="26">
        <v>138.5</v>
      </c>
      <c r="Y33" s="26">
        <v>119.2</v>
      </c>
      <c r="Z33" s="26">
        <v>132.19999999999999</v>
      </c>
      <c r="AA33" s="26">
        <v>146.6</v>
      </c>
      <c r="AB33" s="26">
        <v>133</v>
      </c>
      <c r="AC33" s="26">
        <v>132.4</v>
      </c>
      <c r="AD33" s="26">
        <v>138.6</v>
      </c>
      <c r="AE33" s="26">
        <v>1754.4</v>
      </c>
      <c r="AF33" s="26">
        <v>415.5</v>
      </c>
      <c r="AG33" s="27">
        <f t="shared" si="0"/>
        <v>531.40000000000009</v>
      </c>
    </row>
    <row r="34" spans="1:33" x14ac:dyDescent="0.3">
      <c r="A34" s="31" t="s">
        <v>33</v>
      </c>
      <c r="B34" s="28">
        <v>2019</v>
      </c>
      <c r="C34" s="28" t="s">
        <v>34</v>
      </c>
      <c r="D34" s="28">
        <v>137.6</v>
      </c>
      <c r="E34" s="28">
        <v>152</v>
      </c>
      <c r="F34" s="28">
        <v>141.5</v>
      </c>
      <c r="G34" s="28">
        <v>142.19999999999999</v>
      </c>
      <c r="H34" s="28">
        <v>122</v>
      </c>
      <c r="I34" s="28">
        <v>136.4</v>
      </c>
      <c r="J34" s="28">
        <v>129.69999999999999</v>
      </c>
      <c r="K34" s="28">
        <v>121</v>
      </c>
      <c r="L34" s="28">
        <v>109</v>
      </c>
      <c r="M34" s="28">
        <v>139.69999999999999</v>
      </c>
      <c r="N34" s="28">
        <v>133.6</v>
      </c>
      <c r="O34" s="28">
        <v>154.9</v>
      </c>
      <c r="P34" s="28">
        <v>137.5</v>
      </c>
      <c r="Q34" s="28">
        <v>163.4</v>
      </c>
      <c r="R34" s="28">
        <v>147.69999999999999</v>
      </c>
      <c r="S34" s="28">
        <v>139.69999999999999</v>
      </c>
      <c r="T34" s="28">
        <v>146.5</v>
      </c>
      <c r="U34" s="28">
        <v>148.5</v>
      </c>
      <c r="V34" s="28">
        <v>138.4</v>
      </c>
      <c r="W34" s="28">
        <v>143.69999999999999</v>
      </c>
      <c r="X34" s="28">
        <v>145.6</v>
      </c>
      <c r="Y34" s="28">
        <v>123.9</v>
      </c>
      <c r="Z34" s="28">
        <v>137.1</v>
      </c>
      <c r="AA34" s="28">
        <v>150.30000000000001</v>
      </c>
      <c r="AB34" s="28">
        <v>134.1</v>
      </c>
      <c r="AC34" s="28">
        <v>137.4</v>
      </c>
      <c r="AD34" s="28">
        <v>139.9</v>
      </c>
      <c r="AE34" s="28">
        <v>1757.1</v>
      </c>
      <c r="AF34" s="28">
        <v>433.9</v>
      </c>
      <c r="AG34" s="29">
        <f t="shared" si="0"/>
        <v>554.5</v>
      </c>
    </row>
    <row r="35" spans="1:33" x14ac:dyDescent="0.3">
      <c r="A35" s="30" t="s">
        <v>30</v>
      </c>
      <c r="B35" s="26">
        <v>2019</v>
      </c>
      <c r="C35" s="26" t="s">
        <v>35</v>
      </c>
      <c r="D35" s="26">
        <v>136.9</v>
      </c>
      <c r="E35" s="26">
        <v>154.1</v>
      </c>
      <c r="F35" s="26">
        <v>138.69999999999999</v>
      </c>
      <c r="G35" s="26">
        <v>142.5</v>
      </c>
      <c r="H35" s="26">
        <v>124.1</v>
      </c>
      <c r="I35" s="26">
        <v>136.1</v>
      </c>
      <c r="J35" s="26">
        <v>128.19999999999999</v>
      </c>
      <c r="K35" s="26">
        <v>122.3</v>
      </c>
      <c r="L35" s="26">
        <v>108.3</v>
      </c>
      <c r="M35" s="26">
        <v>138.9</v>
      </c>
      <c r="N35" s="26">
        <v>137.4</v>
      </c>
      <c r="O35" s="26">
        <v>156.4</v>
      </c>
      <c r="P35" s="26">
        <v>137.30000000000001</v>
      </c>
      <c r="Q35" s="26">
        <v>162.9</v>
      </c>
      <c r="R35" s="26">
        <v>150.80000000000001</v>
      </c>
      <c r="S35" s="26">
        <v>146.1</v>
      </c>
      <c r="T35" s="26">
        <v>150.1</v>
      </c>
      <c r="U35" s="26" t="s">
        <v>89</v>
      </c>
      <c r="V35" s="26">
        <v>146.4</v>
      </c>
      <c r="W35" s="26">
        <v>150</v>
      </c>
      <c r="X35" s="26">
        <v>150.4</v>
      </c>
      <c r="Y35" s="26">
        <v>129.9</v>
      </c>
      <c r="Z35" s="26">
        <v>143.80000000000001</v>
      </c>
      <c r="AA35" s="26">
        <v>155.5</v>
      </c>
      <c r="AB35" s="26">
        <v>134</v>
      </c>
      <c r="AC35" s="26">
        <v>142.4</v>
      </c>
      <c r="AD35" s="26">
        <v>141.19999999999999</v>
      </c>
      <c r="AE35" s="26">
        <v>1761.2000000000003</v>
      </c>
      <c r="AF35" s="26">
        <v>447</v>
      </c>
      <c r="AG35" s="27">
        <f t="shared" si="0"/>
        <v>426.29999999999995</v>
      </c>
    </row>
    <row r="36" spans="1:33" x14ac:dyDescent="0.3">
      <c r="A36" s="31" t="s">
        <v>32</v>
      </c>
      <c r="B36" s="28">
        <v>2019</v>
      </c>
      <c r="C36" s="28" t="s">
        <v>35</v>
      </c>
      <c r="D36" s="28">
        <v>139.69999999999999</v>
      </c>
      <c r="E36" s="28">
        <v>151.1</v>
      </c>
      <c r="F36" s="28">
        <v>142.9</v>
      </c>
      <c r="G36" s="28">
        <v>141.9</v>
      </c>
      <c r="H36" s="28">
        <v>118.4</v>
      </c>
      <c r="I36" s="28">
        <v>139.4</v>
      </c>
      <c r="J36" s="28">
        <v>141.19999999999999</v>
      </c>
      <c r="K36" s="28">
        <v>120.7</v>
      </c>
      <c r="L36" s="28">
        <v>110.4</v>
      </c>
      <c r="M36" s="28">
        <v>140.69999999999999</v>
      </c>
      <c r="N36" s="28">
        <v>128.5</v>
      </c>
      <c r="O36" s="28">
        <v>153.9</v>
      </c>
      <c r="P36" s="28">
        <v>139.6</v>
      </c>
      <c r="Q36" s="28">
        <v>165.3</v>
      </c>
      <c r="R36" s="28">
        <v>143.5</v>
      </c>
      <c r="S36" s="28">
        <v>131.19999999999999</v>
      </c>
      <c r="T36" s="28">
        <v>141.6</v>
      </c>
      <c r="U36" s="28">
        <v>149</v>
      </c>
      <c r="V36" s="28">
        <v>128.80000000000001</v>
      </c>
      <c r="W36" s="28">
        <v>136.80000000000001</v>
      </c>
      <c r="X36" s="28">
        <v>139.19999999999999</v>
      </c>
      <c r="Y36" s="28">
        <v>119.9</v>
      </c>
      <c r="Z36" s="28">
        <v>133</v>
      </c>
      <c r="AA36" s="28">
        <v>146.69999999999999</v>
      </c>
      <c r="AB36" s="28">
        <v>132.5</v>
      </c>
      <c r="AC36" s="28">
        <v>132.80000000000001</v>
      </c>
      <c r="AD36" s="28">
        <v>139.5</v>
      </c>
      <c r="AE36" s="28">
        <v>1768.4</v>
      </c>
      <c r="AF36" s="28">
        <v>416.29999999999995</v>
      </c>
      <c r="AG36" s="29">
        <f t="shared" si="0"/>
        <v>534.5</v>
      </c>
    </row>
    <row r="37" spans="1:33" x14ac:dyDescent="0.3">
      <c r="A37" s="30" t="s">
        <v>33</v>
      </c>
      <c r="B37" s="26">
        <v>2019</v>
      </c>
      <c r="C37" s="26" t="s">
        <v>35</v>
      </c>
      <c r="D37" s="26">
        <v>137.80000000000001</v>
      </c>
      <c r="E37" s="26">
        <v>153</v>
      </c>
      <c r="F37" s="26">
        <v>140.30000000000001</v>
      </c>
      <c r="G37" s="26">
        <v>142.30000000000001</v>
      </c>
      <c r="H37" s="26">
        <v>122</v>
      </c>
      <c r="I37" s="26">
        <v>137.6</v>
      </c>
      <c r="J37" s="26">
        <v>132.6</v>
      </c>
      <c r="K37" s="26">
        <v>121.8</v>
      </c>
      <c r="L37" s="26">
        <v>109</v>
      </c>
      <c r="M37" s="26">
        <v>139.5</v>
      </c>
      <c r="N37" s="26">
        <v>133.69999999999999</v>
      </c>
      <c r="O37" s="26">
        <v>155.19999999999999</v>
      </c>
      <c r="P37" s="26">
        <v>138.1</v>
      </c>
      <c r="Q37" s="26">
        <v>163.5</v>
      </c>
      <c r="R37" s="26">
        <v>147.9</v>
      </c>
      <c r="S37" s="26">
        <v>139.9</v>
      </c>
      <c r="T37" s="26">
        <v>146.69999999999999</v>
      </c>
      <c r="U37" s="26">
        <v>149</v>
      </c>
      <c r="V37" s="26">
        <v>139.69999999999999</v>
      </c>
      <c r="W37" s="26">
        <v>143.80000000000001</v>
      </c>
      <c r="X37" s="26">
        <v>146.19999999999999</v>
      </c>
      <c r="Y37" s="26">
        <v>124.6</v>
      </c>
      <c r="Z37" s="26">
        <v>137.69999999999999</v>
      </c>
      <c r="AA37" s="26">
        <v>150.30000000000001</v>
      </c>
      <c r="AB37" s="26">
        <v>133.4</v>
      </c>
      <c r="AC37" s="26">
        <v>137.69999999999999</v>
      </c>
      <c r="AD37" s="26">
        <v>140.4</v>
      </c>
      <c r="AE37" s="26">
        <v>1762.9</v>
      </c>
      <c r="AF37" s="26">
        <v>434.5</v>
      </c>
      <c r="AG37" s="27">
        <f t="shared" si="0"/>
        <v>557.1</v>
      </c>
    </row>
    <row r="38" spans="1:33" x14ac:dyDescent="0.3">
      <c r="A38" s="31" t="s">
        <v>30</v>
      </c>
      <c r="B38" s="28">
        <v>2019</v>
      </c>
      <c r="C38" s="28" t="s">
        <v>37</v>
      </c>
      <c r="D38" s="28">
        <v>137.4</v>
      </c>
      <c r="E38" s="28">
        <v>159.5</v>
      </c>
      <c r="F38" s="28">
        <v>134.5</v>
      </c>
      <c r="G38" s="28">
        <v>142.6</v>
      </c>
      <c r="H38" s="28">
        <v>124</v>
      </c>
      <c r="I38" s="28">
        <v>143.69999999999999</v>
      </c>
      <c r="J38" s="28">
        <v>133.4</v>
      </c>
      <c r="K38" s="28">
        <v>125.1</v>
      </c>
      <c r="L38" s="28">
        <v>109.3</v>
      </c>
      <c r="M38" s="28">
        <v>139.30000000000001</v>
      </c>
      <c r="N38" s="28">
        <v>137.69999999999999</v>
      </c>
      <c r="O38" s="28">
        <v>156.4</v>
      </c>
      <c r="P38" s="28">
        <v>139.19999999999999</v>
      </c>
      <c r="Q38" s="28">
        <v>163.30000000000001</v>
      </c>
      <c r="R38" s="28">
        <v>151.30000000000001</v>
      </c>
      <c r="S38" s="28">
        <v>146.6</v>
      </c>
      <c r="T38" s="28">
        <v>150.69999999999999</v>
      </c>
      <c r="U38" s="28" t="s">
        <v>89</v>
      </c>
      <c r="V38" s="28">
        <v>146.9</v>
      </c>
      <c r="W38" s="28">
        <v>149.5</v>
      </c>
      <c r="X38" s="28">
        <v>151.30000000000001</v>
      </c>
      <c r="Y38" s="28">
        <v>130.19999999999999</v>
      </c>
      <c r="Z38" s="28">
        <v>145.9</v>
      </c>
      <c r="AA38" s="28">
        <v>156.69999999999999</v>
      </c>
      <c r="AB38" s="28">
        <v>133.9</v>
      </c>
      <c r="AC38" s="28">
        <v>142.9</v>
      </c>
      <c r="AD38" s="28">
        <v>142.4</v>
      </c>
      <c r="AE38" s="28">
        <v>1782.1000000000001</v>
      </c>
      <c r="AF38" s="28">
        <v>448.59999999999997</v>
      </c>
      <c r="AG38" s="29">
        <f t="shared" si="0"/>
        <v>426.59999999999997</v>
      </c>
    </row>
    <row r="39" spans="1:33" x14ac:dyDescent="0.3">
      <c r="A39" s="30" t="s">
        <v>32</v>
      </c>
      <c r="B39" s="26">
        <v>2019</v>
      </c>
      <c r="C39" s="26" t="s">
        <v>37</v>
      </c>
      <c r="D39" s="26">
        <v>140.4</v>
      </c>
      <c r="E39" s="26">
        <v>156.69999999999999</v>
      </c>
      <c r="F39" s="26">
        <v>138.30000000000001</v>
      </c>
      <c r="G39" s="26">
        <v>142.4</v>
      </c>
      <c r="H39" s="26">
        <v>118.6</v>
      </c>
      <c r="I39" s="26">
        <v>149.69999999999999</v>
      </c>
      <c r="J39" s="26">
        <v>161.6</v>
      </c>
      <c r="K39" s="26">
        <v>124.4</v>
      </c>
      <c r="L39" s="26">
        <v>111.2</v>
      </c>
      <c r="M39" s="26">
        <v>141</v>
      </c>
      <c r="N39" s="26">
        <v>128.9</v>
      </c>
      <c r="O39" s="26">
        <v>154.5</v>
      </c>
      <c r="P39" s="26">
        <v>143.80000000000001</v>
      </c>
      <c r="Q39" s="26">
        <v>166.2</v>
      </c>
      <c r="R39" s="26">
        <v>144</v>
      </c>
      <c r="S39" s="26">
        <v>131.69999999999999</v>
      </c>
      <c r="T39" s="26">
        <v>142.19999999999999</v>
      </c>
      <c r="U39" s="26">
        <v>150.1</v>
      </c>
      <c r="V39" s="26">
        <v>129.4</v>
      </c>
      <c r="W39" s="26">
        <v>137.19999999999999</v>
      </c>
      <c r="X39" s="26">
        <v>139.80000000000001</v>
      </c>
      <c r="Y39" s="26">
        <v>120.1</v>
      </c>
      <c r="Z39" s="26">
        <v>134</v>
      </c>
      <c r="AA39" s="26">
        <v>148</v>
      </c>
      <c r="AB39" s="26">
        <v>132.6</v>
      </c>
      <c r="AC39" s="26">
        <v>133.30000000000001</v>
      </c>
      <c r="AD39" s="26">
        <v>141.5</v>
      </c>
      <c r="AE39" s="26">
        <v>1811.5000000000002</v>
      </c>
      <c r="AF39" s="26">
        <v>417.9</v>
      </c>
      <c r="AG39" s="27">
        <f t="shared" si="0"/>
        <v>536.79999999999995</v>
      </c>
    </row>
    <row r="40" spans="1:33" x14ac:dyDescent="0.3">
      <c r="A40" s="31" t="s">
        <v>33</v>
      </c>
      <c r="B40" s="28">
        <v>2019</v>
      </c>
      <c r="C40" s="28" t="s">
        <v>37</v>
      </c>
      <c r="D40" s="28">
        <v>138.30000000000001</v>
      </c>
      <c r="E40" s="28">
        <v>158.5</v>
      </c>
      <c r="F40" s="28">
        <v>136</v>
      </c>
      <c r="G40" s="28">
        <v>142.5</v>
      </c>
      <c r="H40" s="28">
        <v>122</v>
      </c>
      <c r="I40" s="28">
        <v>146.5</v>
      </c>
      <c r="J40" s="28">
        <v>143</v>
      </c>
      <c r="K40" s="28">
        <v>124.9</v>
      </c>
      <c r="L40" s="28">
        <v>109.9</v>
      </c>
      <c r="M40" s="28">
        <v>139.9</v>
      </c>
      <c r="N40" s="28">
        <v>134</v>
      </c>
      <c r="O40" s="28">
        <v>155.5</v>
      </c>
      <c r="P40" s="28">
        <v>140.9</v>
      </c>
      <c r="Q40" s="28">
        <v>164.1</v>
      </c>
      <c r="R40" s="28">
        <v>148.4</v>
      </c>
      <c r="S40" s="28">
        <v>140.4</v>
      </c>
      <c r="T40" s="28">
        <v>147.30000000000001</v>
      </c>
      <c r="U40" s="28">
        <v>150.1</v>
      </c>
      <c r="V40" s="28">
        <v>140.30000000000001</v>
      </c>
      <c r="W40" s="28">
        <v>143.69999999999999</v>
      </c>
      <c r="X40" s="28">
        <v>146.9</v>
      </c>
      <c r="Y40" s="28">
        <v>124.9</v>
      </c>
      <c r="Z40" s="28">
        <v>139.19999999999999</v>
      </c>
      <c r="AA40" s="28">
        <v>151.6</v>
      </c>
      <c r="AB40" s="28">
        <v>133.4</v>
      </c>
      <c r="AC40" s="28">
        <v>138.19999999999999</v>
      </c>
      <c r="AD40" s="28">
        <v>142</v>
      </c>
      <c r="AE40" s="28">
        <v>1791.9000000000003</v>
      </c>
      <c r="AF40" s="28">
        <v>436.1</v>
      </c>
      <c r="AG40" s="29">
        <f t="shared" si="0"/>
        <v>559</v>
      </c>
    </row>
    <row r="41" spans="1:33" x14ac:dyDescent="0.3">
      <c r="A41" s="30" t="s">
        <v>30</v>
      </c>
      <c r="B41" s="26">
        <v>2019</v>
      </c>
      <c r="C41" s="26" t="s">
        <v>38</v>
      </c>
      <c r="D41" s="26">
        <v>137.80000000000001</v>
      </c>
      <c r="E41" s="26">
        <v>163.5</v>
      </c>
      <c r="F41" s="26">
        <v>136.19999999999999</v>
      </c>
      <c r="G41" s="26">
        <v>143.19999999999999</v>
      </c>
      <c r="H41" s="26">
        <v>124.3</v>
      </c>
      <c r="I41" s="26">
        <v>143.30000000000001</v>
      </c>
      <c r="J41" s="26">
        <v>140.6</v>
      </c>
      <c r="K41" s="26">
        <v>128.69999999999999</v>
      </c>
      <c r="L41" s="26">
        <v>110.6</v>
      </c>
      <c r="M41" s="26">
        <v>140.4</v>
      </c>
      <c r="N41" s="26">
        <v>138</v>
      </c>
      <c r="O41" s="26">
        <v>156.6</v>
      </c>
      <c r="P41" s="26">
        <v>141</v>
      </c>
      <c r="Q41" s="26">
        <v>164.2</v>
      </c>
      <c r="R41" s="26">
        <v>151.4</v>
      </c>
      <c r="S41" s="26">
        <v>146.5</v>
      </c>
      <c r="T41" s="26">
        <v>150.69999999999999</v>
      </c>
      <c r="U41" s="26" t="s">
        <v>89</v>
      </c>
      <c r="V41" s="26">
        <v>147.80000000000001</v>
      </c>
      <c r="W41" s="26">
        <v>149.6</v>
      </c>
      <c r="X41" s="26">
        <v>151.69999999999999</v>
      </c>
      <c r="Y41" s="26">
        <v>130.19999999999999</v>
      </c>
      <c r="Z41" s="26">
        <v>146.4</v>
      </c>
      <c r="AA41" s="26">
        <v>157.69999999999999</v>
      </c>
      <c r="AB41" s="26">
        <v>134.80000000000001</v>
      </c>
      <c r="AC41" s="26">
        <v>143.30000000000001</v>
      </c>
      <c r="AD41" s="26">
        <v>143.6</v>
      </c>
      <c r="AE41" s="26">
        <v>1804.1999999999998</v>
      </c>
      <c r="AF41" s="26">
        <v>448.59999999999997</v>
      </c>
      <c r="AG41" s="27">
        <f t="shared" si="0"/>
        <v>427.59999999999997</v>
      </c>
    </row>
    <row r="42" spans="1:33" x14ac:dyDescent="0.3">
      <c r="A42" s="31" t="s">
        <v>32</v>
      </c>
      <c r="B42" s="28">
        <v>2019</v>
      </c>
      <c r="C42" s="28" t="s">
        <v>38</v>
      </c>
      <c r="D42" s="28">
        <v>140.69999999999999</v>
      </c>
      <c r="E42" s="28">
        <v>159.6</v>
      </c>
      <c r="F42" s="28">
        <v>140.4</v>
      </c>
      <c r="G42" s="28">
        <v>143.4</v>
      </c>
      <c r="H42" s="28">
        <v>118.6</v>
      </c>
      <c r="I42" s="28">
        <v>150.9</v>
      </c>
      <c r="J42" s="28">
        <v>169.8</v>
      </c>
      <c r="K42" s="28">
        <v>127.4</v>
      </c>
      <c r="L42" s="28">
        <v>111.8</v>
      </c>
      <c r="M42" s="28">
        <v>141</v>
      </c>
      <c r="N42" s="28">
        <v>129</v>
      </c>
      <c r="O42" s="28">
        <v>155.1</v>
      </c>
      <c r="P42" s="28">
        <v>145.6</v>
      </c>
      <c r="Q42" s="28">
        <v>166.7</v>
      </c>
      <c r="R42" s="28">
        <v>144.30000000000001</v>
      </c>
      <c r="S42" s="28">
        <v>131.69999999999999</v>
      </c>
      <c r="T42" s="28">
        <v>142.4</v>
      </c>
      <c r="U42" s="28">
        <v>149.4</v>
      </c>
      <c r="V42" s="28">
        <v>130.5</v>
      </c>
      <c r="W42" s="28">
        <v>137.4</v>
      </c>
      <c r="X42" s="28">
        <v>140.30000000000001</v>
      </c>
      <c r="Y42" s="28">
        <v>119.6</v>
      </c>
      <c r="Z42" s="28">
        <v>134.30000000000001</v>
      </c>
      <c r="AA42" s="28">
        <v>148.9</v>
      </c>
      <c r="AB42" s="28">
        <v>133.69999999999999</v>
      </c>
      <c r="AC42" s="28">
        <v>133.6</v>
      </c>
      <c r="AD42" s="28">
        <v>142.1</v>
      </c>
      <c r="AE42" s="28">
        <v>1833.2999999999997</v>
      </c>
      <c r="AF42" s="28">
        <v>418.4</v>
      </c>
      <c r="AG42" s="29">
        <f t="shared" si="0"/>
        <v>536.9</v>
      </c>
    </row>
    <row r="43" spans="1:33" x14ac:dyDescent="0.3">
      <c r="A43" s="30" t="s">
        <v>33</v>
      </c>
      <c r="B43" s="26">
        <v>2019</v>
      </c>
      <c r="C43" s="26" t="s">
        <v>38</v>
      </c>
      <c r="D43" s="26">
        <v>138.69999999999999</v>
      </c>
      <c r="E43" s="26">
        <v>162.1</v>
      </c>
      <c r="F43" s="26">
        <v>137.80000000000001</v>
      </c>
      <c r="G43" s="26">
        <v>143.30000000000001</v>
      </c>
      <c r="H43" s="26">
        <v>122.2</v>
      </c>
      <c r="I43" s="26">
        <v>146.80000000000001</v>
      </c>
      <c r="J43" s="26">
        <v>150.5</v>
      </c>
      <c r="K43" s="26">
        <v>128.30000000000001</v>
      </c>
      <c r="L43" s="26">
        <v>111</v>
      </c>
      <c r="M43" s="26">
        <v>140.6</v>
      </c>
      <c r="N43" s="26">
        <v>134.19999999999999</v>
      </c>
      <c r="O43" s="26">
        <v>155.9</v>
      </c>
      <c r="P43" s="26">
        <v>142.69999999999999</v>
      </c>
      <c r="Q43" s="26">
        <v>164.9</v>
      </c>
      <c r="R43" s="26">
        <v>148.6</v>
      </c>
      <c r="S43" s="26">
        <v>140.4</v>
      </c>
      <c r="T43" s="26">
        <v>147.4</v>
      </c>
      <c r="U43" s="26">
        <v>149.4</v>
      </c>
      <c r="V43" s="26">
        <v>141.19999999999999</v>
      </c>
      <c r="W43" s="26">
        <v>143.80000000000001</v>
      </c>
      <c r="X43" s="26">
        <v>147.4</v>
      </c>
      <c r="Y43" s="26">
        <v>124.6</v>
      </c>
      <c r="Z43" s="26">
        <v>139.6</v>
      </c>
      <c r="AA43" s="26">
        <v>152.5</v>
      </c>
      <c r="AB43" s="26">
        <v>134.30000000000001</v>
      </c>
      <c r="AC43" s="26">
        <v>138.6</v>
      </c>
      <c r="AD43" s="26">
        <v>142.9</v>
      </c>
      <c r="AE43" s="26">
        <v>1814.1000000000001</v>
      </c>
      <c r="AF43" s="26">
        <v>436.4</v>
      </c>
      <c r="AG43" s="27">
        <f t="shared" si="0"/>
        <v>559</v>
      </c>
    </row>
    <row r="44" spans="1:33" x14ac:dyDescent="0.3">
      <c r="A44" s="31" t="s">
        <v>30</v>
      </c>
      <c r="B44" s="28">
        <v>2019</v>
      </c>
      <c r="C44" s="28" t="s">
        <v>39</v>
      </c>
      <c r="D44" s="28">
        <v>138.4</v>
      </c>
      <c r="E44" s="28">
        <v>164</v>
      </c>
      <c r="F44" s="28">
        <v>138.4</v>
      </c>
      <c r="G44" s="28">
        <v>143.9</v>
      </c>
      <c r="H44" s="28">
        <v>124.4</v>
      </c>
      <c r="I44" s="28">
        <v>146.4</v>
      </c>
      <c r="J44" s="28">
        <v>150.1</v>
      </c>
      <c r="K44" s="28">
        <v>130.6</v>
      </c>
      <c r="L44" s="28">
        <v>110.8</v>
      </c>
      <c r="M44" s="28">
        <v>141.69999999999999</v>
      </c>
      <c r="N44" s="28">
        <v>138.5</v>
      </c>
      <c r="O44" s="28">
        <v>156.69999999999999</v>
      </c>
      <c r="P44" s="28">
        <v>143</v>
      </c>
      <c r="Q44" s="28">
        <v>164.5</v>
      </c>
      <c r="R44" s="28">
        <v>151.6</v>
      </c>
      <c r="S44" s="28">
        <v>146.6</v>
      </c>
      <c r="T44" s="28">
        <v>150.9</v>
      </c>
      <c r="U44" s="28" t="s">
        <v>89</v>
      </c>
      <c r="V44" s="28">
        <v>146.80000000000001</v>
      </c>
      <c r="W44" s="28">
        <v>150</v>
      </c>
      <c r="X44" s="28">
        <v>152.19999999999999</v>
      </c>
      <c r="Y44" s="28">
        <v>131.19999999999999</v>
      </c>
      <c r="Z44" s="28">
        <v>147.5</v>
      </c>
      <c r="AA44" s="28">
        <v>159.1</v>
      </c>
      <c r="AB44" s="28">
        <v>136.1</v>
      </c>
      <c r="AC44" s="28">
        <v>144.19999999999999</v>
      </c>
      <c r="AD44" s="28">
        <v>144.9</v>
      </c>
      <c r="AE44" s="28">
        <v>1826.8999999999999</v>
      </c>
      <c r="AF44" s="28">
        <v>449.1</v>
      </c>
      <c r="AG44" s="29">
        <f t="shared" si="0"/>
        <v>428</v>
      </c>
    </row>
    <row r="45" spans="1:33" x14ac:dyDescent="0.3">
      <c r="A45" s="30" t="s">
        <v>32</v>
      </c>
      <c r="B45" s="26">
        <v>2019</v>
      </c>
      <c r="C45" s="26" t="s">
        <v>39</v>
      </c>
      <c r="D45" s="26">
        <v>141.4</v>
      </c>
      <c r="E45" s="26">
        <v>160.19999999999999</v>
      </c>
      <c r="F45" s="26">
        <v>142.5</v>
      </c>
      <c r="G45" s="26">
        <v>144.1</v>
      </c>
      <c r="H45" s="26">
        <v>119.3</v>
      </c>
      <c r="I45" s="26">
        <v>154.69999999999999</v>
      </c>
      <c r="J45" s="26">
        <v>180.1</v>
      </c>
      <c r="K45" s="26">
        <v>128.9</v>
      </c>
      <c r="L45" s="26">
        <v>111.8</v>
      </c>
      <c r="M45" s="26">
        <v>141.6</v>
      </c>
      <c r="N45" s="26">
        <v>129.5</v>
      </c>
      <c r="O45" s="26">
        <v>155.6</v>
      </c>
      <c r="P45" s="26">
        <v>147.69999999999999</v>
      </c>
      <c r="Q45" s="26">
        <v>167.2</v>
      </c>
      <c r="R45" s="26">
        <v>144.69999999999999</v>
      </c>
      <c r="S45" s="26">
        <v>131.9</v>
      </c>
      <c r="T45" s="26">
        <v>142.69999999999999</v>
      </c>
      <c r="U45" s="26">
        <v>150.6</v>
      </c>
      <c r="V45" s="26">
        <v>127</v>
      </c>
      <c r="W45" s="26">
        <v>137.69999999999999</v>
      </c>
      <c r="X45" s="26">
        <v>140.80000000000001</v>
      </c>
      <c r="Y45" s="26">
        <v>120.6</v>
      </c>
      <c r="Z45" s="26">
        <v>135</v>
      </c>
      <c r="AA45" s="26">
        <v>150.4</v>
      </c>
      <c r="AB45" s="26">
        <v>135.1</v>
      </c>
      <c r="AC45" s="26">
        <v>134.5</v>
      </c>
      <c r="AD45" s="26">
        <v>143.30000000000001</v>
      </c>
      <c r="AE45" s="26">
        <v>1857.3999999999999</v>
      </c>
      <c r="AF45" s="26">
        <v>419.3</v>
      </c>
      <c r="AG45" s="27">
        <f t="shared" si="0"/>
        <v>535.9</v>
      </c>
    </row>
    <row r="46" spans="1:33" x14ac:dyDescent="0.3">
      <c r="A46" s="31" t="s">
        <v>33</v>
      </c>
      <c r="B46" s="28">
        <v>2019</v>
      </c>
      <c r="C46" s="28" t="s">
        <v>39</v>
      </c>
      <c r="D46" s="28">
        <v>139.30000000000001</v>
      </c>
      <c r="E46" s="28">
        <v>162.69999999999999</v>
      </c>
      <c r="F46" s="28">
        <v>140</v>
      </c>
      <c r="G46" s="28">
        <v>144</v>
      </c>
      <c r="H46" s="28">
        <v>122.5</v>
      </c>
      <c r="I46" s="28">
        <v>150.30000000000001</v>
      </c>
      <c r="J46" s="28">
        <v>160.30000000000001</v>
      </c>
      <c r="K46" s="28">
        <v>130</v>
      </c>
      <c r="L46" s="28">
        <v>111.1</v>
      </c>
      <c r="M46" s="28">
        <v>141.69999999999999</v>
      </c>
      <c r="N46" s="28">
        <v>134.69999999999999</v>
      </c>
      <c r="O46" s="28">
        <v>156.19999999999999</v>
      </c>
      <c r="P46" s="28">
        <v>144.69999999999999</v>
      </c>
      <c r="Q46" s="28">
        <v>165.2</v>
      </c>
      <c r="R46" s="28">
        <v>148.9</v>
      </c>
      <c r="S46" s="28">
        <v>140.5</v>
      </c>
      <c r="T46" s="28">
        <v>147.6</v>
      </c>
      <c r="U46" s="28">
        <v>150.6</v>
      </c>
      <c r="V46" s="28">
        <v>139.30000000000001</v>
      </c>
      <c r="W46" s="28">
        <v>144.19999999999999</v>
      </c>
      <c r="X46" s="28">
        <v>147.9</v>
      </c>
      <c r="Y46" s="28">
        <v>125.6</v>
      </c>
      <c r="Z46" s="28">
        <v>140.5</v>
      </c>
      <c r="AA46" s="28">
        <v>154</v>
      </c>
      <c r="AB46" s="28">
        <v>135.69999999999999</v>
      </c>
      <c r="AC46" s="28">
        <v>139.5</v>
      </c>
      <c r="AD46" s="28">
        <v>144.19999999999999</v>
      </c>
      <c r="AE46" s="28">
        <v>1837.5</v>
      </c>
      <c r="AF46" s="28">
        <v>437</v>
      </c>
      <c r="AG46" s="29">
        <f t="shared" si="0"/>
        <v>559.69999999999993</v>
      </c>
    </row>
    <row r="47" spans="1:33" x14ac:dyDescent="0.3">
      <c r="A47" s="30" t="s">
        <v>30</v>
      </c>
      <c r="B47" s="26">
        <v>2019</v>
      </c>
      <c r="C47" s="26" t="s">
        <v>40</v>
      </c>
      <c r="D47" s="26">
        <v>139.19999999999999</v>
      </c>
      <c r="E47" s="26">
        <v>161.9</v>
      </c>
      <c r="F47" s="26">
        <v>137.1</v>
      </c>
      <c r="G47" s="26">
        <v>144.6</v>
      </c>
      <c r="H47" s="26">
        <v>124.7</v>
      </c>
      <c r="I47" s="26">
        <v>145.5</v>
      </c>
      <c r="J47" s="26">
        <v>156.19999999999999</v>
      </c>
      <c r="K47" s="26">
        <v>131.5</v>
      </c>
      <c r="L47" s="26">
        <v>111.7</v>
      </c>
      <c r="M47" s="26">
        <v>142.69999999999999</v>
      </c>
      <c r="N47" s="26">
        <v>138.5</v>
      </c>
      <c r="O47" s="26">
        <v>156.9</v>
      </c>
      <c r="P47" s="26">
        <v>144</v>
      </c>
      <c r="Q47" s="26">
        <v>165.1</v>
      </c>
      <c r="R47" s="26">
        <v>151.80000000000001</v>
      </c>
      <c r="S47" s="26">
        <v>146.6</v>
      </c>
      <c r="T47" s="26">
        <v>151.1</v>
      </c>
      <c r="U47" s="26" t="s">
        <v>89</v>
      </c>
      <c r="V47" s="26">
        <v>146.4</v>
      </c>
      <c r="W47" s="26">
        <v>150.19999999999999</v>
      </c>
      <c r="X47" s="26">
        <v>152.69999999999999</v>
      </c>
      <c r="Y47" s="26">
        <v>131.4</v>
      </c>
      <c r="Z47" s="26">
        <v>148</v>
      </c>
      <c r="AA47" s="26">
        <v>159.69999999999999</v>
      </c>
      <c r="AB47" s="26">
        <v>138.80000000000001</v>
      </c>
      <c r="AC47" s="26">
        <v>144.9</v>
      </c>
      <c r="AD47" s="26">
        <v>145.69999999999999</v>
      </c>
      <c r="AE47" s="26">
        <v>1834.5000000000002</v>
      </c>
      <c r="AF47" s="26">
        <v>449.5</v>
      </c>
      <c r="AG47" s="27">
        <f t="shared" si="0"/>
        <v>428</v>
      </c>
    </row>
    <row r="48" spans="1:33" x14ac:dyDescent="0.3">
      <c r="A48" s="31" t="s">
        <v>32</v>
      </c>
      <c r="B48" s="28">
        <v>2019</v>
      </c>
      <c r="C48" s="28" t="s">
        <v>40</v>
      </c>
      <c r="D48" s="28">
        <v>142.1</v>
      </c>
      <c r="E48" s="28">
        <v>158.30000000000001</v>
      </c>
      <c r="F48" s="28">
        <v>140.80000000000001</v>
      </c>
      <c r="G48" s="28">
        <v>144.9</v>
      </c>
      <c r="H48" s="28">
        <v>119.9</v>
      </c>
      <c r="I48" s="28">
        <v>153.9</v>
      </c>
      <c r="J48" s="28">
        <v>189.1</v>
      </c>
      <c r="K48" s="28">
        <v>129.80000000000001</v>
      </c>
      <c r="L48" s="28">
        <v>112.7</v>
      </c>
      <c r="M48" s="28">
        <v>142.5</v>
      </c>
      <c r="N48" s="28">
        <v>129.80000000000001</v>
      </c>
      <c r="O48" s="28">
        <v>156.19999999999999</v>
      </c>
      <c r="P48" s="28">
        <v>149.1</v>
      </c>
      <c r="Q48" s="28">
        <v>167.9</v>
      </c>
      <c r="R48" s="28">
        <v>145</v>
      </c>
      <c r="S48" s="28">
        <v>132.19999999999999</v>
      </c>
      <c r="T48" s="28">
        <v>143</v>
      </c>
      <c r="U48" s="28">
        <v>151.6</v>
      </c>
      <c r="V48" s="28">
        <v>125.5</v>
      </c>
      <c r="W48" s="28">
        <v>138.1</v>
      </c>
      <c r="X48" s="28">
        <v>141.5</v>
      </c>
      <c r="Y48" s="28">
        <v>120.8</v>
      </c>
      <c r="Z48" s="28">
        <v>135.4</v>
      </c>
      <c r="AA48" s="28">
        <v>151.5</v>
      </c>
      <c r="AB48" s="28">
        <v>137.80000000000001</v>
      </c>
      <c r="AC48" s="28">
        <v>135.30000000000001</v>
      </c>
      <c r="AD48" s="28">
        <v>144.19999999999999</v>
      </c>
      <c r="AE48" s="28">
        <v>1869.1</v>
      </c>
      <c r="AF48" s="28">
        <v>420.2</v>
      </c>
      <c r="AG48" s="29">
        <f t="shared" si="0"/>
        <v>536</v>
      </c>
    </row>
    <row r="49" spans="1:33" x14ac:dyDescent="0.3">
      <c r="A49" s="30" t="s">
        <v>33</v>
      </c>
      <c r="B49" s="26">
        <v>2019</v>
      </c>
      <c r="C49" s="26" t="s">
        <v>40</v>
      </c>
      <c r="D49" s="26">
        <v>140.1</v>
      </c>
      <c r="E49" s="26">
        <v>160.6</v>
      </c>
      <c r="F49" s="26">
        <v>138.5</v>
      </c>
      <c r="G49" s="26">
        <v>144.69999999999999</v>
      </c>
      <c r="H49" s="26">
        <v>122.9</v>
      </c>
      <c r="I49" s="26">
        <v>149.4</v>
      </c>
      <c r="J49" s="26">
        <v>167.4</v>
      </c>
      <c r="K49" s="26">
        <v>130.9</v>
      </c>
      <c r="L49" s="26">
        <v>112</v>
      </c>
      <c r="M49" s="26">
        <v>142.6</v>
      </c>
      <c r="N49" s="26">
        <v>134.9</v>
      </c>
      <c r="O49" s="26">
        <v>156.6</v>
      </c>
      <c r="P49" s="26">
        <v>145.9</v>
      </c>
      <c r="Q49" s="26">
        <v>165.8</v>
      </c>
      <c r="R49" s="26">
        <v>149.1</v>
      </c>
      <c r="S49" s="26">
        <v>140.6</v>
      </c>
      <c r="T49" s="26">
        <v>147.9</v>
      </c>
      <c r="U49" s="26">
        <v>151.6</v>
      </c>
      <c r="V49" s="26">
        <v>138.5</v>
      </c>
      <c r="W49" s="26">
        <v>144.5</v>
      </c>
      <c r="X49" s="26">
        <v>148.5</v>
      </c>
      <c r="Y49" s="26">
        <v>125.8</v>
      </c>
      <c r="Z49" s="26">
        <v>140.9</v>
      </c>
      <c r="AA49" s="26">
        <v>154.9</v>
      </c>
      <c r="AB49" s="26">
        <v>138.4</v>
      </c>
      <c r="AC49" s="26">
        <v>140.19999999999999</v>
      </c>
      <c r="AD49" s="26">
        <v>145</v>
      </c>
      <c r="AE49" s="26">
        <v>1846.5</v>
      </c>
      <c r="AF49" s="26">
        <v>437.6</v>
      </c>
      <c r="AG49" s="27">
        <f t="shared" si="0"/>
        <v>560.4</v>
      </c>
    </row>
    <row r="50" spans="1:33" x14ac:dyDescent="0.3">
      <c r="A50" s="31" t="s">
        <v>30</v>
      </c>
      <c r="B50" s="28">
        <v>2019</v>
      </c>
      <c r="C50" s="28" t="s">
        <v>41</v>
      </c>
      <c r="D50" s="28">
        <v>140.1</v>
      </c>
      <c r="E50" s="28">
        <v>161.9</v>
      </c>
      <c r="F50" s="28">
        <v>138.30000000000001</v>
      </c>
      <c r="G50" s="28">
        <v>145.69999999999999</v>
      </c>
      <c r="H50" s="28">
        <v>125.1</v>
      </c>
      <c r="I50" s="28">
        <v>143.80000000000001</v>
      </c>
      <c r="J50" s="28">
        <v>163.4</v>
      </c>
      <c r="K50" s="28">
        <v>132.19999999999999</v>
      </c>
      <c r="L50" s="28">
        <v>112.8</v>
      </c>
      <c r="M50" s="28">
        <v>144.19999999999999</v>
      </c>
      <c r="N50" s="28">
        <v>138.5</v>
      </c>
      <c r="O50" s="28">
        <v>157.19999999999999</v>
      </c>
      <c r="P50" s="28">
        <v>145.5</v>
      </c>
      <c r="Q50" s="28">
        <v>165.7</v>
      </c>
      <c r="R50" s="28">
        <v>151.69999999999999</v>
      </c>
      <c r="S50" s="28">
        <v>146.6</v>
      </c>
      <c r="T50" s="28">
        <v>151</v>
      </c>
      <c r="U50" s="28" t="s">
        <v>89</v>
      </c>
      <c r="V50" s="28">
        <v>146.9</v>
      </c>
      <c r="W50" s="28">
        <v>150.30000000000001</v>
      </c>
      <c r="X50" s="28">
        <v>153.4</v>
      </c>
      <c r="Y50" s="28">
        <v>131.6</v>
      </c>
      <c r="Z50" s="28">
        <v>148.30000000000001</v>
      </c>
      <c r="AA50" s="28">
        <v>160.19999999999999</v>
      </c>
      <c r="AB50" s="28">
        <v>140.19999999999999</v>
      </c>
      <c r="AC50" s="28">
        <v>145.4</v>
      </c>
      <c r="AD50" s="28">
        <v>146.69999999999999</v>
      </c>
      <c r="AE50" s="28">
        <v>1848.7</v>
      </c>
      <c r="AF50" s="28">
        <v>449.29999999999995</v>
      </c>
      <c r="AG50" s="29">
        <f t="shared" si="0"/>
        <v>428.80000000000007</v>
      </c>
    </row>
    <row r="51" spans="1:33" x14ac:dyDescent="0.3">
      <c r="A51" s="30" t="s">
        <v>32</v>
      </c>
      <c r="B51" s="26">
        <v>2019</v>
      </c>
      <c r="C51" s="26" t="s">
        <v>41</v>
      </c>
      <c r="D51" s="26">
        <v>142.69999999999999</v>
      </c>
      <c r="E51" s="26">
        <v>158.69999999999999</v>
      </c>
      <c r="F51" s="26">
        <v>141.6</v>
      </c>
      <c r="G51" s="26">
        <v>144.9</v>
      </c>
      <c r="H51" s="26">
        <v>120.8</v>
      </c>
      <c r="I51" s="26">
        <v>149.80000000000001</v>
      </c>
      <c r="J51" s="26">
        <v>192.4</v>
      </c>
      <c r="K51" s="26">
        <v>130.30000000000001</v>
      </c>
      <c r="L51" s="26">
        <v>114</v>
      </c>
      <c r="M51" s="26">
        <v>143.80000000000001</v>
      </c>
      <c r="N51" s="26">
        <v>130</v>
      </c>
      <c r="O51" s="26">
        <v>156.4</v>
      </c>
      <c r="P51" s="26">
        <v>149.5</v>
      </c>
      <c r="Q51" s="26">
        <v>168.6</v>
      </c>
      <c r="R51" s="26">
        <v>145.30000000000001</v>
      </c>
      <c r="S51" s="26">
        <v>132.19999999999999</v>
      </c>
      <c r="T51" s="26">
        <v>143.30000000000001</v>
      </c>
      <c r="U51" s="26">
        <v>152.19999999999999</v>
      </c>
      <c r="V51" s="26">
        <v>126.6</v>
      </c>
      <c r="W51" s="26">
        <v>138.30000000000001</v>
      </c>
      <c r="X51" s="26">
        <v>141.9</v>
      </c>
      <c r="Y51" s="26">
        <v>121.2</v>
      </c>
      <c r="Z51" s="26">
        <v>135.9</v>
      </c>
      <c r="AA51" s="26">
        <v>151.6</v>
      </c>
      <c r="AB51" s="26">
        <v>139</v>
      </c>
      <c r="AC51" s="26">
        <v>135.69999999999999</v>
      </c>
      <c r="AD51" s="26">
        <v>144.69999999999999</v>
      </c>
      <c r="AE51" s="26">
        <v>1874.9</v>
      </c>
      <c r="AF51" s="26">
        <v>420.8</v>
      </c>
      <c r="AG51" s="27">
        <f t="shared" si="0"/>
        <v>538.29999999999995</v>
      </c>
    </row>
    <row r="52" spans="1:33" x14ac:dyDescent="0.3">
      <c r="A52" s="31" t="s">
        <v>33</v>
      </c>
      <c r="B52" s="28">
        <v>2019</v>
      </c>
      <c r="C52" s="28" t="s">
        <v>41</v>
      </c>
      <c r="D52" s="28">
        <v>140.9</v>
      </c>
      <c r="E52" s="28">
        <v>160.80000000000001</v>
      </c>
      <c r="F52" s="28">
        <v>139.6</v>
      </c>
      <c r="G52" s="28">
        <v>145.4</v>
      </c>
      <c r="H52" s="28">
        <v>123.5</v>
      </c>
      <c r="I52" s="28">
        <v>146.6</v>
      </c>
      <c r="J52" s="28">
        <v>173.2</v>
      </c>
      <c r="K52" s="28">
        <v>131.6</v>
      </c>
      <c r="L52" s="28">
        <v>113.2</v>
      </c>
      <c r="M52" s="28">
        <v>144.1</v>
      </c>
      <c r="N52" s="28">
        <v>135</v>
      </c>
      <c r="O52" s="28">
        <v>156.80000000000001</v>
      </c>
      <c r="P52" s="28">
        <v>147</v>
      </c>
      <c r="Q52" s="28">
        <v>166.5</v>
      </c>
      <c r="R52" s="28">
        <v>149.19999999999999</v>
      </c>
      <c r="S52" s="28">
        <v>140.6</v>
      </c>
      <c r="T52" s="28">
        <v>147.9</v>
      </c>
      <c r="U52" s="28">
        <v>152.19999999999999</v>
      </c>
      <c r="V52" s="28">
        <v>139.19999999999999</v>
      </c>
      <c r="W52" s="28">
        <v>144.6</v>
      </c>
      <c r="X52" s="28">
        <v>149</v>
      </c>
      <c r="Y52" s="28">
        <v>126.1</v>
      </c>
      <c r="Z52" s="28">
        <v>141.30000000000001</v>
      </c>
      <c r="AA52" s="28">
        <v>155.19999999999999</v>
      </c>
      <c r="AB52" s="28">
        <v>139.69999999999999</v>
      </c>
      <c r="AC52" s="28">
        <v>140.69999999999999</v>
      </c>
      <c r="AD52" s="28">
        <v>145.80000000000001</v>
      </c>
      <c r="AE52" s="28">
        <v>1857.6999999999998</v>
      </c>
      <c r="AF52" s="28">
        <v>437.69999999999993</v>
      </c>
      <c r="AG52" s="29">
        <f t="shared" si="0"/>
        <v>562.1</v>
      </c>
    </row>
    <row r="53" spans="1:33" x14ac:dyDescent="0.3">
      <c r="A53" s="30" t="s">
        <v>30</v>
      </c>
      <c r="B53" s="26">
        <v>2019</v>
      </c>
      <c r="C53" s="26" t="s">
        <v>42</v>
      </c>
      <c r="D53" s="26">
        <v>141</v>
      </c>
      <c r="E53" s="26">
        <v>161.6</v>
      </c>
      <c r="F53" s="26">
        <v>141.19999999999999</v>
      </c>
      <c r="G53" s="26">
        <v>146.5</v>
      </c>
      <c r="H53" s="26">
        <v>125.6</v>
      </c>
      <c r="I53" s="26">
        <v>145.69999999999999</v>
      </c>
      <c r="J53" s="26">
        <v>178.8</v>
      </c>
      <c r="K53" s="26">
        <v>133.1</v>
      </c>
      <c r="L53" s="26">
        <v>113.6</v>
      </c>
      <c r="M53" s="26">
        <v>145.5</v>
      </c>
      <c r="N53" s="26">
        <v>138.6</v>
      </c>
      <c r="O53" s="26">
        <v>157.4</v>
      </c>
      <c r="P53" s="26">
        <v>148.30000000000001</v>
      </c>
      <c r="Q53" s="26">
        <v>166.3</v>
      </c>
      <c r="R53" s="26">
        <v>151.69999999999999</v>
      </c>
      <c r="S53" s="26">
        <v>146.69999999999999</v>
      </c>
      <c r="T53" s="26">
        <v>151</v>
      </c>
      <c r="U53" s="26" t="s">
        <v>89</v>
      </c>
      <c r="V53" s="26">
        <v>147.69999999999999</v>
      </c>
      <c r="W53" s="26">
        <v>150.6</v>
      </c>
      <c r="X53" s="26">
        <v>153.69999999999999</v>
      </c>
      <c r="Y53" s="26">
        <v>131.69999999999999</v>
      </c>
      <c r="Z53" s="26">
        <v>148.69999999999999</v>
      </c>
      <c r="AA53" s="26">
        <v>160.69999999999999</v>
      </c>
      <c r="AB53" s="26">
        <v>140.30000000000001</v>
      </c>
      <c r="AC53" s="26">
        <v>145.69999999999999</v>
      </c>
      <c r="AD53" s="26">
        <v>148.30000000000001</v>
      </c>
      <c r="AE53" s="26">
        <v>1876.8999999999996</v>
      </c>
      <c r="AF53" s="26">
        <v>449.4</v>
      </c>
      <c r="AG53" s="27">
        <f t="shared" si="0"/>
        <v>429.99999999999994</v>
      </c>
    </row>
    <row r="54" spans="1:33" x14ac:dyDescent="0.3">
      <c r="A54" s="31" t="s">
        <v>32</v>
      </c>
      <c r="B54" s="28">
        <v>2019</v>
      </c>
      <c r="C54" s="28" t="s">
        <v>42</v>
      </c>
      <c r="D54" s="28">
        <v>143.5</v>
      </c>
      <c r="E54" s="28">
        <v>159.80000000000001</v>
      </c>
      <c r="F54" s="28">
        <v>144.69999999999999</v>
      </c>
      <c r="G54" s="28">
        <v>145.6</v>
      </c>
      <c r="H54" s="28">
        <v>121.1</v>
      </c>
      <c r="I54" s="28">
        <v>150.6</v>
      </c>
      <c r="J54" s="28">
        <v>207.2</v>
      </c>
      <c r="K54" s="28">
        <v>131.19999999999999</v>
      </c>
      <c r="L54" s="28">
        <v>114.8</v>
      </c>
      <c r="M54" s="28">
        <v>145.19999999999999</v>
      </c>
      <c r="N54" s="28">
        <v>130.19999999999999</v>
      </c>
      <c r="O54" s="28">
        <v>156.80000000000001</v>
      </c>
      <c r="P54" s="28">
        <v>151.9</v>
      </c>
      <c r="Q54" s="28">
        <v>169.3</v>
      </c>
      <c r="R54" s="28">
        <v>145.9</v>
      </c>
      <c r="S54" s="28">
        <v>132.4</v>
      </c>
      <c r="T54" s="28">
        <v>143.9</v>
      </c>
      <c r="U54" s="28">
        <v>153</v>
      </c>
      <c r="V54" s="28">
        <v>128.9</v>
      </c>
      <c r="W54" s="28">
        <v>138.69999999999999</v>
      </c>
      <c r="X54" s="28">
        <v>142.4</v>
      </c>
      <c r="Y54" s="28">
        <v>121.5</v>
      </c>
      <c r="Z54" s="28">
        <v>136.19999999999999</v>
      </c>
      <c r="AA54" s="28">
        <v>151.69999999999999</v>
      </c>
      <c r="AB54" s="28">
        <v>139.5</v>
      </c>
      <c r="AC54" s="28">
        <v>136</v>
      </c>
      <c r="AD54" s="28">
        <v>146</v>
      </c>
      <c r="AE54" s="28">
        <v>1902.6000000000001</v>
      </c>
      <c r="AF54" s="28">
        <v>422.20000000000005</v>
      </c>
      <c r="AG54" s="29">
        <f t="shared" si="0"/>
        <v>542.09999999999991</v>
      </c>
    </row>
    <row r="55" spans="1:33" x14ac:dyDescent="0.3">
      <c r="A55" s="30" t="s">
        <v>33</v>
      </c>
      <c r="B55" s="26">
        <v>2019</v>
      </c>
      <c r="C55" s="26" t="s">
        <v>42</v>
      </c>
      <c r="D55" s="26">
        <v>141.80000000000001</v>
      </c>
      <c r="E55" s="26">
        <v>161</v>
      </c>
      <c r="F55" s="26">
        <v>142.6</v>
      </c>
      <c r="G55" s="26">
        <v>146.19999999999999</v>
      </c>
      <c r="H55" s="26">
        <v>123.9</v>
      </c>
      <c r="I55" s="26">
        <v>148</v>
      </c>
      <c r="J55" s="26">
        <v>188.4</v>
      </c>
      <c r="K55" s="26">
        <v>132.5</v>
      </c>
      <c r="L55" s="26">
        <v>114</v>
      </c>
      <c r="M55" s="26">
        <v>145.4</v>
      </c>
      <c r="N55" s="26">
        <v>135.1</v>
      </c>
      <c r="O55" s="26">
        <v>157.1</v>
      </c>
      <c r="P55" s="26">
        <v>149.6</v>
      </c>
      <c r="Q55" s="26">
        <v>167.1</v>
      </c>
      <c r="R55" s="26">
        <v>149.4</v>
      </c>
      <c r="S55" s="26">
        <v>140.80000000000001</v>
      </c>
      <c r="T55" s="26">
        <v>148.19999999999999</v>
      </c>
      <c r="U55" s="26">
        <v>153</v>
      </c>
      <c r="V55" s="26">
        <v>140.6</v>
      </c>
      <c r="W55" s="26">
        <v>145</v>
      </c>
      <c r="X55" s="26">
        <v>149.4</v>
      </c>
      <c r="Y55" s="26">
        <v>126.3</v>
      </c>
      <c r="Z55" s="26">
        <v>141.69999999999999</v>
      </c>
      <c r="AA55" s="26">
        <v>155.4</v>
      </c>
      <c r="AB55" s="26">
        <v>140</v>
      </c>
      <c r="AC55" s="26">
        <v>141</v>
      </c>
      <c r="AD55" s="26">
        <v>147.19999999999999</v>
      </c>
      <c r="AE55" s="26">
        <v>1885.5999999999997</v>
      </c>
      <c r="AF55" s="26">
        <v>438.40000000000003</v>
      </c>
      <c r="AG55" s="27">
        <f t="shared" si="0"/>
        <v>564.9</v>
      </c>
    </row>
    <row r="56" spans="1:33" x14ac:dyDescent="0.3">
      <c r="A56" s="31" t="s">
        <v>30</v>
      </c>
      <c r="B56" s="28">
        <v>2019</v>
      </c>
      <c r="C56" s="28" t="s">
        <v>43</v>
      </c>
      <c r="D56" s="28">
        <v>141.80000000000001</v>
      </c>
      <c r="E56" s="28">
        <v>163.69999999999999</v>
      </c>
      <c r="F56" s="28">
        <v>143.80000000000001</v>
      </c>
      <c r="G56" s="28">
        <v>147.1</v>
      </c>
      <c r="H56" s="28">
        <v>126</v>
      </c>
      <c r="I56" s="28">
        <v>146.19999999999999</v>
      </c>
      <c r="J56" s="28">
        <v>191.4</v>
      </c>
      <c r="K56" s="28">
        <v>136.19999999999999</v>
      </c>
      <c r="L56" s="28">
        <v>113.8</v>
      </c>
      <c r="M56" s="28">
        <v>147.30000000000001</v>
      </c>
      <c r="N56" s="28">
        <v>138.69999999999999</v>
      </c>
      <c r="O56" s="28">
        <v>157.69999999999999</v>
      </c>
      <c r="P56" s="28">
        <v>150.9</v>
      </c>
      <c r="Q56" s="28">
        <v>167.2</v>
      </c>
      <c r="R56" s="28">
        <v>152.30000000000001</v>
      </c>
      <c r="S56" s="28">
        <v>147</v>
      </c>
      <c r="T56" s="28">
        <v>151.5</v>
      </c>
      <c r="U56" s="28" t="s">
        <v>89</v>
      </c>
      <c r="V56" s="28">
        <v>148.4</v>
      </c>
      <c r="W56" s="28">
        <v>150.9</v>
      </c>
      <c r="X56" s="28">
        <v>154.30000000000001</v>
      </c>
      <c r="Y56" s="28">
        <v>132.1</v>
      </c>
      <c r="Z56" s="28">
        <v>149.1</v>
      </c>
      <c r="AA56" s="28">
        <v>160.80000000000001</v>
      </c>
      <c r="AB56" s="28">
        <v>140.6</v>
      </c>
      <c r="AC56" s="28">
        <v>146.1</v>
      </c>
      <c r="AD56" s="28">
        <v>149.9</v>
      </c>
      <c r="AE56" s="28">
        <v>1904.6000000000001</v>
      </c>
      <c r="AF56" s="28">
        <v>450.8</v>
      </c>
      <c r="AG56" s="29">
        <f t="shared" si="0"/>
        <v>431.4</v>
      </c>
    </row>
    <row r="57" spans="1:33" x14ac:dyDescent="0.3">
      <c r="A57" s="30" t="s">
        <v>32</v>
      </c>
      <c r="B57" s="26">
        <v>2019</v>
      </c>
      <c r="C57" s="26" t="s">
        <v>43</v>
      </c>
      <c r="D57" s="26">
        <v>144.1</v>
      </c>
      <c r="E57" s="26">
        <v>162.4</v>
      </c>
      <c r="F57" s="26">
        <v>148.4</v>
      </c>
      <c r="G57" s="26">
        <v>145.9</v>
      </c>
      <c r="H57" s="26">
        <v>121.5</v>
      </c>
      <c r="I57" s="26">
        <v>148.80000000000001</v>
      </c>
      <c r="J57" s="26">
        <v>215.7</v>
      </c>
      <c r="K57" s="26">
        <v>134.6</v>
      </c>
      <c r="L57" s="26">
        <v>115</v>
      </c>
      <c r="M57" s="26">
        <v>146.30000000000001</v>
      </c>
      <c r="N57" s="26">
        <v>130.5</v>
      </c>
      <c r="O57" s="26">
        <v>157.19999999999999</v>
      </c>
      <c r="P57" s="26">
        <v>153.6</v>
      </c>
      <c r="Q57" s="26">
        <v>169.9</v>
      </c>
      <c r="R57" s="26">
        <v>146.30000000000001</v>
      </c>
      <c r="S57" s="26">
        <v>132.6</v>
      </c>
      <c r="T57" s="26">
        <v>144.19999999999999</v>
      </c>
      <c r="U57" s="26">
        <v>153.5</v>
      </c>
      <c r="V57" s="26">
        <v>132.19999999999999</v>
      </c>
      <c r="W57" s="26">
        <v>139.1</v>
      </c>
      <c r="X57" s="26">
        <v>142.80000000000001</v>
      </c>
      <c r="Y57" s="26">
        <v>121.7</v>
      </c>
      <c r="Z57" s="26">
        <v>136.69999999999999</v>
      </c>
      <c r="AA57" s="26">
        <v>151.80000000000001</v>
      </c>
      <c r="AB57" s="26">
        <v>139.80000000000001</v>
      </c>
      <c r="AC57" s="26">
        <v>136.30000000000001</v>
      </c>
      <c r="AD57" s="26">
        <v>147</v>
      </c>
      <c r="AE57" s="26">
        <v>1923.9999999999998</v>
      </c>
      <c r="AF57" s="26">
        <v>423.09999999999997</v>
      </c>
      <c r="AG57" s="27">
        <f t="shared" ref="AG57:AG120" si="1">SUM(U57:W57,Y57)</f>
        <v>546.5</v>
      </c>
    </row>
    <row r="58" spans="1:33" x14ac:dyDescent="0.3">
      <c r="A58" s="31" t="s">
        <v>33</v>
      </c>
      <c r="B58" s="28">
        <v>2019</v>
      </c>
      <c r="C58" s="28" t="s">
        <v>43</v>
      </c>
      <c r="D58" s="28">
        <v>142.5</v>
      </c>
      <c r="E58" s="28">
        <v>163.19999999999999</v>
      </c>
      <c r="F58" s="28">
        <v>145.6</v>
      </c>
      <c r="G58" s="28">
        <v>146.69999999999999</v>
      </c>
      <c r="H58" s="28">
        <v>124.3</v>
      </c>
      <c r="I58" s="28">
        <v>147.4</v>
      </c>
      <c r="J58" s="28">
        <v>199.6</v>
      </c>
      <c r="K58" s="28">
        <v>135.69999999999999</v>
      </c>
      <c r="L58" s="28">
        <v>114.2</v>
      </c>
      <c r="M58" s="28">
        <v>147</v>
      </c>
      <c r="N58" s="28">
        <v>135.30000000000001</v>
      </c>
      <c r="O58" s="28">
        <v>157.5</v>
      </c>
      <c r="P58" s="28">
        <v>151.9</v>
      </c>
      <c r="Q58" s="28">
        <v>167.9</v>
      </c>
      <c r="R58" s="28">
        <v>149.9</v>
      </c>
      <c r="S58" s="28">
        <v>141</v>
      </c>
      <c r="T58" s="28">
        <v>148.6</v>
      </c>
      <c r="U58" s="28">
        <v>153.5</v>
      </c>
      <c r="V58" s="28">
        <v>142.30000000000001</v>
      </c>
      <c r="W58" s="28">
        <v>145.30000000000001</v>
      </c>
      <c r="X58" s="28">
        <v>149.9</v>
      </c>
      <c r="Y58" s="28">
        <v>126.6</v>
      </c>
      <c r="Z58" s="28">
        <v>142.1</v>
      </c>
      <c r="AA58" s="28">
        <v>155.5</v>
      </c>
      <c r="AB58" s="28">
        <v>140.30000000000001</v>
      </c>
      <c r="AC58" s="28">
        <v>141.30000000000001</v>
      </c>
      <c r="AD58" s="28">
        <v>148.6</v>
      </c>
      <c r="AE58" s="28">
        <v>1910.9</v>
      </c>
      <c r="AF58" s="28">
        <v>439.5</v>
      </c>
      <c r="AG58" s="29">
        <f t="shared" si="1"/>
        <v>567.70000000000005</v>
      </c>
    </row>
    <row r="59" spans="1:33" x14ac:dyDescent="0.3">
      <c r="A59" s="30" t="s">
        <v>30</v>
      </c>
      <c r="B59" s="26">
        <v>2019</v>
      </c>
      <c r="C59" s="26" t="s">
        <v>44</v>
      </c>
      <c r="D59" s="26">
        <v>142.80000000000001</v>
      </c>
      <c r="E59" s="26">
        <v>165.3</v>
      </c>
      <c r="F59" s="26">
        <v>149.5</v>
      </c>
      <c r="G59" s="26">
        <v>148.69999999999999</v>
      </c>
      <c r="H59" s="26">
        <v>127.5</v>
      </c>
      <c r="I59" s="26">
        <v>144.30000000000001</v>
      </c>
      <c r="J59" s="26">
        <v>209.5</v>
      </c>
      <c r="K59" s="26">
        <v>138.80000000000001</v>
      </c>
      <c r="L59" s="26">
        <v>113.6</v>
      </c>
      <c r="M59" s="26">
        <v>149.1</v>
      </c>
      <c r="N59" s="26">
        <v>139.30000000000001</v>
      </c>
      <c r="O59" s="26">
        <v>158.30000000000001</v>
      </c>
      <c r="P59" s="26">
        <v>154.30000000000001</v>
      </c>
      <c r="Q59" s="26">
        <v>167.8</v>
      </c>
      <c r="R59" s="26">
        <v>152.6</v>
      </c>
      <c r="S59" s="26">
        <v>147.30000000000001</v>
      </c>
      <c r="T59" s="26">
        <v>151.9</v>
      </c>
      <c r="U59" s="26" t="s">
        <v>89</v>
      </c>
      <c r="V59" s="26">
        <v>149.9</v>
      </c>
      <c r="W59" s="26">
        <v>151.19999999999999</v>
      </c>
      <c r="X59" s="26">
        <v>154.80000000000001</v>
      </c>
      <c r="Y59" s="26">
        <v>135</v>
      </c>
      <c r="Z59" s="26">
        <v>149.5</v>
      </c>
      <c r="AA59" s="26">
        <v>161.1</v>
      </c>
      <c r="AB59" s="26">
        <v>140.6</v>
      </c>
      <c r="AC59" s="26">
        <v>147.1</v>
      </c>
      <c r="AD59" s="26">
        <v>152.30000000000001</v>
      </c>
      <c r="AE59" s="26">
        <v>1940.9999999999995</v>
      </c>
      <c r="AF59" s="26">
        <v>451.79999999999995</v>
      </c>
      <c r="AG59" s="27">
        <f t="shared" si="1"/>
        <v>436.1</v>
      </c>
    </row>
    <row r="60" spans="1:33" x14ac:dyDescent="0.3">
      <c r="A60" s="31" t="s">
        <v>32</v>
      </c>
      <c r="B60" s="28">
        <v>2019</v>
      </c>
      <c r="C60" s="28" t="s">
        <v>44</v>
      </c>
      <c r="D60" s="28">
        <v>144.9</v>
      </c>
      <c r="E60" s="28">
        <v>164.5</v>
      </c>
      <c r="F60" s="28">
        <v>153.69999999999999</v>
      </c>
      <c r="G60" s="28">
        <v>147.5</v>
      </c>
      <c r="H60" s="28">
        <v>122.7</v>
      </c>
      <c r="I60" s="28">
        <v>147.19999999999999</v>
      </c>
      <c r="J60" s="28">
        <v>231.5</v>
      </c>
      <c r="K60" s="28">
        <v>137.19999999999999</v>
      </c>
      <c r="L60" s="28">
        <v>114.7</v>
      </c>
      <c r="M60" s="28">
        <v>148</v>
      </c>
      <c r="N60" s="28">
        <v>130.80000000000001</v>
      </c>
      <c r="O60" s="28">
        <v>157.69999999999999</v>
      </c>
      <c r="P60" s="28">
        <v>156.30000000000001</v>
      </c>
      <c r="Q60" s="28">
        <v>170.4</v>
      </c>
      <c r="R60" s="28">
        <v>146.80000000000001</v>
      </c>
      <c r="S60" s="28">
        <v>132.80000000000001</v>
      </c>
      <c r="T60" s="28">
        <v>144.6</v>
      </c>
      <c r="U60" s="28">
        <v>152.80000000000001</v>
      </c>
      <c r="V60" s="28">
        <v>133.6</v>
      </c>
      <c r="W60" s="28">
        <v>139.80000000000001</v>
      </c>
      <c r="X60" s="28">
        <v>143.19999999999999</v>
      </c>
      <c r="Y60" s="28">
        <v>125.2</v>
      </c>
      <c r="Z60" s="28">
        <v>136.80000000000001</v>
      </c>
      <c r="AA60" s="28">
        <v>151.9</v>
      </c>
      <c r="AB60" s="28">
        <v>140.19999999999999</v>
      </c>
      <c r="AC60" s="28">
        <v>137.69999999999999</v>
      </c>
      <c r="AD60" s="28">
        <v>148.30000000000001</v>
      </c>
      <c r="AE60" s="28">
        <v>1956.7</v>
      </c>
      <c r="AF60" s="28">
        <v>424.20000000000005</v>
      </c>
      <c r="AG60" s="29">
        <f t="shared" si="1"/>
        <v>551.4</v>
      </c>
    </row>
    <row r="61" spans="1:33" x14ac:dyDescent="0.3">
      <c r="A61" s="30" t="s">
        <v>33</v>
      </c>
      <c r="B61" s="26">
        <v>2019</v>
      </c>
      <c r="C61" s="26" t="s">
        <v>44</v>
      </c>
      <c r="D61" s="26">
        <v>143.5</v>
      </c>
      <c r="E61" s="26">
        <v>165</v>
      </c>
      <c r="F61" s="26">
        <v>151.1</v>
      </c>
      <c r="G61" s="26">
        <v>148.30000000000001</v>
      </c>
      <c r="H61" s="26">
        <v>125.7</v>
      </c>
      <c r="I61" s="26">
        <v>145.69999999999999</v>
      </c>
      <c r="J61" s="26">
        <v>217</v>
      </c>
      <c r="K61" s="26">
        <v>138.30000000000001</v>
      </c>
      <c r="L61" s="26">
        <v>114</v>
      </c>
      <c r="M61" s="26">
        <v>148.69999999999999</v>
      </c>
      <c r="N61" s="26">
        <v>135.80000000000001</v>
      </c>
      <c r="O61" s="26">
        <v>158</v>
      </c>
      <c r="P61" s="26">
        <v>155</v>
      </c>
      <c r="Q61" s="26">
        <v>168.5</v>
      </c>
      <c r="R61" s="26">
        <v>150.30000000000001</v>
      </c>
      <c r="S61" s="26">
        <v>141.30000000000001</v>
      </c>
      <c r="T61" s="26">
        <v>149</v>
      </c>
      <c r="U61" s="26">
        <v>152.80000000000001</v>
      </c>
      <c r="V61" s="26">
        <v>143.69999999999999</v>
      </c>
      <c r="W61" s="26">
        <v>145.80000000000001</v>
      </c>
      <c r="X61" s="26">
        <v>150.4</v>
      </c>
      <c r="Y61" s="26">
        <v>129.80000000000001</v>
      </c>
      <c r="Z61" s="26">
        <v>142.30000000000001</v>
      </c>
      <c r="AA61" s="26">
        <v>155.69999999999999</v>
      </c>
      <c r="AB61" s="26">
        <v>140.4</v>
      </c>
      <c r="AC61" s="26">
        <v>142.5</v>
      </c>
      <c r="AD61" s="26">
        <v>150.4</v>
      </c>
      <c r="AE61" s="26">
        <v>1946.1000000000001</v>
      </c>
      <c r="AF61" s="26">
        <v>440.6</v>
      </c>
      <c r="AG61" s="27">
        <f t="shared" si="1"/>
        <v>572.1</v>
      </c>
    </row>
    <row r="62" spans="1:33" x14ac:dyDescent="0.3">
      <c r="A62" s="31" t="s">
        <v>30</v>
      </c>
      <c r="B62" s="28">
        <v>2020</v>
      </c>
      <c r="C62" s="28" t="s">
        <v>31</v>
      </c>
      <c r="D62" s="28">
        <v>143.69999999999999</v>
      </c>
      <c r="E62" s="28">
        <v>167.3</v>
      </c>
      <c r="F62" s="28">
        <v>153.5</v>
      </c>
      <c r="G62" s="28">
        <v>150.5</v>
      </c>
      <c r="H62" s="28">
        <v>132</v>
      </c>
      <c r="I62" s="28">
        <v>142.19999999999999</v>
      </c>
      <c r="J62" s="28">
        <v>191.5</v>
      </c>
      <c r="K62" s="28">
        <v>141.1</v>
      </c>
      <c r="L62" s="28">
        <v>113.8</v>
      </c>
      <c r="M62" s="28">
        <v>151.6</v>
      </c>
      <c r="N62" s="28">
        <v>139.69999999999999</v>
      </c>
      <c r="O62" s="28">
        <v>158.69999999999999</v>
      </c>
      <c r="P62" s="28">
        <v>153</v>
      </c>
      <c r="Q62" s="28">
        <v>168.6</v>
      </c>
      <c r="R62" s="28">
        <v>152.80000000000001</v>
      </c>
      <c r="S62" s="28">
        <v>147.4</v>
      </c>
      <c r="T62" s="28">
        <v>152.1</v>
      </c>
      <c r="U62" s="28" t="s">
        <v>89</v>
      </c>
      <c r="V62" s="28">
        <v>150.4</v>
      </c>
      <c r="W62" s="28">
        <v>151.69999999999999</v>
      </c>
      <c r="X62" s="28">
        <v>155.69999999999999</v>
      </c>
      <c r="Y62" s="28">
        <v>136.30000000000001</v>
      </c>
      <c r="Z62" s="28">
        <v>150.1</v>
      </c>
      <c r="AA62" s="28">
        <v>161.69999999999999</v>
      </c>
      <c r="AB62" s="28">
        <v>142.5</v>
      </c>
      <c r="AC62" s="28">
        <v>148.1</v>
      </c>
      <c r="AD62" s="28">
        <v>151.9</v>
      </c>
      <c r="AE62" s="28">
        <v>1938.6</v>
      </c>
      <c r="AF62" s="28">
        <v>452.30000000000007</v>
      </c>
      <c r="AG62" s="29">
        <f t="shared" si="1"/>
        <v>438.40000000000003</v>
      </c>
    </row>
    <row r="63" spans="1:33" x14ac:dyDescent="0.3">
      <c r="A63" s="30" t="s">
        <v>32</v>
      </c>
      <c r="B63" s="26">
        <v>2020</v>
      </c>
      <c r="C63" s="26" t="s">
        <v>31</v>
      </c>
      <c r="D63" s="26">
        <v>145.6</v>
      </c>
      <c r="E63" s="26">
        <v>167.6</v>
      </c>
      <c r="F63" s="26">
        <v>157</v>
      </c>
      <c r="G63" s="26">
        <v>149.30000000000001</v>
      </c>
      <c r="H63" s="26">
        <v>126.3</v>
      </c>
      <c r="I63" s="26">
        <v>144.4</v>
      </c>
      <c r="J63" s="26">
        <v>207.8</v>
      </c>
      <c r="K63" s="26">
        <v>139.1</v>
      </c>
      <c r="L63" s="26">
        <v>114.8</v>
      </c>
      <c r="M63" s="26">
        <v>149.5</v>
      </c>
      <c r="N63" s="26">
        <v>131.1</v>
      </c>
      <c r="O63" s="26">
        <v>158.5</v>
      </c>
      <c r="P63" s="26">
        <v>154.4</v>
      </c>
      <c r="Q63" s="26">
        <v>170.8</v>
      </c>
      <c r="R63" s="26">
        <v>147</v>
      </c>
      <c r="S63" s="26">
        <v>133.19999999999999</v>
      </c>
      <c r="T63" s="26">
        <v>144.9</v>
      </c>
      <c r="U63" s="26">
        <v>153.9</v>
      </c>
      <c r="V63" s="26">
        <v>135.1</v>
      </c>
      <c r="W63" s="26">
        <v>140.1</v>
      </c>
      <c r="X63" s="26">
        <v>143.80000000000001</v>
      </c>
      <c r="Y63" s="26">
        <v>126.1</v>
      </c>
      <c r="Z63" s="26">
        <v>137.19999999999999</v>
      </c>
      <c r="AA63" s="26">
        <v>152.1</v>
      </c>
      <c r="AB63" s="26">
        <v>142.1</v>
      </c>
      <c r="AC63" s="26">
        <v>138.4</v>
      </c>
      <c r="AD63" s="26">
        <v>148.19999999999999</v>
      </c>
      <c r="AE63" s="26">
        <v>1945.3999999999999</v>
      </c>
      <c r="AF63" s="26">
        <v>425.1</v>
      </c>
      <c r="AG63" s="27">
        <f t="shared" si="1"/>
        <v>555.20000000000005</v>
      </c>
    </row>
    <row r="64" spans="1:33" x14ac:dyDescent="0.3">
      <c r="A64" s="31" t="s">
        <v>33</v>
      </c>
      <c r="B64" s="28">
        <v>2020</v>
      </c>
      <c r="C64" s="28" t="s">
        <v>31</v>
      </c>
      <c r="D64" s="28">
        <v>144.30000000000001</v>
      </c>
      <c r="E64" s="28">
        <v>167.4</v>
      </c>
      <c r="F64" s="28">
        <v>154.9</v>
      </c>
      <c r="G64" s="28">
        <v>150.1</v>
      </c>
      <c r="H64" s="28">
        <v>129.9</v>
      </c>
      <c r="I64" s="28">
        <v>143.19999999999999</v>
      </c>
      <c r="J64" s="28">
        <v>197</v>
      </c>
      <c r="K64" s="28">
        <v>140.4</v>
      </c>
      <c r="L64" s="28">
        <v>114.1</v>
      </c>
      <c r="M64" s="28">
        <v>150.9</v>
      </c>
      <c r="N64" s="28">
        <v>136.1</v>
      </c>
      <c r="O64" s="28">
        <v>158.6</v>
      </c>
      <c r="P64" s="28">
        <v>153.5</v>
      </c>
      <c r="Q64" s="28">
        <v>169.2</v>
      </c>
      <c r="R64" s="28">
        <v>150.5</v>
      </c>
      <c r="S64" s="28">
        <v>141.5</v>
      </c>
      <c r="T64" s="28">
        <v>149.19999999999999</v>
      </c>
      <c r="U64" s="28">
        <v>153.9</v>
      </c>
      <c r="V64" s="28">
        <v>144.6</v>
      </c>
      <c r="W64" s="28">
        <v>146.19999999999999</v>
      </c>
      <c r="X64" s="28">
        <v>151.19999999999999</v>
      </c>
      <c r="Y64" s="28">
        <v>130.9</v>
      </c>
      <c r="Z64" s="28">
        <v>142.80000000000001</v>
      </c>
      <c r="AA64" s="28">
        <v>156.1</v>
      </c>
      <c r="AB64" s="28">
        <v>142.30000000000001</v>
      </c>
      <c r="AC64" s="28">
        <v>143.4</v>
      </c>
      <c r="AD64" s="28">
        <v>150.19999999999999</v>
      </c>
      <c r="AE64" s="28">
        <v>1940.3999999999999</v>
      </c>
      <c r="AF64" s="28">
        <v>441.2</v>
      </c>
      <c r="AG64" s="29">
        <f t="shared" si="1"/>
        <v>575.6</v>
      </c>
    </row>
    <row r="65" spans="1:34" x14ac:dyDescent="0.3">
      <c r="A65" s="30" t="s">
        <v>30</v>
      </c>
      <c r="B65" s="26">
        <v>2020</v>
      </c>
      <c r="C65" s="26" t="s">
        <v>34</v>
      </c>
      <c r="D65" s="26">
        <v>144.19999999999999</v>
      </c>
      <c r="E65" s="26">
        <v>167.5</v>
      </c>
      <c r="F65" s="26">
        <v>150.9</v>
      </c>
      <c r="G65" s="26">
        <v>150.9</v>
      </c>
      <c r="H65" s="26">
        <v>133.69999999999999</v>
      </c>
      <c r="I65" s="26">
        <v>140.69999999999999</v>
      </c>
      <c r="J65" s="26">
        <v>165.1</v>
      </c>
      <c r="K65" s="26">
        <v>141.80000000000001</v>
      </c>
      <c r="L65" s="26">
        <v>113.1</v>
      </c>
      <c r="M65" s="26">
        <v>152.80000000000001</v>
      </c>
      <c r="N65" s="26">
        <v>140.1</v>
      </c>
      <c r="O65" s="26">
        <v>159.19999999999999</v>
      </c>
      <c r="P65" s="26">
        <v>149.80000000000001</v>
      </c>
      <c r="Q65" s="26">
        <v>169.4</v>
      </c>
      <c r="R65" s="26">
        <v>153</v>
      </c>
      <c r="S65" s="26">
        <v>147.5</v>
      </c>
      <c r="T65" s="26">
        <v>152.30000000000001</v>
      </c>
      <c r="U65" s="26" t="s">
        <v>89</v>
      </c>
      <c r="V65" s="26">
        <v>152.30000000000001</v>
      </c>
      <c r="W65" s="26">
        <v>151.80000000000001</v>
      </c>
      <c r="X65" s="26">
        <v>156.19999999999999</v>
      </c>
      <c r="Y65" s="26">
        <v>136</v>
      </c>
      <c r="Z65" s="26">
        <v>150.4</v>
      </c>
      <c r="AA65" s="26">
        <v>161.9</v>
      </c>
      <c r="AB65" s="26">
        <v>143.4</v>
      </c>
      <c r="AC65" s="26">
        <v>148.4</v>
      </c>
      <c r="AD65" s="26">
        <v>150.4</v>
      </c>
      <c r="AE65" s="26">
        <v>1909.7999999999997</v>
      </c>
      <c r="AF65" s="26">
        <v>452.8</v>
      </c>
      <c r="AG65" s="27">
        <f t="shared" si="1"/>
        <v>440.1</v>
      </c>
    </row>
    <row r="66" spans="1:34" x14ac:dyDescent="0.3">
      <c r="A66" s="31" t="s">
        <v>32</v>
      </c>
      <c r="B66" s="28">
        <v>2020</v>
      </c>
      <c r="C66" s="28" t="s">
        <v>34</v>
      </c>
      <c r="D66" s="28">
        <v>146.19999999999999</v>
      </c>
      <c r="E66" s="28">
        <v>167.6</v>
      </c>
      <c r="F66" s="28">
        <v>153.1</v>
      </c>
      <c r="G66" s="28">
        <v>150.69999999999999</v>
      </c>
      <c r="H66" s="28">
        <v>127.4</v>
      </c>
      <c r="I66" s="28">
        <v>143.1</v>
      </c>
      <c r="J66" s="28">
        <v>181.7</v>
      </c>
      <c r="K66" s="28">
        <v>139.6</v>
      </c>
      <c r="L66" s="28">
        <v>114.6</v>
      </c>
      <c r="M66" s="28">
        <v>150.4</v>
      </c>
      <c r="N66" s="28">
        <v>131.5</v>
      </c>
      <c r="O66" s="28">
        <v>159</v>
      </c>
      <c r="P66" s="28">
        <v>151.69999999999999</v>
      </c>
      <c r="Q66" s="28">
        <v>172</v>
      </c>
      <c r="R66" s="28">
        <v>147.30000000000001</v>
      </c>
      <c r="S66" s="28">
        <v>133.5</v>
      </c>
      <c r="T66" s="28">
        <v>145.19999999999999</v>
      </c>
      <c r="U66" s="28">
        <v>154.80000000000001</v>
      </c>
      <c r="V66" s="28">
        <v>138.9</v>
      </c>
      <c r="W66" s="28">
        <v>140.4</v>
      </c>
      <c r="X66" s="28">
        <v>144.4</v>
      </c>
      <c r="Y66" s="28">
        <v>125.2</v>
      </c>
      <c r="Z66" s="28">
        <v>137.69999999999999</v>
      </c>
      <c r="AA66" s="28">
        <v>152.19999999999999</v>
      </c>
      <c r="AB66" s="28">
        <v>143.5</v>
      </c>
      <c r="AC66" s="28">
        <v>138.4</v>
      </c>
      <c r="AD66" s="28">
        <v>147.69999999999999</v>
      </c>
      <c r="AE66" s="28">
        <v>1916.6</v>
      </c>
      <c r="AF66" s="28">
        <v>426</v>
      </c>
      <c r="AG66" s="29">
        <f t="shared" si="1"/>
        <v>559.30000000000007</v>
      </c>
    </row>
    <row r="67" spans="1:34" x14ac:dyDescent="0.3">
      <c r="A67" s="30" t="s">
        <v>33</v>
      </c>
      <c r="B67" s="26">
        <v>2020</v>
      </c>
      <c r="C67" s="26" t="s">
        <v>34</v>
      </c>
      <c r="D67" s="26">
        <v>144.80000000000001</v>
      </c>
      <c r="E67" s="26">
        <v>167.5</v>
      </c>
      <c r="F67" s="26">
        <v>151.80000000000001</v>
      </c>
      <c r="G67" s="26">
        <v>150.80000000000001</v>
      </c>
      <c r="H67" s="26">
        <v>131.4</v>
      </c>
      <c r="I67" s="26">
        <v>141.80000000000001</v>
      </c>
      <c r="J67" s="26">
        <v>170.7</v>
      </c>
      <c r="K67" s="26">
        <v>141.1</v>
      </c>
      <c r="L67" s="26">
        <v>113.6</v>
      </c>
      <c r="M67" s="26">
        <v>152</v>
      </c>
      <c r="N67" s="26">
        <v>136.5</v>
      </c>
      <c r="O67" s="26">
        <v>159.1</v>
      </c>
      <c r="P67" s="26">
        <v>150.5</v>
      </c>
      <c r="Q67" s="26">
        <v>170.1</v>
      </c>
      <c r="R67" s="26">
        <v>150.80000000000001</v>
      </c>
      <c r="S67" s="26">
        <v>141.69999999999999</v>
      </c>
      <c r="T67" s="26">
        <v>149.5</v>
      </c>
      <c r="U67" s="26">
        <v>154.80000000000001</v>
      </c>
      <c r="V67" s="26">
        <v>147.19999999999999</v>
      </c>
      <c r="W67" s="26">
        <v>146.4</v>
      </c>
      <c r="X67" s="26">
        <v>151.69999999999999</v>
      </c>
      <c r="Y67" s="26">
        <v>130.30000000000001</v>
      </c>
      <c r="Z67" s="26">
        <v>143.19999999999999</v>
      </c>
      <c r="AA67" s="26">
        <v>156.19999999999999</v>
      </c>
      <c r="AB67" s="26">
        <v>143.4</v>
      </c>
      <c r="AC67" s="26">
        <v>143.6</v>
      </c>
      <c r="AD67" s="26">
        <v>149.1</v>
      </c>
      <c r="AE67" s="26">
        <v>1911.6</v>
      </c>
      <c r="AF67" s="26">
        <v>442</v>
      </c>
      <c r="AG67" s="27">
        <f t="shared" si="1"/>
        <v>578.70000000000005</v>
      </c>
    </row>
    <row r="68" spans="1:34" x14ac:dyDescent="0.3">
      <c r="A68" s="31" t="s">
        <v>30</v>
      </c>
      <c r="B68" s="28">
        <v>2020</v>
      </c>
      <c r="C68" s="28" t="s">
        <v>35</v>
      </c>
      <c r="D68" s="28">
        <v>144.4</v>
      </c>
      <c r="E68" s="28">
        <v>166.8</v>
      </c>
      <c r="F68" s="28">
        <v>147.6</v>
      </c>
      <c r="G68" s="28">
        <v>151.69999999999999</v>
      </c>
      <c r="H68" s="28">
        <v>133.30000000000001</v>
      </c>
      <c r="I68" s="28">
        <v>141.80000000000001</v>
      </c>
      <c r="J68" s="28">
        <v>152.30000000000001</v>
      </c>
      <c r="K68" s="28">
        <v>141.80000000000001</v>
      </c>
      <c r="L68" s="28">
        <v>112.6</v>
      </c>
      <c r="M68" s="28">
        <v>154</v>
      </c>
      <c r="N68" s="28">
        <v>140.1</v>
      </c>
      <c r="O68" s="28">
        <v>160</v>
      </c>
      <c r="P68" s="28">
        <v>148.19999999999999</v>
      </c>
      <c r="Q68" s="28">
        <v>170.5</v>
      </c>
      <c r="R68" s="28">
        <v>153.4</v>
      </c>
      <c r="S68" s="28">
        <v>147.6</v>
      </c>
      <c r="T68" s="28">
        <v>152.5</v>
      </c>
      <c r="U68" s="28" t="s">
        <v>89</v>
      </c>
      <c r="V68" s="28">
        <v>153.4</v>
      </c>
      <c r="W68" s="28">
        <v>151.5</v>
      </c>
      <c r="X68" s="28">
        <v>156.69999999999999</v>
      </c>
      <c r="Y68" s="28">
        <v>135.80000000000001</v>
      </c>
      <c r="Z68" s="28">
        <v>151.19999999999999</v>
      </c>
      <c r="AA68" s="28">
        <v>161.19999999999999</v>
      </c>
      <c r="AB68" s="28">
        <v>145.1</v>
      </c>
      <c r="AC68" s="28">
        <v>148.6</v>
      </c>
      <c r="AD68" s="28">
        <v>149.80000000000001</v>
      </c>
      <c r="AE68" s="28">
        <v>1894.5999999999997</v>
      </c>
      <c r="AF68" s="28">
        <v>453.5</v>
      </c>
      <c r="AG68" s="29">
        <f t="shared" si="1"/>
        <v>440.7</v>
      </c>
    </row>
    <row r="69" spans="1:34" x14ac:dyDescent="0.3">
      <c r="A69" s="30" t="s">
        <v>32</v>
      </c>
      <c r="B69" s="26">
        <v>2020</v>
      </c>
      <c r="C69" s="26" t="s">
        <v>35</v>
      </c>
      <c r="D69" s="26">
        <v>146.5</v>
      </c>
      <c r="E69" s="26">
        <v>167.5</v>
      </c>
      <c r="F69" s="26">
        <v>148.9</v>
      </c>
      <c r="G69" s="26">
        <v>151.1</v>
      </c>
      <c r="H69" s="26">
        <v>127.5</v>
      </c>
      <c r="I69" s="26">
        <v>143.30000000000001</v>
      </c>
      <c r="J69" s="26">
        <v>167</v>
      </c>
      <c r="K69" s="26">
        <v>139.69999999999999</v>
      </c>
      <c r="L69" s="26">
        <v>114.4</v>
      </c>
      <c r="M69" s="26">
        <v>151.5</v>
      </c>
      <c r="N69" s="26">
        <v>131.9</v>
      </c>
      <c r="O69" s="26">
        <v>159.1</v>
      </c>
      <c r="P69" s="26">
        <v>150.1</v>
      </c>
      <c r="Q69" s="26">
        <v>173.3</v>
      </c>
      <c r="R69" s="26">
        <v>147.69999999999999</v>
      </c>
      <c r="S69" s="26">
        <v>133.80000000000001</v>
      </c>
      <c r="T69" s="26">
        <v>145.6</v>
      </c>
      <c r="U69" s="26">
        <v>154.5</v>
      </c>
      <c r="V69" s="26">
        <v>141.4</v>
      </c>
      <c r="W69" s="26">
        <v>140.80000000000001</v>
      </c>
      <c r="X69" s="26">
        <v>145</v>
      </c>
      <c r="Y69" s="26">
        <v>124.6</v>
      </c>
      <c r="Z69" s="26">
        <v>137.9</v>
      </c>
      <c r="AA69" s="26">
        <v>152.5</v>
      </c>
      <c r="AB69" s="26">
        <v>145.30000000000001</v>
      </c>
      <c r="AC69" s="26">
        <v>138.69999999999999</v>
      </c>
      <c r="AD69" s="26">
        <v>147.30000000000001</v>
      </c>
      <c r="AE69" s="26">
        <v>1898.5</v>
      </c>
      <c r="AF69" s="26">
        <v>427.1</v>
      </c>
      <c r="AG69" s="27">
        <f t="shared" si="1"/>
        <v>561.29999999999995</v>
      </c>
    </row>
    <row r="70" spans="1:34" x14ac:dyDescent="0.3">
      <c r="A70" s="31" t="s">
        <v>33</v>
      </c>
      <c r="B70" s="28">
        <v>2020</v>
      </c>
      <c r="C70" s="28" t="s">
        <v>35</v>
      </c>
      <c r="D70" s="28">
        <v>145.1</v>
      </c>
      <c r="E70" s="28">
        <v>167</v>
      </c>
      <c r="F70" s="28">
        <v>148.1</v>
      </c>
      <c r="G70" s="28">
        <v>151.5</v>
      </c>
      <c r="H70" s="28">
        <v>131.19999999999999</v>
      </c>
      <c r="I70" s="28">
        <v>142.5</v>
      </c>
      <c r="J70" s="28">
        <v>157.30000000000001</v>
      </c>
      <c r="K70" s="28">
        <v>141.1</v>
      </c>
      <c r="L70" s="28">
        <v>113.2</v>
      </c>
      <c r="M70" s="28">
        <v>153.19999999999999</v>
      </c>
      <c r="N70" s="28">
        <v>136.69999999999999</v>
      </c>
      <c r="O70" s="28">
        <v>159.6</v>
      </c>
      <c r="P70" s="28">
        <v>148.9</v>
      </c>
      <c r="Q70" s="28">
        <v>171.2</v>
      </c>
      <c r="R70" s="28">
        <v>151.19999999999999</v>
      </c>
      <c r="S70" s="28">
        <v>141.9</v>
      </c>
      <c r="T70" s="28">
        <v>149.80000000000001</v>
      </c>
      <c r="U70" s="28">
        <v>154.5</v>
      </c>
      <c r="V70" s="28">
        <v>148.9</v>
      </c>
      <c r="W70" s="28">
        <v>146.4</v>
      </c>
      <c r="X70" s="28">
        <v>152.30000000000001</v>
      </c>
      <c r="Y70" s="28">
        <v>129.9</v>
      </c>
      <c r="Z70" s="28">
        <v>143.69999999999999</v>
      </c>
      <c r="AA70" s="28">
        <v>156.1</v>
      </c>
      <c r="AB70" s="28">
        <v>145.19999999999999</v>
      </c>
      <c r="AC70" s="28">
        <v>143.80000000000001</v>
      </c>
      <c r="AD70" s="28">
        <v>148.6</v>
      </c>
      <c r="AE70" s="28">
        <v>1895.4</v>
      </c>
      <c r="AF70" s="28">
        <v>442.90000000000003</v>
      </c>
      <c r="AG70" s="29">
        <f t="shared" si="1"/>
        <v>579.69999999999993</v>
      </c>
    </row>
    <row r="71" spans="1:34" x14ac:dyDescent="0.3">
      <c r="A71" s="30" t="s">
        <v>30</v>
      </c>
      <c r="B71" s="26">
        <v>2020</v>
      </c>
      <c r="C71" s="26" t="s">
        <v>36</v>
      </c>
      <c r="D71" s="26">
        <v>147.19999999999999</v>
      </c>
      <c r="E71" s="75">
        <v>178.23333333333335</v>
      </c>
      <c r="F71" s="26">
        <v>146.9</v>
      </c>
      <c r="G71" s="26">
        <v>155.6</v>
      </c>
      <c r="H71" s="26">
        <v>137.1</v>
      </c>
      <c r="I71" s="26">
        <v>147.30000000000001</v>
      </c>
      <c r="J71" s="26">
        <v>162.69999999999999</v>
      </c>
      <c r="K71" s="26">
        <v>150.19999999999999</v>
      </c>
      <c r="L71" s="26">
        <v>119.8</v>
      </c>
      <c r="M71" s="26">
        <v>158.69999999999999</v>
      </c>
      <c r="N71" s="26">
        <v>139.19999999999999</v>
      </c>
      <c r="O71" s="75">
        <v>160.5</v>
      </c>
      <c r="P71" s="26">
        <v>150.1</v>
      </c>
      <c r="Q71" s="75">
        <v>175.70000000000002</v>
      </c>
      <c r="R71" s="75">
        <v>153.94999999999999</v>
      </c>
      <c r="S71" s="75">
        <v>148.63333333333333</v>
      </c>
      <c r="T71" s="75">
        <v>153.23333333333335</v>
      </c>
      <c r="U71" s="26">
        <v>0</v>
      </c>
      <c r="V71" s="26">
        <v>148.4</v>
      </c>
      <c r="W71" s="75">
        <v>151.71666666666667</v>
      </c>
      <c r="X71" s="26">
        <v>154.30000000000001</v>
      </c>
      <c r="Y71" s="75">
        <v>139.08333333333334</v>
      </c>
      <c r="Z71" s="75">
        <v>151.7166666666667</v>
      </c>
      <c r="AA71" s="75">
        <v>161.85000000000002</v>
      </c>
      <c r="AB71" s="75">
        <v>147.83333333333334</v>
      </c>
      <c r="AC71" s="75">
        <v>150.25</v>
      </c>
      <c r="AD71" s="75">
        <v>152.03333333333333</v>
      </c>
      <c r="AE71" s="78">
        <v>1953.5333333333335</v>
      </c>
      <c r="AF71" s="78">
        <v>455.81666666666666</v>
      </c>
      <c r="AG71" s="79">
        <v>439.20000000000005</v>
      </c>
      <c r="AH71" s="35"/>
    </row>
    <row r="72" spans="1:34" x14ac:dyDescent="0.3">
      <c r="A72" s="31" t="s">
        <v>32</v>
      </c>
      <c r="B72" s="28">
        <v>2020</v>
      </c>
      <c r="C72" s="28" t="s">
        <v>36</v>
      </c>
      <c r="D72" s="28">
        <v>151.80000000000001</v>
      </c>
      <c r="E72" s="76">
        <v>182.41666666666666</v>
      </c>
      <c r="F72" s="28">
        <v>151.9</v>
      </c>
      <c r="G72" s="28">
        <v>155.5</v>
      </c>
      <c r="H72" s="28">
        <v>131.6</v>
      </c>
      <c r="I72" s="28">
        <v>152.9</v>
      </c>
      <c r="J72" s="28">
        <v>180</v>
      </c>
      <c r="K72" s="28">
        <v>150.80000000000001</v>
      </c>
      <c r="L72" s="28">
        <v>121.2</v>
      </c>
      <c r="M72" s="28">
        <v>154</v>
      </c>
      <c r="N72" s="28">
        <v>133.5</v>
      </c>
      <c r="O72" s="76">
        <v>160.54999999999998</v>
      </c>
      <c r="P72" s="28">
        <v>153.5</v>
      </c>
      <c r="Q72" s="76">
        <v>179.45000000000002</v>
      </c>
      <c r="R72" s="76">
        <v>148.36666666666667</v>
      </c>
      <c r="S72" s="76">
        <v>134.81666666666669</v>
      </c>
      <c r="T72" s="76">
        <v>146.31666666666663</v>
      </c>
      <c r="U72" s="28">
        <v>155.6</v>
      </c>
      <c r="V72" s="28">
        <v>137.1</v>
      </c>
      <c r="W72" s="76">
        <v>141.1</v>
      </c>
      <c r="X72" s="28">
        <v>144.80000000000001</v>
      </c>
      <c r="Y72" s="76">
        <v>128.06666666666666</v>
      </c>
      <c r="Z72" s="76">
        <v>140.5</v>
      </c>
      <c r="AA72" s="76">
        <v>152.88333333333333</v>
      </c>
      <c r="AB72" s="76">
        <v>148.41666666666666</v>
      </c>
      <c r="AC72" s="76">
        <v>140.71666666666667</v>
      </c>
      <c r="AD72" s="76">
        <v>149.61666666666665</v>
      </c>
      <c r="AE72" s="80">
        <v>1979.6666666666667</v>
      </c>
      <c r="AF72" s="80">
        <v>429.5</v>
      </c>
      <c r="AG72" s="81">
        <v>561.86666666666656</v>
      </c>
      <c r="AH72" s="35"/>
    </row>
    <row r="73" spans="1:34" x14ac:dyDescent="0.3">
      <c r="A73" s="30" t="s">
        <v>33</v>
      </c>
      <c r="B73" s="26">
        <v>2020</v>
      </c>
      <c r="C73" s="26" t="s">
        <v>36</v>
      </c>
      <c r="D73" s="26">
        <v>147.78333333333333</v>
      </c>
      <c r="E73" s="75">
        <v>181.75000000000003</v>
      </c>
      <c r="F73" s="26">
        <v>150.38333333333333</v>
      </c>
      <c r="G73" s="26">
        <v>152.96666666666667</v>
      </c>
      <c r="H73" s="26">
        <v>134.61666666666665</v>
      </c>
      <c r="I73" s="26">
        <v>146.49999999999997</v>
      </c>
      <c r="J73" s="26">
        <v>164.61666666666665</v>
      </c>
      <c r="K73" s="26">
        <v>147.46666666666667</v>
      </c>
      <c r="L73" s="26">
        <v>115.10000000000001</v>
      </c>
      <c r="M73" s="26">
        <v>156.88333333333333</v>
      </c>
      <c r="N73" s="26">
        <v>138.23333333333332</v>
      </c>
      <c r="O73" s="75">
        <v>160.85555555555553</v>
      </c>
      <c r="P73" s="26">
        <v>152.63333333333333</v>
      </c>
      <c r="Q73" s="75">
        <v>177.93055555555554</v>
      </c>
      <c r="R73" s="75">
        <v>151.97777777777779</v>
      </c>
      <c r="S73" s="75">
        <v>143.11388888888888</v>
      </c>
      <c r="T73" s="75">
        <v>150.71666666666667</v>
      </c>
      <c r="U73" s="26">
        <v>0</v>
      </c>
      <c r="V73" s="26">
        <v>144.5</v>
      </c>
      <c r="W73" s="75">
        <v>146.78333333333333</v>
      </c>
      <c r="X73" s="78">
        <v>153.08333333333334</v>
      </c>
      <c r="Y73" s="75">
        <v>133.66111111111113</v>
      </c>
      <c r="Z73" s="75">
        <v>145.81388888888887</v>
      </c>
      <c r="AA73" s="75">
        <v>156.70277777777775</v>
      </c>
      <c r="AB73" s="75">
        <v>149.0277777777778</v>
      </c>
      <c r="AC73" s="75">
        <v>146.00555555555556</v>
      </c>
      <c r="AD73" s="75">
        <v>151.01666666666668</v>
      </c>
      <c r="AE73" s="78">
        <v>1949.7888888888888</v>
      </c>
      <c r="AF73" s="78">
        <v>445.80833333333339</v>
      </c>
      <c r="AG73" s="79">
        <v>424.94444444444446</v>
      </c>
      <c r="AH73" s="35"/>
    </row>
    <row r="74" spans="1:34" x14ac:dyDescent="0.3">
      <c r="A74" s="31" t="s">
        <v>30</v>
      </c>
      <c r="B74" s="28">
        <v>2020</v>
      </c>
      <c r="C74" s="28" t="s">
        <v>37</v>
      </c>
      <c r="D74" s="76">
        <v>146.63333333333335</v>
      </c>
      <c r="E74" s="76">
        <v>180.05555555555554</v>
      </c>
      <c r="F74" s="76">
        <v>148.76666666666665</v>
      </c>
      <c r="G74" s="76">
        <v>153.01666666666665</v>
      </c>
      <c r="H74" s="76">
        <v>136.71666666666667</v>
      </c>
      <c r="I74" s="76">
        <v>143.85</v>
      </c>
      <c r="J74" s="76">
        <v>158.15</v>
      </c>
      <c r="K74" s="76">
        <v>147.38333333333335</v>
      </c>
      <c r="L74" s="76">
        <v>114.35000000000001</v>
      </c>
      <c r="M74" s="76">
        <v>157.51666666666665</v>
      </c>
      <c r="N74" s="76">
        <v>141.18333333333334</v>
      </c>
      <c r="O74" s="76">
        <v>160.79999999999998</v>
      </c>
      <c r="P74" s="76">
        <v>151.33333333333334</v>
      </c>
      <c r="Q74" s="76">
        <v>176.88333333333333</v>
      </c>
      <c r="R74" s="76">
        <v>154.14166666666668</v>
      </c>
      <c r="S74" s="76">
        <v>148.83888888888887</v>
      </c>
      <c r="T74" s="76">
        <v>153.42222222222222</v>
      </c>
      <c r="U74" s="28">
        <v>0</v>
      </c>
      <c r="V74" s="76">
        <v>148.28333333333333</v>
      </c>
      <c r="W74" s="76">
        <v>151.71944444444446</v>
      </c>
      <c r="X74" s="76">
        <v>157.06666666666663</v>
      </c>
      <c r="Y74" s="76">
        <v>139.54722222222222</v>
      </c>
      <c r="Z74" s="76">
        <v>151.98611111111111</v>
      </c>
      <c r="AA74" s="76">
        <v>161.875</v>
      </c>
      <c r="AB74" s="76">
        <v>148.72222222222223</v>
      </c>
      <c r="AC74" s="76">
        <v>150.60833333333335</v>
      </c>
      <c r="AD74" s="76">
        <v>152.05555555555557</v>
      </c>
      <c r="AE74" s="80">
        <v>1939.7555555555555</v>
      </c>
      <c r="AF74" s="80">
        <v>456.40277777777777</v>
      </c>
      <c r="AG74" s="81">
        <v>439.55</v>
      </c>
      <c r="AH74" s="35"/>
    </row>
    <row r="75" spans="1:34" x14ac:dyDescent="0.3">
      <c r="A75" s="30" t="s">
        <v>32</v>
      </c>
      <c r="B75" s="26">
        <v>2020</v>
      </c>
      <c r="C75" s="26" t="s">
        <v>37</v>
      </c>
      <c r="D75" s="75">
        <v>150.25000000000003</v>
      </c>
      <c r="E75" s="75">
        <v>184.88611111111109</v>
      </c>
      <c r="F75" s="75">
        <v>152.93333333333334</v>
      </c>
      <c r="G75" s="75">
        <v>152.91666666666666</v>
      </c>
      <c r="H75" s="75">
        <v>130.94999999999999</v>
      </c>
      <c r="I75" s="75">
        <v>149.56666666666669</v>
      </c>
      <c r="J75" s="75">
        <v>177.16666666666671</v>
      </c>
      <c r="K75" s="75">
        <v>147.56666666666669</v>
      </c>
      <c r="L75" s="75">
        <v>116.60000000000001</v>
      </c>
      <c r="M75" s="75">
        <v>155.58333333333334</v>
      </c>
      <c r="N75" s="75">
        <v>134.1</v>
      </c>
      <c r="O75" s="75">
        <v>160.89166666666665</v>
      </c>
      <c r="P75" s="75">
        <v>154.86666666666665</v>
      </c>
      <c r="Q75" s="75">
        <v>180.89166666666668</v>
      </c>
      <c r="R75" s="75">
        <v>148.59444444444446</v>
      </c>
      <c r="S75" s="75">
        <v>135.08611111111111</v>
      </c>
      <c r="T75" s="75">
        <v>146.55277777777778</v>
      </c>
      <c r="U75" s="26">
        <v>0</v>
      </c>
      <c r="V75" s="75">
        <v>138.31666666666669</v>
      </c>
      <c r="W75" s="75">
        <v>141.26666666666665</v>
      </c>
      <c r="X75" s="75">
        <v>146.51666666666668</v>
      </c>
      <c r="Y75" s="75">
        <v>128.39444444444445</v>
      </c>
      <c r="Z75" s="75">
        <v>141.04999999999998</v>
      </c>
      <c r="AA75" s="75">
        <v>153.01388888888889</v>
      </c>
      <c r="AB75" s="75">
        <v>149.46944444444446</v>
      </c>
      <c r="AC75" s="75">
        <v>141.10277777777776</v>
      </c>
      <c r="AD75" s="75">
        <v>149.85277777777779</v>
      </c>
      <c r="AE75" s="78">
        <v>1968.2777777777774</v>
      </c>
      <c r="AF75" s="78">
        <v>430.23333333333335</v>
      </c>
      <c r="AG75" s="79">
        <v>407.97777777777782</v>
      </c>
      <c r="AH75" s="35"/>
    </row>
    <row r="76" spans="1:34" x14ac:dyDescent="0.3">
      <c r="A76" s="31" t="s">
        <v>33</v>
      </c>
      <c r="B76" s="28">
        <v>2020</v>
      </c>
      <c r="C76" s="28" t="s">
        <v>37</v>
      </c>
      <c r="D76" s="76">
        <v>147.78333333333333</v>
      </c>
      <c r="E76" s="76">
        <v>181.75000000000003</v>
      </c>
      <c r="F76" s="76">
        <v>150.38333333333333</v>
      </c>
      <c r="G76" s="76">
        <v>152.96666666666667</v>
      </c>
      <c r="H76" s="76">
        <v>134.61666666666665</v>
      </c>
      <c r="I76" s="76">
        <v>146.49999999999997</v>
      </c>
      <c r="J76" s="76">
        <v>164.61666666666665</v>
      </c>
      <c r="K76" s="76">
        <v>147.46666666666667</v>
      </c>
      <c r="L76" s="76">
        <v>115.10000000000001</v>
      </c>
      <c r="M76" s="76">
        <v>156.88333333333333</v>
      </c>
      <c r="N76" s="76">
        <v>138.23333333333332</v>
      </c>
      <c r="O76" s="76">
        <v>160.85555555555553</v>
      </c>
      <c r="P76" s="76">
        <v>152.63333333333333</v>
      </c>
      <c r="Q76" s="76">
        <v>177.93055555555554</v>
      </c>
      <c r="R76" s="76">
        <v>151.97777777777779</v>
      </c>
      <c r="S76" s="76">
        <v>143.11388888888888</v>
      </c>
      <c r="T76" s="76">
        <v>150.71666666666667</v>
      </c>
      <c r="U76" s="28">
        <v>0</v>
      </c>
      <c r="V76" s="76">
        <v>144.5</v>
      </c>
      <c r="W76" s="76">
        <v>146.78333333333333</v>
      </c>
      <c r="X76" s="76">
        <v>153.08333333333334</v>
      </c>
      <c r="Y76" s="76">
        <v>133.66111111111113</v>
      </c>
      <c r="Z76" s="76">
        <v>145.81388888888887</v>
      </c>
      <c r="AA76" s="76">
        <v>156.70277777777775</v>
      </c>
      <c r="AB76" s="76">
        <v>149.0277777777778</v>
      </c>
      <c r="AC76" s="76">
        <v>146.00555555555556</v>
      </c>
      <c r="AD76" s="76">
        <v>151.01666666666668</v>
      </c>
      <c r="AE76" s="80">
        <v>1949.7888888888888</v>
      </c>
      <c r="AF76" s="80">
        <v>445.80833333333339</v>
      </c>
      <c r="AG76" s="81">
        <v>424.94444444444446</v>
      </c>
      <c r="AH76" s="35"/>
    </row>
    <row r="77" spans="1:34" x14ac:dyDescent="0.3">
      <c r="A77" s="30" t="s">
        <v>30</v>
      </c>
      <c r="B77" s="26">
        <v>2020</v>
      </c>
      <c r="C77" s="26" t="s">
        <v>38</v>
      </c>
      <c r="D77" s="26">
        <v>148.19999999999999</v>
      </c>
      <c r="E77" s="26">
        <v>190.3</v>
      </c>
      <c r="F77" s="26">
        <v>149.4</v>
      </c>
      <c r="G77" s="26">
        <v>153.30000000000001</v>
      </c>
      <c r="H77" s="26">
        <v>138.19999999999999</v>
      </c>
      <c r="I77" s="26">
        <v>143.19999999999999</v>
      </c>
      <c r="J77" s="26">
        <v>148.9</v>
      </c>
      <c r="K77" s="26">
        <v>150.30000000000001</v>
      </c>
      <c r="L77" s="26">
        <v>113.2</v>
      </c>
      <c r="M77" s="26">
        <v>159.80000000000001</v>
      </c>
      <c r="N77" s="26">
        <v>142.1</v>
      </c>
      <c r="O77" s="26">
        <v>161.80000000000001</v>
      </c>
      <c r="P77" s="26">
        <v>152.30000000000001</v>
      </c>
      <c r="Q77" s="26">
        <v>182.4</v>
      </c>
      <c r="R77" s="26">
        <v>154.69999999999999</v>
      </c>
      <c r="S77" s="26">
        <v>150</v>
      </c>
      <c r="T77" s="26">
        <v>154.1</v>
      </c>
      <c r="U77" s="26" t="s">
        <v>89</v>
      </c>
      <c r="V77" s="26">
        <v>144.9</v>
      </c>
      <c r="W77" s="26">
        <v>151.69999999999999</v>
      </c>
      <c r="X77" s="26">
        <v>158.19999999999999</v>
      </c>
      <c r="Y77" s="26">
        <v>141.4</v>
      </c>
      <c r="Z77" s="26">
        <v>153.19999999999999</v>
      </c>
      <c r="AA77" s="26">
        <v>161.80000000000001</v>
      </c>
      <c r="AB77" s="26">
        <v>151.19999999999999</v>
      </c>
      <c r="AC77" s="26">
        <v>151.69999999999999</v>
      </c>
      <c r="AD77" s="26">
        <v>152.69999999999999</v>
      </c>
      <c r="AE77" s="26">
        <v>1951</v>
      </c>
      <c r="AF77" s="26">
        <v>458.79999999999995</v>
      </c>
      <c r="AG77" s="27">
        <f t="shared" si="1"/>
        <v>438</v>
      </c>
    </row>
    <row r="78" spans="1:34" x14ac:dyDescent="0.3">
      <c r="A78" s="31" t="s">
        <v>32</v>
      </c>
      <c r="B78" s="28">
        <v>2020</v>
      </c>
      <c r="C78" s="28" t="s">
        <v>38</v>
      </c>
      <c r="D78" s="28">
        <v>152.69999999999999</v>
      </c>
      <c r="E78" s="28">
        <v>197</v>
      </c>
      <c r="F78" s="28">
        <v>154.6</v>
      </c>
      <c r="G78" s="28">
        <v>153.4</v>
      </c>
      <c r="H78" s="28">
        <v>132.9</v>
      </c>
      <c r="I78" s="28">
        <v>151.80000000000001</v>
      </c>
      <c r="J78" s="28">
        <v>171.2</v>
      </c>
      <c r="K78" s="28">
        <v>152</v>
      </c>
      <c r="L78" s="28">
        <v>116.3</v>
      </c>
      <c r="M78" s="28">
        <v>158.80000000000001</v>
      </c>
      <c r="N78" s="28">
        <v>135.6</v>
      </c>
      <c r="O78" s="28">
        <v>161.69999999999999</v>
      </c>
      <c r="P78" s="28">
        <v>157</v>
      </c>
      <c r="Q78" s="28">
        <v>186.7</v>
      </c>
      <c r="R78" s="28">
        <v>149.1</v>
      </c>
      <c r="S78" s="28">
        <v>136.6</v>
      </c>
      <c r="T78" s="28">
        <v>147.19999999999999</v>
      </c>
      <c r="U78" s="28">
        <v>154.69999999999999</v>
      </c>
      <c r="V78" s="28">
        <v>137.1</v>
      </c>
      <c r="W78" s="28">
        <v>140.4</v>
      </c>
      <c r="X78" s="28">
        <v>148.1</v>
      </c>
      <c r="Y78" s="28">
        <v>129.30000000000001</v>
      </c>
      <c r="Z78" s="28">
        <v>144.5</v>
      </c>
      <c r="AA78" s="28">
        <v>152.5</v>
      </c>
      <c r="AB78" s="28">
        <v>152.19999999999999</v>
      </c>
      <c r="AC78" s="28">
        <v>142</v>
      </c>
      <c r="AD78" s="28">
        <v>150.80000000000001</v>
      </c>
      <c r="AE78" s="28">
        <v>1994.9999999999998</v>
      </c>
      <c r="AF78" s="28">
        <v>432.9</v>
      </c>
      <c r="AG78" s="29">
        <f t="shared" si="1"/>
        <v>561.5</v>
      </c>
    </row>
    <row r="79" spans="1:34" x14ac:dyDescent="0.3">
      <c r="A79" s="30" t="s">
        <v>33</v>
      </c>
      <c r="B79" s="26">
        <v>2020</v>
      </c>
      <c r="C79" s="26" t="s">
        <v>38</v>
      </c>
      <c r="D79" s="26">
        <v>149.6</v>
      </c>
      <c r="E79" s="26">
        <v>192.7</v>
      </c>
      <c r="F79" s="26">
        <v>151.4</v>
      </c>
      <c r="G79" s="26">
        <v>153.30000000000001</v>
      </c>
      <c r="H79" s="26">
        <v>136.30000000000001</v>
      </c>
      <c r="I79" s="26">
        <v>147.19999999999999</v>
      </c>
      <c r="J79" s="26">
        <v>156.5</v>
      </c>
      <c r="K79" s="26">
        <v>150.9</v>
      </c>
      <c r="L79" s="26">
        <v>114.2</v>
      </c>
      <c r="M79" s="26">
        <v>159.5</v>
      </c>
      <c r="N79" s="26">
        <v>139.4</v>
      </c>
      <c r="O79" s="26">
        <v>161.80000000000001</v>
      </c>
      <c r="P79" s="26">
        <v>154</v>
      </c>
      <c r="Q79" s="26">
        <v>183.5</v>
      </c>
      <c r="R79" s="26">
        <v>152.5</v>
      </c>
      <c r="S79" s="26">
        <v>144.4</v>
      </c>
      <c r="T79" s="26">
        <v>151.4</v>
      </c>
      <c r="U79" s="26">
        <v>154.69999999999999</v>
      </c>
      <c r="V79" s="26">
        <v>141.9</v>
      </c>
      <c r="W79" s="26">
        <v>146.4</v>
      </c>
      <c r="X79" s="26">
        <v>154.4</v>
      </c>
      <c r="Y79" s="26">
        <v>135</v>
      </c>
      <c r="Z79" s="26">
        <v>148.30000000000001</v>
      </c>
      <c r="AA79" s="26">
        <v>156.4</v>
      </c>
      <c r="AB79" s="26">
        <v>151.6</v>
      </c>
      <c r="AC79" s="26">
        <v>147</v>
      </c>
      <c r="AD79" s="26">
        <v>151.80000000000001</v>
      </c>
      <c r="AE79" s="26">
        <v>1966.8000000000002</v>
      </c>
      <c r="AF79" s="26">
        <v>448.29999999999995</v>
      </c>
      <c r="AG79" s="27">
        <f t="shared" si="1"/>
        <v>578</v>
      </c>
    </row>
    <row r="80" spans="1:34" x14ac:dyDescent="0.3">
      <c r="A80" s="31" t="s">
        <v>30</v>
      </c>
      <c r="B80" s="28">
        <v>2020</v>
      </c>
      <c r="C80" s="28" t="s">
        <v>39</v>
      </c>
      <c r="D80" s="28">
        <v>148.19999999999999</v>
      </c>
      <c r="E80" s="28">
        <v>190.3</v>
      </c>
      <c r="F80" s="28">
        <v>149.4</v>
      </c>
      <c r="G80" s="28">
        <v>153.30000000000001</v>
      </c>
      <c r="H80" s="28">
        <v>138.19999999999999</v>
      </c>
      <c r="I80" s="28">
        <v>143.19999999999999</v>
      </c>
      <c r="J80" s="28">
        <v>148.9</v>
      </c>
      <c r="K80" s="28">
        <v>150.30000000000001</v>
      </c>
      <c r="L80" s="28">
        <v>113.2</v>
      </c>
      <c r="M80" s="28">
        <v>159.80000000000001</v>
      </c>
      <c r="N80" s="28">
        <v>142.1</v>
      </c>
      <c r="O80" s="28">
        <v>161.80000000000001</v>
      </c>
      <c r="P80" s="28">
        <v>152.30000000000001</v>
      </c>
      <c r="Q80" s="28">
        <v>182.4</v>
      </c>
      <c r="R80" s="28">
        <v>154.69999999999999</v>
      </c>
      <c r="S80" s="28">
        <v>150</v>
      </c>
      <c r="T80" s="28">
        <v>154.1</v>
      </c>
      <c r="U80" s="28" t="s">
        <v>89</v>
      </c>
      <c r="V80" s="28">
        <v>144.9</v>
      </c>
      <c r="W80" s="28">
        <v>151.69999999999999</v>
      </c>
      <c r="X80" s="28">
        <v>158.19999999999999</v>
      </c>
      <c r="Y80" s="28">
        <v>141.4</v>
      </c>
      <c r="Z80" s="28">
        <v>153.19999999999999</v>
      </c>
      <c r="AA80" s="28">
        <v>161.80000000000001</v>
      </c>
      <c r="AB80" s="28">
        <v>151.19999999999999</v>
      </c>
      <c r="AC80" s="28">
        <v>151.69999999999999</v>
      </c>
      <c r="AD80" s="28">
        <v>152.69999999999999</v>
      </c>
      <c r="AE80" s="28">
        <v>1951</v>
      </c>
      <c r="AF80" s="28">
        <v>458.79999999999995</v>
      </c>
      <c r="AG80" s="29">
        <f t="shared" si="1"/>
        <v>438</v>
      </c>
    </row>
    <row r="81" spans="1:33" x14ac:dyDescent="0.3">
      <c r="A81" s="30" t="s">
        <v>32</v>
      </c>
      <c r="B81" s="26">
        <v>2020</v>
      </c>
      <c r="C81" s="26" t="s">
        <v>39</v>
      </c>
      <c r="D81" s="26">
        <v>152.69999999999999</v>
      </c>
      <c r="E81" s="26">
        <v>197</v>
      </c>
      <c r="F81" s="26">
        <v>154.6</v>
      </c>
      <c r="G81" s="26">
        <v>153.4</v>
      </c>
      <c r="H81" s="26">
        <v>132.9</v>
      </c>
      <c r="I81" s="26">
        <v>151.80000000000001</v>
      </c>
      <c r="J81" s="26">
        <v>171.2</v>
      </c>
      <c r="K81" s="26">
        <v>152</v>
      </c>
      <c r="L81" s="26">
        <v>116.3</v>
      </c>
      <c r="M81" s="26">
        <v>158.80000000000001</v>
      </c>
      <c r="N81" s="26">
        <v>135.6</v>
      </c>
      <c r="O81" s="26">
        <v>161.69999999999999</v>
      </c>
      <c r="P81" s="26">
        <v>157</v>
      </c>
      <c r="Q81" s="26">
        <v>186.7</v>
      </c>
      <c r="R81" s="26">
        <v>149.1</v>
      </c>
      <c r="S81" s="26">
        <v>136.6</v>
      </c>
      <c r="T81" s="26">
        <v>147.19999999999999</v>
      </c>
      <c r="U81" s="26">
        <v>154.69999999999999</v>
      </c>
      <c r="V81" s="26">
        <v>137.1</v>
      </c>
      <c r="W81" s="26">
        <v>140.4</v>
      </c>
      <c r="X81" s="26">
        <v>148.1</v>
      </c>
      <c r="Y81" s="26">
        <v>129.30000000000001</v>
      </c>
      <c r="Z81" s="26">
        <v>144.5</v>
      </c>
      <c r="AA81" s="26">
        <v>152.5</v>
      </c>
      <c r="AB81" s="26">
        <v>152.19999999999999</v>
      </c>
      <c r="AC81" s="26">
        <v>142</v>
      </c>
      <c r="AD81" s="26">
        <v>150.80000000000001</v>
      </c>
      <c r="AE81" s="26">
        <v>1994.9999999999998</v>
      </c>
      <c r="AF81" s="26">
        <v>432.9</v>
      </c>
      <c r="AG81" s="27">
        <f t="shared" si="1"/>
        <v>561.5</v>
      </c>
    </row>
    <row r="82" spans="1:33" x14ac:dyDescent="0.3">
      <c r="A82" s="31" t="s">
        <v>33</v>
      </c>
      <c r="B82" s="28">
        <v>2020</v>
      </c>
      <c r="C82" s="28" t="s">
        <v>39</v>
      </c>
      <c r="D82" s="28">
        <v>149.6</v>
      </c>
      <c r="E82" s="28">
        <v>192.7</v>
      </c>
      <c r="F82" s="28">
        <v>151.4</v>
      </c>
      <c r="G82" s="28">
        <v>153.30000000000001</v>
      </c>
      <c r="H82" s="28">
        <v>136.30000000000001</v>
      </c>
      <c r="I82" s="28">
        <v>147.19999999999999</v>
      </c>
      <c r="J82" s="28">
        <v>156.5</v>
      </c>
      <c r="K82" s="28">
        <v>150.9</v>
      </c>
      <c r="L82" s="28">
        <v>114.2</v>
      </c>
      <c r="M82" s="28">
        <v>159.5</v>
      </c>
      <c r="N82" s="28">
        <v>139.4</v>
      </c>
      <c r="O82" s="28">
        <v>161.80000000000001</v>
      </c>
      <c r="P82" s="28">
        <v>154</v>
      </c>
      <c r="Q82" s="28">
        <v>183.5</v>
      </c>
      <c r="R82" s="28">
        <v>152.5</v>
      </c>
      <c r="S82" s="28">
        <v>144.4</v>
      </c>
      <c r="T82" s="28">
        <v>151.4</v>
      </c>
      <c r="U82" s="28">
        <v>154.69999999999999</v>
      </c>
      <c r="V82" s="28">
        <v>141.9</v>
      </c>
      <c r="W82" s="28">
        <v>146.4</v>
      </c>
      <c r="X82" s="28">
        <v>154.4</v>
      </c>
      <c r="Y82" s="28">
        <v>135</v>
      </c>
      <c r="Z82" s="28">
        <v>148.30000000000001</v>
      </c>
      <c r="AA82" s="28">
        <v>156.4</v>
      </c>
      <c r="AB82" s="28">
        <v>151.6</v>
      </c>
      <c r="AC82" s="28">
        <v>147</v>
      </c>
      <c r="AD82" s="28">
        <v>151.80000000000001</v>
      </c>
      <c r="AE82" s="28">
        <v>1966.8000000000002</v>
      </c>
      <c r="AF82" s="28">
        <v>448.29999999999995</v>
      </c>
      <c r="AG82" s="29">
        <f t="shared" si="1"/>
        <v>578</v>
      </c>
    </row>
    <row r="83" spans="1:33" x14ac:dyDescent="0.3">
      <c r="A83" s="30" t="s">
        <v>30</v>
      </c>
      <c r="B83" s="26">
        <v>2020</v>
      </c>
      <c r="C83" s="26" t="s">
        <v>40</v>
      </c>
      <c r="D83" s="26">
        <v>147.6</v>
      </c>
      <c r="E83" s="26">
        <v>187.2</v>
      </c>
      <c r="F83" s="26">
        <v>148.4</v>
      </c>
      <c r="G83" s="26">
        <v>153.30000000000001</v>
      </c>
      <c r="H83" s="26">
        <v>139.80000000000001</v>
      </c>
      <c r="I83" s="26">
        <v>146.9</v>
      </c>
      <c r="J83" s="26">
        <v>171</v>
      </c>
      <c r="K83" s="26">
        <v>149.9</v>
      </c>
      <c r="L83" s="26">
        <v>114.2</v>
      </c>
      <c r="M83" s="26">
        <v>160</v>
      </c>
      <c r="N83" s="26">
        <v>143.5</v>
      </c>
      <c r="O83" s="26">
        <v>161.5</v>
      </c>
      <c r="P83" s="26">
        <v>155.30000000000001</v>
      </c>
      <c r="Q83" s="26">
        <v>180.9</v>
      </c>
      <c r="R83" s="26">
        <v>155.1</v>
      </c>
      <c r="S83" s="26">
        <v>149.30000000000001</v>
      </c>
      <c r="T83" s="26">
        <v>154.30000000000001</v>
      </c>
      <c r="U83" s="26" t="s">
        <v>89</v>
      </c>
      <c r="V83" s="26">
        <v>145.80000000000001</v>
      </c>
      <c r="W83" s="26">
        <v>151.9</v>
      </c>
      <c r="X83" s="26">
        <v>158.80000000000001</v>
      </c>
      <c r="Y83" s="26">
        <v>143.6</v>
      </c>
      <c r="Z83" s="26">
        <v>152.19999999999999</v>
      </c>
      <c r="AA83" s="26">
        <v>162.69999999999999</v>
      </c>
      <c r="AB83" s="26">
        <v>153.6</v>
      </c>
      <c r="AC83" s="26">
        <v>153</v>
      </c>
      <c r="AD83" s="26">
        <v>154.69999999999999</v>
      </c>
      <c r="AE83" s="26">
        <v>1978.6</v>
      </c>
      <c r="AF83" s="26">
        <v>458.7</v>
      </c>
      <c r="AG83" s="27">
        <f t="shared" si="1"/>
        <v>441.30000000000007</v>
      </c>
    </row>
    <row r="84" spans="1:33" x14ac:dyDescent="0.3">
      <c r="A84" s="31" t="s">
        <v>32</v>
      </c>
      <c r="B84" s="28">
        <v>2020</v>
      </c>
      <c r="C84" s="28" t="s">
        <v>40</v>
      </c>
      <c r="D84" s="28">
        <v>151.6</v>
      </c>
      <c r="E84" s="28">
        <v>197.8</v>
      </c>
      <c r="F84" s="28">
        <v>154.5</v>
      </c>
      <c r="G84" s="28">
        <v>153.4</v>
      </c>
      <c r="H84" s="28">
        <v>133.4</v>
      </c>
      <c r="I84" s="28">
        <v>154.5</v>
      </c>
      <c r="J84" s="28">
        <v>191.9</v>
      </c>
      <c r="K84" s="28">
        <v>151.30000000000001</v>
      </c>
      <c r="L84" s="28">
        <v>116.8</v>
      </c>
      <c r="M84" s="28">
        <v>160</v>
      </c>
      <c r="N84" s="28">
        <v>136.5</v>
      </c>
      <c r="O84" s="28">
        <v>163.30000000000001</v>
      </c>
      <c r="P84" s="28">
        <v>159.9</v>
      </c>
      <c r="Q84" s="28">
        <v>187.2</v>
      </c>
      <c r="R84" s="28">
        <v>150</v>
      </c>
      <c r="S84" s="28">
        <v>135.19999999999999</v>
      </c>
      <c r="T84" s="28">
        <v>147.80000000000001</v>
      </c>
      <c r="U84" s="28">
        <v>155.5</v>
      </c>
      <c r="V84" s="28">
        <v>138.30000000000001</v>
      </c>
      <c r="W84" s="28">
        <v>144.5</v>
      </c>
      <c r="X84" s="28">
        <v>148.69999999999999</v>
      </c>
      <c r="Y84" s="28">
        <v>133.9</v>
      </c>
      <c r="Z84" s="28">
        <v>141.19999999999999</v>
      </c>
      <c r="AA84" s="28">
        <v>155.5</v>
      </c>
      <c r="AB84" s="28">
        <v>155.19999999999999</v>
      </c>
      <c r="AC84" s="28">
        <v>144.80000000000001</v>
      </c>
      <c r="AD84" s="28">
        <v>152.9</v>
      </c>
      <c r="AE84" s="28">
        <v>2024.8999999999999</v>
      </c>
      <c r="AF84" s="28">
        <v>433</v>
      </c>
      <c r="AG84" s="29">
        <f t="shared" si="1"/>
        <v>572.20000000000005</v>
      </c>
    </row>
    <row r="85" spans="1:33" x14ac:dyDescent="0.3">
      <c r="A85" s="30" t="s">
        <v>33</v>
      </c>
      <c r="B85" s="26">
        <v>2020</v>
      </c>
      <c r="C85" s="26" t="s">
        <v>40</v>
      </c>
      <c r="D85" s="26">
        <v>148.9</v>
      </c>
      <c r="E85" s="26">
        <v>190.9</v>
      </c>
      <c r="F85" s="26">
        <v>150.80000000000001</v>
      </c>
      <c r="G85" s="26">
        <v>153.30000000000001</v>
      </c>
      <c r="H85" s="26">
        <v>137.4</v>
      </c>
      <c r="I85" s="26">
        <v>150.4</v>
      </c>
      <c r="J85" s="26">
        <v>178.1</v>
      </c>
      <c r="K85" s="26">
        <v>150.4</v>
      </c>
      <c r="L85" s="26">
        <v>115.1</v>
      </c>
      <c r="M85" s="26">
        <v>160</v>
      </c>
      <c r="N85" s="26">
        <v>140.6</v>
      </c>
      <c r="O85" s="26">
        <v>162.30000000000001</v>
      </c>
      <c r="P85" s="26">
        <v>157</v>
      </c>
      <c r="Q85" s="26">
        <v>182.6</v>
      </c>
      <c r="R85" s="26">
        <v>153.1</v>
      </c>
      <c r="S85" s="26">
        <v>143.4</v>
      </c>
      <c r="T85" s="26">
        <v>151.69999999999999</v>
      </c>
      <c r="U85" s="26">
        <v>155.5</v>
      </c>
      <c r="V85" s="26">
        <v>143</v>
      </c>
      <c r="W85" s="26">
        <v>148.4</v>
      </c>
      <c r="X85" s="26">
        <v>155</v>
      </c>
      <c r="Y85" s="26">
        <v>138.5</v>
      </c>
      <c r="Z85" s="26">
        <v>146</v>
      </c>
      <c r="AA85" s="26">
        <v>158.5</v>
      </c>
      <c r="AB85" s="26">
        <v>154.30000000000001</v>
      </c>
      <c r="AC85" s="26">
        <v>149</v>
      </c>
      <c r="AD85" s="26">
        <v>153.9</v>
      </c>
      <c r="AE85" s="26">
        <v>1995.1999999999998</v>
      </c>
      <c r="AF85" s="26">
        <v>448.2</v>
      </c>
      <c r="AG85" s="27">
        <f t="shared" si="1"/>
        <v>585.4</v>
      </c>
    </row>
    <row r="86" spans="1:33" x14ac:dyDescent="0.3">
      <c r="A86" s="31" t="s">
        <v>30</v>
      </c>
      <c r="B86" s="28">
        <v>2020</v>
      </c>
      <c r="C86" s="28" t="s">
        <v>41</v>
      </c>
      <c r="D86" s="28">
        <v>146.9</v>
      </c>
      <c r="E86" s="28">
        <v>183.9</v>
      </c>
      <c r="F86" s="28">
        <v>149.5</v>
      </c>
      <c r="G86" s="28">
        <v>153.4</v>
      </c>
      <c r="H86" s="28">
        <v>140.4</v>
      </c>
      <c r="I86" s="28">
        <v>147</v>
      </c>
      <c r="J86" s="28">
        <v>178.8</v>
      </c>
      <c r="K86" s="28">
        <v>149.30000000000001</v>
      </c>
      <c r="L86" s="28">
        <v>115.1</v>
      </c>
      <c r="M86" s="28">
        <v>160</v>
      </c>
      <c r="N86" s="28">
        <v>145.4</v>
      </c>
      <c r="O86" s="28">
        <v>161.6</v>
      </c>
      <c r="P86" s="28">
        <v>156.1</v>
      </c>
      <c r="Q86" s="28">
        <v>182.9</v>
      </c>
      <c r="R86" s="28">
        <v>155.4</v>
      </c>
      <c r="S86" s="28">
        <v>149.9</v>
      </c>
      <c r="T86" s="28">
        <v>154.6</v>
      </c>
      <c r="U86" s="28" t="s">
        <v>89</v>
      </c>
      <c r="V86" s="28">
        <v>146.4</v>
      </c>
      <c r="W86" s="28">
        <v>151.6</v>
      </c>
      <c r="X86" s="28">
        <v>159.1</v>
      </c>
      <c r="Y86" s="28">
        <v>144.6</v>
      </c>
      <c r="Z86" s="28">
        <v>152.80000000000001</v>
      </c>
      <c r="AA86" s="28">
        <v>161.1</v>
      </c>
      <c r="AB86" s="28">
        <v>157.4</v>
      </c>
      <c r="AC86" s="28">
        <v>153.69999999999999</v>
      </c>
      <c r="AD86" s="28">
        <v>155.4</v>
      </c>
      <c r="AE86" s="28">
        <v>1987.3999999999999</v>
      </c>
      <c r="AF86" s="28">
        <v>459.9</v>
      </c>
      <c r="AG86" s="29">
        <f t="shared" si="1"/>
        <v>442.6</v>
      </c>
    </row>
    <row r="87" spans="1:33" x14ac:dyDescent="0.3">
      <c r="A87" s="30" t="s">
        <v>32</v>
      </c>
      <c r="B87" s="26">
        <v>2020</v>
      </c>
      <c r="C87" s="26" t="s">
        <v>41</v>
      </c>
      <c r="D87" s="26">
        <v>151.5</v>
      </c>
      <c r="E87" s="26">
        <v>193.1</v>
      </c>
      <c r="F87" s="26">
        <v>157.30000000000001</v>
      </c>
      <c r="G87" s="26">
        <v>153.9</v>
      </c>
      <c r="H87" s="26">
        <v>134.4</v>
      </c>
      <c r="I87" s="26">
        <v>155.4</v>
      </c>
      <c r="J87" s="26">
        <v>202</v>
      </c>
      <c r="K87" s="26">
        <v>150.80000000000001</v>
      </c>
      <c r="L87" s="26">
        <v>118.9</v>
      </c>
      <c r="M87" s="26">
        <v>160.9</v>
      </c>
      <c r="N87" s="26">
        <v>137.69999999999999</v>
      </c>
      <c r="O87" s="26">
        <v>164.4</v>
      </c>
      <c r="P87" s="26">
        <v>161.30000000000001</v>
      </c>
      <c r="Q87" s="26">
        <v>188.7</v>
      </c>
      <c r="R87" s="26">
        <v>150.19999999999999</v>
      </c>
      <c r="S87" s="26">
        <v>136.30000000000001</v>
      </c>
      <c r="T87" s="26">
        <v>148.1</v>
      </c>
      <c r="U87" s="26">
        <v>156.30000000000001</v>
      </c>
      <c r="V87" s="26">
        <v>137.19999999999999</v>
      </c>
      <c r="W87" s="26">
        <v>145.4</v>
      </c>
      <c r="X87" s="26">
        <v>150</v>
      </c>
      <c r="Y87" s="26">
        <v>135.1</v>
      </c>
      <c r="Z87" s="26">
        <v>141.80000000000001</v>
      </c>
      <c r="AA87" s="26">
        <v>154.9</v>
      </c>
      <c r="AB87" s="26">
        <v>159.80000000000001</v>
      </c>
      <c r="AC87" s="26">
        <v>146</v>
      </c>
      <c r="AD87" s="26">
        <v>154</v>
      </c>
      <c r="AE87" s="26">
        <v>2041.6000000000001</v>
      </c>
      <c r="AF87" s="26">
        <v>434.6</v>
      </c>
      <c r="AG87" s="27">
        <f t="shared" si="1"/>
        <v>574</v>
      </c>
    </row>
    <row r="88" spans="1:33" x14ac:dyDescent="0.3">
      <c r="A88" s="31" t="s">
        <v>33</v>
      </c>
      <c r="B88" s="28">
        <v>2020</v>
      </c>
      <c r="C88" s="28" t="s">
        <v>41</v>
      </c>
      <c r="D88" s="28">
        <v>148.4</v>
      </c>
      <c r="E88" s="28">
        <v>187.1</v>
      </c>
      <c r="F88" s="28">
        <v>152.5</v>
      </c>
      <c r="G88" s="28">
        <v>153.6</v>
      </c>
      <c r="H88" s="28">
        <v>138.19999999999999</v>
      </c>
      <c r="I88" s="28">
        <v>150.9</v>
      </c>
      <c r="J88" s="28">
        <v>186.7</v>
      </c>
      <c r="K88" s="28">
        <v>149.80000000000001</v>
      </c>
      <c r="L88" s="28">
        <v>116.4</v>
      </c>
      <c r="M88" s="28">
        <v>160.30000000000001</v>
      </c>
      <c r="N88" s="28">
        <v>142.19999999999999</v>
      </c>
      <c r="O88" s="28">
        <v>162.9</v>
      </c>
      <c r="P88" s="28">
        <v>158</v>
      </c>
      <c r="Q88" s="28">
        <v>184.4</v>
      </c>
      <c r="R88" s="28">
        <v>153.4</v>
      </c>
      <c r="S88" s="28">
        <v>144.30000000000001</v>
      </c>
      <c r="T88" s="28">
        <v>152</v>
      </c>
      <c r="U88" s="28">
        <v>156.30000000000001</v>
      </c>
      <c r="V88" s="28">
        <v>142.9</v>
      </c>
      <c r="W88" s="28">
        <v>148.69999999999999</v>
      </c>
      <c r="X88" s="28">
        <v>155.6</v>
      </c>
      <c r="Y88" s="28">
        <v>139.6</v>
      </c>
      <c r="Z88" s="28">
        <v>146.6</v>
      </c>
      <c r="AA88" s="28">
        <v>157.5</v>
      </c>
      <c r="AB88" s="28">
        <v>158.4</v>
      </c>
      <c r="AC88" s="28">
        <v>150</v>
      </c>
      <c r="AD88" s="28">
        <v>154.69999999999999</v>
      </c>
      <c r="AE88" s="28">
        <v>2007</v>
      </c>
      <c r="AF88" s="28">
        <v>449.70000000000005</v>
      </c>
      <c r="AG88" s="29">
        <f t="shared" si="1"/>
        <v>587.5</v>
      </c>
    </row>
    <row r="89" spans="1:33" x14ac:dyDescent="0.3">
      <c r="A89" s="30" t="s">
        <v>30</v>
      </c>
      <c r="B89" s="26">
        <v>2020</v>
      </c>
      <c r="C89" s="26" t="s">
        <v>42</v>
      </c>
      <c r="D89" s="26">
        <v>146</v>
      </c>
      <c r="E89" s="26">
        <v>186.3</v>
      </c>
      <c r="F89" s="26">
        <v>159.19999999999999</v>
      </c>
      <c r="G89" s="26">
        <v>153.6</v>
      </c>
      <c r="H89" s="26">
        <v>142.6</v>
      </c>
      <c r="I89" s="26">
        <v>147.19999999999999</v>
      </c>
      <c r="J89" s="26">
        <v>200.6</v>
      </c>
      <c r="K89" s="26">
        <v>150.30000000000001</v>
      </c>
      <c r="L89" s="26">
        <v>115.3</v>
      </c>
      <c r="M89" s="26">
        <v>160.9</v>
      </c>
      <c r="N89" s="26">
        <v>147.4</v>
      </c>
      <c r="O89" s="26">
        <v>161.9</v>
      </c>
      <c r="P89" s="26">
        <v>159.6</v>
      </c>
      <c r="Q89" s="26">
        <v>182.7</v>
      </c>
      <c r="R89" s="26">
        <v>155.69999999999999</v>
      </c>
      <c r="S89" s="26">
        <v>150.6</v>
      </c>
      <c r="T89" s="26">
        <v>155</v>
      </c>
      <c r="U89" s="26" t="s">
        <v>89</v>
      </c>
      <c r="V89" s="26">
        <v>146.80000000000001</v>
      </c>
      <c r="W89" s="26">
        <v>152</v>
      </c>
      <c r="X89" s="26">
        <v>159.5</v>
      </c>
      <c r="Y89" s="26">
        <v>146.4</v>
      </c>
      <c r="Z89" s="26">
        <v>152.4</v>
      </c>
      <c r="AA89" s="26">
        <v>162.5</v>
      </c>
      <c r="AB89" s="26">
        <v>156.19999999999999</v>
      </c>
      <c r="AC89" s="26">
        <v>154.30000000000001</v>
      </c>
      <c r="AD89" s="26">
        <v>157.5</v>
      </c>
      <c r="AE89" s="26">
        <v>2030.9</v>
      </c>
      <c r="AF89" s="26">
        <v>461.29999999999995</v>
      </c>
      <c r="AG89" s="27">
        <f t="shared" si="1"/>
        <v>445.20000000000005</v>
      </c>
    </row>
    <row r="90" spans="1:33" x14ac:dyDescent="0.3">
      <c r="A90" s="31" t="s">
        <v>32</v>
      </c>
      <c r="B90" s="28">
        <v>2020</v>
      </c>
      <c r="C90" s="28" t="s">
        <v>42</v>
      </c>
      <c r="D90" s="28">
        <v>150.6</v>
      </c>
      <c r="E90" s="28">
        <v>193.7</v>
      </c>
      <c r="F90" s="28">
        <v>164.8</v>
      </c>
      <c r="G90" s="28">
        <v>153.69999999999999</v>
      </c>
      <c r="H90" s="28">
        <v>135.69999999999999</v>
      </c>
      <c r="I90" s="28">
        <v>155.69999999999999</v>
      </c>
      <c r="J90" s="28">
        <v>226</v>
      </c>
      <c r="K90" s="28">
        <v>152.19999999999999</v>
      </c>
      <c r="L90" s="28">
        <v>118.1</v>
      </c>
      <c r="M90" s="28">
        <v>161.30000000000001</v>
      </c>
      <c r="N90" s="28">
        <v>139.19999999999999</v>
      </c>
      <c r="O90" s="28">
        <v>164.8</v>
      </c>
      <c r="P90" s="28">
        <v>164.4</v>
      </c>
      <c r="Q90" s="28">
        <v>188.7</v>
      </c>
      <c r="R90" s="28">
        <v>150.5</v>
      </c>
      <c r="S90" s="28">
        <v>136.1</v>
      </c>
      <c r="T90" s="28">
        <v>148.30000000000001</v>
      </c>
      <c r="U90" s="28">
        <v>156.5</v>
      </c>
      <c r="V90" s="28">
        <v>137.1</v>
      </c>
      <c r="W90" s="28">
        <v>145.1</v>
      </c>
      <c r="X90" s="28">
        <v>151</v>
      </c>
      <c r="Y90" s="28">
        <v>135.4</v>
      </c>
      <c r="Z90" s="28">
        <v>142</v>
      </c>
      <c r="AA90" s="28">
        <v>155.69999999999999</v>
      </c>
      <c r="AB90" s="28">
        <v>158.1</v>
      </c>
      <c r="AC90" s="28">
        <v>146.19999999999999</v>
      </c>
      <c r="AD90" s="28">
        <v>155.19999999999999</v>
      </c>
      <c r="AE90" s="28">
        <v>2080.1999999999998</v>
      </c>
      <c r="AF90" s="28">
        <v>434.90000000000003</v>
      </c>
      <c r="AG90" s="29">
        <f t="shared" si="1"/>
        <v>574.1</v>
      </c>
    </row>
    <row r="91" spans="1:33" x14ac:dyDescent="0.3">
      <c r="A91" s="30" t="s">
        <v>33</v>
      </c>
      <c r="B91" s="26">
        <v>2020</v>
      </c>
      <c r="C91" s="26" t="s">
        <v>42</v>
      </c>
      <c r="D91" s="26">
        <v>147.5</v>
      </c>
      <c r="E91" s="26">
        <v>188.9</v>
      </c>
      <c r="F91" s="26">
        <v>161.4</v>
      </c>
      <c r="G91" s="26">
        <v>153.6</v>
      </c>
      <c r="H91" s="26">
        <v>140.1</v>
      </c>
      <c r="I91" s="26">
        <v>151.19999999999999</v>
      </c>
      <c r="J91" s="26">
        <v>209.2</v>
      </c>
      <c r="K91" s="26">
        <v>150.9</v>
      </c>
      <c r="L91" s="26">
        <v>116.2</v>
      </c>
      <c r="M91" s="26">
        <v>161</v>
      </c>
      <c r="N91" s="26">
        <v>144</v>
      </c>
      <c r="O91" s="26">
        <v>163.19999999999999</v>
      </c>
      <c r="P91" s="26">
        <v>161.4</v>
      </c>
      <c r="Q91" s="26">
        <v>184.3</v>
      </c>
      <c r="R91" s="26">
        <v>153.69999999999999</v>
      </c>
      <c r="S91" s="26">
        <v>144.6</v>
      </c>
      <c r="T91" s="26">
        <v>152.30000000000001</v>
      </c>
      <c r="U91" s="26">
        <v>156.5</v>
      </c>
      <c r="V91" s="26">
        <v>143.1</v>
      </c>
      <c r="W91" s="26">
        <v>148.69999999999999</v>
      </c>
      <c r="X91" s="26">
        <v>156.30000000000001</v>
      </c>
      <c r="Y91" s="26">
        <v>140.6</v>
      </c>
      <c r="Z91" s="26">
        <v>146.5</v>
      </c>
      <c r="AA91" s="26">
        <v>158.5</v>
      </c>
      <c r="AB91" s="26">
        <v>157</v>
      </c>
      <c r="AC91" s="26">
        <v>150.4</v>
      </c>
      <c r="AD91" s="26">
        <v>156.4</v>
      </c>
      <c r="AE91" s="26">
        <v>2048.6000000000004</v>
      </c>
      <c r="AF91" s="26">
        <v>450.59999999999997</v>
      </c>
      <c r="AG91" s="27">
        <f t="shared" si="1"/>
        <v>588.9</v>
      </c>
    </row>
    <row r="92" spans="1:33" x14ac:dyDescent="0.3">
      <c r="A92" s="31" t="s">
        <v>30</v>
      </c>
      <c r="B92" s="28">
        <v>2020</v>
      </c>
      <c r="C92" s="28" t="s">
        <v>43</v>
      </c>
      <c r="D92" s="28">
        <v>145.4</v>
      </c>
      <c r="E92" s="28">
        <v>188.6</v>
      </c>
      <c r="F92" s="28">
        <v>171.6</v>
      </c>
      <c r="G92" s="28">
        <v>153.80000000000001</v>
      </c>
      <c r="H92" s="28">
        <v>145.4</v>
      </c>
      <c r="I92" s="28">
        <v>146.5</v>
      </c>
      <c r="J92" s="28">
        <v>222.2</v>
      </c>
      <c r="K92" s="28">
        <v>155.9</v>
      </c>
      <c r="L92" s="28">
        <v>114.9</v>
      </c>
      <c r="M92" s="28">
        <v>162</v>
      </c>
      <c r="N92" s="28">
        <v>150</v>
      </c>
      <c r="O92" s="28">
        <v>162.69999999999999</v>
      </c>
      <c r="P92" s="28">
        <v>163.4</v>
      </c>
      <c r="Q92" s="28">
        <v>183.4</v>
      </c>
      <c r="R92" s="28">
        <v>156.30000000000001</v>
      </c>
      <c r="S92" s="28">
        <v>151</v>
      </c>
      <c r="T92" s="28">
        <v>155.5</v>
      </c>
      <c r="U92" s="28" t="s">
        <v>89</v>
      </c>
      <c r="V92" s="28">
        <v>147.5</v>
      </c>
      <c r="W92" s="28">
        <v>152.80000000000001</v>
      </c>
      <c r="X92" s="28">
        <v>160.4</v>
      </c>
      <c r="Y92" s="28">
        <v>146.1</v>
      </c>
      <c r="Z92" s="28">
        <v>153.6</v>
      </c>
      <c r="AA92" s="28">
        <v>161.6</v>
      </c>
      <c r="AB92" s="28">
        <v>156.19999999999999</v>
      </c>
      <c r="AC92" s="28">
        <v>154.5</v>
      </c>
      <c r="AD92" s="28">
        <v>159.80000000000001</v>
      </c>
      <c r="AE92" s="28">
        <v>2082.4</v>
      </c>
      <c r="AF92" s="28">
        <v>462.8</v>
      </c>
      <c r="AG92" s="29">
        <f t="shared" si="1"/>
        <v>446.4</v>
      </c>
    </row>
    <row r="93" spans="1:33" x14ac:dyDescent="0.3">
      <c r="A93" s="30" t="s">
        <v>32</v>
      </c>
      <c r="B93" s="26">
        <v>2020</v>
      </c>
      <c r="C93" s="26" t="s">
        <v>43</v>
      </c>
      <c r="D93" s="26">
        <v>149.69999999999999</v>
      </c>
      <c r="E93" s="26">
        <v>195.5</v>
      </c>
      <c r="F93" s="26">
        <v>176.9</v>
      </c>
      <c r="G93" s="26">
        <v>153.9</v>
      </c>
      <c r="H93" s="26">
        <v>138</v>
      </c>
      <c r="I93" s="26">
        <v>150.5</v>
      </c>
      <c r="J93" s="26">
        <v>245.3</v>
      </c>
      <c r="K93" s="26">
        <v>158.69999999999999</v>
      </c>
      <c r="L93" s="26">
        <v>117.2</v>
      </c>
      <c r="M93" s="26">
        <v>161.4</v>
      </c>
      <c r="N93" s="26">
        <v>141.5</v>
      </c>
      <c r="O93" s="26">
        <v>165.1</v>
      </c>
      <c r="P93" s="26">
        <v>167</v>
      </c>
      <c r="Q93" s="26">
        <v>188.8</v>
      </c>
      <c r="R93" s="26">
        <v>151.1</v>
      </c>
      <c r="S93" s="26">
        <v>136.4</v>
      </c>
      <c r="T93" s="26">
        <v>148.80000000000001</v>
      </c>
      <c r="U93" s="26">
        <v>158</v>
      </c>
      <c r="V93" s="26">
        <v>137.30000000000001</v>
      </c>
      <c r="W93" s="26">
        <v>145.1</v>
      </c>
      <c r="X93" s="26">
        <v>152</v>
      </c>
      <c r="Y93" s="26">
        <v>135.19999999999999</v>
      </c>
      <c r="Z93" s="26">
        <v>144.4</v>
      </c>
      <c r="AA93" s="26">
        <v>156.4</v>
      </c>
      <c r="AB93" s="26">
        <v>157.9</v>
      </c>
      <c r="AC93" s="26">
        <v>146.6</v>
      </c>
      <c r="AD93" s="26">
        <v>156.69999999999999</v>
      </c>
      <c r="AE93" s="26">
        <v>2120.6999999999998</v>
      </c>
      <c r="AF93" s="26">
        <v>436.3</v>
      </c>
      <c r="AG93" s="27">
        <f t="shared" si="1"/>
        <v>575.59999999999991</v>
      </c>
    </row>
    <row r="94" spans="1:33" x14ac:dyDescent="0.3">
      <c r="A94" s="31" t="s">
        <v>33</v>
      </c>
      <c r="B94" s="28">
        <v>2020</v>
      </c>
      <c r="C94" s="28" t="s">
        <v>43</v>
      </c>
      <c r="D94" s="28">
        <v>146.80000000000001</v>
      </c>
      <c r="E94" s="28">
        <v>191</v>
      </c>
      <c r="F94" s="28">
        <v>173.6</v>
      </c>
      <c r="G94" s="28">
        <v>153.80000000000001</v>
      </c>
      <c r="H94" s="28">
        <v>142.69999999999999</v>
      </c>
      <c r="I94" s="28">
        <v>148.4</v>
      </c>
      <c r="J94" s="28">
        <v>230</v>
      </c>
      <c r="K94" s="28">
        <v>156.80000000000001</v>
      </c>
      <c r="L94" s="28">
        <v>115.7</v>
      </c>
      <c r="M94" s="28">
        <v>161.80000000000001</v>
      </c>
      <c r="N94" s="28">
        <v>146.5</v>
      </c>
      <c r="O94" s="28">
        <v>163.80000000000001</v>
      </c>
      <c r="P94" s="28">
        <v>164.7</v>
      </c>
      <c r="Q94" s="28">
        <v>184.8</v>
      </c>
      <c r="R94" s="28">
        <v>154.30000000000001</v>
      </c>
      <c r="S94" s="28">
        <v>144.9</v>
      </c>
      <c r="T94" s="28">
        <v>152.80000000000001</v>
      </c>
      <c r="U94" s="28">
        <v>158</v>
      </c>
      <c r="V94" s="28">
        <v>143.6</v>
      </c>
      <c r="W94" s="28">
        <v>149.19999999999999</v>
      </c>
      <c r="X94" s="28">
        <v>157.19999999999999</v>
      </c>
      <c r="Y94" s="28">
        <v>140.4</v>
      </c>
      <c r="Z94" s="28">
        <v>148.4</v>
      </c>
      <c r="AA94" s="28">
        <v>158.6</v>
      </c>
      <c r="AB94" s="28">
        <v>156.9</v>
      </c>
      <c r="AC94" s="28">
        <v>150.69999999999999</v>
      </c>
      <c r="AD94" s="28">
        <v>158.4</v>
      </c>
      <c r="AE94" s="28">
        <v>2095.6</v>
      </c>
      <c r="AF94" s="28">
        <v>452.00000000000006</v>
      </c>
      <c r="AG94" s="29">
        <f t="shared" si="1"/>
        <v>591.20000000000005</v>
      </c>
    </row>
    <row r="95" spans="1:33" x14ac:dyDescent="0.3">
      <c r="A95" s="30" t="s">
        <v>30</v>
      </c>
      <c r="B95" s="26">
        <v>2020</v>
      </c>
      <c r="C95" s="26" t="s">
        <v>44</v>
      </c>
      <c r="D95" s="26">
        <v>144.6</v>
      </c>
      <c r="E95" s="26">
        <v>188.5</v>
      </c>
      <c r="F95" s="26">
        <v>173.4</v>
      </c>
      <c r="G95" s="26">
        <v>154</v>
      </c>
      <c r="H95" s="26">
        <v>150</v>
      </c>
      <c r="I95" s="26">
        <v>145.9</v>
      </c>
      <c r="J95" s="26">
        <v>225.2</v>
      </c>
      <c r="K95" s="26">
        <v>159.5</v>
      </c>
      <c r="L95" s="26">
        <v>114.4</v>
      </c>
      <c r="M95" s="26">
        <v>163.5</v>
      </c>
      <c r="N95" s="26">
        <v>153.4</v>
      </c>
      <c r="O95" s="26">
        <v>163.6</v>
      </c>
      <c r="P95" s="26">
        <v>164.5</v>
      </c>
      <c r="Q95" s="26">
        <v>183.6</v>
      </c>
      <c r="R95" s="26">
        <v>157</v>
      </c>
      <c r="S95" s="26">
        <v>151.6</v>
      </c>
      <c r="T95" s="26">
        <v>156.30000000000001</v>
      </c>
      <c r="U95" s="26" t="s">
        <v>89</v>
      </c>
      <c r="V95" s="26">
        <v>148.69999999999999</v>
      </c>
      <c r="W95" s="26">
        <v>153.4</v>
      </c>
      <c r="X95" s="26">
        <v>161.6</v>
      </c>
      <c r="Y95" s="26">
        <v>146.4</v>
      </c>
      <c r="Z95" s="26">
        <v>153.9</v>
      </c>
      <c r="AA95" s="26">
        <v>162.9</v>
      </c>
      <c r="AB95" s="26">
        <v>156.6</v>
      </c>
      <c r="AC95" s="26">
        <v>155.19999999999999</v>
      </c>
      <c r="AD95" s="26">
        <v>160.69999999999999</v>
      </c>
      <c r="AE95" s="26">
        <v>2100.5</v>
      </c>
      <c r="AF95" s="26">
        <v>464.90000000000003</v>
      </c>
      <c r="AG95" s="27">
        <f t="shared" si="1"/>
        <v>448.5</v>
      </c>
    </row>
    <row r="96" spans="1:33" x14ac:dyDescent="0.3">
      <c r="A96" s="31" t="s">
        <v>32</v>
      </c>
      <c r="B96" s="28">
        <v>2020</v>
      </c>
      <c r="C96" s="28" t="s">
        <v>44</v>
      </c>
      <c r="D96" s="28">
        <v>149</v>
      </c>
      <c r="E96" s="28">
        <v>195.7</v>
      </c>
      <c r="F96" s="28">
        <v>178.3</v>
      </c>
      <c r="G96" s="28">
        <v>154.19999999999999</v>
      </c>
      <c r="H96" s="28">
        <v>140.69999999999999</v>
      </c>
      <c r="I96" s="28">
        <v>149.69999999999999</v>
      </c>
      <c r="J96" s="28">
        <v>240.9</v>
      </c>
      <c r="K96" s="28">
        <v>161.5</v>
      </c>
      <c r="L96" s="28">
        <v>117.1</v>
      </c>
      <c r="M96" s="28">
        <v>161.9</v>
      </c>
      <c r="N96" s="28">
        <v>143.30000000000001</v>
      </c>
      <c r="O96" s="28">
        <v>166.1</v>
      </c>
      <c r="P96" s="28">
        <v>167</v>
      </c>
      <c r="Q96" s="28">
        <v>190.2</v>
      </c>
      <c r="R96" s="28">
        <v>151.9</v>
      </c>
      <c r="S96" s="28">
        <v>136.69999999999999</v>
      </c>
      <c r="T96" s="28">
        <v>149.6</v>
      </c>
      <c r="U96" s="28">
        <v>158.4</v>
      </c>
      <c r="V96" s="28">
        <v>137.9</v>
      </c>
      <c r="W96" s="28">
        <v>145.5</v>
      </c>
      <c r="X96" s="28">
        <v>152.9</v>
      </c>
      <c r="Y96" s="28">
        <v>135.5</v>
      </c>
      <c r="Z96" s="28">
        <v>144.30000000000001</v>
      </c>
      <c r="AA96" s="28">
        <v>156.9</v>
      </c>
      <c r="AB96" s="28">
        <v>157.9</v>
      </c>
      <c r="AC96" s="28">
        <v>146.9</v>
      </c>
      <c r="AD96" s="28">
        <v>156.9</v>
      </c>
      <c r="AE96" s="28">
        <v>2125.4</v>
      </c>
      <c r="AF96" s="28">
        <v>438.20000000000005</v>
      </c>
      <c r="AG96" s="29">
        <f t="shared" si="1"/>
        <v>577.29999999999995</v>
      </c>
    </row>
    <row r="97" spans="1:33" x14ac:dyDescent="0.3">
      <c r="A97" s="30" t="s">
        <v>33</v>
      </c>
      <c r="B97" s="26">
        <v>2020</v>
      </c>
      <c r="C97" s="26" t="s">
        <v>44</v>
      </c>
      <c r="D97" s="26">
        <v>146</v>
      </c>
      <c r="E97" s="26">
        <v>191</v>
      </c>
      <c r="F97" s="26">
        <v>175.3</v>
      </c>
      <c r="G97" s="26">
        <v>154.1</v>
      </c>
      <c r="H97" s="26">
        <v>146.6</v>
      </c>
      <c r="I97" s="26">
        <v>147.69999999999999</v>
      </c>
      <c r="J97" s="26">
        <v>230.5</v>
      </c>
      <c r="K97" s="26">
        <v>160.19999999999999</v>
      </c>
      <c r="L97" s="26">
        <v>115.3</v>
      </c>
      <c r="M97" s="26">
        <v>163</v>
      </c>
      <c r="N97" s="26">
        <v>149.19999999999999</v>
      </c>
      <c r="O97" s="26">
        <v>164.8</v>
      </c>
      <c r="P97" s="26">
        <v>165.4</v>
      </c>
      <c r="Q97" s="26">
        <v>185.4</v>
      </c>
      <c r="R97" s="26">
        <v>155</v>
      </c>
      <c r="S97" s="26">
        <v>145.4</v>
      </c>
      <c r="T97" s="26">
        <v>153.6</v>
      </c>
      <c r="U97" s="26">
        <v>158.4</v>
      </c>
      <c r="V97" s="26">
        <v>144.6</v>
      </c>
      <c r="W97" s="26">
        <v>149.69999999999999</v>
      </c>
      <c r="X97" s="26">
        <v>158.30000000000001</v>
      </c>
      <c r="Y97" s="26">
        <v>140.69999999999999</v>
      </c>
      <c r="Z97" s="26">
        <v>148.5</v>
      </c>
      <c r="AA97" s="26">
        <v>159.4</v>
      </c>
      <c r="AB97" s="26">
        <v>157.1</v>
      </c>
      <c r="AC97" s="26">
        <v>151.19999999999999</v>
      </c>
      <c r="AD97" s="26">
        <v>158.9</v>
      </c>
      <c r="AE97" s="26">
        <v>2109.1</v>
      </c>
      <c r="AF97" s="26">
        <v>454</v>
      </c>
      <c r="AG97" s="27">
        <f t="shared" si="1"/>
        <v>593.4</v>
      </c>
    </row>
    <row r="98" spans="1:33" x14ac:dyDescent="0.3">
      <c r="A98" s="31" t="s">
        <v>30</v>
      </c>
      <c r="B98" s="28">
        <v>2021</v>
      </c>
      <c r="C98" s="28" t="s">
        <v>31</v>
      </c>
      <c r="D98" s="28">
        <v>143.4</v>
      </c>
      <c r="E98" s="28">
        <v>187.5</v>
      </c>
      <c r="F98" s="28">
        <v>173.4</v>
      </c>
      <c r="G98" s="28">
        <v>154</v>
      </c>
      <c r="H98" s="28">
        <v>154.80000000000001</v>
      </c>
      <c r="I98" s="28">
        <v>147</v>
      </c>
      <c r="J98" s="28">
        <v>187.8</v>
      </c>
      <c r="K98" s="28">
        <v>159.5</v>
      </c>
      <c r="L98" s="28">
        <v>113.8</v>
      </c>
      <c r="M98" s="28">
        <v>164.5</v>
      </c>
      <c r="N98" s="28">
        <v>156.1</v>
      </c>
      <c r="O98" s="28">
        <v>164.3</v>
      </c>
      <c r="P98" s="28">
        <v>159.6</v>
      </c>
      <c r="Q98" s="28">
        <v>184.6</v>
      </c>
      <c r="R98" s="28">
        <v>157.5</v>
      </c>
      <c r="S98" s="28">
        <v>152.4</v>
      </c>
      <c r="T98" s="28">
        <v>156.80000000000001</v>
      </c>
      <c r="U98" s="28" t="s">
        <v>89</v>
      </c>
      <c r="V98" s="28">
        <v>150.9</v>
      </c>
      <c r="W98" s="28">
        <v>153.9</v>
      </c>
      <c r="X98" s="28">
        <v>162.5</v>
      </c>
      <c r="Y98" s="28">
        <v>147.5</v>
      </c>
      <c r="Z98" s="28">
        <v>155.1</v>
      </c>
      <c r="AA98" s="28">
        <v>163.5</v>
      </c>
      <c r="AB98" s="28">
        <v>156.19999999999999</v>
      </c>
      <c r="AC98" s="28">
        <v>155.9</v>
      </c>
      <c r="AD98" s="28">
        <v>158.5</v>
      </c>
      <c r="AE98" s="28">
        <v>2065.6999999999998</v>
      </c>
      <c r="AF98" s="28">
        <v>466.7</v>
      </c>
      <c r="AG98" s="29">
        <f t="shared" si="1"/>
        <v>452.3</v>
      </c>
    </row>
    <row r="99" spans="1:33" x14ac:dyDescent="0.3">
      <c r="A99" s="30" t="s">
        <v>32</v>
      </c>
      <c r="B99" s="26">
        <v>2021</v>
      </c>
      <c r="C99" s="26" t="s">
        <v>31</v>
      </c>
      <c r="D99" s="26">
        <v>148</v>
      </c>
      <c r="E99" s="26">
        <v>194.8</v>
      </c>
      <c r="F99" s="26">
        <v>178.4</v>
      </c>
      <c r="G99" s="26">
        <v>154.4</v>
      </c>
      <c r="H99" s="26">
        <v>144.1</v>
      </c>
      <c r="I99" s="26">
        <v>152.6</v>
      </c>
      <c r="J99" s="26">
        <v>206.8</v>
      </c>
      <c r="K99" s="26">
        <v>162.1</v>
      </c>
      <c r="L99" s="26">
        <v>116.3</v>
      </c>
      <c r="M99" s="26">
        <v>163</v>
      </c>
      <c r="N99" s="26">
        <v>145.9</v>
      </c>
      <c r="O99" s="26">
        <v>167.2</v>
      </c>
      <c r="P99" s="26">
        <v>163.4</v>
      </c>
      <c r="Q99" s="26">
        <v>191.8</v>
      </c>
      <c r="R99" s="26">
        <v>152.5</v>
      </c>
      <c r="S99" s="26">
        <v>137.30000000000001</v>
      </c>
      <c r="T99" s="26">
        <v>150.19999999999999</v>
      </c>
      <c r="U99" s="26">
        <v>157.69999999999999</v>
      </c>
      <c r="V99" s="26">
        <v>142.9</v>
      </c>
      <c r="W99" s="26">
        <v>145.69999999999999</v>
      </c>
      <c r="X99" s="26">
        <v>154.1</v>
      </c>
      <c r="Y99" s="26">
        <v>136.9</v>
      </c>
      <c r="Z99" s="26">
        <v>145.4</v>
      </c>
      <c r="AA99" s="26">
        <v>156.1</v>
      </c>
      <c r="AB99" s="26">
        <v>157.69999999999999</v>
      </c>
      <c r="AC99" s="26">
        <v>147.6</v>
      </c>
      <c r="AD99" s="26">
        <v>156</v>
      </c>
      <c r="AE99" s="26">
        <v>2097</v>
      </c>
      <c r="AF99" s="26">
        <v>440</v>
      </c>
      <c r="AG99" s="27">
        <f t="shared" si="1"/>
        <v>583.20000000000005</v>
      </c>
    </row>
    <row r="100" spans="1:33" x14ac:dyDescent="0.3">
      <c r="A100" s="31" t="s">
        <v>33</v>
      </c>
      <c r="B100" s="28">
        <v>2021</v>
      </c>
      <c r="C100" s="28" t="s">
        <v>31</v>
      </c>
      <c r="D100" s="28">
        <v>144.9</v>
      </c>
      <c r="E100" s="28">
        <v>190.1</v>
      </c>
      <c r="F100" s="28">
        <v>175.3</v>
      </c>
      <c r="G100" s="28">
        <v>154.1</v>
      </c>
      <c r="H100" s="28">
        <v>150.9</v>
      </c>
      <c r="I100" s="28">
        <v>149.6</v>
      </c>
      <c r="J100" s="28">
        <v>194.2</v>
      </c>
      <c r="K100" s="28">
        <v>160.4</v>
      </c>
      <c r="L100" s="28">
        <v>114.6</v>
      </c>
      <c r="M100" s="28">
        <v>164</v>
      </c>
      <c r="N100" s="28">
        <v>151.80000000000001</v>
      </c>
      <c r="O100" s="28">
        <v>165.6</v>
      </c>
      <c r="P100" s="28">
        <v>161</v>
      </c>
      <c r="Q100" s="28">
        <v>186.5</v>
      </c>
      <c r="R100" s="28">
        <v>155.5</v>
      </c>
      <c r="S100" s="28">
        <v>146.1</v>
      </c>
      <c r="T100" s="28">
        <v>154.19999999999999</v>
      </c>
      <c r="U100" s="28">
        <v>157.69999999999999</v>
      </c>
      <c r="V100" s="28">
        <v>147.9</v>
      </c>
      <c r="W100" s="28">
        <v>150</v>
      </c>
      <c r="X100" s="28">
        <v>159.30000000000001</v>
      </c>
      <c r="Y100" s="28">
        <v>141.9</v>
      </c>
      <c r="Z100" s="28">
        <v>149.6</v>
      </c>
      <c r="AA100" s="28">
        <v>159.19999999999999</v>
      </c>
      <c r="AB100" s="28">
        <v>156.80000000000001</v>
      </c>
      <c r="AC100" s="28">
        <v>151.9</v>
      </c>
      <c r="AD100" s="28">
        <v>157.30000000000001</v>
      </c>
      <c r="AE100" s="28">
        <v>2076.5</v>
      </c>
      <c r="AF100" s="28">
        <v>455.8</v>
      </c>
      <c r="AG100" s="29">
        <f t="shared" si="1"/>
        <v>597.5</v>
      </c>
    </row>
    <row r="101" spans="1:33" x14ac:dyDescent="0.3">
      <c r="A101" s="30" t="s">
        <v>30</v>
      </c>
      <c r="B101" s="26">
        <v>2021</v>
      </c>
      <c r="C101" s="26" t="s">
        <v>34</v>
      </c>
      <c r="D101" s="26">
        <v>142.80000000000001</v>
      </c>
      <c r="E101" s="26">
        <v>184</v>
      </c>
      <c r="F101" s="26">
        <v>168</v>
      </c>
      <c r="G101" s="26">
        <v>154.4</v>
      </c>
      <c r="H101" s="26">
        <v>163</v>
      </c>
      <c r="I101" s="26">
        <v>147.80000000000001</v>
      </c>
      <c r="J101" s="26">
        <v>149.69999999999999</v>
      </c>
      <c r="K101" s="26">
        <v>158.30000000000001</v>
      </c>
      <c r="L101" s="26">
        <v>111.8</v>
      </c>
      <c r="M101" s="26">
        <v>165</v>
      </c>
      <c r="N101" s="26">
        <v>160</v>
      </c>
      <c r="O101" s="26">
        <v>165.8</v>
      </c>
      <c r="P101" s="26">
        <v>154.69999999999999</v>
      </c>
      <c r="Q101" s="26">
        <v>186.5</v>
      </c>
      <c r="R101" s="26">
        <v>159.1</v>
      </c>
      <c r="S101" s="26">
        <v>153.9</v>
      </c>
      <c r="T101" s="26">
        <v>158.4</v>
      </c>
      <c r="U101" s="26" t="s">
        <v>89</v>
      </c>
      <c r="V101" s="26">
        <v>154.4</v>
      </c>
      <c r="W101" s="26">
        <v>154.80000000000001</v>
      </c>
      <c r="X101" s="26">
        <v>164.3</v>
      </c>
      <c r="Y101" s="26">
        <v>150.19999999999999</v>
      </c>
      <c r="Z101" s="26">
        <v>157</v>
      </c>
      <c r="AA101" s="26">
        <v>163.6</v>
      </c>
      <c r="AB101" s="26">
        <v>155.19999999999999</v>
      </c>
      <c r="AC101" s="26">
        <v>157.19999999999999</v>
      </c>
      <c r="AD101" s="26">
        <v>156.69999999999999</v>
      </c>
      <c r="AE101" s="26">
        <v>2025.3</v>
      </c>
      <c r="AF101" s="26">
        <v>471.4</v>
      </c>
      <c r="AG101" s="27">
        <f t="shared" si="1"/>
        <v>459.40000000000003</v>
      </c>
    </row>
    <row r="102" spans="1:33" x14ac:dyDescent="0.3">
      <c r="A102" s="31" t="s">
        <v>32</v>
      </c>
      <c r="B102" s="28">
        <v>2021</v>
      </c>
      <c r="C102" s="28" t="s">
        <v>34</v>
      </c>
      <c r="D102" s="28">
        <v>147.6</v>
      </c>
      <c r="E102" s="28">
        <v>191.2</v>
      </c>
      <c r="F102" s="28">
        <v>169.9</v>
      </c>
      <c r="G102" s="28">
        <v>155.1</v>
      </c>
      <c r="H102" s="28">
        <v>151.4</v>
      </c>
      <c r="I102" s="28">
        <v>154</v>
      </c>
      <c r="J102" s="28">
        <v>180.2</v>
      </c>
      <c r="K102" s="28">
        <v>159.80000000000001</v>
      </c>
      <c r="L102" s="28">
        <v>114.9</v>
      </c>
      <c r="M102" s="28">
        <v>162.5</v>
      </c>
      <c r="N102" s="28">
        <v>149.19999999999999</v>
      </c>
      <c r="O102" s="28">
        <v>169.4</v>
      </c>
      <c r="P102" s="28">
        <v>160.80000000000001</v>
      </c>
      <c r="Q102" s="28">
        <v>193.3</v>
      </c>
      <c r="R102" s="28">
        <v>154.19999999999999</v>
      </c>
      <c r="S102" s="28">
        <v>138.19999999999999</v>
      </c>
      <c r="T102" s="28">
        <v>151.80000000000001</v>
      </c>
      <c r="U102" s="28">
        <v>159.80000000000001</v>
      </c>
      <c r="V102" s="28">
        <v>149.1</v>
      </c>
      <c r="W102" s="28">
        <v>146.5</v>
      </c>
      <c r="X102" s="28">
        <v>156.30000000000001</v>
      </c>
      <c r="Y102" s="28">
        <v>140.5</v>
      </c>
      <c r="Z102" s="28">
        <v>147.30000000000001</v>
      </c>
      <c r="AA102" s="28">
        <v>156.6</v>
      </c>
      <c r="AB102" s="28">
        <v>156.69999999999999</v>
      </c>
      <c r="AC102" s="28">
        <v>149.30000000000001</v>
      </c>
      <c r="AD102" s="28">
        <v>156.5</v>
      </c>
      <c r="AE102" s="28">
        <v>2066</v>
      </c>
      <c r="AF102" s="28">
        <v>444.2</v>
      </c>
      <c r="AG102" s="29">
        <f t="shared" si="1"/>
        <v>595.9</v>
      </c>
    </row>
    <row r="103" spans="1:33" x14ac:dyDescent="0.3">
      <c r="A103" s="30" t="s">
        <v>33</v>
      </c>
      <c r="B103" s="26">
        <v>2021</v>
      </c>
      <c r="C103" s="26" t="s">
        <v>34</v>
      </c>
      <c r="D103" s="26">
        <v>144.30000000000001</v>
      </c>
      <c r="E103" s="26">
        <v>186.5</v>
      </c>
      <c r="F103" s="26">
        <v>168.7</v>
      </c>
      <c r="G103" s="26">
        <v>154.69999999999999</v>
      </c>
      <c r="H103" s="26">
        <v>158.69999999999999</v>
      </c>
      <c r="I103" s="26">
        <v>150.69999999999999</v>
      </c>
      <c r="J103" s="26">
        <v>160</v>
      </c>
      <c r="K103" s="26">
        <v>158.80000000000001</v>
      </c>
      <c r="L103" s="26">
        <v>112.8</v>
      </c>
      <c r="M103" s="26">
        <v>164.2</v>
      </c>
      <c r="N103" s="26">
        <v>155.5</v>
      </c>
      <c r="O103" s="26">
        <v>167.5</v>
      </c>
      <c r="P103" s="26">
        <v>156.9</v>
      </c>
      <c r="Q103" s="26">
        <v>188.3</v>
      </c>
      <c r="R103" s="26">
        <v>157.19999999999999</v>
      </c>
      <c r="S103" s="26">
        <v>147.4</v>
      </c>
      <c r="T103" s="26">
        <v>155.80000000000001</v>
      </c>
      <c r="U103" s="26">
        <v>159.80000000000001</v>
      </c>
      <c r="V103" s="26">
        <v>152.4</v>
      </c>
      <c r="W103" s="26">
        <v>150.9</v>
      </c>
      <c r="X103" s="26">
        <v>161.30000000000001</v>
      </c>
      <c r="Y103" s="26">
        <v>145.1</v>
      </c>
      <c r="Z103" s="26">
        <v>151.5</v>
      </c>
      <c r="AA103" s="26">
        <v>159.5</v>
      </c>
      <c r="AB103" s="26">
        <v>155.80000000000001</v>
      </c>
      <c r="AC103" s="26">
        <v>153.4</v>
      </c>
      <c r="AD103" s="26">
        <v>156.6</v>
      </c>
      <c r="AE103" s="26">
        <v>2039.3000000000002</v>
      </c>
      <c r="AF103" s="26">
        <v>460.40000000000003</v>
      </c>
      <c r="AG103" s="27">
        <f t="shared" si="1"/>
        <v>608.20000000000005</v>
      </c>
    </row>
    <row r="104" spans="1:33" x14ac:dyDescent="0.3">
      <c r="A104" s="31" t="s">
        <v>30</v>
      </c>
      <c r="B104" s="28">
        <v>2021</v>
      </c>
      <c r="C104" s="28" t="s">
        <v>35</v>
      </c>
      <c r="D104" s="28">
        <v>142.5</v>
      </c>
      <c r="E104" s="28">
        <v>189.4</v>
      </c>
      <c r="F104" s="28">
        <v>163.19999999999999</v>
      </c>
      <c r="G104" s="28">
        <v>154.5</v>
      </c>
      <c r="H104" s="28">
        <v>168.2</v>
      </c>
      <c r="I104" s="28">
        <v>150.5</v>
      </c>
      <c r="J104" s="28">
        <v>141</v>
      </c>
      <c r="K104" s="28">
        <v>159.19999999999999</v>
      </c>
      <c r="L104" s="28">
        <v>111.7</v>
      </c>
      <c r="M104" s="28">
        <v>164</v>
      </c>
      <c r="N104" s="28">
        <v>160.6</v>
      </c>
      <c r="O104" s="28">
        <v>166.4</v>
      </c>
      <c r="P104" s="28">
        <v>154.5</v>
      </c>
      <c r="Q104" s="28">
        <v>186.1</v>
      </c>
      <c r="R104" s="28">
        <v>159.6</v>
      </c>
      <c r="S104" s="28">
        <v>154.4</v>
      </c>
      <c r="T104" s="28">
        <v>158.9</v>
      </c>
      <c r="U104" s="28" t="s">
        <v>183</v>
      </c>
      <c r="V104" s="28">
        <v>156</v>
      </c>
      <c r="W104" s="28">
        <v>154.80000000000001</v>
      </c>
      <c r="X104" s="28">
        <v>164.6</v>
      </c>
      <c r="Y104" s="28">
        <v>151.30000000000001</v>
      </c>
      <c r="Z104" s="28">
        <v>157.80000000000001</v>
      </c>
      <c r="AA104" s="28">
        <v>163.80000000000001</v>
      </c>
      <c r="AB104" s="28">
        <v>153.1</v>
      </c>
      <c r="AC104" s="28">
        <v>157.30000000000001</v>
      </c>
      <c r="AD104" s="28">
        <v>156.69999999999999</v>
      </c>
      <c r="AE104" s="28">
        <v>2025.7</v>
      </c>
      <c r="AF104" s="28">
        <v>472.9</v>
      </c>
      <c r="AG104" s="29">
        <f t="shared" si="1"/>
        <v>462.1</v>
      </c>
    </row>
    <row r="105" spans="1:33" x14ac:dyDescent="0.3">
      <c r="A105" s="30" t="s">
        <v>32</v>
      </c>
      <c r="B105" s="26">
        <v>2021</v>
      </c>
      <c r="C105" s="26" t="s">
        <v>35</v>
      </c>
      <c r="D105" s="26">
        <v>147.5</v>
      </c>
      <c r="E105" s="26">
        <v>197.5</v>
      </c>
      <c r="F105" s="26">
        <v>164.7</v>
      </c>
      <c r="G105" s="26">
        <v>155.6</v>
      </c>
      <c r="H105" s="26">
        <v>156.4</v>
      </c>
      <c r="I105" s="26">
        <v>157.30000000000001</v>
      </c>
      <c r="J105" s="26">
        <v>166.1</v>
      </c>
      <c r="K105" s="26">
        <v>161.1</v>
      </c>
      <c r="L105" s="26">
        <v>114.3</v>
      </c>
      <c r="M105" s="26">
        <v>162.6</v>
      </c>
      <c r="N105" s="26">
        <v>150.69999999999999</v>
      </c>
      <c r="O105" s="26">
        <v>170.3</v>
      </c>
      <c r="P105" s="26">
        <v>160.4</v>
      </c>
      <c r="Q105" s="26">
        <v>193.5</v>
      </c>
      <c r="R105" s="26">
        <v>155.1</v>
      </c>
      <c r="S105" s="26">
        <v>138.69999999999999</v>
      </c>
      <c r="T105" s="26">
        <v>152.6</v>
      </c>
      <c r="U105" s="26">
        <v>159.9</v>
      </c>
      <c r="V105" s="26">
        <v>154.80000000000001</v>
      </c>
      <c r="W105" s="26">
        <v>147.19999999999999</v>
      </c>
      <c r="X105" s="26">
        <v>156.9</v>
      </c>
      <c r="Y105" s="26">
        <v>141.69999999999999</v>
      </c>
      <c r="Z105" s="26">
        <v>148.6</v>
      </c>
      <c r="AA105" s="26">
        <v>157.6</v>
      </c>
      <c r="AB105" s="26">
        <v>154.9</v>
      </c>
      <c r="AC105" s="26">
        <v>150</v>
      </c>
      <c r="AD105" s="26">
        <v>156.9</v>
      </c>
      <c r="AE105" s="26">
        <v>2064.4999999999995</v>
      </c>
      <c r="AF105" s="26">
        <v>446.4</v>
      </c>
      <c r="AG105" s="27">
        <f t="shared" si="1"/>
        <v>603.6</v>
      </c>
    </row>
    <row r="106" spans="1:33" x14ac:dyDescent="0.3">
      <c r="A106" s="31" t="s">
        <v>33</v>
      </c>
      <c r="B106" s="28">
        <v>2021</v>
      </c>
      <c r="C106" s="28" t="s">
        <v>35</v>
      </c>
      <c r="D106" s="28">
        <v>144.1</v>
      </c>
      <c r="E106" s="28">
        <v>192.2</v>
      </c>
      <c r="F106" s="28">
        <v>163.80000000000001</v>
      </c>
      <c r="G106" s="28">
        <v>154.9</v>
      </c>
      <c r="H106" s="28">
        <v>163.9</v>
      </c>
      <c r="I106" s="28">
        <v>153.69999999999999</v>
      </c>
      <c r="J106" s="28">
        <v>149.5</v>
      </c>
      <c r="K106" s="28">
        <v>159.80000000000001</v>
      </c>
      <c r="L106" s="28">
        <v>112.6</v>
      </c>
      <c r="M106" s="28">
        <v>163.5</v>
      </c>
      <c r="N106" s="28">
        <v>156.5</v>
      </c>
      <c r="O106" s="28">
        <v>168.2</v>
      </c>
      <c r="P106" s="28">
        <v>156.69999999999999</v>
      </c>
      <c r="Q106" s="28">
        <v>188.1</v>
      </c>
      <c r="R106" s="28">
        <v>157.80000000000001</v>
      </c>
      <c r="S106" s="28">
        <v>147.9</v>
      </c>
      <c r="T106" s="28">
        <v>156.4</v>
      </c>
      <c r="U106" s="28">
        <v>159.9</v>
      </c>
      <c r="V106" s="28">
        <v>155.5</v>
      </c>
      <c r="W106" s="28">
        <v>151.19999999999999</v>
      </c>
      <c r="X106" s="28">
        <v>161.69999999999999</v>
      </c>
      <c r="Y106" s="28">
        <v>146.19999999999999</v>
      </c>
      <c r="Z106" s="28">
        <v>152.6</v>
      </c>
      <c r="AA106" s="28">
        <v>160.19999999999999</v>
      </c>
      <c r="AB106" s="28">
        <v>153.80000000000001</v>
      </c>
      <c r="AC106" s="28">
        <v>153.80000000000001</v>
      </c>
      <c r="AD106" s="28">
        <v>156.80000000000001</v>
      </c>
      <c r="AE106" s="28">
        <v>2039.3999999999999</v>
      </c>
      <c r="AF106" s="28">
        <v>462.1</v>
      </c>
      <c r="AG106" s="29">
        <f t="shared" si="1"/>
        <v>612.79999999999995</v>
      </c>
    </row>
    <row r="107" spans="1:33" x14ac:dyDescent="0.3">
      <c r="A107" s="30" t="s">
        <v>30</v>
      </c>
      <c r="B107" s="26">
        <v>2021</v>
      </c>
      <c r="C107" s="26" t="s">
        <v>36</v>
      </c>
      <c r="D107" s="26">
        <v>142.69999999999999</v>
      </c>
      <c r="E107" s="26">
        <v>195.5</v>
      </c>
      <c r="F107" s="26">
        <v>163.4</v>
      </c>
      <c r="G107" s="26">
        <v>155</v>
      </c>
      <c r="H107" s="26">
        <v>175.2</v>
      </c>
      <c r="I107" s="26">
        <v>160.6</v>
      </c>
      <c r="J107" s="26">
        <v>135.1</v>
      </c>
      <c r="K107" s="26">
        <v>161.1</v>
      </c>
      <c r="L107" s="26">
        <v>112.2</v>
      </c>
      <c r="M107" s="26">
        <v>164.4</v>
      </c>
      <c r="N107" s="26">
        <v>161.9</v>
      </c>
      <c r="O107" s="26">
        <v>166.8</v>
      </c>
      <c r="P107" s="26">
        <v>155.6</v>
      </c>
      <c r="Q107" s="26">
        <v>186.8</v>
      </c>
      <c r="R107" s="26">
        <v>160.69999999999999</v>
      </c>
      <c r="S107" s="26">
        <v>155.1</v>
      </c>
      <c r="T107" s="26">
        <v>159.9</v>
      </c>
      <c r="U107" s="26" t="s">
        <v>183</v>
      </c>
      <c r="V107" s="26">
        <v>156</v>
      </c>
      <c r="W107" s="26">
        <v>155.5</v>
      </c>
      <c r="X107" s="26">
        <v>165.3</v>
      </c>
      <c r="Y107" s="26">
        <v>151.69999999999999</v>
      </c>
      <c r="Z107" s="26">
        <v>158.6</v>
      </c>
      <c r="AA107" s="26">
        <v>164.1</v>
      </c>
      <c r="AB107" s="26">
        <v>154.6</v>
      </c>
      <c r="AC107" s="26">
        <v>158</v>
      </c>
      <c r="AD107" s="26">
        <v>157.6</v>
      </c>
      <c r="AE107" s="26">
        <v>2049.5</v>
      </c>
      <c r="AF107" s="26">
        <v>475.69999999999993</v>
      </c>
      <c r="AG107" s="27">
        <f t="shared" si="1"/>
        <v>463.2</v>
      </c>
    </row>
    <row r="108" spans="1:33" x14ac:dyDescent="0.3">
      <c r="A108" s="31" t="s">
        <v>32</v>
      </c>
      <c r="B108" s="28">
        <v>2021</v>
      </c>
      <c r="C108" s="28" t="s">
        <v>36</v>
      </c>
      <c r="D108" s="28">
        <v>147.6</v>
      </c>
      <c r="E108" s="28">
        <v>202.5</v>
      </c>
      <c r="F108" s="28">
        <v>166.4</v>
      </c>
      <c r="G108" s="28">
        <v>156</v>
      </c>
      <c r="H108" s="28">
        <v>161.4</v>
      </c>
      <c r="I108" s="28">
        <v>168.8</v>
      </c>
      <c r="J108" s="28">
        <v>161.6</v>
      </c>
      <c r="K108" s="28">
        <v>162.80000000000001</v>
      </c>
      <c r="L108" s="28">
        <v>114.8</v>
      </c>
      <c r="M108" s="28">
        <v>162.80000000000001</v>
      </c>
      <c r="N108" s="28">
        <v>151.5</v>
      </c>
      <c r="O108" s="28">
        <v>171.4</v>
      </c>
      <c r="P108" s="28">
        <v>162</v>
      </c>
      <c r="Q108" s="28">
        <v>194.4</v>
      </c>
      <c r="R108" s="28">
        <v>155.9</v>
      </c>
      <c r="S108" s="28">
        <v>139.30000000000001</v>
      </c>
      <c r="T108" s="28">
        <v>153.4</v>
      </c>
      <c r="U108" s="28">
        <v>161.4</v>
      </c>
      <c r="V108" s="28">
        <v>154.9</v>
      </c>
      <c r="W108" s="28">
        <v>147.6</v>
      </c>
      <c r="X108" s="28">
        <v>157.5</v>
      </c>
      <c r="Y108" s="28">
        <v>142.1</v>
      </c>
      <c r="Z108" s="28">
        <v>149.1</v>
      </c>
      <c r="AA108" s="28">
        <v>157.6</v>
      </c>
      <c r="AB108" s="28">
        <v>156.6</v>
      </c>
      <c r="AC108" s="28">
        <v>150.5</v>
      </c>
      <c r="AD108" s="28">
        <v>158</v>
      </c>
      <c r="AE108" s="28">
        <v>2089.6</v>
      </c>
      <c r="AF108" s="28">
        <v>448.6</v>
      </c>
      <c r="AG108" s="29">
        <f t="shared" si="1"/>
        <v>606</v>
      </c>
    </row>
    <row r="109" spans="1:33" x14ac:dyDescent="0.3">
      <c r="A109" s="30" t="s">
        <v>33</v>
      </c>
      <c r="B109" s="26">
        <v>2021</v>
      </c>
      <c r="C109" s="26" t="s">
        <v>36</v>
      </c>
      <c r="D109" s="26">
        <v>144.30000000000001</v>
      </c>
      <c r="E109" s="26">
        <v>198</v>
      </c>
      <c r="F109" s="26">
        <v>164.6</v>
      </c>
      <c r="G109" s="26">
        <v>155.4</v>
      </c>
      <c r="H109" s="26">
        <v>170.1</v>
      </c>
      <c r="I109" s="26">
        <v>164.4</v>
      </c>
      <c r="J109" s="26">
        <v>144.1</v>
      </c>
      <c r="K109" s="26">
        <v>161.69999999999999</v>
      </c>
      <c r="L109" s="26">
        <v>113.1</v>
      </c>
      <c r="M109" s="26">
        <v>163.9</v>
      </c>
      <c r="N109" s="26">
        <v>157.6</v>
      </c>
      <c r="O109" s="26">
        <v>168.9</v>
      </c>
      <c r="P109" s="26">
        <v>158</v>
      </c>
      <c r="Q109" s="26">
        <v>188.8</v>
      </c>
      <c r="R109" s="26">
        <v>158.80000000000001</v>
      </c>
      <c r="S109" s="26">
        <v>148.5</v>
      </c>
      <c r="T109" s="26">
        <v>157.30000000000001</v>
      </c>
      <c r="U109" s="26">
        <v>161.4</v>
      </c>
      <c r="V109" s="26">
        <v>155.6</v>
      </c>
      <c r="W109" s="26">
        <v>151.80000000000001</v>
      </c>
      <c r="X109" s="26">
        <v>162.30000000000001</v>
      </c>
      <c r="Y109" s="26">
        <v>146.6</v>
      </c>
      <c r="Z109" s="26">
        <v>153.19999999999999</v>
      </c>
      <c r="AA109" s="26">
        <v>160.30000000000001</v>
      </c>
      <c r="AB109" s="26">
        <v>155.4</v>
      </c>
      <c r="AC109" s="26">
        <v>154.4</v>
      </c>
      <c r="AD109" s="26">
        <v>157.80000000000001</v>
      </c>
      <c r="AE109" s="26">
        <v>2064.1</v>
      </c>
      <c r="AF109" s="26">
        <v>464.6</v>
      </c>
      <c r="AG109" s="27">
        <f t="shared" si="1"/>
        <v>615.4</v>
      </c>
    </row>
    <row r="110" spans="1:33" x14ac:dyDescent="0.3">
      <c r="A110" s="31" t="s">
        <v>30</v>
      </c>
      <c r="B110" s="28">
        <v>2021</v>
      </c>
      <c r="C110" s="28" t="s">
        <v>37</v>
      </c>
      <c r="D110" s="28">
        <v>145.1</v>
      </c>
      <c r="E110" s="28">
        <v>198.5</v>
      </c>
      <c r="F110" s="28">
        <v>168.6</v>
      </c>
      <c r="G110" s="28">
        <v>155.80000000000001</v>
      </c>
      <c r="H110" s="28">
        <v>184.4</v>
      </c>
      <c r="I110" s="28">
        <v>162.30000000000001</v>
      </c>
      <c r="J110" s="28">
        <v>138.4</v>
      </c>
      <c r="K110" s="28">
        <v>165.1</v>
      </c>
      <c r="L110" s="28">
        <v>114.3</v>
      </c>
      <c r="M110" s="28">
        <v>169.7</v>
      </c>
      <c r="N110" s="28">
        <v>164.6</v>
      </c>
      <c r="O110" s="28">
        <v>169.8</v>
      </c>
      <c r="P110" s="28">
        <v>158.69999999999999</v>
      </c>
      <c r="Q110" s="28">
        <v>189.6</v>
      </c>
      <c r="R110" s="28">
        <v>165.3</v>
      </c>
      <c r="S110" s="28">
        <v>160.6</v>
      </c>
      <c r="T110" s="28">
        <v>164.5</v>
      </c>
      <c r="U110" s="28" t="s">
        <v>89</v>
      </c>
      <c r="V110" s="28">
        <v>161.69999999999999</v>
      </c>
      <c r="W110" s="28">
        <v>158.80000000000001</v>
      </c>
      <c r="X110" s="28">
        <v>169.1</v>
      </c>
      <c r="Y110" s="28">
        <v>153.19999999999999</v>
      </c>
      <c r="Z110" s="28">
        <v>160</v>
      </c>
      <c r="AA110" s="28">
        <v>167.6</v>
      </c>
      <c r="AB110" s="28">
        <v>159.30000000000001</v>
      </c>
      <c r="AC110" s="28">
        <v>161.1</v>
      </c>
      <c r="AD110" s="28">
        <v>161.1</v>
      </c>
      <c r="AE110" s="28">
        <v>2095.2999999999997</v>
      </c>
      <c r="AF110" s="28">
        <v>490.4</v>
      </c>
      <c r="AG110" s="29">
        <f t="shared" si="1"/>
        <v>473.7</v>
      </c>
    </row>
    <row r="111" spans="1:33" x14ac:dyDescent="0.3">
      <c r="A111" s="30" t="s">
        <v>32</v>
      </c>
      <c r="B111" s="26">
        <v>2021</v>
      </c>
      <c r="C111" s="26" t="s">
        <v>37</v>
      </c>
      <c r="D111" s="26">
        <v>148.80000000000001</v>
      </c>
      <c r="E111" s="26">
        <v>204.3</v>
      </c>
      <c r="F111" s="26">
        <v>173</v>
      </c>
      <c r="G111" s="26">
        <v>156.5</v>
      </c>
      <c r="H111" s="26">
        <v>168.8</v>
      </c>
      <c r="I111" s="26">
        <v>172.5</v>
      </c>
      <c r="J111" s="26">
        <v>166.5</v>
      </c>
      <c r="K111" s="26">
        <v>165.9</v>
      </c>
      <c r="L111" s="26">
        <v>115.9</v>
      </c>
      <c r="M111" s="26">
        <v>165.2</v>
      </c>
      <c r="N111" s="26">
        <v>152</v>
      </c>
      <c r="O111" s="26">
        <v>171.1</v>
      </c>
      <c r="P111" s="26">
        <v>164.2</v>
      </c>
      <c r="Q111" s="26">
        <v>198.2</v>
      </c>
      <c r="R111" s="26">
        <v>156.5</v>
      </c>
      <c r="S111" s="26">
        <v>140.19999999999999</v>
      </c>
      <c r="T111" s="26">
        <v>154.1</v>
      </c>
      <c r="U111" s="26">
        <v>161.6</v>
      </c>
      <c r="V111" s="26">
        <v>155.5</v>
      </c>
      <c r="W111" s="26">
        <v>150.1</v>
      </c>
      <c r="X111" s="26">
        <v>160.4</v>
      </c>
      <c r="Y111" s="26">
        <v>145</v>
      </c>
      <c r="Z111" s="26">
        <v>152.6</v>
      </c>
      <c r="AA111" s="26">
        <v>156.6</v>
      </c>
      <c r="AB111" s="26">
        <v>157.5</v>
      </c>
      <c r="AC111" s="26">
        <v>152.30000000000001</v>
      </c>
      <c r="AD111" s="26">
        <v>159.5</v>
      </c>
      <c r="AE111" s="26">
        <v>2124.7000000000003</v>
      </c>
      <c r="AF111" s="26">
        <v>450.79999999999995</v>
      </c>
      <c r="AG111" s="27">
        <f t="shared" si="1"/>
        <v>612.20000000000005</v>
      </c>
    </row>
    <row r="112" spans="1:33" x14ac:dyDescent="0.3">
      <c r="A112" s="31" t="s">
        <v>33</v>
      </c>
      <c r="B112" s="28">
        <v>2021</v>
      </c>
      <c r="C112" s="28" t="s">
        <v>37</v>
      </c>
      <c r="D112" s="28">
        <v>146.30000000000001</v>
      </c>
      <c r="E112" s="28">
        <v>200.5</v>
      </c>
      <c r="F112" s="28">
        <v>170.3</v>
      </c>
      <c r="G112" s="28">
        <v>156.1</v>
      </c>
      <c r="H112" s="28">
        <v>178.7</v>
      </c>
      <c r="I112" s="28">
        <v>167.1</v>
      </c>
      <c r="J112" s="28">
        <v>147.9</v>
      </c>
      <c r="K112" s="28">
        <v>165.4</v>
      </c>
      <c r="L112" s="28">
        <v>114.8</v>
      </c>
      <c r="M112" s="28">
        <v>168.2</v>
      </c>
      <c r="N112" s="28">
        <v>159.30000000000001</v>
      </c>
      <c r="O112" s="28">
        <v>170.4</v>
      </c>
      <c r="P112" s="28">
        <v>160.69999999999999</v>
      </c>
      <c r="Q112" s="28">
        <v>191.9</v>
      </c>
      <c r="R112" s="28">
        <v>161.80000000000001</v>
      </c>
      <c r="S112" s="28">
        <v>152.1</v>
      </c>
      <c r="T112" s="28">
        <v>160.4</v>
      </c>
      <c r="U112" s="28">
        <v>161.6</v>
      </c>
      <c r="V112" s="28">
        <v>159.4</v>
      </c>
      <c r="W112" s="28">
        <v>154.69999999999999</v>
      </c>
      <c r="X112" s="28">
        <v>165.8</v>
      </c>
      <c r="Y112" s="28">
        <v>148.9</v>
      </c>
      <c r="Z112" s="28">
        <v>155.80000000000001</v>
      </c>
      <c r="AA112" s="28">
        <v>161.19999999999999</v>
      </c>
      <c r="AB112" s="28">
        <v>158.6</v>
      </c>
      <c r="AC112" s="28">
        <v>156.80000000000001</v>
      </c>
      <c r="AD112" s="28">
        <v>160.4</v>
      </c>
      <c r="AE112" s="28">
        <v>2105.7000000000003</v>
      </c>
      <c r="AF112" s="28">
        <v>474.29999999999995</v>
      </c>
      <c r="AG112" s="29">
        <f t="shared" si="1"/>
        <v>624.6</v>
      </c>
    </row>
    <row r="113" spans="1:33" x14ac:dyDescent="0.3">
      <c r="A113" s="30" t="s">
        <v>30</v>
      </c>
      <c r="B113" s="26">
        <v>2021</v>
      </c>
      <c r="C113" s="26" t="s">
        <v>38</v>
      </c>
      <c r="D113" s="26">
        <v>145.6</v>
      </c>
      <c r="E113" s="26">
        <v>200.1</v>
      </c>
      <c r="F113" s="26">
        <v>179.3</v>
      </c>
      <c r="G113" s="26">
        <v>156.1</v>
      </c>
      <c r="H113" s="26">
        <v>190.4</v>
      </c>
      <c r="I113" s="26">
        <v>158.6</v>
      </c>
      <c r="J113" s="26">
        <v>144.69999999999999</v>
      </c>
      <c r="K113" s="26">
        <v>165.5</v>
      </c>
      <c r="L113" s="26">
        <v>114.6</v>
      </c>
      <c r="M113" s="26">
        <v>170</v>
      </c>
      <c r="N113" s="26">
        <v>165.5</v>
      </c>
      <c r="O113" s="26">
        <v>171.7</v>
      </c>
      <c r="P113" s="26">
        <v>160.5</v>
      </c>
      <c r="Q113" s="26">
        <v>189.1</v>
      </c>
      <c r="R113" s="26">
        <v>165.3</v>
      </c>
      <c r="S113" s="26">
        <v>159.9</v>
      </c>
      <c r="T113" s="26">
        <v>164.6</v>
      </c>
      <c r="U113" s="26" t="s">
        <v>89</v>
      </c>
      <c r="V113" s="26">
        <v>162.1</v>
      </c>
      <c r="W113" s="26">
        <v>159.19999999999999</v>
      </c>
      <c r="X113" s="26">
        <v>169.7</v>
      </c>
      <c r="Y113" s="26">
        <v>154.19999999999999</v>
      </c>
      <c r="Z113" s="26">
        <v>160.4</v>
      </c>
      <c r="AA113" s="26">
        <v>166.8</v>
      </c>
      <c r="AB113" s="26">
        <v>159.4</v>
      </c>
      <c r="AC113" s="26">
        <v>161.5</v>
      </c>
      <c r="AD113" s="26">
        <v>162.1</v>
      </c>
      <c r="AE113" s="26">
        <v>2122.6</v>
      </c>
      <c r="AF113" s="26">
        <v>489.80000000000007</v>
      </c>
      <c r="AG113" s="27">
        <f t="shared" si="1"/>
        <v>475.49999999999994</v>
      </c>
    </row>
    <row r="114" spans="1:33" x14ac:dyDescent="0.3">
      <c r="A114" s="31" t="s">
        <v>32</v>
      </c>
      <c r="B114" s="28">
        <v>2021</v>
      </c>
      <c r="C114" s="28" t="s">
        <v>38</v>
      </c>
      <c r="D114" s="28">
        <v>149.19999999999999</v>
      </c>
      <c r="E114" s="28">
        <v>205.5</v>
      </c>
      <c r="F114" s="28">
        <v>182.8</v>
      </c>
      <c r="G114" s="28">
        <v>156.5</v>
      </c>
      <c r="H114" s="28">
        <v>172.2</v>
      </c>
      <c r="I114" s="28">
        <v>171.5</v>
      </c>
      <c r="J114" s="28">
        <v>176.2</v>
      </c>
      <c r="K114" s="28">
        <v>166.9</v>
      </c>
      <c r="L114" s="28">
        <v>116.1</v>
      </c>
      <c r="M114" s="28">
        <v>165.5</v>
      </c>
      <c r="N114" s="28">
        <v>152.30000000000001</v>
      </c>
      <c r="O114" s="28">
        <v>173.3</v>
      </c>
      <c r="P114" s="28">
        <v>166.2</v>
      </c>
      <c r="Q114" s="28">
        <v>195.6</v>
      </c>
      <c r="R114" s="28">
        <v>157.30000000000001</v>
      </c>
      <c r="S114" s="28">
        <v>140.5</v>
      </c>
      <c r="T114" s="28">
        <v>154.80000000000001</v>
      </c>
      <c r="U114" s="28">
        <v>160.5</v>
      </c>
      <c r="V114" s="28">
        <v>156.1</v>
      </c>
      <c r="W114" s="28">
        <v>149.80000000000001</v>
      </c>
      <c r="X114" s="28">
        <v>160.80000000000001</v>
      </c>
      <c r="Y114" s="28">
        <v>147.5</v>
      </c>
      <c r="Z114" s="28">
        <v>150.69999999999999</v>
      </c>
      <c r="AA114" s="28">
        <v>158.1</v>
      </c>
      <c r="AB114" s="28">
        <v>158</v>
      </c>
      <c r="AC114" s="28">
        <v>153.4</v>
      </c>
      <c r="AD114" s="28">
        <v>160.4</v>
      </c>
      <c r="AE114" s="28">
        <v>2154.1999999999998</v>
      </c>
      <c r="AF114" s="28">
        <v>452.6</v>
      </c>
      <c r="AG114" s="29">
        <f t="shared" si="1"/>
        <v>613.90000000000009</v>
      </c>
    </row>
    <row r="115" spans="1:33" x14ac:dyDescent="0.3">
      <c r="A115" s="30" t="s">
        <v>33</v>
      </c>
      <c r="B115" s="26">
        <v>2021</v>
      </c>
      <c r="C115" s="26" t="s">
        <v>38</v>
      </c>
      <c r="D115" s="26">
        <v>146.69999999999999</v>
      </c>
      <c r="E115" s="26">
        <v>202</v>
      </c>
      <c r="F115" s="26">
        <v>180.7</v>
      </c>
      <c r="G115" s="26">
        <v>156.19999999999999</v>
      </c>
      <c r="H115" s="26">
        <v>183.7</v>
      </c>
      <c r="I115" s="26">
        <v>164.6</v>
      </c>
      <c r="J115" s="26">
        <v>155.4</v>
      </c>
      <c r="K115" s="26">
        <v>166</v>
      </c>
      <c r="L115" s="26">
        <v>115.1</v>
      </c>
      <c r="M115" s="26">
        <v>168.5</v>
      </c>
      <c r="N115" s="26">
        <v>160</v>
      </c>
      <c r="O115" s="26">
        <v>172.4</v>
      </c>
      <c r="P115" s="26">
        <v>162.6</v>
      </c>
      <c r="Q115" s="26">
        <v>190.8</v>
      </c>
      <c r="R115" s="26">
        <v>162.19999999999999</v>
      </c>
      <c r="S115" s="26">
        <v>151.80000000000001</v>
      </c>
      <c r="T115" s="26">
        <v>160.69999999999999</v>
      </c>
      <c r="U115" s="26">
        <v>160.5</v>
      </c>
      <c r="V115" s="26">
        <v>159.80000000000001</v>
      </c>
      <c r="W115" s="26">
        <v>154.80000000000001</v>
      </c>
      <c r="X115" s="26">
        <v>166.3</v>
      </c>
      <c r="Y115" s="26">
        <v>150.69999999999999</v>
      </c>
      <c r="Z115" s="26">
        <v>154.9</v>
      </c>
      <c r="AA115" s="26">
        <v>161.69999999999999</v>
      </c>
      <c r="AB115" s="26">
        <v>158.80000000000001</v>
      </c>
      <c r="AC115" s="26">
        <v>157.6</v>
      </c>
      <c r="AD115" s="26">
        <v>161.30000000000001</v>
      </c>
      <c r="AE115" s="26">
        <v>2133.9</v>
      </c>
      <c r="AF115" s="26">
        <v>474.7</v>
      </c>
      <c r="AG115" s="27">
        <f t="shared" si="1"/>
        <v>625.79999999999995</v>
      </c>
    </row>
    <row r="116" spans="1:33" x14ac:dyDescent="0.3">
      <c r="A116" s="31" t="s">
        <v>30</v>
      </c>
      <c r="B116" s="28">
        <v>2021</v>
      </c>
      <c r="C116" s="28" t="s">
        <v>39</v>
      </c>
      <c r="D116" s="28">
        <v>145.1</v>
      </c>
      <c r="E116" s="28">
        <v>204.5</v>
      </c>
      <c r="F116" s="28">
        <v>180.4</v>
      </c>
      <c r="G116" s="28">
        <v>157.1</v>
      </c>
      <c r="H116" s="28">
        <v>188.7</v>
      </c>
      <c r="I116" s="28">
        <v>157.69999999999999</v>
      </c>
      <c r="J116" s="28">
        <v>152.80000000000001</v>
      </c>
      <c r="K116" s="28">
        <v>163.6</v>
      </c>
      <c r="L116" s="28">
        <v>113.9</v>
      </c>
      <c r="M116" s="28">
        <v>169.7</v>
      </c>
      <c r="N116" s="28">
        <v>166.2</v>
      </c>
      <c r="O116" s="28">
        <v>171</v>
      </c>
      <c r="P116" s="28">
        <v>161.69999999999999</v>
      </c>
      <c r="Q116" s="28">
        <v>189.7</v>
      </c>
      <c r="R116" s="28">
        <v>166</v>
      </c>
      <c r="S116" s="28">
        <v>161.1</v>
      </c>
      <c r="T116" s="28">
        <v>165.3</v>
      </c>
      <c r="U116" s="28" t="s">
        <v>89</v>
      </c>
      <c r="V116" s="28">
        <v>162.5</v>
      </c>
      <c r="W116" s="28">
        <v>160.30000000000001</v>
      </c>
      <c r="X116" s="28">
        <v>170.4</v>
      </c>
      <c r="Y116" s="28">
        <v>157.1</v>
      </c>
      <c r="Z116" s="28">
        <v>160.69999999999999</v>
      </c>
      <c r="AA116" s="28">
        <v>167.2</v>
      </c>
      <c r="AB116" s="28">
        <v>160.4</v>
      </c>
      <c r="AC116" s="28">
        <v>162.80000000000001</v>
      </c>
      <c r="AD116" s="28">
        <v>163.19999999999999</v>
      </c>
      <c r="AE116" s="28">
        <v>2132.4</v>
      </c>
      <c r="AF116" s="28">
        <v>492.40000000000003</v>
      </c>
      <c r="AG116" s="29">
        <f t="shared" si="1"/>
        <v>479.9</v>
      </c>
    </row>
    <row r="117" spans="1:33" x14ac:dyDescent="0.3">
      <c r="A117" s="30" t="s">
        <v>32</v>
      </c>
      <c r="B117" s="26">
        <v>2021</v>
      </c>
      <c r="C117" s="26" t="s">
        <v>39</v>
      </c>
      <c r="D117" s="26">
        <v>149.1</v>
      </c>
      <c r="E117" s="26">
        <v>210.9</v>
      </c>
      <c r="F117" s="26">
        <v>185</v>
      </c>
      <c r="G117" s="26">
        <v>158.19999999999999</v>
      </c>
      <c r="H117" s="26">
        <v>170.6</v>
      </c>
      <c r="I117" s="26">
        <v>170.9</v>
      </c>
      <c r="J117" s="26">
        <v>186.4</v>
      </c>
      <c r="K117" s="26">
        <v>164.7</v>
      </c>
      <c r="L117" s="26">
        <v>115.7</v>
      </c>
      <c r="M117" s="26">
        <v>165.5</v>
      </c>
      <c r="N117" s="26">
        <v>153.4</v>
      </c>
      <c r="O117" s="26">
        <v>173.5</v>
      </c>
      <c r="P117" s="26">
        <v>167.9</v>
      </c>
      <c r="Q117" s="26">
        <v>195.5</v>
      </c>
      <c r="R117" s="26">
        <v>157.9</v>
      </c>
      <c r="S117" s="26">
        <v>141.9</v>
      </c>
      <c r="T117" s="26">
        <v>155.5</v>
      </c>
      <c r="U117" s="26">
        <v>161.5</v>
      </c>
      <c r="V117" s="26">
        <v>157.69999999999999</v>
      </c>
      <c r="W117" s="26">
        <v>150.69999999999999</v>
      </c>
      <c r="X117" s="26">
        <v>161.5</v>
      </c>
      <c r="Y117" s="26">
        <v>149.5</v>
      </c>
      <c r="Z117" s="26">
        <v>151.19999999999999</v>
      </c>
      <c r="AA117" s="26">
        <v>160.30000000000001</v>
      </c>
      <c r="AB117" s="26">
        <v>159.6</v>
      </c>
      <c r="AC117" s="26">
        <v>155</v>
      </c>
      <c r="AD117" s="26">
        <v>161.80000000000001</v>
      </c>
      <c r="AE117" s="26">
        <v>2171.8000000000002</v>
      </c>
      <c r="AF117" s="26">
        <v>455.3</v>
      </c>
      <c r="AG117" s="27">
        <f t="shared" si="1"/>
        <v>619.4</v>
      </c>
    </row>
    <row r="118" spans="1:33" x14ac:dyDescent="0.3">
      <c r="A118" s="31" t="s">
        <v>33</v>
      </c>
      <c r="B118" s="28">
        <v>2021</v>
      </c>
      <c r="C118" s="28" t="s">
        <v>39</v>
      </c>
      <c r="D118" s="28">
        <v>146.4</v>
      </c>
      <c r="E118" s="28">
        <v>206.8</v>
      </c>
      <c r="F118" s="28">
        <v>182.2</v>
      </c>
      <c r="G118" s="28">
        <v>157.5</v>
      </c>
      <c r="H118" s="28">
        <v>182.1</v>
      </c>
      <c r="I118" s="28">
        <v>163.9</v>
      </c>
      <c r="J118" s="28">
        <v>164.2</v>
      </c>
      <c r="K118" s="28">
        <v>164</v>
      </c>
      <c r="L118" s="28">
        <v>114.5</v>
      </c>
      <c r="M118" s="28">
        <v>168.3</v>
      </c>
      <c r="N118" s="28">
        <v>160.9</v>
      </c>
      <c r="O118" s="28">
        <v>172.2</v>
      </c>
      <c r="P118" s="28">
        <v>164</v>
      </c>
      <c r="Q118" s="28">
        <v>191.2</v>
      </c>
      <c r="R118" s="28">
        <v>162.80000000000001</v>
      </c>
      <c r="S118" s="28">
        <v>153.1</v>
      </c>
      <c r="T118" s="28">
        <v>161.4</v>
      </c>
      <c r="U118" s="28">
        <v>161.5</v>
      </c>
      <c r="V118" s="28">
        <v>160.69999999999999</v>
      </c>
      <c r="W118" s="28">
        <v>155.80000000000001</v>
      </c>
      <c r="X118" s="28">
        <v>167</v>
      </c>
      <c r="Y118" s="28">
        <v>153.1</v>
      </c>
      <c r="Z118" s="28">
        <v>155.30000000000001</v>
      </c>
      <c r="AA118" s="28">
        <v>163.19999999999999</v>
      </c>
      <c r="AB118" s="28">
        <v>160.1</v>
      </c>
      <c r="AC118" s="28">
        <v>159</v>
      </c>
      <c r="AD118" s="28">
        <v>162.5</v>
      </c>
      <c r="AE118" s="28">
        <v>2147</v>
      </c>
      <c r="AF118" s="28">
        <v>477.29999999999995</v>
      </c>
      <c r="AG118" s="29">
        <f t="shared" si="1"/>
        <v>631.1</v>
      </c>
    </row>
    <row r="119" spans="1:33" x14ac:dyDescent="0.3">
      <c r="A119" s="30" t="s">
        <v>30</v>
      </c>
      <c r="B119" s="26">
        <v>2021</v>
      </c>
      <c r="C119" s="26" t="s">
        <v>40</v>
      </c>
      <c r="D119" s="26">
        <v>144.9</v>
      </c>
      <c r="E119" s="26">
        <v>202.3</v>
      </c>
      <c r="F119" s="26">
        <v>176.5</v>
      </c>
      <c r="G119" s="26">
        <v>157.5</v>
      </c>
      <c r="H119" s="26">
        <v>190.9</v>
      </c>
      <c r="I119" s="26">
        <v>155.69999999999999</v>
      </c>
      <c r="J119" s="26">
        <v>153.9</v>
      </c>
      <c r="K119" s="26">
        <v>162.80000000000001</v>
      </c>
      <c r="L119" s="26">
        <v>115.2</v>
      </c>
      <c r="M119" s="26">
        <v>169.8</v>
      </c>
      <c r="N119" s="26">
        <v>167.6</v>
      </c>
      <c r="O119" s="26">
        <v>171.9</v>
      </c>
      <c r="P119" s="26">
        <v>161.80000000000001</v>
      </c>
      <c r="Q119" s="26">
        <v>190.2</v>
      </c>
      <c r="R119" s="26">
        <v>167</v>
      </c>
      <c r="S119" s="26">
        <v>162.6</v>
      </c>
      <c r="T119" s="26">
        <v>166.3</v>
      </c>
      <c r="U119" s="26" t="s">
        <v>89</v>
      </c>
      <c r="V119" s="26">
        <v>163.1</v>
      </c>
      <c r="W119" s="26">
        <v>160.9</v>
      </c>
      <c r="X119" s="26">
        <v>171.1</v>
      </c>
      <c r="Y119" s="26">
        <v>157.69999999999999</v>
      </c>
      <c r="Z119" s="26">
        <v>161.1</v>
      </c>
      <c r="AA119" s="26">
        <v>167.5</v>
      </c>
      <c r="AB119" s="26">
        <v>160.30000000000001</v>
      </c>
      <c r="AC119" s="26">
        <v>163.30000000000001</v>
      </c>
      <c r="AD119" s="26">
        <v>163.6</v>
      </c>
      <c r="AE119" s="26">
        <v>2130.8000000000002</v>
      </c>
      <c r="AF119" s="26">
        <v>495.90000000000003</v>
      </c>
      <c r="AG119" s="27">
        <f t="shared" si="1"/>
        <v>481.7</v>
      </c>
    </row>
    <row r="120" spans="1:33" x14ac:dyDescent="0.3">
      <c r="A120" s="31" t="s">
        <v>32</v>
      </c>
      <c r="B120" s="28">
        <v>2021</v>
      </c>
      <c r="C120" s="28" t="s">
        <v>40</v>
      </c>
      <c r="D120" s="28">
        <v>149.30000000000001</v>
      </c>
      <c r="E120" s="28">
        <v>207.4</v>
      </c>
      <c r="F120" s="28">
        <v>174.1</v>
      </c>
      <c r="G120" s="28">
        <v>159.19999999999999</v>
      </c>
      <c r="H120" s="28">
        <v>175</v>
      </c>
      <c r="I120" s="28">
        <v>161.30000000000001</v>
      </c>
      <c r="J120" s="28">
        <v>183.3</v>
      </c>
      <c r="K120" s="28">
        <v>164.5</v>
      </c>
      <c r="L120" s="28">
        <v>120.4</v>
      </c>
      <c r="M120" s="28">
        <v>166.2</v>
      </c>
      <c r="N120" s="28">
        <v>154.80000000000001</v>
      </c>
      <c r="O120" s="28">
        <v>175.1</v>
      </c>
      <c r="P120" s="28">
        <v>167.3</v>
      </c>
      <c r="Q120" s="28">
        <v>196.5</v>
      </c>
      <c r="R120" s="28">
        <v>159.80000000000001</v>
      </c>
      <c r="S120" s="28">
        <v>143.6</v>
      </c>
      <c r="T120" s="28">
        <v>157.30000000000001</v>
      </c>
      <c r="U120" s="28">
        <v>162.1</v>
      </c>
      <c r="V120" s="28">
        <v>160.69999999999999</v>
      </c>
      <c r="W120" s="28">
        <v>153.19999999999999</v>
      </c>
      <c r="X120" s="28">
        <v>162.80000000000001</v>
      </c>
      <c r="Y120" s="28">
        <v>150.4</v>
      </c>
      <c r="Z120" s="28">
        <v>153.69999999999999</v>
      </c>
      <c r="AA120" s="28">
        <v>160.4</v>
      </c>
      <c r="AB120" s="28">
        <v>159.6</v>
      </c>
      <c r="AC120" s="28">
        <v>156</v>
      </c>
      <c r="AD120" s="28">
        <v>162.30000000000001</v>
      </c>
      <c r="AE120" s="28">
        <v>2157.9</v>
      </c>
      <c r="AF120" s="28">
        <v>460.7</v>
      </c>
      <c r="AG120" s="29">
        <f t="shared" si="1"/>
        <v>626.4</v>
      </c>
    </row>
    <row r="121" spans="1:33" x14ac:dyDescent="0.3">
      <c r="A121" s="30" t="s">
        <v>33</v>
      </c>
      <c r="B121" s="26">
        <v>2021</v>
      </c>
      <c r="C121" s="26" t="s">
        <v>40</v>
      </c>
      <c r="D121" s="26">
        <v>146.6</v>
      </c>
      <c r="E121" s="26">
        <v>204</v>
      </c>
      <c r="F121" s="26">
        <v>172.8</v>
      </c>
      <c r="G121" s="26">
        <v>158.4</v>
      </c>
      <c r="H121" s="26">
        <v>188</v>
      </c>
      <c r="I121" s="26">
        <v>156.80000000000001</v>
      </c>
      <c r="J121" s="26">
        <v>162.19999999999999</v>
      </c>
      <c r="K121" s="26">
        <v>164.1</v>
      </c>
      <c r="L121" s="26">
        <v>119.7</v>
      </c>
      <c r="M121" s="26">
        <v>168.8</v>
      </c>
      <c r="N121" s="26">
        <v>162.69999999999999</v>
      </c>
      <c r="O121" s="26">
        <v>173.9</v>
      </c>
      <c r="P121" s="26">
        <v>164</v>
      </c>
      <c r="Q121" s="26">
        <v>192.1</v>
      </c>
      <c r="R121" s="26">
        <v>164.5</v>
      </c>
      <c r="S121" s="26">
        <v>155.30000000000001</v>
      </c>
      <c r="T121" s="26">
        <v>163.19999999999999</v>
      </c>
      <c r="U121" s="26">
        <v>162.1</v>
      </c>
      <c r="V121" s="26">
        <v>162.6</v>
      </c>
      <c r="W121" s="26">
        <v>157.5</v>
      </c>
      <c r="X121" s="26">
        <v>168.4</v>
      </c>
      <c r="Y121" s="26">
        <v>154</v>
      </c>
      <c r="Z121" s="26">
        <v>157.6</v>
      </c>
      <c r="AA121" s="26">
        <v>163.80000000000001</v>
      </c>
      <c r="AB121" s="26">
        <v>160</v>
      </c>
      <c r="AC121" s="26">
        <v>160</v>
      </c>
      <c r="AD121" s="26">
        <v>163.19999999999999</v>
      </c>
      <c r="AE121" s="26">
        <v>2142</v>
      </c>
      <c r="AF121" s="26">
        <v>483</v>
      </c>
      <c r="AG121" s="27">
        <f t="shared" ref="AG121:AG142" si="2">SUM(U121:W121,Y121)</f>
        <v>636.20000000000005</v>
      </c>
    </row>
    <row r="122" spans="1:33" x14ac:dyDescent="0.3">
      <c r="A122" s="31" t="s">
        <v>30</v>
      </c>
      <c r="B122" s="28">
        <v>2021</v>
      </c>
      <c r="C122" s="28" t="s">
        <v>41</v>
      </c>
      <c r="D122" s="28">
        <v>145.4</v>
      </c>
      <c r="E122" s="28">
        <v>202.1</v>
      </c>
      <c r="F122" s="28">
        <v>172</v>
      </c>
      <c r="G122" s="28">
        <v>158</v>
      </c>
      <c r="H122" s="28">
        <v>195.5</v>
      </c>
      <c r="I122" s="28">
        <v>152.69999999999999</v>
      </c>
      <c r="J122" s="28">
        <v>151.4</v>
      </c>
      <c r="K122" s="28">
        <v>163.9</v>
      </c>
      <c r="L122" s="28">
        <v>119.3</v>
      </c>
      <c r="M122" s="28">
        <v>170.1</v>
      </c>
      <c r="N122" s="28">
        <v>168.3</v>
      </c>
      <c r="O122" s="28">
        <v>172.8</v>
      </c>
      <c r="P122" s="28">
        <v>162.1</v>
      </c>
      <c r="Q122" s="28">
        <v>190.5</v>
      </c>
      <c r="R122" s="28">
        <v>167.7</v>
      </c>
      <c r="S122" s="28">
        <v>163.6</v>
      </c>
      <c r="T122" s="28">
        <v>167.1</v>
      </c>
      <c r="U122" s="28" t="s">
        <v>89</v>
      </c>
      <c r="V122" s="28">
        <v>163.69999999999999</v>
      </c>
      <c r="W122" s="28">
        <v>161.30000000000001</v>
      </c>
      <c r="X122" s="28">
        <v>171.9</v>
      </c>
      <c r="Y122" s="28">
        <v>157.80000000000001</v>
      </c>
      <c r="Z122" s="28">
        <v>162.69999999999999</v>
      </c>
      <c r="AA122" s="28">
        <v>168.5</v>
      </c>
      <c r="AB122" s="28">
        <v>160.19999999999999</v>
      </c>
      <c r="AC122" s="28">
        <v>163.80000000000001</v>
      </c>
      <c r="AD122" s="28">
        <v>164</v>
      </c>
      <c r="AE122" s="28">
        <v>2133.6</v>
      </c>
      <c r="AF122" s="28">
        <v>498.4</v>
      </c>
      <c r="AG122" s="29">
        <f t="shared" si="2"/>
        <v>482.8</v>
      </c>
    </row>
    <row r="123" spans="1:33" x14ac:dyDescent="0.3">
      <c r="A123" s="30" t="s">
        <v>32</v>
      </c>
      <c r="B123" s="26">
        <v>2021</v>
      </c>
      <c r="C123" s="26" t="s">
        <v>41</v>
      </c>
      <c r="D123" s="26">
        <v>149.30000000000001</v>
      </c>
      <c r="E123" s="26">
        <v>207.4</v>
      </c>
      <c r="F123" s="26">
        <v>174.1</v>
      </c>
      <c r="G123" s="26">
        <v>159.1</v>
      </c>
      <c r="H123" s="26">
        <v>175</v>
      </c>
      <c r="I123" s="26">
        <v>161.19999999999999</v>
      </c>
      <c r="J123" s="26">
        <v>183.5</v>
      </c>
      <c r="K123" s="26">
        <v>164.5</v>
      </c>
      <c r="L123" s="26">
        <v>120.4</v>
      </c>
      <c r="M123" s="26">
        <v>166.2</v>
      </c>
      <c r="N123" s="26">
        <v>154.80000000000001</v>
      </c>
      <c r="O123" s="26">
        <v>175.1</v>
      </c>
      <c r="P123" s="26">
        <v>167.3</v>
      </c>
      <c r="Q123" s="26">
        <v>196.5</v>
      </c>
      <c r="R123" s="26">
        <v>159.80000000000001</v>
      </c>
      <c r="S123" s="26">
        <v>143.6</v>
      </c>
      <c r="T123" s="26">
        <v>157.4</v>
      </c>
      <c r="U123" s="26">
        <v>162.1</v>
      </c>
      <c r="V123" s="26">
        <v>160.80000000000001</v>
      </c>
      <c r="W123" s="26">
        <v>153.30000000000001</v>
      </c>
      <c r="X123" s="26">
        <v>162.80000000000001</v>
      </c>
      <c r="Y123" s="26">
        <v>150.5</v>
      </c>
      <c r="Z123" s="26">
        <v>153.9</v>
      </c>
      <c r="AA123" s="26">
        <v>160.30000000000001</v>
      </c>
      <c r="AB123" s="26">
        <v>159.6</v>
      </c>
      <c r="AC123" s="26">
        <v>156</v>
      </c>
      <c r="AD123" s="26">
        <v>162.30000000000001</v>
      </c>
      <c r="AE123" s="26">
        <v>2157.9</v>
      </c>
      <c r="AF123" s="26">
        <v>460.79999999999995</v>
      </c>
      <c r="AG123" s="27">
        <f t="shared" si="2"/>
        <v>626.70000000000005</v>
      </c>
    </row>
    <row r="124" spans="1:33" x14ac:dyDescent="0.3">
      <c r="A124" s="31" t="s">
        <v>33</v>
      </c>
      <c r="B124" s="28">
        <v>2021</v>
      </c>
      <c r="C124" s="28" t="s">
        <v>41</v>
      </c>
      <c r="D124" s="28">
        <v>146.6</v>
      </c>
      <c r="E124" s="28">
        <v>204</v>
      </c>
      <c r="F124" s="28">
        <v>172.8</v>
      </c>
      <c r="G124" s="28">
        <v>158.4</v>
      </c>
      <c r="H124" s="28">
        <v>188</v>
      </c>
      <c r="I124" s="28">
        <v>156.69999999999999</v>
      </c>
      <c r="J124" s="28">
        <v>162.30000000000001</v>
      </c>
      <c r="K124" s="28">
        <v>164.1</v>
      </c>
      <c r="L124" s="28">
        <v>119.7</v>
      </c>
      <c r="M124" s="28">
        <v>168.8</v>
      </c>
      <c r="N124" s="28">
        <v>162.69999999999999</v>
      </c>
      <c r="O124" s="28">
        <v>173.9</v>
      </c>
      <c r="P124" s="28">
        <v>164</v>
      </c>
      <c r="Q124" s="28">
        <v>192.1</v>
      </c>
      <c r="R124" s="28">
        <v>164.6</v>
      </c>
      <c r="S124" s="28">
        <v>155.30000000000001</v>
      </c>
      <c r="T124" s="28">
        <v>163.30000000000001</v>
      </c>
      <c r="U124" s="28">
        <v>162.1</v>
      </c>
      <c r="V124" s="28">
        <v>162.6</v>
      </c>
      <c r="W124" s="28">
        <v>157.5</v>
      </c>
      <c r="X124" s="28">
        <v>168.4</v>
      </c>
      <c r="Y124" s="28">
        <v>154</v>
      </c>
      <c r="Z124" s="28">
        <v>157.69999999999999</v>
      </c>
      <c r="AA124" s="28">
        <v>163.69999999999999</v>
      </c>
      <c r="AB124" s="28">
        <v>160</v>
      </c>
      <c r="AC124" s="28">
        <v>160</v>
      </c>
      <c r="AD124" s="28">
        <v>163.19999999999999</v>
      </c>
      <c r="AE124" s="28">
        <v>2142</v>
      </c>
      <c r="AF124" s="28">
        <v>483.2</v>
      </c>
      <c r="AG124" s="29">
        <f t="shared" si="2"/>
        <v>636.20000000000005</v>
      </c>
    </row>
    <row r="125" spans="1:33" x14ac:dyDescent="0.3">
      <c r="A125" s="30" t="s">
        <v>30</v>
      </c>
      <c r="B125" s="26">
        <v>2021</v>
      </c>
      <c r="C125" s="26" t="s">
        <v>42</v>
      </c>
      <c r="D125" s="26">
        <v>146.1</v>
      </c>
      <c r="E125" s="26">
        <v>202.5</v>
      </c>
      <c r="F125" s="26">
        <v>170.1</v>
      </c>
      <c r="G125" s="26">
        <v>158.4</v>
      </c>
      <c r="H125" s="26">
        <v>198.8</v>
      </c>
      <c r="I125" s="26">
        <v>152.6</v>
      </c>
      <c r="J125" s="26">
        <v>170.4</v>
      </c>
      <c r="K125" s="26">
        <v>165.2</v>
      </c>
      <c r="L125" s="26">
        <v>121.6</v>
      </c>
      <c r="M125" s="26">
        <v>170.6</v>
      </c>
      <c r="N125" s="26">
        <v>168.8</v>
      </c>
      <c r="O125" s="26">
        <v>173.6</v>
      </c>
      <c r="P125" s="26">
        <v>165.5</v>
      </c>
      <c r="Q125" s="26">
        <v>191.2</v>
      </c>
      <c r="R125" s="26">
        <v>168.9</v>
      </c>
      <c r="S125" s="26">
        <v>164.8</v>
      </c>
      <c r="T125" s="26">
        <v>168.3</v>
      </c>
      <c r="U125" s="26" t="s">
        <v>89</v>
      </c>
      <c r="V125" s="26">
        <v>165.5</v>
      </c>
      <c r="W125" s="26">
        <v>162</v>
      </c>
      <c r="X125" s="26">
        <v>172.5</v>
      </c>
      <c r="Y125" s="26">
        <v>159.5</v>
      </c>
      <c r="Z125" s="26">
        <v>163.19999999999999</v>
      </c>
      <c r="AA125" s="26">
        <v>169</v>
      </c>
      <c r="AB125" s="26">
        <v>161.1</v>
      </c>
      <c r="AC125" s="26">
        <v>164.7</v>
      </c>
      <c r="AD125" s="26">
        <v>166.3</v>
      </c>
      <c r="AE125" s="26">
        <v>2164.1999999999998</v>
      </c>
      <c r="AF125" s="26">
        <v>502.00000000000006</v>
      </c>
      <c r="AG125" s="27">
        <f t="shared" si="2"/>
        <v>487</v>
      </c>
    </row>
    <row r="126" spans="1:33" x14ac:dyDescent="0.3">
      <c r="A126" s="31" t="s">
        <v>32</v>
      </c>
      <c r="B126" s="28">
        <v>2021</v>
      </c>
      <c r="C126" s="28" t="s">
        <v>42</v>
      </c>
      <c r="D126" s="28">
        <v>150.1</v>
      </c>
      <c r="E126" s="28">
        <v>208.4</v>
      </c>
      <c r="F126" s="28">
        <v>173</v>
      </c>
      <c r="G126" s="28">
        <v>159.19999999999999</v>
      </c>
      <c r="H126" s="28">
        <v>176.6</v>
      </c>
      <c r="I126" s="28">
        <v>159.30000000000001</v>
      </c>
      <c r="J126" s="28">
        <v>214.4</v>
      </c>
      <c r="K126" s="28">
        <v>165.3</v>
      </c>
      <c r="L126" s="28">
        <v>122.5</v>
      </c>
      <c r="M126" s="28">
        <v>166.8</v>
      </c>
      <c r="N126" s="28">
        <v>155.4</v>
      </c>
      <c r="O126" s="28">
        <v>175.9</v>
      </c>
      <c r="P126" s="28">
        <v>171.5</v>
      </c>
      <c r="Q126" s="28">
        <v>197</v>
      </c>
      <c r="R126" s="28">
        <v>160.80000000000001</v>
      </c>
      <c r="S126" s="28">
        <v>144.4</v>
      </c>
      <c r="T126" s="28">
        <v>158.30000000000001</v>
      </c>
      <c r="U126" s="28">
        <v>163.6</v>
      </c>
      <c r="V126" s="28">
        <v>162.19999999999999</v>
      </c>
      <c r="W126" s="28">
        <v>154.30000000000001</v>
      </c>
      <c r="X126" s="28">
        <v>163.5</v>
      </c>
      <c r="Y126" s="28">
        <v>152.19999999999999</v>
      </c>
      <c r="Z126" s="28">
        <v>155.1</v>
      </c>
      <c r="AA126" s="28">
        <v>160.30000000000001</v>
      </c>
      <c r="AB126" s="28">
        <v>160.30000000000001</v>
      </c>
      <c r="AC126" s="28">
        <v>157</v>
      </c>
      <c r="AD126" s="28">
        <v>164.6</v>
      </c>
      <c r="AE126" s="28">
        <v>2198.4000000000005</v>
      </c>
      <c r="AF126" s="28">
        <v>463.50000000000006</v>
      </c>
      <c r="AG126" s="29">
        <f t="shared" si="2"/>
        <v>632.29999999999995</v>
      </c>
    </row>
    <row r="127" spans="1:33" x14ac:dyDescent="0.3">
      <c r="A127" s="30" t="s">
        <v>33</v>
      </c>
      <c r="B127" s="26">
        <v>2021</v>
      </c>
      <c r="C127" s="26" t="s">
        <v>42</v>
      </c>
      <c r="D127" s="26">
        <v>147.4</v>
      </c>
      <c r="E127" s="26">
        <v>204.6</v>
      </c>
      <c r="F127" s="26">
        <v>171.2</v>
      </c>
      <c r="G127" s="26">
        <v>158.69999999999999</v>
      </c>
      <c r="H127" s="26">
        <v>190.6</v>
      </c>
      <c r="I127" s="26">
        <v>155.69999999999999</v>
      </c>
      <c r="J127" s="26">
        <v>185.3</v>
      </c>
      <c r="K127" s="26">
        <v>165.2</v>
      </c>
      <c r="L127" s="26">
        <v>121.9</v>
      </c>
      <c r="M127" s="26">
        <v>169.3</v>
      </c>
      <c r="N127" s="26">
        <v>163.19999999999999</v>
      </c>
      <c r="O127" s="26">
        <v>174.7</v>
      </c>
      <c r="P127" s="26">
        <v>167.7</v>
      </c>
      <c r="Q127" s="26">
        <v>192.7</v>
      </c>
      <c r="R127" s="26">
        <v>165.7</v>
      </c>
      <c r="S127" s="26">
        <v>156.30000000000001</v>
      </c>
      <c r="T127" s="26">
        <v>164.3</v>
      </c>
      <c r="U127" s="26">
        <v>163.6</v>
      </c>
      <c r="V127" s="26">
        <v>164.2</v>
      </c>
      <c r="W127" s="26">
        <v>158.4</v>
      </c>
      <c r="X127" s="26">
        <v>169.1</v>
      </c>
      <c r="Y127" s="26">
        <v>155.69999999999999</v>
      </c>
      <c r="Z127" s="26">
        <v>158.6</v>
      </c>
      <c r="AA127" s="26">
        <v>163.9</v>
      </c>
      <c r="AB127" s="26">
        <v>160.80000000000001</v>
      </c>
      <c r="AC127" s="26">
        <v>161</v>
      </c>
      <c r="AD127" s="26">
        <v>165.5</v>
      </c>
      <c r="AE127" s="26">
        <v>2175.5</v>
      </c>
      <c r="AF127" s="26">
        <v>486.3</v>
      </c>
      <c r="AG127" s="27">
        <f t="shared" si="2"/>
        <v>641.89999999999986</v>
      </c>
    </row>
    <row r="128" spans="1:33" x14ac:dyDescent="0.3">
      <c r="A128" s="31" t="s">
        <v>30</v>
      </c>
      <c r="B128" s="28">
        <v>2021</v>
      </c>
      <c r="C128" s="28" t="s">
        <v>43</v>
      </c>
      <c r="D128" s="28">
        <v>146.9</v>
      </c>
      <c r="E128" s="28">
        <v>199.8</v>
      </c>
      <c r="F128" s="28">
        <v>171.5</v>
      </c>
      <c r="G128" s="28">
        <v>159.1</v>
      </c>
      <c r="H128" s="28">
        <v>198.4</v>
      </c>
      <c r="I128" s="28">
        <v>153.19999999999999</v>
      </c>
      <c r="J128" s="28">
        <v>183.9</v>
      </c>
      <c r="K128" s="28">
        <v>165.4</v>
      </c>
      <c r="L128" s="28">
        <v>122.1</v>
      </c>
      <c r="M128" s="28">
        <v>170.8</v>
      </c>
      <c r="N128" s="28">
        <v>169.1</v>
      </c>
      <c r="O128" s="28">
        <v>174.3</v>
      </c>
      <c r="P128" s="28">
        <v>167.5</v>
      </c>
      <c r="Q128" s="28">
        <v>191.4</v>
      </c>
      <c r="R128" s="28">
        <v>170.4</v>
      </c>
      <c r="S128" s="28">
        <v>166</v>
      </c>
      <c r="T128" s="28">
        <v>169.8</v>
      </c>
      <c r="U128" s="28" t="s">
        <v>89</v>
      </c>
      <c r="V128" s="28">
        <v>165.3</v>
      </c>
      <c r="W128" s="28">
        <v>162.9</v>
      </c>
      <c r="X128" s="28">
        <v>173.4</v>
      </c>
      <c r="Y128" s="28">
        <v>158.9</v>
      </c>
      <c r="Z128" s="28">
        <v>163.80000000000001</v>
      </c>
      <c r="AA128" s="28">
        <v>169.3</v>
      </c>
      <c r="AB128" s="28">
        <v>162.4</v>
      </c>
      <c r="AC128" s="28">
        <v>165.2</v>
      </c>
      <c r="AD128" s="28">
        <v>167.6</v>
      </c>
      <c r="AE128" s="28">
        <v>2182</v>
      </c>
      <c r="AF128" s="28">
        <v>506.2</v>
      </c>
      <c r="AG128" s="29">
        <f t="shared" si="2"/>
        <v>487.1</v>
      </c>
    </row>
    <row r="129" spans="1:33" x14ac:dyDescent="0.3">
      <c r="A129" s="30" t="s">
        <v>32</v>
      </c>
      <c r="B129" s="26">
        <v>2021</v>
      </c>
      <c r="C129" s="26" t="s">
        <v>43</v>
      </c>
      <c r="D129" s="26">
        <v>151</v>
      </c>
      <c r="E129" s="26">
        <v>204.9</v>
      </c>
      <c r="F129" s="26">
        <v>175.4</v>
      </c>
      <c r="G129" s="26">
        <v>159.6</v>
      </c>
      <c r="H129" s="26">
        <v>175.8</v>
      </c>
      <c r="I129" s="26">
        <v>160.30000000000001</v>
      </c>
      <c r="J129" s="26">
        <v>229.1</v>
      </c>
      <c r="K129" s="26">
        <v>165.1</v>
      </c>
      <c r="L129" s="26">
        <v>123.1</v>
      </c>
      <c r="M129" s="26">
        <v>167.2</v>
      </c>
      <c r="N129" s="26">
        <v>156.1</v>
      </c>
      <c r="O129" s="26">
        <v>176.8</v>
      </c>
      <c r="P129" s="26">
        <v>173.5</v>
      </c>
      <c r="Q129" s="26">
        <v>197</v>
      </c>
      <c r="R129" s="26">
        <v>162.30000000000001</v>
      </c>
      <c r="S129" s="26">
        <v>145.30000000000001</v>
      </c>
      <c r="T129" s="26">
        <v>159.69999999999999</v>
      </c>
      <c r="U129" s="26">
        <v>164.2</v>
      </c>
      <c r="V129" s="26">
        <v>161.6</v>
      </c>
      <c r="W129" s="26">
        <v>155.19999999999999</v>
      </c>
      <c r="X129" s="26">
        <v>164.2</v>
      </c>
      <c r="Y129" s="26">
        <v>151.19999999999999</v>
      </c>
      <c r="Z129" s="26">
        <v>156.69999999999999</v>
      </c>
      <c r="AA129" s="26">
        <v>160.80000000000001</v>
      </c>
      <c r="AB129" s="26">
        <v>161.80000000000001</v>
      </c>
      <c r="AC129" s="26">
        <v>157.30000000000001</v>
      </c>
      <c r="AD129" s="26">
        <v>165.6</v>
      </c>
      <c r="AE129" s="26">
        <v>2217.8999999999996</v>
      </c>
      <c r="AF129" s="26">
        <v>467.3</v>
      </c>
      <c r="AG129" s="27">
        <f t="shared" si="2"/>
        <v>632.19999999999993</v>
      </c>
    </row>
    <row r="130" spans="1:33" x14ac:dyDescent="0.3">
      <c r="A130" s="31" t="s">
        <v>33</v>
      </c>
      <c r="B130" s="28">
        <v>2021</v>
      </c>
      <c r="C130" s="28" t="s">
        <v>43</v>
      </c>
      <c r="D130" s="28">
        <v>148.19999999999999</v>
      </c>
      <c r="E130" s="28">
        <v>201.6</v>
      </c>
      <c r="F130" s="28">
        <v>173</v>
      </c>
      <c r="G130" s="28">
        <v>159.30000000000001</v>
      </c>
      <c r="H130" s="28">
        <v>190.1</v>
      </c>
      <c r="I130" s="28">
        <v>156.5</v>
      </c>
      <c r="J130" s="28">
        <v>199.2</v>
      </c>
      <c r="K130" s="28">
        <v>165.3</v>
      </c>
      <c r="L130" s="28">
        <v>122.4</v>
      </c>
      <c r="M130" s="28">
        <v>169.6</v>
      </c>
      <c r="N130" s="28">
        <v>163.69999999999999</v>
      </c>
      <c r="O130" s="28">
        <v>175.5</v>
      </c>
      <c r="P130" s="28">
        <v>169.7</v>
      </c>
      <c r="Q130" s="28">
        <v>192.9</v>
      </c>
      <c r="R130" s="28">
        <v>167.2</v>
      </c>
      <c r="S130" s="28">
        <v>157.4</v>
      </c>
      <c r="T130" s="28">
        <v>165.8</v>
      </c>
      <c r="U130" s="28">
        <v>164.2</v>
      </c>
      <c r="V130" s="28">
        <v>163.9</v>
      </c>
      <c r="W130" s="28">
        <v>159.30000000000001</v>
      </c>
      <c r="X130" s="28">
        <v>169.9</v>
      </c>
      <c r="Y130" s="28">
        <v>154.80000000000001</v>
      </c>
      <c r="Z130" s="28">
        <v>159.80000000000001</v>
      </c>
      <c r="AA130" s="28">
        <v>164.3</v>
      </c>
      <c r="AB130" s="28">
        <v>162.19999999999999</v>
      </c>
      <c r="AC130" s="28">
        <v>161.4</v>
      </c>
      <c r="AD130" s="28">
        <v>166.7</v>
      </c>
      <c r="AE130" s="28">
        <v>2194.1</v>
      </c>
      <c r="AF130" s="28">
        <v>490.40000000000003</v>
      </c>
      <c r="AG130" s="29">
        <f t="shared" si="2"/>
        <v>642.20000000000005</v>
      </c>
    </row>
    <row r="131" spans="1:33" x14ac:dyDescent="0.3">
      <c r="A131" s="30" t="s">
        <v>30</v>
      </c>
      <c r="B131" s="26">
        <v>2021</v>
      </c>
      <c r="C131" s="26" t="s">
        <v>44</v>
      </c>
      <c r="D131" s="26">
        <v>147.4</v>
      </c>
      <c r="E131" s="26">
        <v>197</v>
      </c>
      <c r="F131" s="26">
        <v>176.5</v>
      </c>
      <c r="G131" s="26">
        <v>159.80000000000001</v>
      </c>
      <c r="H131" s="26">
        <v>195.8</v>
      </c>
      <c r="I131" s="26">
        <v>152</v>
      </c>
      <c r="J131" s="26">
        <v>172.3</v>
      </c>
      <c r="K131" s="26">
        <v>164.5</v>
      </c>
      <c r="L131" s="26">
        <v>120.6</v>
      </c>
      <c r="M131" s="26">
        <v>171.7</v>
      </c>
      <c r="N131" s="26">
        <v>169.7</v>
      </c>
      <c r="O131" s="26">
        <v>175.1</v>
      </c>
      <c r="P131" s="26">
        <v>165.8</v>
      </c>
      <c r="Q131" s="26">
        <v>190.8</v>
      </c>
      <c r="R131" s="26">
        <v>171.8</v>
      </c>
      <c r="S131" s="26">
        <v>167.3</v>
      </c>
      <c r="T131" s="26">
        <v>171.2</v>
      </c>
      <c r="U131" s="26" t="s">
        <v>89</v>
      </c>
      <c r="V131" s="26">
        <v>165.6</v>
      </c>
      <c r="W131" s="26">
        <v>163.9</v>
      </c>
      <c r="X131" s="26">
        <v>174</v>
      </c>
      <c r="Y131" s="26">
        <v>160.1</v>
      </c>
      <c r="Z131" s="26">
        <v>164.5</v>
      </c>
      <c r="AA131" s="26">
        <v>169.7</v>
      </c>
      <c r="AB131" s="26">
        <v>162.80000000000001</v>
      </c>
      <c r="AC131" s="26">
        <v>166</v>
      </c>
      <c r="AD131" s="26">
        <v>167</v>
      </c>
      <c r="AE131" s="26">
        <v>2168.1999999999998</v>
      </c>
      <c r="AF131" s="26">
        <v>510.3</v>
      </c>
      <c r="AG131" s="27">
        <f t="shared" si="2"/>
        <v>489.6</v>
      </c>
    </row>
    <row r="132" spans="1:33" x14ac:dyDescent="0.3">
      <c r="A132" s="31" t="s">
        <v>32</v>
      </c>
      <c r="B132" s="28">
        <v>2021</v>
      </c>
      <c r="C132" s="28" t="s">
        <v>44</v>
      </c>
      <c r="D132" s="28">
        <v>151.6</v>
      </c>
      <c r="E132" s="28">
        <v>202.2</v>
      </c>
      <c r="F132" s="28">
        <v>180</v>
      </c>
      <c r="G132" s="28">
        <v>160</v>
      </c>
      <c r="H132" s="28">
        <v>173.5</v>
      </c>
      <c r="I132" s="28">
        <v>158.30000000000001</v>
      </c>
      <c r="J132" s="28">
        <v>219.5</v>
      </c>
      <c r="K132" s="28">
        <v>164.2</v>
      </c>
      <c r="L132" s="28">
        <v>121.9</v>
      </c>
      <c r="M132" s="28">
        <v>168.2</v>
      </c>
      <c r="N132" s="28">
        <v>156.5</v>
      </c>
      <c r="O132" s="28">
        <v>178.2</v>
      </c>
      <c r="P132" s="28">
        <v>172.2</v>
      </c>
      <c r="Q132" s="28">
        <v>196.8</v>
      </c>
      <c r="R132" s="28">
        <v>163.30000000000001</v>
      </c>
      <c r="S132" s="28">
        <v>146.69999999999999</v>
      </c>
      <c r="T132" s="28">
        <v>160.69999999999999</v>
      </c>
      <c r="U132" s="28">
        <v>163.4</v>
      </c>
      <c r="V132" s="28">
        <v>161.69999999999999</v>
      </c>
      <c r="W132" s="28">
        <v>156</v>
      </c>
      <c r="X132" s="28">
        <v>165.1</v>
      </c>
      <c r="Y132" s="28">
        <v>151.80000000000001</v>
      </c>
      <c r="Z132" s="28">
        <v>157.6</v>
      </c>
      <c r="AA132" s="28">
        <v>160.6</v>
      </c>
      <c r="AB132" s="28">
        <v>162.4</v>
      </c>
      <c r="AC132" s="28">
        <v>157.80000000000001</v>
      </c>
      <c r="AD132" s="28">
        <v>165.2</v>
      </c>
      <c r="AE132" s="28">
        <v>2206.3000000000002</v>
      </c>
      <c r="AF132" s="28">
        <v>470.7</v>
      </c>
      <c r="AG132" s="29">
        <f t="shared" si="2"/>
        <v>632.90000000000009</v>
      </c>
    </row>
    <row r="133" spans="1:33" x14ac:dyDescent="0.3">
      <c r="A133" s="30" t="s">
        <v>33</v>
      </c>
      <c r="B133" s="26">
        <v>2021</v>
      </c>
      <c r="C133" s="26" t="s">
        <v>44</v>
      </c>
      <c r="D133" s="26">
        <v>148.69999999999999</v>
      </c>
      <c r="E133" s="26">
        <v>198.8</v>
      </c>
      <c r="F133" s="26">
        <v>177.9</v>
      </c>
      <c r="G133" s="26">
        <v>159.9</v>
      </c>
      <c r="H133" s="26">
        <v>187.6</v>
      </c>
      <c r="I133" s="26">
        <v>154.9</v>
      </c>
      <c r="J133" s="26">
        <v>188.3</v>
      </c>
      <c r="K133" s="26">
        <v>164.4</v>
      </c>
      <c r="L133" s="26">
        <v>121</v>
      </c>
      <c r="M133" s="26">
        <v>170.5</v>
      </c>
      <c r="N133" s="26">
        <v>164.2</v>
      </c>
      <c r="O133" s="26">
        <v>176.5</v>
      </c>
      <c r="P133" s="26">
        <v>168.2</v>
      </c>
      <c r="Q133" s="26">
        <v>192.4</v>
      </c>
      <c r="R133" s="26">
        <v>168.5</v>
      </c>
      <c r="S133" s="26">
        <v>158.69999999999999</v>
      </c>
      <c r="T133" s="26">
        <v>167</v>
      </c>
      <c r="U133" s="26">
        <v>163.4</v>
      </c>
      <c r="V133" s="26">
        <v>164.1</v>
      </c>
      <c r="W133" s="26">
        <v>160.19999999999999</v>
      </c>
      <c r="X133" s="26">
        <v>170.6</v>
      </c>
      <c r="Y133" s="26">
        <v>155.69999999999999</v>
      </c>
      <c r="Z133" s="26">
        <v>160.6</v>
      </c>
      <c r="AA133" s="26">
        <v>164.4</v>
      </c>
      <c r="AB133" s="26">
        <v>162.6</v>
      </c>
      <c r="AC133" s="26">
        <v>162</v>
      </c>
      <c r="AD133" s="26">
        <v>166.2</v>
      </c>
      <c r="AE133" s="26">
        <v>2180.9</v>
      </c>
      <c r="AF133" s="26">
        <v>494.2</v>
      </c>
      <c r="AG133" s="27">
        <f t="shared" si="2"/>
        <v>643.4</v>
      </c>
    </row>
    <row r="134" spans="1:33" x14ac:dyDescent="0.3">
      <c r="A134" s="31" t="s">
        <v>30</v>
      </c>
      <c r="B134" s="28">
        <v>2022</v>
      </c>
      <c r="C134" s="28" t="s">
        <v>31</v>
      </c>
      <c r="D134" s="28">
        <v>148.30000000000001</v>
      </c>
      <c r="E134" s="28">
        <v>196.9</v>
      </c>
      <c r="F134" s="28">
        <v>178</v>
      </c>
      <c r="G134" s="28">
        <v>160.5</v>
      </c>
      <c r="H134" s="28">
        <v>192.6</v>
      </c>
      <c r="I134" s="28">
        <v>151.19999999999999</v>
      </c>
      <c r="J134" s="28">
        <v>159.19999999999999</v>
      </c>
      <c r="K134" s="28">
        <v>164</v>
      </c>
      <c r="L134" s="28">
        <v>119.3</v>
      </c>
      <c r="M134" s="28">
        <v>173.3</v>
      </c>
      <c r="N134" s="28">
        <v>169.8</v>
      </c>
      <c r="O134" s="28">
        <v>175.8</v>
      </c>
      <c r="P134" s="28">
        <v>164.1</v>
      </c>
      <c r="Q134" s="28">
        <v>190.7</v>
      </c>
      <c r="R134" s="28">
        <v>173.2</v>
      </c>
      <c r="S134" s="28">
        <v>169.3</v>
      </c>
      <c r="T134" s="28">
        <v>172.7</v>
      </c>
      <c r="U134" s="28" t="s">
        <v>89</v>
      </c>
      <c r="V134" s="28">
        <v>165.8</v>
      </c>
      <c r="W134" s="28">
        <v>164.9</v>
      </c>
      <c r="X134" s="28">
        <v>174.7</v>
      </c>
      <c r="Y134" s="28">
        <v>160.80000000000001</v>
      </c>
      <c r="Z134" s="28">
        <v>164.9</v>
      </c>
      <c r="AA134" s="28">
        <v>169.9</v>
      </c>
      <c r="AB134" s="28">
        <v>163.19999999999999</v>
      </c>
      <c r="AC134" s="28">
        <v>166.6</v>
      </c>
      <c r="AD134" s="28">
        <v>166.4</v>
      </c>
      <c r="AE134" s="28">
        <v>2153</v>
      </c>
      <c r="AF134" s="28">
        <v>515.20000000000005</v>
      </c>
      <c r="AG134" s="29">
        <f t="shared" si="2"/>
        <v>491.50000000000006</v>
      </c>
    </row>
    <row r="135" spans="1:33" x14ac:dyDescent="0.3">
      <c r="A135" s="30" t="s">
        <v>32</v>
      </c>
      <c r="B135" s="26">
        <v>2022</v>
      </c>
      <c r="C135" s="26" t="s">
        <v>31</v>
      </c>
      <c r="D135" s="26">
        <v>152.19999999999999</v>
      </c>
      <c r="E135" s="26">
        <v>202.1</v>
      </c>
      <c r="F135" s="26">
        <v>180.1</v>
      </c>
      <c r="G135" s="26">
        <v>160.4</v>
      </c>
      <c r="H135" s="26">
        <v>171</v>
      </c>
      <c r="I135" s="26">
        <v>156.5</v>
      </c>
      <c r="J135" s="26">
        <v>203.6</v>
      </c>
      <c r="K135" s="26">
        <v>163.80000000000001</v>
      </c>
      <c r="L135" s="26">
        <v>121.3</v>
      </c>
      <c r="M135" s="26">
        <v>169.8</v>
      </c>
      <c r="N135" s="26">
        <v>156.6</v>
      </c>
      <c r="O135" s="26">
        <v>179</v>
      </c>
      <c r="P135" s="26">
        <v>170.3</v>
      </c>
      <c r="Q135" s="26">
        <v>196.4</v>
      </c>
      <c r="R135" s="26">
        <v>164.7</v>
      </c>
      <c r="S135" s="26">
        <v>148.5</v>
      </c>
      <c r="T135" s="26">
        <v>162.19999999999999</v>
      </c>
      <c r="U135" s="26">
        <v>164.5</v>
      </c>
      <c r="V135" s="26">
        <v>161.6</v>
      </c>
      <c r="W135" s="26">
        <v>156.80000000000001</v>
      </c>
      <c r="X135" s="26">
        <v>166.1</v>
      </c>
      <c r="Y135" s="26">
        <v>152.69999999999999</v>
      </c>
      <c r="Z135" s="26">
        <v>158.4</v>
      </c>
      <c r="AA135" s="26">
        <v>161</v>
      </c>
      <c r="AB135" s="26">
        <v>162.80000000000001</v>
      </c>
      <c r="AC135" s="26">
        <v>158.6</v>
      </c>
      <c r="AD135" s="26">
        <v>165</v>
      </c>
      <c r="AE135" s="26">
        <v>2186.6999999999998</v>
      </c>
      <c r="AF135" s="26">
        <v>475.4</v>
      </c>
      <c r="AG135" s="27">
        <f t="shared" si="2"/>
        <v>635.6</v>
      </c>
    </row>
    <row r="136" spans="1:33" x14ac:dyDescent="0.3">
      <c r="A136" s="31" t="s">
        <v>33</v>
      </c>
      <c r="B136" s="28">
        <v>2022</v>
      </c>
      <c r="C136" s="28" t="s">
        <v>31</v>
      </c>
      <c r="D136" s="28">
        <v>149.5</v>
      </c>
      <c r="E136" s="28">
        <v>198.7</v>
      </c>
      <c r="F136" s="28">
        <v>178.8</v>
      </c>
      <c r="G136" s="28">
        <v>160.5</v>
      </c>
      <c r="H136" s="28">
        <v>184.7</v>
      </c>
      <c r="I136" s="28">
        <v>153.69999999999999</v>
      </c>
      <c r="J136" s="28">
        <v>174.3</v>
      </c>
      <c r="K136" s="28">
        <v>163.9</v>
      </c>
      <c r="L136" s="28">
        <v>120</v>
      </c>
      <c r="M136" s="28">
        <v>172.1</v>
      </c>
      <c r="N136" s="28">
        <v>164.3</v>
      </c>
      <c r="O136" s="28">
        <v>177.3</v>
      </c>
      <c r="P136" s="28">
        <v>166.4</v>
      </c>
      <c r="Q136" s="28">
        <v>192.2</v>
      </c>
      <c r="R136" s="28">
        <v>169.9</v>
      </c>
      <c r="S136" s="28">
        <v>160.69999999999999</v>
      </c>
      <c r="T136" s="28">
        <v>168.5</v>
      </c>
      <c r="U136" s="28">
        <v>164.5</v>
      </c>
      <c r="V136" s="28">
        <v>164.2</v>
      </c>
      <c r="W136" s="28">
        <v>161.1</v>
      </c>
      <c r="X136" s="28">
        <v>171.4</v>
      </c>
      <c r="Y136" s="28">
        <v>156.5</v>
      </c>
      <c r="Z136" s="28">
        <v>161.19999999999999</v>
      </c>
      <c r="AA136" s="28">
        <v>164.7</v>
      </c>
      <c r="AB136" s="28">
        <v>163</v>
      </c>
      <c r="AC136" s="28">
        <v>162.69999999999999</v>
      </c>
      <c r="AD136" s="28">
        <v>165.7</v>
      </c>
      <c r="AE136" s="28">
        <v>2164.1999999999998</v>
      </c>
      <c r="AF136" s="28">
        <v>499.1</v>
      </c>
      <c r="AG136" s="29">
        <f t="shared" si="2"/>
        <v>646.29999999999995</v>
      </c>
    </row>
    <row r="137" spans="1:33" x14ac:dyDescent="0.3">
      <c r="A137" s="30" t="s">
        <v>30</v>
      </c>
      <c r="B137" s="26">
        <v>2022</v>
      </c>
      <c r="C137" s="26" t="s">
        <v>34</v>
      </c>
      <c r="D137" s="26">
        <v>148.80000000000001</v>
      </c>
      <c r="E137" s="26">
        <v>198.1</v>
      </c>
      <c r="F137" s="26">
        <v>175.5</v>
      </c>
      <c r="G137" s="26">
        <v>160.69999999999999</v>
      </c>
      <c r="H137" s="26">
        <v>192.6</v>
      </c>
      <c r="I137" s="26">
        <v>151.4</v>
      </c>
      <c r="J137" s="26">
        <v>155.19999999999999</v>
      </c>
      <c r="K137" s="26">
        <v>163.9</v>
      </c>
      <c r="L137" s="26">
        <v>118.1</v>
      </c>
      <c r="M137" s="26">
        <v>175.4</v>
      </c>
      <c r="N137" s="26">
        <v>170.5</v>
      </c>
      <c r="O137" s="26">
        <v>176.3</v>
      </c>
      <c r="P137" s="26">
        <v>163.9</v>
      </c>
      <c r="Q137" s="26">
        <v>191.5</v>
      </c>
      <c r="R137" s="26">
        <v>174.1</v>
      </c>
      <c r="S137" s="26">
        <v>171</v>
      </c>
      <c r="T137" s="26">
        <v>173.7</v>
      </c>
      <c r="U137" s="26" t="s">
        <v>89</v>
      </c>
      <c r="V137" s="26">
        <v>167.4</v>
      </c>
      <c r="W137" s="26">
        <v>165.7</v>
      </c>
      <c r="X137" s="26">
        <v>175.3</v>
      </c>
      <c r="Y137" s="26">
        <v>161.19999999999999</v>
      </c>
      <c r="Z137" s="26">
        <v>165.5</v>
      </c>
      <c r="AA137" s="26">
        <v>170.3</v>
      </c>
      <c r="AB137" s="26">
        <v>164.5</v>
      </c>
      <c r="AC137" s="26">
        <v>167.3</v>
      </c>
      <c r="AD137" s="26">
        <v>166.7</v>
      </c>
      <c r="AE137" s="26">
        <v>2150.4</v>
      </c>
      <c r="AF137" s="26">
        <v>518.79999999999995</v>
      </c>
      <c r="AG137" s="27">
        <f t="shared" si="2"/>
        <v>494.3</v>
      </c>
    </row>
    <row r="138" spans="1:33" x14ac:dyDescent="0.3">
      <c r="A138" s="31" t="s">
        <v>32</v>
      </c>
      <c r="B138" s="28">
        <v>2022</v>
      </c>
      <c r="C138" s="28" t="s">
        <v>34</v>
      </c>
      <c r="D138" s="28">
        <v>152.5</v>
      </c>
      <c r="E138" s="28">
        <v>205.2</v>
      </c>
      <c r="F138" s="28">
        <v>176.4</v>
      </c>
      <c r="G138" s="28">
        <v>160.6</v>
      </c>
      <c r="H138" s="28">
        <v>171.5</v>
      </c>
      <c r="I138" s="28">
        <v>156.4</v>
      </c>
      <c r="J138" s="28">
        <v>198</v>
      </c>
      <c r="K138" s="28">
        <v>163.19999999999999</v>
      </c>
      <c r="L138" s="28">
        <v>120.6</v>
      </c>
      <c r="M138" s="28">
        <v>172.2</v>
      </c>
      <c r="N138" s="28">
        <v>156.69999999999999</v>
      </c>
      <c r="O138" s="28">
        <v>180</v>
      </c>
      <c r="P138" s="28">
        <v>170.2</v>
      </c>
      <c r="Q138" s="28">
        <v>196.5</v>
      </c>
      <c r="R138" s="28">
        <v>165.7</v>
      </c>
      <c r="S138" s="28">
        <v>150.4</v>
      </c>
      <c r="T138" s="28">
        <v>163.4</v>
      </c>
      <c r="U138" s="28">
        <v>165.5</v>
      </c>
      <c r="V138" s="28">
        <v>163</v>
      </c>
      <c r="W138" s="28">
        <v>157.4</v>
      </c>
      <c r="X138" s="28">
        <v>167.2</v>
      </c>
      <c r="Y138" s="28">
        <v>153.1</v>
      </c>
      <c r="Z138" s="28">
        <v>159.5</v>
      </c>
      <c r="AA138" s="28">
        <v>162</v>
      </c>
      <c r="AB138" s="28">
        <v>164.2</v>
      </c>
      <c r="AC138" s="28">
        <v>159.4</v>
      </c>
      <c r="AD138" s="28">
        <v>165.5</v>
      </c>
      <c r="AE138" s="28">
        <v>2183.5</v>
      </c>
      <c r="AF138" s="28">
        <v>479.5</v>
      </c>
      <c r="AG138" s="29">
        <f t="shared" si="2"/>
        <v>639</v>
      </c>
    </row>
    <row r="139" spans="1:33" x14ac:dyDescent="0.3">
      <c r="A139" s="30" t="s">
        <v>33</v>
      </c>
      <c r="B139" s="26">
        <v>2022</v>
      </c>
      <c r="C139" s="26" t="s">
        <v>34</v>
      </c>
      <c r="D139" s="26">
        <v>150</v>
      </c>
      <c r="E139" s="26">
        <v>200.6</v>
      </c>
      <c r="F139" s="26">
        <v>175.8</v>
      </c>
      <c r="G139" s="26">
        <v>160.69999999999999</v>
      </c>
      <c r="H139" s="26">
        <v>184.9</v>
      </c>
      <c r="I139" s="26">
        <v>153.69999999999999</v>
      </c>
      <c r="J139" s="26">
        <v>169.7</v>
      </c>
      <c r="K139" s="26">
        <v>163.69999999999999</v>
      </c>
      <c r="L139" s="26">
        <v>118.9</v>
      </c>
      <c r="M139" s="26">
        <v>174.3</v>
      </c>
      <c r="N139" s="26">
        <v>164.7</v>
      </c>
      <c r="O139" s="26">
        <v>178</v>
      </c>
      <c r="P139" s="26">
        <v>166.2</v>
      </c>
      <c r="Q139" s="26">
        <v>192.8</v>
      </c>
      <c r="R139" s="26">
        <v>170.8</v>
      </c>
      <c r="S139" s="26">
        <v>162.4</v>
      </c>
      <c r="T139" s="26">
        <v>169.6</v>
      </c>
      <c r="U139" s="26">
        <v>165.5</v>
      </c>
      <c r="V139" s="26">
        <v>165.7</v>
      </c>
      <c r="W139" s="26">
        <v>161.80000000000001</v>
      </c>
      <c r="X139" s="26">
        <v>172.2</v>
      </c>
      <c r="Y139" s="26">
        <v>156.9</v>
      </c>
      <c r="Z139" s="26">
        <v>162.1</v>
      </c>
      <c r="AA139" s="26">
        <v>165.4</v>
      </c>
      <c r="AB139" s="26">
        <v>164.4</v>
      </c>
      <c r="AC139" s="26">
        <v>163.5</v>
      </c>
      <c r="AD139" s="26">
        <v>166.1</v>
      </c>
      <c r="AE139" s="26">
        <v>2161.2000000000003</v>
      </c>
      <c r="AF139" s="26">
        <v>502.80000000000007</v>
      </c>
      <c r="AG139" s="27">
        <f t="shared" si="2"/>
        <v>649.9</v>
      </c>
    </row>
    <row r="140" spans="1:33" x14ac:dyDescent="0.3">
      <c r="A140" s="31" t="s">
        <v>30</v>
      </c>
      <c r="B140" s="28">
        <v>2022</v>
      </c>
      <c r="C140" s="28" t="s">
        <v>35</v>
      </c>
      <c r="D140" s="28">
        <v>150.19999999999999</v>
      </c>
      <c r="E140" s="28">
        <v>208</v>
      </c>
      <c r="F140" s="28">
        <v>167.9</v>
      </c>
      <c r="G140" s="28">
        <v>162</v>
      </c>
      <c r="H140" s="28">
        <v>203.1</v>
      </c>
      <c r="I140" s="28">
        <v>155.9</v>
      </c>
      <c r="J140" s="28">
        <v>155.80000000000001</v>
      </c>
      <c r="K140" s="28">
        <v>164.2</v>
      </c>
      <c r="L140" s="28">
        <v>118.1</v>
      </c>
      <c r="M140" s="28">
        <v>178.7</v>
      </c>
      <c r="N140" s="28">
        <v>171.2</v>
      </c>
      <c r="O140" s="28">
        <v>177.4</v>
      </c>
      <c r="P140" s="28">
        <v>166.6</v>
      </c>
      <c r="Q140" s="28">
        <v>192.3</v>
      </c>
      <c r="R140" s="28">
        <v>175.4</v>
      </c>
      <c r="S140" s="28">
        <v>173.2</v>
      </c>
      <c r="T140" s="28">
        <v>175.1</v>
      </c>
      <c r="U140" s="28" t="s">
        <v>89</v>
      </c>
      <c r="V140" s="28">
        <v>168.9</v>
      </c>
      <c r="W140" s="28">
        <v>166.5</v>
      </c>
      <c r="X140" s="28">
        <v>176</v>
      </c>
      <c r="Y140" s="28">
        <v>162</v>
      </c>
      <c r="Z140" s="28">
        <v>166.6</v>
      </c>
      <c r="AA140" s="28">
        <v>170.6</v>
      </c>
      <c r="AB140" s="28">
        <v>167.4</v>
      </c>
      <c r="AC140" s="28">
        <v>168.3</v>
      </c>
      <c r="AD140" s="28">
        <v>168.7</v>
      </c>
      <c r="AE140" s="28">
        <v>2179.1000000000004</v>
      </c>
      <c r="AF140" s="28">
        <v>523.70000000000005</v>
      </c>
      <c r="AG140" s="29">
        <f t="shared" si="2"/>
        <v>497.4</v>
      </c>
    </row>
    <row r="141" spans="1:33" x14ac:dyDescent="0.3">
      <c r="A141" s="30" t="s">
        <v>32</v>
      </c>
      <c r="B141" s="26">
        <v>2022</v>
      </c>
      <c r="C141" s="26" t="s">
        <v>35</v>
      </c>
      <c r="D141" s="26">
        <v>153.69999999999999</v>
      </c>
      <c r="E141" s="26">
        <v>215.8</v>
      </c>
      <c r="F141" s="26">
        <v>167.7</v>
      </c>
      <c r="G141" s="26">
        <v>162.6</v>
      </c>
      <c r="H141" s="26">
        <v>180</v>
      </c>
      <c r="I141" s="26">
        <v>159.6</v>
      </c>
      <c r="J141" s="26">
        <v>188.4</v>
      </c>
      <c r="K141" s="26">
        <v>163.4</v>
      </c>
      <c r="L141" s="26">
        <v>120.3</v>
      </c>
      <c r="M141" s="26">
        <v>174.7</v>
      </c>
      <c r="N141" s="26">
        <v>157.1</v>
      </c>
      <c r="O141" s="26">
        <v>181.5</v>
      </c>
      <c r="P141" s="26">
        <v>171.5</v>
      </c>
      <c r="Q141" s="26">
        <v>197.5</v>
      </c>
      <c r="R141" s="26">
        <v>167.1</v>
      </c>
      <c r="S141" s="26">
        <v>152.6</v>
      </c>
      <c r="T141" s="26">
        <v>164.9</v>
      </c>
      <c r="U141" s="26">
        <v>165.3</v>
      </c>
      <c r="V141" s="26">
        <v>164.5</v>
      </c>
      <c r="W141" s="26">
        <v>158.6</v>
      </c>
      <c r="X141" s="26">
        <v>168.2</v>
      </c>
      <c r="Y141" s="26">
        <v>154.19999999999999</v>
      </c>
      <c r="Z141" s="26">
        <v>160.80000000000001</v>
      </c>
      <c r="AA141" s="26">
        <v>162.69999999999999</v>
      </c>
      <c r="AB141" s="26">
        <v>166.8</v>
      </c>
      <c r="AC141" s="26">
        <v>160.6</v>
      </c>
      <c r="AD141" s="26">
        <v>166.5</v>
      </c>
      <c r="AE141" s="26">
        <v>2196.3000000000002</v>
      </c>
      <c r="AF141" s="26">
        <v>484.6</v>
      </c>
      <c r="AG141" s="27">
        <f t="shared" si="2"/>
        <v>642.59999999999991</v>
      </c>
    </row>
    <row r="142" spans="1:33" x14ac:dyDescent="0.3">
      <c r="A142" s="31" t="s">
        <v>33</v>
      </c>
      <c r="B142" s="28">
        <v>2022</v>
      </c>
      <c r="C142" s="28" t="s">
        <v>35</v>
      </c>
      <c r="D142" s="28">
        <v>151.30000000000001</v>
      </c>
      <c r="E142" s="28">
        <v>210.7</v>
      </c>
      <c r="F142" s="28">
        <v>167.8</v>
      </c>
      <c r="G142" s="28">
        <v>162.19999999999999</v>
      </c>
      <c r="H142" s="28">
        <v>194.6</v>
      </c>
      <c r="I142" s="28">
        <v>157.6</v>
      </c>
      <c r="J142" s="28">
        <v>166.9</v>
      </c>
      <c r="K142" s="28">
        <v>163.9</v>
      </c>
      <c r="L142" s="28">
        <v>118.8</v>
      </c>
      <c r="M142" s="28">
        <v>177.4</v>
      </c>
      <c r="N142" s="28">
        <v>165.3</v>
      </c>
      <c r="O142" s="28">
        <v>179.3</v>
      </c>
      <c r="P142" s="28">
        <v>168.4</v>
      </c>
      <c r="Q142" s="28">
        <v>193.7</v>
      </c>
      <c r="R142" s="28">
        <v>172.1</v>
      </c>
      <c r="S142" s="28">
        <v>164.6</v>
      </c>
      <c r="T142" s="28">
        <v>171.1</v>
      </c>
      <c r="U142" s="28">
        <v>165.3</v>
      </c>
      <c r="V142" s="28">
        <v>167.2</v>
      </c>
      <c r="W142" s="28">
        <v>162.80000000000001</v>
      </c>
      <c r="X142" s="28">
        <v>173</v>
      </c>
      <c r="Y142" s="28">
        <v>157.9</v>
      </c>
      <c r="Z142" s="28">
        <v>163.30000000000001</v>
      </c>
      <c r="AA142" s="28">
        <v>166</v>
      </c>
      <c r="AB142" s="28">
        <v>167.2</v>
      </c>
      <c r="AC142" s="28">
        <v>164.6</v>
      </c>
      <c r="AD142" s="28">
        <v>167.7</v>
      </c>
      <c r="AE142" s="28">
        <v>2184.2000000000003</v>
      </c>
      <c r="AF142" s="28">
        <v>507.79999999999995</v>
      </c>
      <c r="AG142" s="29">
        <f t="shared" si="2"/>
        <v>653.20000000000005</v>
      </c>
    </row>
    <row r="143" spans="1:33" x14ac:dyDescent="0.3">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row>
    <row r="144" spans="1:33" x14ac:dyDescent="0.3">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row>
    <row r="147" spans="2:10" ht="15" thickBot="1" x14ac:dyDescent="0.35">
      <c r="B147" s="32" t="s">
        <v>65</v>
      </c>
      <c r="C147" t="s">
        <v>51</v>
      </c>
      <c r="D147" t="s">
        <v>52</v>
      </c>
      <c r="E147" t="s">
        <v>212</v>
      </c>
    </row>
    <row r="148" spans="2:10" x14ac:dyDescent="0.3">
      <c r="B148" s="33">
        <v>2018</v>
      </c>
      <c r="C148" s="25">
        <v>1249.5999999999999</v>
      </c>
      <c r="D148" s="25">
        <v>15979.2</v>
      </c>
      <c r="E148" s="25">
        <v>4944.1000000000004</v>
      </c>
      <c r="G148" s="57" t="s">
        <v>1</v>
      </c>
      <c r="H148" s="82" t="s">
        <v>51</v>
      </c>
      <c r="I148" s="82" t="s">
        <v>52</v>
      </c>
      <c r="J148" s="83" t="s">
        <v>212</v>
      </c>
    </row>
    <row r="149" spans="2:10" x14ac:dyDescent="0.3">
      <c r="B149" s="34" t="s">
        <v>36</v>
      </c>
      <c r="C149" s="25">
        <v>135.19999999999999</v>
      </c>
      <c r="D149" s="25">
        <v>1757.1000000000001</v>
      </c>
      <c r="E149" s="25">
        <v>537.9</v>
      </c>
      <c r="G149" s="49" t="s">
        <v>213</v>
      </c>
      <c r="H149" s="50">
        <f>SUM(C149:C157,C159,C160,C161)</f>
        <v>1686.4999999999998</v>
      </c>
      <c r="I149" s="50">
        <f t="shared" ref="I149:J149" si="3">SUM(D149:D157,D159,D160,D161)</f>
        <v>21252.600000000002</v>
      </c>
      <c r="J149" s="51">
        <f t="shared" si="3"/>
        <v>6609.8000000000011</v>
      </c>
    </row>
    <row r="150" spans="2:10" x14ac:dyDescent="0.3">
      <c r="B150" s="34" t="s">
        <v>37</v>
      </c>
      <c r="C150" s="25">
        <v>136</v>
      </c>
      <c r="D150" s="25">
        <v>1759.8</v>
      </c>
      <c r="E150" s="25">
        <v>540.4</v>
      </c>
      <c r="G150" s="49" t="s">
        <v>214</v>
      </c>
      <c r="H150" s="50">
        <f>SUM(C162:C169,C171,C172,C173)</f>
        <v>1644.6000000000001</v>
      </c>
      <c r="I150" s="50">
        <f t="shared" ref="I150:J150" si="4">SUM(D162:D169,D171,D172,D173)</f>
        <v>20637.7</v>
      </c>
      <c r="J150" s="51">
        <f t="shared" si="4"/>
        <v>6238.9000000000005</v>
      </c>
    </row>
    <row r="151" spans="2:10" x14ac:dyDescent="0.3">
      <c r="B151" s="34" t="s">
        <v>38</v>
      </c>
      <c r="C151" s="25">
        <v>136.19999999999999</v>
      </c>
      <c r="D151" s="25">
        <v>1774.1000000000001</v>
      </c>
      <c r="E151" s="25">
        <v>542.20000000000005</v>
      </c>
      <c r="G151" s="49" t="s">
        <v>215</v>
      </c>
      <c r="H151" s="50">
        <f>SUM(C174:C182,C184,C185,C186)</f>
        <v>1879.6666666666667</v>
      </c>
      <c r="I151" s="50">
        <f t="shared" ref="I151:J151" si="5">SUM(D174:D182,D184,D185,D186)</f>
        <v>24243.87777777778</v>
      </c>
      <c r="J151" s="51">
        <f t="shared" si="5"/>
        <v>6770.7888888888883</v>
      </c>
    </row>
    <row r="152" spans="2:10" ht="15" thickBot="1" x14ac:dyDescent="0.35">
      <c r="B152" s="34" t="s">
        <v>39</v>
      </c>
      <c r="C152" s="25">
        <v>137</v>
      </c>
      <c r="D152" s="25">
        <v>1795.3</v>
      </c>
      <c r="E152" s="25">
        <v>545.5</v>
      </c>
      <c r="G152" s="52" t="s">
        <v>216</v>
      </c>
      <c r="H152" s="53">
        <f>SUM(C187:C195,C197:C199)</f>
        <v>2024.4</v>
      </c>
      <c r="I152" s="53">
        <f t="shared" ref="I152:J152" si="6">SUM(D187:D195,D197:D199)</f>
        <v>25794.800000000003</v>
      </c>
      <c r="J152" s="54">
        <f t="shared" si="6"/>
        <v>7646.1999999999989</v>
      </c>
    </row>
    <row r="153" spans="2:10" x14ac:dyDescent="0.3">
      <c r="B153" s="34" t="s">
        <v>40</v>
      </c>
      <c r="C153" s="25">
        <v>137.69999999999999</v>
      </c>
      <c r="D153" s="25">
        <v>1798.7000000000003</v>
      </c>
      <c r="E153" s="25">
        <v>549.19999999999993</v>
      </c>
    </row>
    <row r="154" spans="2:10" x14ac:dyDescent="0.3">
      <c r="B154" s="34" t="s">
        <v>41</v>
      </c>
      <c r="C154" s="25">
        <v>138.4</v>
      </c>
      <c r="D154" s="25">
        <v>1779.5</v>
      </c>
      <c r="E154" s="25">
        <v>553.29999999999995</v>
      </c>
    </row>
    <row r="155" spans="2:10" x14ac:dyDescent="0.3">
      <c r="B155" s="34" t="s">
        <v>42</v>
      </c>
      <c r="C155" s="25">
        <v>142.1</v>
      </c>
      <c r="D155" s="25">
        <v>1776.2</v>
      </c>
      <c r="E155" s="25">
        <v>559.90000000000009</v>
      </c>
    </row>
    <row r="156" spans="2:10" x14ac:dyDescent="0.3">
      <c r="B156" s="34" t="s">
        <v>43</v>
      </c>
      <c r="C156" s="25">
        <v>142.1</v>
      </c>
      <c r="D156" s="25">
        <v>1775.7000000000003</v>
      </c>
      <c r="E156" s="25">
        <v>559.70000000000005</v>
      </c>
    </row>
    <row r="157" spans="2:10" x14ac:dyDescent="0.3">
      <c r="B157" s="34" t="s">
        <v>44</v>
      </c>
      <c r="C157" s="25">
        <v>144.9</v>
      </c>
      <c r="D157" s="25">
        <v>1762.7999999999997</v>
      </c>
      <c r="E157" s="25">
        <v>556</v>
      </c>
    </row>
    <row r="158" spans="2:10" x14ac:dyDescent="0.3">
      <c r="B158" s="33">
        <v>2019</v>
      </c>
      <c r="C158" s="25">
        <v>1626.3000000000002</v>
      </c>
      <c r="D158" s="25">
        <v>20163.699999999997</v>
      </c>
      <c r="E158" s="25">
        <v>6170.5999999999995</v>
      </c>
    </row>
    <row r="159" spans="2:10" x14ac:dyDescent="0.3">
      <c r="B159" s="34" t="s">
        <v>31</v>
      </c>
      <c r="C159" s="25">
        <v>145.1</v>
      </c>
      <c r="D159" s="25">
        <v>1753.3999999999999</v>
      </c>
      <c r="E159" s="25">
        <v>554.09999999999991</v>
      </c>
    </row>
    <row r="160" spans="2:10" x14ac:dyDescent="0.3">
      <c r="B160" s="34" t="s">
        <v>34</v>
      </c>
      <c r="C160" s="25">
        <v>145.6</v>
      </c>
      <c r="D160" s="25">
        <v>1757.1</v>
      </c>
      <c r="E160" s="25">
        <v>554.5</v>
      </c>
    </row>
    <row r="161" spans="2:5" x14ac:dyDescent="0.3">
      <c r="B161" s="34" t="s">
        <v>35</v>
      </c>
      <c r="C161" s="25">
        <v>146.19999999999999</v>
      </c>
      <c r="D161" s="25">
        <v>1762.9</v>
      </c>
      <c r="E161" s="25">
        <v>557.1</v>
      </c>
    </row>
    <row r="162" spans="2:5" x14ac:dyDescent="0.3">
      <c r="B162" s="34" t="s">
        <v>37</v>
      </c>
      <c r="C162" s="25">
        <v>146.9</v>
      </c>
      <c r="D162" s="25">
        <v>1791.9000000000003</v>
      </c>
      <c r="E162" s="25">
        <v>559</v>
      </c>
    </row>
    <row r="163" spans="2:5" x14ac:dyDescent="0.3">
      <c r="B163" s="34" t="s">
        <v>38</v>
      </c>
      <c r="C163" s="25">
        <v>147.4</v>
      </c>
      <c r="D163" s="25">
        <v>1814.1000000000001</v>
      </c>
      <c r="E163" s="25">
        <v>559</v>
      </c>
    </row>
    <row r="164" spans="2:5" x14ac:dyDescent="0.3">
      <c r="B164" s="34" t="s">
        <v>39</v>
      </c>
      <c r="C164" s="25">
        <v>147.9</v>
      </c>
      <c r="D164" s="25">
        <v>1837.5</v>
      </c>
      <c r="E164" s="25">
        <v>559.69999999999993</v>
      </c>
    </row>
    <row r="165" spans="2:5" x14ac:dyDescent="0.3">
      <c r="B165" s="34" t="s">
        <v>40</v>
      </c>
      <c r="C165" s="25">
        <v>148.5</v>
      </c>
      <c r="D165" s="25">
        <v>1846.5</v>
      </c>
      <c r="E165" s="25">
        <v>560.4</v>
      </c>
    </row>
    <row r="166" spans="2:5" x14ac:dyDescent="0.3">
      <c r="B166" s="34" t="s">
        <v>41</v>
      </c>
      <c r="C166" s="25">
        <v>149</v>
      </c>
      <c r="D166" s="25">
        <v>1857.6999999999998</v>
      </c>
      <c r="E166" s="25">
        <v>562.1</v>
      </c>
    </row>
    <row r="167" spans="2:5" x14ac:dyDescent="0.3">
      <c r="B167" s="34" t="s">
        <v>42</v>
      </c>
      <c r="C167" s="25">
        <v>149.4</v>
      </c>
      <c r="D167" s="25">
        <v>1885.5999999999997</v>
      </c>
      <c r="E167" s="25">
        <v>564.9</v>
      </c>
    </row>
    <row r="168" spans="2:5" x14ac:dyDescent="0.3">
      <c r="B168" s="34" t="s">
        <v>43</v>
      </c>
      <c r="C168" s="25">
        <v>149.9</v>
      </c>
      <c r="D168" s="25">
        <v>1910.9</v>
      </c>
      <c r="E168" s="25">
        <v>567.70000000000005</v>
      </c>
    </row>
    <row r="169" spans="2:5" x14ac:dyDescent="0.3">
      <c r="B169" s="34" t="s">
        <v>44</v>
      </c>
      <c r="C169" s="25">
        <v>150.4</v>
      </c>
      <c r="D169" s="25">
        <v>1946.1000000000001</v>
      </c>
      <c r="E169" s="25">
        <v>572.1</v>
      </c>
    </row>
    <row r="170" spans="2:5" x14ac:dyDescent="0.3">
      <c r="B170" s="33">
        <v>2020</v>
      </c>
      <c r="C170" s="25">
        <v>1852.5666666666666</v>
      </c>
      <c r="D170" s="25">
        <v>23836.077777777777</v>
      </c>
      <c r="E170" s="25">
        <v>6686.2888888888874</v>
      </c>
    </row>
    <row r="171" spans="2:5" x14ac:dyDescent="0.3">
      <c r="B171" s="34" t="s">
        <v>31</v>
      </c>
      <c r="C171" s="25">
        <v>151.19999999999999</v>
      </c>
      <c r="D171" s="25">
        <v>1940.3999999999999</v>
      </c>
      <c r="E171" s="25">
        <v>575.6</v>
      </c>
    </row>
    <row r="172" spans="2:5" x14ac:dyDescent="0.3">
      <c r="B172" s="34" t="s">
        <v>34</v>
      </c>
      <c r="C172" s="25">
        <v>151.69999999999999</v>
      </c>
      <c r="D172" s="25">
        <v>1911.6</v>
      </c>
      <c r="E172" s="25">
        <v>578.70000000000005</v>
      </c>
    </row>
    <row r="173" spans="2:5" x14ac:dyDescent="0.3">
      <c r="B173" s="34" t="s">
        <v>35</v>
      </c>
      <c r="C173" s="25">
        <v>152.30000000000001</v>
      </c>
      <c r="D173" s="25">
        <v>1895.4</v>
      </c>
      <c r="E173" s="25">
        <v>579.69999999999993</v>
      </c>
    </row>
    <row r="174" spans="2:5" x14ac:dyDescent="0.3">
      <c r="B174" s="34" t="s">
        <v>36</v>
      </c>
      <c r="C174" s="25">
        <v>153.08333333333334</v>
      </c>
      <c r="D174" s="25">
        <v>1949.7888888888888</v>
      </c>
      <c r="E174" s="25">
        <v>424.94444444444446</v>
      </c>
    </row>
    <row r="175" spans="2:5" x14ac:dyDescent="0.3">
      <c r="B175" s="34" t="s">
        <v>37</v>
      </c>
      <c r="C175" s="25">
        <v>153.08333333333334</v>
      </c>
      <c r="D175" s="25">
        <v>1949.7888888888888</v>
      </c>
      <c r="E175" s="25">
        <v>424.94444444444446</v>
      </c>
    </row>
    <row r="176" spans="2:5" x14ac:dyDescent="0.3">
      <c r="B176" s="34" t="s">
        <v>38</v>
      </c>
      <c r="C176" s="25">
        <v>154.4</v>
      </c>
      <c r="D176" s="25">
        <v>1966.8000000000002</v>
      </c>
      <c r="E176" s="25">
        <v>578</v>
      </c>
    </row>
    <row r="177" spans="2:5" x14ac:dyDescent="0.3">
      <c r="B177" s="34" t="s">
        <v>39</v>
      </c>
      <c r="C177" s="25">
        <v>154.4</v>
      </c>
      <c r="D177" s="25">
        <v>1966.8000000000002</v>
      </c>
      <c r="E177" s="25">
        <v>578</v>
      </c>
    </row>
    <row r="178" spans="2:5" x14ac:dyDescent="0.3">
      <c r="B178" s="34" t="s">
        <v>40</v>
      </c>
      <c r="C178" s="25">
        <v>155</v>
      </c>
      <c r="D178" s="25">
        <v>1995.1999999999998</v>
      </c>
      <c r="E178" s="25">
        <v>585.4</v>
      </c>
    </row>
    <row r="179" spans="2:5" x14ac:dyDescent="0.3">
      <c r="B179" s="34" t="s">
        <v>41</v>
      </c>
      <c r="C179" s="25">
        <v>155.6</v>
      </c>
      <c r="D179" s="25">
        <v>2007</v>
      </c>
      <c r="E179" s="25">
        <v>587.5</v>
      </c>
    </row>
    <row r="180" spans="2:5" x14ac:dyDescent="0.3">
      <c r="B180" s="34" t="s">
        <v>42</v>
      </c>
      <c r="C180" s="25">
        <v>156.30000000000001</v>
      </c>
      <c r="D180" s="25">
        <v>2048.6000000000004</v>
      </c>
      <c r="E180" s="25">
        <v>588.9</v>
      </c>
    </row>
    <row r="181" spans="2:5" x14ac:dyDescent="0.3">
      <c r="B181" s="34" t="s">
        <v>43</v>
      </c>
      <c r="C181" s="25">
        <v>157.19999999999999</v>
      </c>
      <c r="D181" s="25">
        <v>2095.6</v>
      </c>
      <c r="E181" s="25">
        <v>591.20000000000005</v>
      </c>
    </row>
    <row r="182" spans="2:5" x14ac:dyDescent="0.3">
      <c r="B182" s="34" t="s">
        <v>44</v>
      </c>
      <c r="C182" s="25">
        <v>158.30000000000001</v>
      </c>
      <c r="D182" s="25">
        <v>2109.1</v>
      </c>
      <c r="E182" s="25">
        <v>593.4</v>
      </c>
    </row>
    <row r="183" spans="2:5" x14ac:dyDescent="0.3">
      <c r="B183" s="33">
        <v>2021</v>
      </c>
      <c r="C183" s="25">
        <v>1990.1000000000001</v>
      </c>
      <c r="D183" s="25">
        <v>25440.400000000001</v>
      </c>
      <c r="E183" s="25">
        <v>7515.2999999999993</v>
      </c>
    </row>
    <row r="184" spans="2:5" x14ac:dyDescent="0.3">
      <c r="B184" s="34" t="s">
        <v>31</v>
      </c>
      <c r="C184" s="25">
        <v>159.30000000000001</v>
      </c>
      <c r="D184" s="25">
        <v>2076.5</v>
      </c>
      <c r="E184" s="25">
        <v>597.5</v>
      </c>
    </row>
    <row r="185" spans="2:5" x14ac:dyDescent="0.3">
      <c r="B185" s="34" t="s">
        <v>34</v>
      </c>
      <c r="C185" s="25">
        <v>161.30000000000001</v>
      </c>
      <c r="D185" s="25">
        <v>2039.3000000000002</v>
      </c>
      <c r="E185" s="25">
        <v>608.20000000000005</v>
      </c>
    </row>
    <row r="186" spans="2:5" x14ac:dyDescent="0.3">
      <c r="B186" s="34" t="s">
        <v>35</v>
      </c>
      <c r="C186" s="25">
        <v>161.69999999999999</v>
      </c>
      <c r="D186" s="25">
        <v>2039.3999999999999</v>
      </c>
      <c r="E186" s="25">
        <v>612.79999999999995</v>
      </c>
    </row>
    <row r="187" spans="2:5" x14ac:dyDescent="0.3">
      <c r="B187" s="34" t="s">
        <v>36</v>
      </c>
      <c r="C187" s="25">
        <v>162.30000000000001</v>
      </c>
      <c r="D187" s="25">
        <v>2064.1</v>
      </c>
      <c r="E187" s="25">
        <v>615.4</v>
      </c>
    </row>
    <row r="188" spans="2:5" x14ac:dyDescent="0.3">
      <c r="B188" s="34" t="s">
        <v>37</v>
      </c>
      <c r="C188" s="25">
        <v>165.8</v>
      </c>
      <c r="D188" s="25">
        <v>2105.7000000000003</v>
      </c>
      <c r="E188" s="25">
        <v>624.6</v>
      </c>
    </row>
    <row r="189" spans="2:5" x14ac:dyDescent="0.3">
      <c r="B189" s="34" t="s">
        <v>38</v>
      </c>
      <c r="C189" s="25">
        <v>166.3</v>
      </c>
      <c r="D189" s="25">
        <v>2133.9</v>
      </c>
      <c r="E189" s="25">
        <v>625.79999999999995</v>
      </c>
    </row>
    <row r="190" spans="2:5" x14ac:dyDescent="0.3">
      <c r="B190" s="34" t="s">
        <v>39</v>
      </c>
      <c r="C190" s="25">
        <v>167</v>
      </c>
      <c r="D190" s="25">
        <v>2147</v>
      </c>
      <c r="E190" s="25">
        <v>631.1</v>
      </c>
    </row>
    <row r="191" spans="2:5" x14ac:dyDescent="0.3">
      <c r="B191" s="34" t="s">
        <v>40</v>
      </c>
      <c r="C191" s="25">
        <v>168.4</v>
      </c>
      <c r="D191" s="25">
        <v>2142</v>
      </c>
      <c r="E191" s="25">
        <v>636.20000000000005</v>
      </c>
    </row>
    <row r="192" spans="2:5" x14ac:dyDescent="0.3">
      <c r="B192" s="34" t="s">
        <v>41</v>
      </c>
      <c r="C192" s="25">
        <v>168.4</v>
      </c>
      <c r="D192" s="25">
        <v>2142</v>
      </c>
      <c r="E192" s="25">
        <v>636.20000000000005</v>
      </c>
    </row>
    <row r="193" spans="2:5" x14ac:dyDescent="0.3">
      <c r="B193" s="34" t="s">
        <v>42</v>
      </c>
      <c r="C193" s="25">
        <v>169.1</v>
      </c>
      <c r="D193" s="25">
        <v>2175.5</v>
      </c>
      <c r="E193" s="25">
        <v>641.89999999999986</v>
      </c>
    </row>
    <row r="194" spans="2:5" x14ac:dyDescent="0.3">
      <c r="B194" s="34" t="s">
        <v>43</v>
      </c>
      <c r="C194" s="25">
        <v>169.9</v>
      </c>
      <c r="D194" s="25">
        <v>2194.1</v>
      </c>
      <c r="E194" s="25">
        <v>642.20000000000005</v>
      </c>
    </row>
    <row r="195" spans="2:5" x14ac:dyDescent="0.3">
      <c r="B195" s="34" t="s">
        <v>44</v>
      </c>
      <c r="C195" s="25">
        <v>170.6</v>
      </c>
      <c r="D195" s="25">
        <v>2180.9</v>
      </c>
      <c r="E195" s="25">
        <v>643.4</v>
      </c>
    </row>
    <row r="196" spans="2:5" x14ac:dyDescent="0.3">
      <c r="B196" s="33">
        <v>2022</v>
      </c>
      <c r="C196" s="25">
        <v>516.6</v>
      </c>
      <c r="D196" s="25">
        <v>6509.6</v>
      </c>
      <c r="E196" s="25">
        <v>1949.3999999999999</v>
      </c>
    </row>
    <row r="197" spans="2:5" x14ac:dyDescent="0.3">
      <c r="B197" s="34" t="s">
        <v>31</v>
      </c>
      <c r="C197" s="25">
        <v>171.4</v>
      </c>
      <c r="D197" s="25">
        <v>2164.1999999999998</v>
      </c>
      <c r="E197" s="25">
        <v>646.29999999999995</v>
      </c>
    </row>
    <row r="198" spans="2:5" x14ac:dyDescent="0.3">
      <c r="B198" s="34" t="s">
        <v>34</v>
      </c>
      <c r="C198" s="25">
        <v>172.2</v>
      </c>
      <c r="D198" s="25">
        <v>2161.2000000000003</v>
      </c>
      <c r="E198" s="25">
        <v>649.9</v>
      </c>
    </row>
    <row r="199" spans="2:5" x14ac:dyDescent="0.3">
      <c r="B199" s="34" t="s">
        <v>35</v>
      </c>
      <c r="C199" s="25">
        <v>173</v>
      </c>
      <c r="D199" s="25">
        <v>2184.2000000000003</v>
      </c>
      <c r="E199" s="25">
        <v>653.20000000000005</v>
      </c>
    </row>
    <row r="200" spans="2:5" x14ac:dyDescent="0.3">
      <c r="B200" s="33" t="s">
        <v>66</v>
      </c>
      <c r="C200" s="25">
        <v>7235.1666666666679</v>
      </c>
      <c r="D200" s="25">
        <v>91928.977777777778</v>
      </c>
      <c r="E200" s="25">
        <v>27265.688888888901</v>
      </c>
    </row>
  </sheetData>
  <autoFilter ref="A1:AG145" xr:uid="{32E5E322-9D42-4C0B-8DD6-47051194615D}"/>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4580-7C5A-4C20-87D9-296341DFAF8F}">
  <dimension ref="A1:AD88"/>
  <sheetViews>
    <sheetView topLeftCell="A78" workbookViewId="0">
      <selection activeCell="A88" sqref="A88"/>
    </sheetView>
  </sheetViews>
  <sheetFormatPr defaultRowHeight="14.4" x14ac:dyDescent="0.3"/>
  <cols>
    <col min="1" max="1" width="31.33203125" bestFit="1" customWidth="1"/>
    <col min="2" max="2" width="10.21875" bestFit="1" customWidth="1"/>
    <col min="3" max="3" width="8.88671875" style="46"/>
  </cols>
  <sheetData>
    <row r="1" spans="1:30" x14ac:dyDescent="0.3">
      <c r="A1" s="87" t="s">
        <v>219</v>
      </c>
      <c r="B1" s="87" t="s">
        <v>218</v>
      </c>
      <c r="C1" s="85">
        <v>44166</v>
      </c>
      <c r="D1" s="85">
        <v>44197</v>
      </c>
      <c r="E1" s="85">
        <v>44228</v>
      </c>
      <c r="F1" s="85">
        <v>44256</v>
      </c>
      <c r="G1" s="85">
        <v>44287</v>
      </c>
      <c r="H1" s="85">
        <v>44317</v>
      </c>
      <c r="I1" s="85">
        <v>44348</v>
      </c>
      <c r="J1" s="85">
        <v>44378</v>
      </c>
      <c r="K1" s="85">
        <v>44409</v>
      </c>
      <c r="L1" s="85">
        <v>44440</v>
      </c>
      <c r="M1" s="85">
        <v>44470</v>
      </c>
      <c r="N1" s="85">
        <v>44501</v>
      </c>
      <c r="O1" s="85">
        <v>44531</v>
      </c>
      <c r="P1" s="85">
        <v>44562</v>
      </c>
      <c r="Q1" s="85">
        <v>44593</v>
      </c>
      <c r="R1" s="85">
        <v>44621</v>
      </c>
      <c r="S1" s="85">
        <v>44652</v>
      </c>
      <c r="T1" s="85">
        <v>44682</v>
      </c>
      <c r="U1" s="85">
        <v>44713</v>
      </c>
      <c r="V1" s="85">
        <v>44743</v>
      </c>
      <c r="W1" s="85">
        <v>44774</v>
      </c>
      <c r="X1" s="85">
        <v>44805</v>
      </c>
      <c r="Y1" s="85">
        <v>44835</v>
      </c>
      <c r="Z1" s="85">
        <v>44866</v>
      </c>
      <c r="AA1" s="85">
        <v>44896</v>
      </c>
      <c r="AB1" s="85">
        <v>44927</v>
      </c>
      <c r="AC1" s="85">
        <v>44958</v>
      </c>
      <c r="AD1" s="85">
        <v>44986</v>
      </c>
    </row>
    <row r="2" spans="1:30" x14ac:dyDescent="0.3">
      <c r="A2" t="s">
        <v>217</v>
      </c>
      <c r="C2">
        <v>49.84</v>
      </c>
      <c r="D2">
        <v>54.79</v>
      </c>
      <c r="E2">
        <v>61.22</v>
      </c>
      <c r="F2">
        <v>64.73</v>
      </c>
      <c r="G2">
        <v>63.4</v>
      </c>
      <c r="H2">
        <v>66.95</v>
      </c>
      <c r="I2">
        <v>71.98</v>
      </c>
      <c r="J2">
        <v>73.540000000000006</v>
      </c>
      <c r="K2">
        <v>69.8</v>
      </c>
      <c r="L2">
        <v>73.13</v>
      </c>
      <c r="M2">
        <v>82.11</v>
      </c>
      <c r="N2">
        <v>80.64</v>
      </c>
      <c r="O2">
        <v>73.3</v>
      </c>
      <c r="P2">
        <v>84.67</v>
      </c>
      <c r="Q2">
        <v>94.07</v>
      </c>
      <c r="R2">
        <v>112.87</v>
      </c>
      <c r="S2">
        <v>102.97</v>
      </c>
      <c r="T2">
        <v>109.51</v>
      </c>
      <c r="U2">
        <v>116.01</v>
      </c>
      <c r="V2">
        <v>105.49</v>
      </c>
      <c r="W2">
        <v>97.4</v>
      </c>
      <c r="X2">
        <v>90.71</v>
      </c>
      <c r="Y2">
        <v>91.7</v>
      </c>
      <c r="Z2">
        <v>87.55</v>
      </c>
      <c r="AA2">
        <v>78.099999999999994</v>
      </c>
      <c r="AB2">
        <v>80.92</v>
      </c>
      <c r="AC2">
        <v>82.28</v>
      </c>
      <c r="AD2">
        <v>78.540000000000006</v>
      </c>
    </row>
    <row r="3" spans="1:30" x14ac:dyDescent="0.3">
      <c r="C3"/>
    </row>
    <row r="4" spans="1:30" ht="18" x14ac:dyDescent="0.35">
      <c r="A4" s="89" t="s">
        <v>30</v>
      </c>
      <c r="B4" s="88"/>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row>
    <row r="5" spans="1:30" x14ac:dyDescent="0.3">
      <c r="A5" s="84" t="s">
        <v>3</v>
      </c>
      <c r="B5" s="36">
        <f>CORREL(C5:AD5,$C$2:$AD$2)</f>
        <v>0.35014308112492665</v>
      </c>
      <c r="C5" s="86">
        <v>144.6</v>
      </c>
      <c r="D5" s="86">
        <v>143.4</v>
      </c>
      <c r="E5" s="86">
        <v>142.80000000000001</v>
      </c>
      <c r="F5" s="86">
        <v>142.5</v>
      </c>
      <c r="G5" s="86">
        <v>142.69999999999999</v>
      </c>
      <c r="H5" s="86">
        <v>145.1</v>
      </c>
      <c r="I5" s="86">
        <v>145.6</v>
      </c>
      <c r="J5" s="86">
        <v>145.1</v>
      </c>
      <c r="K5" s="86">
        <v>144.9</v>
      </c>
      <c r="L5" s="86">
        <v>145.4</v>
      </c>
      <c r="M5" s="86">
        <v>146.1</v>
      </c>
      <c r="N5" s="86">
        <v>146.9</v>
      </c>
      <c r="O5" s="86">
        <v>147.4</v>
      </c>
      <c r="P5" s="86">
        <v>148.30000000000001</v>
      </c>
      <c r="Q5" s="86">
        <v>148.80000000000001</v>
      </c>
      <c r="R5" s="86">
        <v>150.19999999999999</v>
      </c>
      <c r="S5" s="86">
        <v>151.80000000000001</v>
      </c>
      <c r="T5" s="86">
        <v>152.9</v>
      </c>
      <c r="U5" s="86">
        <v>153.80000000000001</v>
      </c>
      <c r="V5" s="86">
        <v>155.19999999999999</v>
      </c>
      <c r="W5" s="86">
        <v>159.5</v>
      </c>
      <c r="X5" s="86">
        <v>162.9</v>
      </c>
      <c r="Y5" s="86">
        <v>164.7</v>
      </c>
      <c r="Z5" s="86">
        <v>166.9</v>
      </c>
      <c r="AA5" s="86">
        <v>168.8</v>
      </c>
      <c r="AB5" s="86">
        <v>174</v>
      </c>
      <c r="AC5" s="86">
        <v>174.2</v>
      </c>
      <c r="AD5" s="86">
        <v>174.3</v>
      </c>
    </row>
    <row r="6" spans="1:30" s="92" customFormat="1" x14ac:dyDescent="0.3">
      <c r="A6" s="2" t="s">
        <v>4</v>
      </c>
      <c r="B6" s="90">
        <f t="shared" ref="B6:B30" si="0">CORREL(C6:AD6,$C$2:$AD$2)</f>
        <v>0.83117813552409281</v>
      </c>
      <c r="C6" s="91">
        <v>188.5</v>
      </c>
      <c r="D6" s="91">
        <v>187.5</v>
      </c>
      <c r="E6" s="91">
        <v>184</v>
      </c>
      <c r="F6" s="91">
        <v>189.4</v>
      </c>
      <c r="G6" s="91">
        <v>195.5</v>
      </c>
      <c r="H6" s="91">
        <v>198.5</v>
      </c>
      <c r="I6" s="91">
        <v>200.1</v>
      </c>
      <c r="J6" s="91">
        <v>204.5</v>
      </c>
      <c r="K6" s="91">
        <v>202.3</v>
      </c>
      <c r="L6" s="91">
        <v>202.1</v>
      </c>
      <c r="M6" s="91">
        <v>202.5</v>
      </c>
      <c r="N6" s="91">
        <v>199.8</v>
      </c>
      <c r="O6" s="91">
        <v>197</v>
      </c>
      <c r="P6" s="91">
        <v>196.9</v>
      </c>
      <c r="Q6" s="91">
        <v>198.1</v>
      </c>
      <c r="R6" s="91">
        <v>208</v>
      </c>
      <c r="S6" s="91">
        <v>209.7</v>
      </c>
      <c r="T6" s="91">
        <v>214.7</v>
      </c>
      <c r="U6" s="91">
        <v>217.2</v>
      </c>
      <c r="V6" s="91">
        <v>210.8</v>
      </c>
      <c r="W6" s="91">
        <v>204.1</v>
      </c>
      <c r="X6" s="91">
        <v>206.7</v>
      </c>
      <c r="Y6" s="91">
        <v>208.8</v>
      </c>
      <c r="Z6" s="91">
        <v>207.2</v>
      </c>
      <c r="AA6" s="91">
        <v>206.9</v>
      </c>
      <c r="AB6" s="91">
        <v>208.3</v>
      </c>
      <c r="AC6" s="91">
        <v>205.2</v>
      </c>
      <c r="AD6" s="91">
        <v>205.2</v>
      </c>
    </row>
    <row r="7" spans="1:30" x14ac:dyDescent="0.3">
      <c r="A7" s="84" t="s">
        <v>5</v>
      </c>
      <c r="B7" s="36">
        <f t="shared" si="0"/>
        <v>-0.17065160599539644</v>
      </c>
      <c r="C7" s="86">
        <v>173.4</v>
      </c>
      <c r="D7" s="86">
        <v>173.4</v>
      </c>
      <c r="E7" s="86">
        <v>168</v>
      </c>
      <c r="F7" s="86">
        <v>163.19999999999999</v>
      </c>
      <c r="G7" s="86">
        <v>163.4</v>
      </c>
      <c r="H7" s="86">
        <v>168.6</v>
      </c>
      <c r="I7" s="86">
        <v>179.3</v>
      </c>
      <c r="J7" s="86">
        <v>180.4</v>
      </c>
      <c r="K7" s="86">
        <v>176.5</v>
      </c>
      <c r="L7" s="86">
        <v>172</v>
      </c>
      <c r="M7" s="86">
        <v>170.1</v>
      </c>
      <c r="N7" s="86">
        <v>171.5</v>
      </c>
      <c r="O7" s="86">
        <v>176.5</v>
      </c>
      <c r="P7" s="86">
        <v>178</v>
      </c>
      <c r="Q7" s="86">
        <v>175.5</v>
      </c>
      <c r="R7" s="86">
        <v>167.9</v>
      </c>
      <c r="S7" s="86">
        <v>164.5</v>
      </c>
      <c r="T7" s="86">
        <v>161.4</v>
      </c>
      <c r="U7" s="86">
        <v>169.6</v>
      </c>
      <c r="V7" s="86">
        <v>174.3</v>
      </c>
      <c r="W7" s="86">
        <v>168.3</v>
      </c>
      <c r="X7" s="86">
        <v>169</v>
      </c>
      <c r="Y7" s="86">
        <v>170.3</v>
      </c>
      <c r="Z7" s="86">
        <v>180.2</v>
      </c>
      <c r="AA7" s="86">
        <v>189.1</v>
      </c>
      <c r="AB7" s="86">
        <v>192.9</v>
      </c>
      <c r="AC7" s="86">
        <v>173.9</v>
      </c>
      <c r="AD7" s="86">
        <v>173.9</v>
      </c>
    </row>
    <row r="8" spans="1:30" x14ac:dyDescent="0.3">
      <c r="A8" s="84" t="s">
        <v>6</v>
      </c>
      <c r="B8" s="36">
        <f t="shared" si="0"/>
        <v>0.49207343628658995</v>
      </c>
      <c r="C8" s="86">
        <v>154</v>
      </c>
      <c r="D8" s="86">
        <v>154</v>
      </c>
      <c r="E8" s="86">
        <v>154.4</v>
      </c>
      <c r="F8" s="86">
        <v>154.5</v>
      </c>
      <c r="G8" s="86">
        <v>155</v>
      </c>
      <c r="H8" s="86">
        <v>155.80000000000001</v>
      </c>
      <c r="I8" s="86">
        <v>156.1</v>
      </c>
      <c r="J8" s="86">
        <v>157.1</v>
      </c>
      <c r="K8" s="86">
        <v>157.5</v>
      </c>
      <c r="L8" s="86">
        <v>158</v>
      </c>
      <c r="M8" s="86">
        <v>158.4</v>
      </c>
      <c r="N8" s="86">
        <v>159.1</v>
      </c>
      <c r="O8" s="86">
        <v>159.80000000000001</v>
      </c>
      <c r="P8" s="86">
        <v>160.5</v>
      </c>
      <c r="Q8" s="86">
        <v>160.69999999999999</v>
      </c>
      <c r="R8" s="86">
        <v>162</v>
      </c>
      <c r="S8" s="86">
        <v>163.80000000000001</v>
      </c>
      <c r="T8" s="86">
        <v>164.6</v>
      </c>
      <c r="U8" s="86">
        <v>165.4</v>
      </c>
      <c r="V8" s="86">
        <v>166.3</v>
      </c>
      <c r="W8" s="86">
        <v>167.9</v>
      </c>
      <c r="X8" s="86">
        <v>169.5</v>
      </c>
      <c r="Y8" s="86">
        <v>170.9</v>
      </c>
      <c r="Z8" s="86">
        <v>172.3</v>
      </c>
      <c r="AA8" s="86">
        <v>173.4</v>
      </c>
      <c r="AB8" s="86">
        <v>174.3</v>
      </c>
      <c r="AC8" s="86">
        <v>177</v>
      </c>
      <c r="AD8" s="86">
        <v>177</v>
      </c>
    </row>
    <row r="9" spans="1:30" s="92" customFormat="1" x14ac:dyDescent="0.3">
      <c r="A9" s="2" t="s">
        <v>7</v>
      </c>
      <c r="B9" s="90">
        <f t="shared" si="0"/>
        <v>0.84347949880755346</v>
      </c>
      <c r="C9" s="91">
        <v>150</v>
      </c>
      <c r="D9" s="91">
        <v>154.80000000000001</v>
      </c>
      <c r="E9" s="91">
        <v>163</v>
      </c>
      <c r="F9" s="91">
        <v>168.2</v>
      </c>
      <c r="G9" s="91">
        <v>175.2</v>
      </c>
      <c r="H9" s="91">
        <v>184.4</v>
      </c>
      <c r="I9" s="91">
        <v>190.4</v>
      </c>
      <c r="J9" s="91">
        <v>188.7</v>
      </c>
      <c r="K9" s="91">
        <v>190.9</v>
      </c>
      <c r="L9" s="91">
        <v>195.5</v>
      </c>
      <c r="M9" s="91">
        <v>198.8</v>
      </c>
      <c r="N9" s="91">
        <v>198.4</v>
      </c>
      <c r="O9" s="91">
        <v>195.8</v>
      </c>
      <c r="P9" s="91">
        <v>192.6</v>
      </c>
      <c r="Q9" s="91">
        <v>192.6</v>
      </c>
      <c r="R9" s="91">
        <v>203.1</v>
      </c>
      <c r="S9" s="91">
        <v>207.4</v>
      </c>
      <c r="T9" s="91">
        <v>209.9</v>
      </c>
      <c r="U9" s="91">
        <v>208.1</v>
      </c>
      <c r="V9" s="91">
        <v>202.2</v>
      </c>
      <c r="W9" s="91">
        <v>198.1</v>
      </c>
      <c r="X9" s="91">
        <v>194.1</v>
      </c>
      <c r="Y9" s="91">
        <v>191.6</v>
      </c>
      <c r="Z9" s="91">
        <v>194</v>
      </c>
      <c r="AA9" s="91">
        <v>193.9</v>
      </c>
      <c r="AB9" s="91">
        <v>192.6</v>
      </c>
      <c r="AC9" s="91">
        <v>183.4</v>
      </c>
      <c r="AD9" s="91">
        <v>183.3</v>
      </c>
    </row>
    <row r="10" spans="1:30" x14ac:dyDescent="0.3">
      <c r="A10" s="84" t="s">
        <v>8</v>
      </c>
      <c r="B10" s="36">
        <f t="shared" si="0"/>
        <v>0.64106715112021473</v>
      </c>
      <c r="C10" s="86">
        <v>145.9</v>
      </c>
      <c r="D10" s="86">
        <v>147</v>
      </c>
      <c r="E10" s="86">
        <v>147.80000000000001</v>
      </c>
      <c r="F10" s="86">
        <v>150.5</v>
      </c>
      <c r="G10" s="86">
        <v>160.6</v>
      </c>
      <c r="H10" s="86">
        <v>162.30000000000001</v>
      </c>
      <c r="I10" s="86">
        <v>158.6</v>
      </c>
      <c r="J10" s="86">
        <v>157.69999999999999</v>
      </c>
      <c r="K10" s="86">
        <v>155.69999999999999</v>
      </c>
      <c r="L10" s="86">
        <v>152.69999999999999</v>
      </c>
      <c r="M10" s="86">
        <v>152.6</v>
      </c>
      <c r="N10" s="86">
        <v>153.19999999999999</v>
      </c>
      <c r="O10" s="86">
        <v>152</v>
      </c>
      <c r="P10" s="86">
        <v>151.19999999999999</v>
      </c>
      <c r="Q10" s="86">
        <v>151.4</v>
      </c>
      <c r="R10" s="86">
        <v>155.9</v>
      </c>
      <c r="S10" s="86">
        <v>169.7</v>
      </c>
      <c r="T10" s="86">
        <v>168</v>
      </c>
      <c r="U10" s="86">
        <v>165.8</v>
      </c>
      <c r="V10" s="86">
        <v>169.6</v>
      </c>
      <c r="W10" s="86">
        <v>169.2</v>
      </c>
      <c r="X10" s="86">
        <v>164.1</v>
      </c>
      <c r="Y10" s="86">
        <v>162.19999999999999</v>
      </c>
      <c r="Z10" s="86">
        <v>159.1</v>
      </c>
      <c r="AA10" s="86">
        <v>156.69999999999999</v>
      </c>
      <c r="AB10" s="86">
        <v>156.30000000000001</v>
      </c>
      <c r="AC10" s="86">
        <v>167.2</v>
      </c>
      <c r="AD10" s="86">
        <v>167.2</v>
      </c>
    </row>
    <row r="11" spans="1:30" x14ac:dyDescent="0.3">
      <c r="A11" s="84" t="s">
        <v>9</v>
      </c>
      <c r="B11" s="36">
        <f t="shared" si="0"/>
        <v>-4.284386846374718E-2</v>
      </c>
      <c r="C11" s="86">
        <v>225.2</v>
      </c>
      <c r="D11" s="86">
        <v>187.8</v>
      </c>
      <c r="E11" s="86">
        <v>149.69999999999999</v>
      </c>
      <c r="F11" s="86">
        <v>141</v>
      </c>
      <c r="G11" s="86">
        <v>135.1</v>
      </c>
      <c r="H11" s="86">
        <v>138.4</v>
      </c>
      <c r="I11" s="86">
        <v>144.69999999999999</v>
      </c>
      <c r="J11" s="86">
        <v>152.80000000000001</v>
      </c>
      <c r="K11" s="86">
        <v>153.9</v>
      </c>
      <c r="L11" s="86">
        <v>151.4</v>
      </c>
      <c r="M11" s="86">
        <v>170.4</v>
      </c>
      <c r="N11" s="86">
        <v>183.9</v>
      </c>
      <c r="O11" s="86">
        <v>172.3</v>
      </c>
      <c r="P11" s="86">
        <v>159.19999999999999</v>
      </c>
      <c r="Q11" s="86">
        <v>155.19999999999999</v>
      </c>
      <c r="R11" s="86">
        <v>155.80000000000001</v>
      </c>
      <c r="S11" s="86">
        <v>153.6</v>
      </c>
      <c r="T11" s="86">
        <v>160.4</v>
      </c>
      <c r="U11" s="86">
        <v>167.3</v>
      </c>
      <c r="V11" s="86">
        <v>168.6</v>
      </c>
      <c r="W11" s="86">
        <v>173.1</v>
      </c>
      <c r="X11" s="86">
        <v>176.9</v>
      </c>
      <c r="Y11" s="86">
        <v>184.8</v>
      </c>
      <c r="Z11" s="86">
        <v>171.6</v>
      </c>
      <c r="AA11" s="86">
        <v>150.19999999999999</v>
      </c>
      <c r="AB11" s="86">
        <v>142.9</v>
      </c>
      <c r="AC11" s="86">
        <v>140.9</v>
      </c>
      <c r="AD11" s="86">
        <v>140.9</v>
      </c>
    </row>
    <row r="12" spans="1:30" x14ac:dyDescent="0.3">
      <c r="A12" s="84" t="s">
        <v>10</v>
      </c>
      <c r="B12" s="36">
        <f t="shared" si="0"/>
        <v>0.42139143363598286</v>
      </c>
      <c r="C12" s="86">
        <v>159.5</v>
      </c>
      <c r="D12" s="86">
        <v>159.5</v>
      </c>
      <c r="E12" s="86">
        <v>158.30000000000001</v>
      </c>
      <c r="F12" s="86">
        <v>159.19999999999999</v>
      </c>
      <c r="G12" s="86">
        <v>161.1</v>
      </c>
      <c r="H12" s="86">
        <v>165.1</v>
      </c>
      <c r="I12" s="86">
        <v>165.5</v>
      </c>
      <c r="J12" s="86">
        <v>163.6</v>
      </c>
      <c r="K12" s="86">
        <v>162.80000000000001</v>
      </c>
      <c r="L12" s="86">
        <v>163.9</v>
      </c>
      <c r="M12" s="86">
        <v>165.2</v>
      </c>
      <c r="N12" s="86">
        <v>165.4</v>
      </c>
      <c r="O12" s="86">
        <v>164.5</v>
      </c>
      <c r="P12" s="86">
        <v>164</v>
      </c>
      <c r="Q12" s="86">
        <v>163.9</v>
      </c>
      <c r="R12" s="86">
        <v>164.2</v>
      </c>
      <c r="S12" s="86">
        <v>165.1</v>
      </c>
      <c r="T12" s="86">
        <v>165</v>
      </c>
      <c r="U12" s="86">
        <v>164.6</v>
      </c>
      <c r="V12" s="86">
        <v>164.4</v>
      </c>
      <c r="W12" s="86">
        <v>167.1</v>
      </c>
      <c r="X12" s="86">
        <v>169</v>
      </c>
      <c r="Y12" s="86">
        <v>169.7</v>
      </c>
      <c r="Z12" s="86">
        <v>170.2</v>
      </c>
      <c r="AA12" s="86">
        <v>170.5</v>
      </c>
      <c r="AB12" s="86">
        <v>170.7</v>
      </c>
      <c r="AC12" s="86">
        <v>170.4</v>
      </c>
      <c r="AD12" s="86">
        <v>170.5</v>
      </c>
    </row>
    <row r="13" spans="1:30" x14ac:dyDescent="0.3">
      <c r="A13" s="84" t="s">
        <v>11</v>
      </c>
      <c r="B13" s="36">
        <f t="shared" si="0"/>
        <v>0.58357458119503081</v>
      </c>
      <c r="C13" s="86">
        <v>114.4</v>
      </c>
      <c r="D13" s="86">
        <v>113.8</v>
      </c>
      <c r="E13" s="86">
        <v>111.8</v>
      </c>
      <c r="F13" s="86">
        <v>111.7</v>
      </c>
      <c r="G13" s="86">
        <v>112.2</v>
      </c>
      <c r="H13" s="86">
        <v>114.3</v>
      </c>
      <c r="I13" s="86">
        <v>114.6</v>
      </c>
      <c r="J13" s="86">
        <v>113.9</v>
      </c>
      <c r="K13" s="86">
        <v>115.2</v>
      </c>
      <c r="L13" s="86">
        <v>119.3</v>
      </c>
      <c r="M13" s="86">
        <v>121.6</v>
      </c>
      <c r="N13" s="86">
        <v>122.1</v>
      </c>
      <c r="O13" s="86">
        <v>120.6</v>
      </c>
      <c r="P13" s="86">
        <v>119.3</v>
      </c>
      <c r="Q13" s="86">
        <v>118.1</v>
      </c>
      <c r="R13" s="86">
        <v>118.1</v>
      </c>
      <c r="S13" s="86">
        <v>118.2</v>
      </c>
      <c r="T13" s="86">
        <v>118.9</v>
      </c>
      <c r="U13" s="86">
        <v>119.1</v>
      </c>
      <c r="V13" s="86">
        <v>119.2</v>
      </c>
      <c r="W13" s="86">
        <v>120.2</v>
      </c>
      <c r="X13" s="86">
        <v>120.8</v>
      </c>
      <c r="Y13" s="86">
        <v>121.1</v>
      </c>
      <c r="Z13" s="86">
        <v>121.5</v>
      </c>
      <c r="AA13" s="86">
        <v>121.2</v>
      </c>
      <c r="AB13" s="86">
        <v>120.3</v>
      </c>
      <c r="AC13" s="86">
        <v>119.1</v>
      </c>
      <c r="AD13" s="86">
        <v>119.1</v>
      </c>
    </row>
    <row r="14" spans="1:30" x14ac:dyDescent="0.3">
      <c r="A14" s="84" t="s">
        <v>12</v>
      </c>
      <c r="B14" s="36">
        <f t="shared" si="0"/>
        <v>0.47095826649803918</v>
      </c>
      <c r="C14" s="86">
        <v>163.5</v>
      </c>
      <c r="D14" s="86">
        <v>164.5</v>
      </c>
      <c r="E14" s="86">
        <v>165</v>
      </c>
      <c r="F14" s="86">
        <v>164</v>
      </c>
      <c r="G14" s="86">
        <v>164.4</v>
      </c>
      <c r="H14" s="86">
        <v>169.7</v>
      </c>
      <c r="I14" s="86">
        <v>170</v>
      </c>
      <c r="J14" s="86">
        <v>169.7</v>
      </c>
      <c r="K14" s="86">
        <v>169.8</v>
      </c>
      <c r="L14" s="86">
        <v>170.1</v>
      </c>
      <c r="M14" s="86">
        <v>170.6</v>
      </c>
      <c r="N14" s="86">
        <v>170.8</v>
      </c>
      <c r="O14" s="86">
        <v>171.7</v>
      </c>
      <c r="P14" s="86">
        <v>173.3</v>
      </c>
      <c r="Q14" s="86">
        <v>175.4</v>
      </c>
      <c r="R14" s="86">
        <v>178.7</v>
      </c>
      <c r="S14" s="86">
        <v>182.9</v>
      </c>
      <c r="T14" s="86">
        <v>186.6</v>
      </c>
      <c r="U14" s="86">
        <v>188.9</v>
      </c>
      <c r="V14" s="86">
        <v>191.8</v>
      </c>
      <c r="W14" s="86">
        <v>195.6</v>
      </c>
      <c r="X14" s="86">
        <v>199.1</v>
      </c>
      <c r="Y14" s="86">
        <v>201.6</v>
      </c>
      <c r="Z14" s="86">
        <v>204.8</v>
      </c>
      <c r="AA14" s="86">
        <v>207.5</v>
      </c>
      <c r="AB14" s="86">
        <v>210.5</v>
      </c>
      <c r="AC14" s="86">
        <v>212.1</v>
      </c>
      <c r="AD14" s="86">
        <v>212.1</v>
      </c>
    </row>
    <row r="15" spans="1:30" x14ac:dyDescent="0.3">
      <c r="A15" s="84" t="s">
        <v>13</v>
      </c>
      <c r="B15" s="36">
        <f t="shared" si="0"/>
        <v>0.72104785775791225</v>
      </c>
      <c r="C15" s="86">
        <v>153.4</v>
      </c>
      <c r="D15" s="86">
        <v>156.1</v>
      </c>
      <c r="E15" s="86">
        <v>160</v>
      </c>
      <c r="F15" s="86">
        <v>160.6</v>
      </c>
      <c r="G15" s="86">
        <v>161.9</v>
      </c>
      <c r="H15" s="86">
        <v>164.6</v>
      </c>
      <c r="I15" s="86">
        <v>165.5</v>
      </c>
      <c r="J15" s="86">
        <v>166.2</v>
      </c>
      <c r="K15" s="86">
        <v>167.6</v>
      </c>
      <c r="L15" s="86">
        <v>168.3</v>
      </c>
      <c r="M15" s="86">
        <v>168.8</v>
      </c>
      <c r="N15" s="86">
        <v>169.1</v>
      </c>
      <c r="O15" s="86">
        <v>169.7</v>
      </c>
      <c r="P15" s="86">
        <v>169.8</v>
      </c>
      <c r="Q15" s="86">
        <v>170.5</v>
      </c>
      <c r="R15" s="86">
        <v>171.2</v>
      </c>
      <c r="S15" s="86">
        <v>172.4</v>
      </c>
      <c r="T15" s="86">
        <v>173.2</v>
      </c>
      <c r="U15" s="86">
        <v>174.2</v>
      </c>
      <c r="V15" s="86">
        <v>174.5</v>
      </c>
      <c r="W15" s="86">
        <v>174.8</v>
      </c>
      <c r="X15" s="86">
        <v>175.4</v>
      </c>
      <c r="Y15" s="86">
        <v>175.8</v>
      </c>
      <c r="Z15" s="86">
        <v>176.4</v>
      </c>
      <c r="AA15" s="86">
        <v>176.8</v>
      </c>
      <c r="AB15" s="86">
        <v>176.9</v>
      </c>
      <c r="AC15" s="86">
        <v>177.6</v>
      </c>
      <c r="AD15" s="86">
        <v>177.6</v>
      </c>
    </row>
    <row r="16" spans="1:30" x14ac:dyDescent="0.3">
      <c r="A16" s="84" t="s">
        <v>14</v>
      </c>
      <c r="B16" s="36">
        <f t="shared" si="0"/>
        <v>0.62423678572839769</v>
      </c>
      <c r="C16" s="86">
        <v>163.6</v>
      </c>
      <c r="D16" s="86">
        <v>164.3</v>
      </c>
      <c r="E16" s="86">
        <v>165.8</v>
      </c>
      <c r="F16" s="86">
        <v>166.4</v>
      </c>
      <c r="G16" s="86">
        <v>166.8</v>
      </c>
      <c r="H16" s="86">
        <v>169.8</v>
      </c>
      <c r="I16" s="86">
        <v>171.7</v>
      </c>
      <c r="J16" s="86">
        <v>171</v>
      </c>
      <c r="K16" s="86">
        <v>171.9</v>
      </c>
      <c r="L16" s="86">
        <v>172.8</v>
      </c>
      <c r="M16" s="86">
        <v>173.6</v>
      </c>
      <c r="N16" s="86">
        <v>174.3</v>
      </c>
      <c r="O16" s="86">
        <v>175.1</v>
      </c>
      <c r="P16" s="86">
        <v>175.8</v>
      </c>
      <c r="Q16" s="86">
        <v>176.3</v>
      </c>
      <c r="R16" s="86">
        <v>177.4</v>
      </c>
      <c r="S16" s="86">
        <v>178.9</v>
      </c>
      <c r="T16" s="86">
        <v>180.4</v>
      </c>
      <c r="U16" s="86">
        <v>181.9</v>
      </c>
      <c r="V16" s="86">
        <v>183.1</v>
      </c>
      <c r="W16" s="86">
        <v>184</v>
      </c>
      <c r="X16" s="86">
        <v>184.8</v>
      </c>
      <c r="Y16" s="86">
        <v>185.6</v>
      </c>
      <c r="Z16" s="86">
        <v>186.9</v>
      </c>
      <c r="AA16" s="86">
        <v>187.7</v>
      </c>
      <c r="AB16" s="86">
        <v>188.5</v>
      </c>
      <c r="AC16" s="86">
        <v>189.9</v>
      </c>
      <c r="AD16" s="86">
        <v>189.9</v>
      </c>
    </row>
    <row r="17" spans="1:30" x14ac:dyDescent="0.3">
      <c r="A17" s="84" t="s">
        <v>15</v>
      </c>
      <c r="B17" s="36">
        <f t="shared" si="0"/>
        <v>0.60255265058582907</v>
      </c>
      <c r="C17" s="86">
        <v>164.5</v>
      </c>
      <c r="D17" s="86">
        <v>159.6</v>
      </c>
      <c r="E17" s="86">
        <v>154.69999999999999</v>
      </c>
      <c r="F17" s="86">
        <v>154.5</v>
      </c>
      <c r="G17" s="86">
        <v>155.6</v>
      </c>
      <c r="H17" s="86">
        <v>158.69999999999999</v>
      </c>
      <c r="I17" s="86">
        <v>160.5</v>
      </c>
      <c r="J17" s="86">
        <v>161.69999999999999</v>
      </c>
      <c r="K17" s="86">
        <v>161.80000000000001</v>
      </c>
      <c r="L17" s="86">
        <v>162.1</v>
      </c>
      <c r="M17" s="86">
        <v>165.5</v>
      </c>
      <c r="N17" s="86">
        <v>167.5</v>
      </c>
      <c r="O17" s="86">
        <v>165.8</v>
      </c>
      <c r="P17" s="86">
        <v>164.1</v>
      </c>
      <c r="Q17" s="86">
        <v>163.9</v>
      </c>
      <c r="R17" s="86">
        <v>166.6</v>
      </c>
      <c r="S17" s="86">
        <v>168.6</v>
      </c>
      <c r="T17" s="86">
        <v>170.8</v>
      </c>
      <c r="U17" s="86">
        <v>172.4</v>
      </c>
      <c r="V17" s="86">
        <v>172.5</v>
      </c>
      <c r="W17" s="86">
        <v>173.9</v>
      </c>
      <c r="X17" s="86">
        <v>175.5</v>
      </c>
      <c r="Y17" s="86">
        <v>177.4</v>
      </c>
      <c r="Z17" s="86">
        <v>176.6</v>
      </c>
      <c r="AA17" s="86">
        <v>174.4</v>
      </c>
      <c r="AB17" s="86">
        <v>175</v>
      </c>
      <c r="AC17" s="86">
        <v>174.8</v>
      </c>
      <c r="AD17" s="86">
        <v>174.8</v>
      </c>
    </row>
    <row r="18" spans="1:30" x14ac:dyDescent="0.3">
      <c r="A18" s="84" t="s">
        <v>16</v>
      </c>
      <c r="B18" s="36">
        <f t="shared" si="0"/>
        <v>0.60099903964055879</v>
      </c>
      <c r="C18" s="86">
        <v>183.6</v>
      </c>
      <c r="D18" s="86">
        <v>184.6</v>
      </c>
      <c r="E18" s="86">
        <v>186.5</v>
      </c>
      <c r="F18" s="86">
        <v>186.1</v>
      </c>
      <c r="G18" s="86">
        <v>186.8</v>
      </c>
      <c r="H18" s="86">
        <v>189.6</v>
      </c>
      <c r="I18" s="86">
        <v>189.1</v>
      </c>
      <c r="J18" s="86">
        <v>189.7</v>
      </c>
      <c r="K18" s="86">
        <v>190.2</v>
      </c>
      <c r="L18" s="86">
        <v>190.5</v>
      </c>
      <c r="M18" s="86">
        <v>191.2</v>
      </c>
      <c r="N18" s="86">
        <v>191.4</v>
      </c>
      <c r="O18" s="86">
        <v>190.8</v>
      </c>
      <c r="P18" s="86">
        <v>190.7</v>
      </c>
      <c r="Q18" s="86">
        <v>191.5</v>
      </c>
      <c r="R18" s="86">
        <v>192.3</v>
      </c>
      <c r="S18" s="86">
        <v>192.8</v>
      </c>
      <c r="T18" s="86">
        <v>192.9</v>
      </c>
      <c r="U18" s="86">
        <v>192.9</v>
      </c>
      <c r="V18" s="86">
        <v>193.2</v>
      </c>
      <c r="W18" s="86">
        <v>193.7</v>
      </c>
      <c r="X18" s="86">
        <v>194.5</v>
      </c>
      <c r="Y18" s="86">
        <v>194.9</v>
      </c>
      <c r="Z18" s="86">
        <v>195.5</v>
      </c>
      <c r="AA18" s="86">
        <v>195.9</v>
      </c>
      <c r="AB18" s="86">
        <v>196.9</v>
      </c>
      <c r="AC18" s="86">
        <v>198.3</v>
      </c>
      <c r="AD18" s="86">
        <v>198.4</v>
      </c>
    </row>
    <row r="19" spans="1:30" x14ac:dyDescent="0.3">
      <c r="A19" s="84" t="s">
        <v>17</v>
      </c>
      <c r="B19" s="36">
        <f t="shared" si="0"/>
        <v>0.64550528393267126</v>
      </c>
      <c r="C19" s="86">
        <v>157</v>
      </c>
      <c r="D19" s="86">
        <v>157.5</v>
      </c>
      <c r="E19" s="86">
        <v>159.1</v>
      </c>
      <c r="F19" s="86">
        <v>159.6</v>
      </c>
      <c r="G19" s="86">
        <v>160.69999999999999</v>
      </c>
      <c r="H19" s="86">
        <v>165.3</v>
      </c>
      <c r="I19" s="86">
        <v>165.3</v>
      </c>
      <c r="J19" s="86">
        <v>166</v>
      </c>
      <c r="K19" s="86">
        <v>167</v>
      </c>
      <c r="L19" s="86">
        <v>167.7</v>
      </c>
      <c r="M19" s="86">
        <v>168.9</v>
      </c>
      <c r="N19" s="86">
        <v>170.4</v>
      </c>
      <c r="O19" s="86">
        <v>171.8</v>
      </c>
      <c r="P19" s="86">
        <v>173.2</v>
      </c>
      <c r="Q19" s="86">
        <v>174.1</v>
      </c>
      <c r="R19" s="86">
        <v>175.4</v>
      </c>
      <c r="S19" s="86">
        <v>177.5</v>
      </c>
      <c r="T19" s="86">
        <v>179.3</v>
      </c>
      <c r="U19" s="86">
        <v>180.7</v>
      </c>
      <c r="V19" s="86">
        <v>182</v>
      </c>
      <c r="W19" s="86">
        <v>183.2</v>
      </c>
      <c r="X19" s="86">
        <v>184.7</v>
      </c>
      <c r="Y19" s="86">
        <v>186.1</v>
      </c>
      <c r="Z19" s="86">
        <v>187.2</v>
      </c>
      <c r="AA19" s="86">
        <v>188.1</v>
      </c>
      <c r="AB19" s="86">
        <v>189</v>
      </c>
      <c r="AC19" s="86">
        <v>190</v>
      </c>
      <c r="AD19" s="86">
        <v>190</v>
      </c>
    </row>
    <row r="20" spans="1:30" x14ac:dyDescent="0.3">
      <c r="A20" s="84" t="s">
        <v>18</v>
      </c>
      <c r="B20" s="36">
        <f t="shared" si="0"/>
        <v>0.67610848146410607</v>
      </c>
      <c r="C20" s="86">
        <v>151.6</v>
      </c>
      <c r="D20" s="86">
        <v>152.4</v>
      </c>
      <c r="E20" s="86">
        <v>153.9</v>
      </c>
      <c r="F20" s="86">
        <v>154.4</v>
      </c>
      <c r="G20" s="86">
        <v>155.1</v>
      </c>
      <c r="H20" s="86">
        <v>160.6</v>
      </c>
      <c r="I20" s="86">
        <v>159.9</v>
      </c>
      <c r="J20" s="86">
        <v>161.1</v>
      </c>
      <c r="K20" s="86">
        <v>162.6</v>
      </c>
      <c r="L20" s="86">
        <v>163.6</v>
      </c>
      <c r="M20" s="86">
        <v>164.8</v>
      </c>
      <c r="N20" s="86">
        <v>166</v>
      </c>
      <c r="O20" s="86">
        <v>167.3</v>
      </c>
      <c r="P20" s="86">
        <v>169.3</v>
      </c>
      <c r="Q20" s="86">
        <v>171</v>
      </c>
      <c r="R20" s="86">
        <v>173.2</v>
      </c>
      <c r="S20" s="86">
        <v>175.1</v>
      </c>
      <c r="T20" s="86">
        <v>177.2</v>
      </c>
      <c r="U20" s="86">
        <v>178.7</v>
      </c>
      <c r="V20" s="86">
        <v>180.3</v>
      </c>
      <c r="W20" s="86">
        <v>181.7</v>
      </c>
      <c r="X20" s="86">
        <v>183.3</v>
      </c>
      <c r="Y20" s="86">
        <v>184.4</v>
      </c>
      <c r="Z20" s="86">
        <v>185.2</v>
      </c>
      <c r="AA20" s="86">
        <v>185.9</v>
      </c>
      <c r="AB20" s="86">
        <v>186.3</v>
      </c>
      <c r="AC20" s="86">
        <v>187</v>
      </c>
      <c r="AD20" s="86">
        <v>187</v>
      </c>
    </row>
    <row r="21" spans="1:30" x14ac:dyDescent="0.3">
      <c r="A21" s="84" t="s">
        <v>19</v>
      </c>
      <c r="B21" s="36">
        <f t="shared" si="0"/>
        <v>0.64987378680556318</v>
      </c>
      <c r="C21" s="86">
        <v>156.30000000000001</v>
      </c>
      <c r="D21" s="86">
        <v>156.80000000000001</v>
      </c>
      <c r="E21" s="86">
        <v>158.4</v>
      </c>
      <c r="F21" s="86">
        <v>158.9</v>
      </c>
      <c r="G21" s="86">
        <v>159.9</v>
      </c>
      <c r="H21" s="86">
        <v>164.5</v>
      </c>
      <c r="I21" s="86">
        <v>164.6</v>
      </c>
      <c r="J21" s="86">
        <v>165.3</v>
      </c>
      <c r="K21" s="86">
        <v>166.3</v>
      </c>
      <c r="L21" s="86">
        <v>167.1</v>
      </c>
      <c r="M21" s="86">
        <v>168.3</v>
      </c>
      <c r="N21" s="86">
        <v>169.8</v>
      </c>
      <c r="O21" s="86">
        <v>171.2</v>
      </c>
      <c r="P21" s="86">
        <v>172.7</v>
      </c>
      <c r="Q21" s="86">
        <v>173.7</v>
      </c>
      <c r="R21" s="86">
        <v>175.1</v>
      </c>
      <c r="S21" s="86">
        <v>177.1</v>
      </c>
      <c r="T21" s="86">
        <v>179</v>
      </c>
      <c r="U21" s="86">
        <v>180.4</v>
      </c>
      <c r="V21" s="86">
        <v>181.7</v>
      </c>
      <c r="W21" s="86">
        <v>183</v>
      </c>
      <c r="X21" s="86">
        <v>184.5</v>
      </c>
      <c r="Y21" s="86">
        <v>185.9</v>
      </c>
      <c r="Z21" s="86">
        <v>186.9</v>
      </c>
      <c r="AA21" s="86">
        <v>187.8</v>
      </c>
      <c r="AB21" s="86">
        <v>188.6</v>
      </c>
      <c r="AC21" s="86">
        <v>189.6</v>
      </c>
      <c r="AD21" s="86">
        <v>189.6</v>
      </c>
    </row>
    <row r="22" spans="1:30" x14ac:dyDescent="0.3">
      <c r="A22" s="84" t="s">
        <v>20</v>
      </c>
      <c r="B22" s="36">
        <v>0</v>
      </c>
      <c r="C22" s="86">
        <v>0</v>
      </c>
      <c r="D22" s="86">
        <v>0</v>
      </c>
      <c r="E22" s="86">
        <v>0</v>
      </c>
      <c r="F22" s="86">
        <v>0</v>
      </c>
      <c r="G22" s="86">
        <v>0</v>
      </c>
      <c r="H22" s="86">
        <v>0</v>
      </c>
      <c r="I22" s="86">
        <v>0</v>
      </c>
      <c r="J22" s="86">
        <v>0</v>
      </c>
      <c r="K22" s="86">
        <v>0</v>
      </c>
      <c r="L22" s="86">
        <v>0</v>
      </c>
      <c r="M22" s="86">
        <v>0</v>
      </c>
      <c r="N22" s="86">
        <v>0</v>
      </c>
      <c r="O22" s="86">
        <v>0</v>
      </c>
      <c r="P22" s="86">
        <v>0</v>
      </c>
      <c r="Q22" s="86">
        <v>0</v>
      </c>
      <c r="R22" s="86">
        <v>0</v>
      </c>
      <c r="S22" s="86">
        <v>0</v>
      </c>
      <c r="T22" s="86">
        <v>0</v>
      </c>
      <c r="U22" s="86">
        <v>0</v>
      </c>
      <c r="V22" s="86">
        <v>0</v>
      </c>
      <c r="W22" s="86">
        <v>0</v>
      </c>
      <c r="X22" s="86">
        <v>0</v>
      </c>
      <c r="Y22" s="86">
        <v>0</v>
      </c>
      <c r="Z22" s="86">
        <v>0</v>
      </c>
      <c r="AA22" s="86">
        <v>0</v>
      </c>
      <c r="AB22" s="86">
        <v>0</v>
      </c>
      <c r="AC22" s="86">
        <v>0</v>
      </c>
      <c r="AD22" s="86">
        <v>0</v>
      </c>
    </row>
    <row r="23" spans="1:30" x14ac:dyDescent="0.3">
      <c r="A23" s="84" t="s">
        <v>21</v>
      </c>
      <c r="B23" s="36">
        <f t="shared" si="0"/>
        <v>0.68650936224638848</v>
      </c>
      <c r="C23" s="86">
        <v>148.69999999999999</v>
      </c>
      <c r="D23" s="86">
        <v>150.9</v>
      </c>
      <c r="E23" s="86">
        <v>154.4</v>
      </c>
      <c r="F23" s="86">
        <v>156</v>
      </c>
      <c r="G23" s="86">
        <v>156</v>
      </c>
      <c r="H23" s="86">
        <v>161.69999999999999</v>
      </c>
      <c r="I23" s="86">
        <v>162.1</v>
      </c>
      <c r="J23" s="86">
        <v>162.5</v>
      </c>
      <c r="K23" s="86">
        <v>163.1</v>
      </c>
      <c r="L23" s="86">
        <v>163.69999999999999</v>
      </c>
      <c r="M23" s="86">
        <v>165.5</v>
      </c>
      <c r="N23" s="86">
        <v>165.3</v>
      </c>
      <c r="O23" s="86">
        <v>165.6</v>
      </c>
      <c r="P23" s="86">
        <v>165.8</v>
      </c>
      <c r="Q23" s="86">
        <v>167.4</v>
      </c>
      <c r="R23" s="86">
        <v>168.9</v>
      </c>
      <c r="S23" s="86">
        <v>173.3</v>
      </c>
      <c r="T23" s="86">
        <v>175.3</v>
      </c>
      <c r="U23" s="86">
        <v>176.7</v>
      </c>
      <c r="V23" s="86">
        <v>179.6</v>
      </c>
      <c r="W23" s="86">
        <v>179.1</v>
      </c>
      <c r="X23" s="86">
        <v>179.7</v>
      </c>
      <c r="Y23" s="86">
        <v>180.8</v>
      </c>
      <c r="Z23" s="86">
        <v>181.9</v>
      </c>
      <c r="AA23" s="86">
        <v>182.8</v>
      </c>
      <c r="AB23" s="86">
        <v>183.2</v>
      </c>
      <c r="AC23" s="86">
        <v>181.6</v>
      </c>
      <c r="AD23" s="86">
        <v>181.4</v>
      </c>
    </row>
    <row r="24" spans="1:30" x14ac:dyDescent="0.3">
      <c r="A24" s="84" t="s">
        <v>22</v>
      </c>
      <c r="B24" s="36">
        <f t="shared" si="0"/>
        <v>0.61650463040238535</v>
      </c>
      <c r="C24" s="86">
        <v>153.4</v>
      </c>
      <c r="D24" s="86">
        <v>153.9</v>
      </c>
      <c r="E24" s="86">
        <v>154.80000000000001</v>
      </c>
      <c r="F24" s="86">
        <v>154.80000000000001</v>
      </c>
      <c r="G24" s="86">
        <v>155.5</v>
      </c>
      <c r="H24" s="86">
        <v>158.80000000000001</v>
      </c>
      <c r="I24" s="86">
        <v>159.19999999999999</v>
      </c>
      <c r="J24" s="86">
        <v>160.30000000000001</v>
      </c>
      <c r="K24" s="86">
        <v>160.9</v>
      </c>
      <c r="L24" s="86">
        <v>161.30000000000001</v>
      </c>
      <c r="M24" s="86">
        <v>162</v>
      </c>
      <c r="N24" s="86">
        <v>162.9</v>
      </c>
      <c r="O24" s="86">
        <v>163.9</v>
      </c>
      <c r="P24" s="86">
        <v>164.9</v>
      </c>
      <c r="Q24" s="86">
        <v>165.7</v>
      </c>
      <c r="R24" s="86">
        <v>166.5</v>
      </c>
      <c r="S24" s="86">
        <v>167.7</v>
      </c>
      <c r="T24" s="86">
        <v>168.9</v>
      </c>
      <c r="U24" s="86">
        <v>170.3</v>
      </c>
      <c r="V24" s="86">
        <v>171.3</v>
      </c>
      <c r="W24" s="86">
        <v>172.3</v>
      </c>
      <c r="X24" s="86">
        <v>173.6</v>
      </c>
      <c r="Y24" s="86">
        <v>174.4</v>
      </c>
      <c r="Z24" s="86">
        <v>175.5</v>
      </c>
      <c r="AA24" s="86">
        <v>176.4</v>
      </c>
      <c r="AB24" s="86">
        <v>177.2</v>
      </c>
      <c r="AC24" s="86">
        <v>178.6</v>
      </c>
      <c r="AD24" s="86">
        <v>178.6</v>
      </c>
    </row>
    <row r="25" spans="1:30" x14ac:dyDescent="0.3">
      <c r="A25" s="84" t="s">
        <v>23</v>
      </c>
      <c r="B25" s="36">
        <f t="shared" si="0"/>
        <v>0.63130943111551807</v>
      </c>
      <c r="C25" s="86">
        <v>161.6</v>
      </c>
      <c r="D25" s="86">
        <v>162.5</v>
      </c>
      <c r="E25" s="86">
        <v>164.3</v>
      </c>
      <c r="F25" s="86">
        <v>164.6</v>
      </c>
      <c r="G25" s="86">
        <v>165.3</v>
      </c>
      <c r="H25" s="86">
        <v>169.1</v>
      </c>
      <c r="I25" s="86">
        <v>169.7</v>
      </c>
      <c r="J25" s="86">
        <v>170.4</v>
      </c>
      <c r="K25" s="86">
        <v>171.1</v>
      </c>
      <c r="L25" s="86">
        <v>171.9</v>
      </c>
      <c r="M25" s="86">
        <v>172.5</v>
      </c>
      <c r="N25" s="86">
        <v>173.4</v>
      </c>
      <c r="O25" s="86">
        <v>174</v>
      </c>
      <c r="P25" s="86">
        <v>174.7</v>
      </c>
      <c r="Q25" s="86">
        <v>175.3</v>
      </c>
      <c r="R25" s="86">
        <v>176</v>
      </c>
      <c r="S25" s="86">
        <v>177</v>
      </c>
      <c r="T25" s="86">
        <v>177.7</v>
      </c>
      <c r="U25" s="86">
        <v>178.2</v>
      </c>
      <c r="V25" s="86">
        <v>178.8</v>
      </c>
      <c r="W25" s="86">
        <v>179.4</v>
      </c>
      <c r="X25" s="86">
        <v>180.2</v>
      </c>
      <c r="Y25" s="86">
        <v>181.2</v>
      </c>
      <c r="Z25" s="86">
        <v>182.3</v>
      </c>
      <c r="AA25" s="86">
        <v>183.5</v>
      </c>
      <c r="AB25" s="86">
        <v>184.7</v>
      </c>
      <c r="AC25" s="86">
        <v>186.6</v>
      </c>
      <c r="AD25" s="86">
        <v>186.6</v>
      </c>
    </row>
    <row r="26" spans="1:30" s="92" customFormat="1" x14ac:dyDescent="0.3">
      <c r="A26" s="2" t="s">
        <v>24</v>
      </c>
      <c r="B26" s="90">
        <f t="shared" si="0"/>
        <v>0.75423175148801602</v>
      </c>
      <c r="C26" s="91">
        <v>146.4</v>
      </c>
      <c r="D26" s="91">
        <v>147.5</v>
      </c>
      <c r="E26" s="91">
        <v>150.19999999999999</v>
      </c>
      <c r="F26" s="91">
        <v>151.30000000000001</v>
      </c>
      <c r="G26" s="91">
        <v>151.69999999999999</v>
      </c>
      <c r="H26" s="91">
        <v>153.19999999999999</v>
      </c>
      <c r="I26" s="91">
        <v>154.19999999999999</v>
      </c>
      <c r="J26" s="91">
        <v>157.1</v>
      </c>
      <c r="K26" s="91">
        <v>157.69999999999999</v>
      </c>
      <c r="L26" s="91">
        <v>157.80000000000001</v>
      </c>
      <c r="M26" s="91">
        <v>159.5</v>
      </c>
      <c r="N26" s="91">
        <v>158.9</v>
      </c>
      <c r="O26" s="91">
        <v>160.1</v>
      </c>
      <c r="P26" s="91">
        <v>160.80000000000001</v>
      </c>
      <c r="Q26" s="91">
        <v>161.19999999999999</v>
      </c>
      <c r="R26" s="91">
        <v>162</v>
      </c>
      <c r="S26" s="91">
        <v>166.2</v>
      </c>
      <c r="T26" s="91">
        <v>167.1</v>
      </c>
      <c r="U26" s="91">
        <v>165.5</v>
      </c>
      <c r="V26" s="91">
        <v>166.3</v>
      </c>
      <c r="W26" s="91">
        <v>166.6</v>
      </c>
      <c r="X26" s="91">
        <v>166.9</v>
      </c>
      <c r="Y26" s="91">
        <v>167.4</v>
      </c>
      <c r="Z26" s="91">
        <v>167.5</v>
      </c>
      <c r="AA26" s="91">
        <v>167.8</v>
      </c>
      <c r="AB26" s="91">
        <v>168.2</v>
      </c>
      <c r="AC26" s="91">
        <v>169</v>
      </c>
      <c r="AD26" s="91">
        <v>169</v>
      </c>
    </row>
    <row r="27" spans="1:30" x14ac:dyDescent="0.3">
      <c r="A27" s="84" t="s">
        <v>25</v>
      </c>
      <c r="B27" s="36">
        <f t="shared" si="0"/>
        <v>0.68906560729853095</v>
      </c>
      <c r="C27" s="86">
        <v>153.9</v>
      </c>
      <c r="D27" s="86">
        <v>155.1</v>
      </c>
      <c r="E27" s="86">
        <v>157</v>
      </c>
      <c r="F27" s="86">
        <v>157.80000000000001</v>
      </c>
      <c r="G27" s="86">
        <v>158.6</v>
      </c>
      <c r="H27" s="86">
        <v>160</v>
      </c>
      <c r="I27" s="86">
        <v>160.4</v>
      </c>
      <c r="J27" s="86">
        <v>160.69999999999999</v>
      </c>
      <c r="K27" s="86">
        <v>161.1</v>
      </c>
      <c r="L27" s="86">
        <v>162.69999999999999</v>
      </c>
      <c r="M27" s="86">
        <v>163.19999999999999</v>
      </c>
      <c r="N27" s="86">
        <v>163.80000000000001</v>
      </c>
      <c r="O27" s="86">
        <v>164.5</v>
      </c>
      <c r="P27" s="86">
        <v>164.9</v>
      </c>
      <c r="Q27" s="86">
        <v>165.5</v>
      </c>
      <c r="R27" s="86">
        <v>166.6</v>
      </c>
      <c r="S27" s="86">
        <v>167.2</v>
      </c>
      <c r="T27" s="86">
        <v>167.6</v>
      </c>
      <c r="U27" s="86">
        <v>168</v>
      </c>
      <c r="V27" s="86">
        <v>168.6</v>
      </c>
      <c r="W27" s="86">
        <v>169.3</v>
      </c>
      <c r="X27" s="86">
        <v>170</v>
      </c>
      <c r="Y27" s="86">
        <v>170.6</v>
      </c>
      <c r="Z27" s="86">
        <v>170.8</v>
      </c>
      <c r="AA27" s="86">
        <v>171.2</v>
      </c>
      <c r="AB27" s="86">
        <v>171.8</v>
      </c>
      <c r="AC27" s="86">
        <v>172.8</v>
      </c>
      <c r="AD27" s="86">
        <v>172.8</v>
      </c>
    </row>
    <row r="28" spans="1:30" x14ac:dyDescent="0.3">
      <c r="A28" s="84" t="s">
        <v>26</v>
      </c>
      <c r="B28" s="36">
        <f t="shared" si="0"/>
        <v>0.58366429802074216</v>
      </c>
      <c r="C28" s="86">
        <v>162.9</v>
      </c>
      <c r="D28" s="86">
        <v>163.5</v>
      </c>
      <c r="E28" s="86">
        <v>163.6</v>
      </c>
      <c r="F28" s="86">
        <v>163.80000000000001</v>
      </c>
      <c r="G28" s="86">
        <v>164.1</v>
      </c>
      <c r="H28" s="86">
        <v>167.6</v>
      </c>
      <c r="I28" s="86">
        <v>166.8</v>
      </c>
      <c r="J28" s="86">
        <v>167.2</v>
      </c>
      <c r="K28" s="86">
        <v>167.5</v>
      </c>
      <c r="L28" s="86">
        <v>168.5</v>
      </c>
      <c r="M28" s="86">
        <v>169</v>
      </c>
      <c r="N28" s="86">
        <v>169.3</v>
      </c>
      <c r="O28" s="86">
        <v>169.7</v>
      </c>
      <c r="P28" s="86">
        <v>169.9</v>
      </c>
      <c r="Q28" s="86">
        <v>170.3</v>
      </c>
      <c r="R28" s="86">
        <v>170.6</v>
      </c>
      <c r="S28" s="86">
        <v>170.9</v>
      </c>
      <c r="T28" s="86">
        <v>171.8</v>
      </c>
      <c r="U28" s="86">
        <v>172.6</v>
      </c>
      <c r="V28" s="86">
        <v>174.7</v>
      </c>
      <c r="W28" s="86">
        <v>175.7</v>
      </c>
      <c r="X28" s="86">
        <v>176.2</v>
      </c>
      <c r="Y28" s="86">
        <v>176.5</v>
      </c>
      <c r="Z28" s="86">
        <v>176.9</v>
      </c>
      <c r="AA28" s="86">
        <v>177.3</v>
      </c>
      <c r="AB28" s="86">
        <v>177.8</v>
      </c>
      <c r="AC28" s="86">
        <v>178.5</v>
      </c>
      <c r="AD28" s="86">
        <v>178.5</v>
      </c>
    </row>
    <row r="29" spans="1:30" x14ac:dyDescent="0.3">
      <c r="A29" s="84" t="s">
        <v>27</v>
      </c>
      <c r="B29" s="36">
        <f t="shared" si="0"/>
        <v>0.56140970617564767</v>
      </c>
      <c r="C29" s="86">
        <v>156.6</v>
      </c>
      <c r="D29" s="86">
        <v>156.19999999999999</v>
      </c>
      <c r="E29" s="86">
        <v>155.19999999999999</v>
      </c>
      <c r="F29" s="86">
        <v>153.1</v>
      </c>
      <c r="G29" s="86">
        <v>154.6</v>
      </c>
      <c r="H29" s="86">
        <v>159.30000000000001</v>
      </c>
      <c r="I29" s="86">
        <v>159.4</v>
      </c>
      <c r="J29" s="86">
        <v>160.4</v>
      </c>
      <c r="K29" s="86">
        <v>160.30000000000001</v>
      </c>
      <c r="L29" s="86">
        <v>160.19999999999999</v>
      </c>
      <c r="M29" s="86">
        <v>161.1</v>
      </c>
      <c r="N29" s="86">
        <v>162.4</v>
      </c>
      <c r="O29" s="86">
        <v>162.80000000000001</v>
      </c>
      <c r="P29" s="86">
        <v>163.19999999999999</v>
      </c>
      <c r="Q29" s="86">
        <v>164.5</v>
      </c>
      <c r="R29" s="86">
        <v>167.4</v>
      </c>
      <c r="S29" s="86">
        <v>169</v>
      </c>
      <c r="T29" s="86">
        <v>168.5</v>
      </c>
      <c r="U29" s="86">
        <v>169.5</v>
      </c>
      <c r="V29" s="86">
        <v>169.7</v>
      </c>
      <c r="W29" s="86">
        <v>171.1</v>
      </c>
      <c r="X29" s="86">
        <v>170.8</v>
      </c>
      <c r="Y29" s="86">
        <v>172</v>
      </c>
      <c r="Z29" s="86">
        <v>173.4</v>
      </c>
      <c r="AA29" s="86">
        <v>175.7</v>
      </c>
      <c r="AB29" s="86">
        <v>178.4</v>
      </c>
      <c r="AC29" s="86">
        <v>180.7</v>
      </c>
      <c r="AD29" s="86">
        <v>180.7</v>
      </c>
    </row>
    <row r="30" spans="1:30" x14ac:dyDescent="0.3">
      <c r="A30" s="84" t="s">
        <v>28</v>
      </c>
      <c r="B30" s="36">
        <f t="shared" si="0"/>
        <v>0.65870667358775292</v>
      </c>
      <c r="C30" s="86">
        <v>155.19999999999999</v>
      </c>
      <c r="D30" s="86">
        <v>155.9</v>
      </c>
      <c r="E30" s="86">
        <v>157.19999999999999</v>
      </c>
      <c r="F30" s="86">
        <v>157.30000000000001</v>
      </c>
      <c r="G30" s="86">
        <v>158</v>
      </c>
      <c r="H30" s="86">
        <v>161.1</v>
      </c>
      <c r="I30" s="86">
        <v>161.5</v>
      </c>
      <c r="J30" s="86">
        <v>162.80000000000001</v>
      </c>
      <c r="K30" s="86">
        <v>163.30000000000001</v>
      </c>
      <c r="L30" s="86">
        <v>163.80000000000001</v>
      </c>
      <c r="M30" s="86">
        <v>164.7</v>
      </c>
      <c r="N30" s="86">
        <v>165.2</v>
      </c>
      <c r="O30" s="86">
        <v>166</v>
      </c>
      <c r="P30" s="86">
        <v>166.6</v>
      </c>
      <c r="Q30" s="86">
        <v>167.3</v>
      </c>
      <c r="R30" s="86">
        <v>168.3</v>
      </c>
      <c r="S30" s="86">
        <v>170.2</v>
      </c>
      <c r="T30" s="86">
        <v>170.9</v>
      </c>
      <c r="U30" s="86">
        <v>171</v>
      </c>
      <c r="V30" s="86">
        <v>171.8</v>
      </c>
      <c r="W30" s="86">
        <v>172.6</v>
      </c>
      <c r="X30" s="86">
        <v>173.1</v>
      </c>
      <c r="Y30" s="86">
        <v>173.9</v>
      </c>
      <c r="Z30" s="86">
        <v>174.6</v>
      </c>
      <c r="AA30" s="86">
        <v>175.5</v>
      </c>
      <c r="AB30" s="86">
        <v>176.5</v>
      </c>
      <c r="AC30" s="86">
        <v>177.9</v>
      </c>
      <c r="AD30" s="86">
        <v>177.9</v>
      </c>
    </row>
    <row r="32" spans="1:30" ht="18" x14ac:dyDescent="0.35">
      <c r="A32" s="89" t="s">
        <v>32</v>
      </c>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row>
    <row r="33" spans="1:30" x14ac:dyDescent="0.3">
      <c r="A33" s="84" t="s">
        <v>3</v>
      </c>
      <c r="B33" s="36">
        <f t="shared" ref="B33:B58" si="1">CORREL(C33:AD33,$C$2:$AD$2)</f>
        <v>0.3659818729658299</v>
      </c>
      <c r="C33" s="46" cm="1">
        <f t="array" ref="C33:AD58">TRANSPOSE(Urban!D96:AC123)</f>
        <v>149</v>
      </c>
      <c r="D33">
        <v>148</v>
      </c>
      <c r="E33">
        <v>147.6</v>
      </c>
      <c r="F33">
        <v>147.5</v>
      </c>
      <c r="G33">
        <v>147.6</v>
      </c>
      <c r="H33">
        <v>148.80000000000001</v>
      </c>
      <c r="I33">
        <v>149.19999999999999</v>
      </c>
      <c r="J33">
        <v>149.1</v>
      </c>
      <c r="K33">
        <v>149.30000000000001</v>
      </c>
      <c r="L33">
        <v>149.30000000000001</v>
      </c>
      <c r="M33">
        <v>150.1</v>
      </c>
      <c r="N33">
        <v>151</v>
      </c>
      <c r="O33">
        <v>151.6</v>
      </c>
      <c r="P33">
        <v>152.19999999999999</v>
      </c>
      <c r="Q33">
        <v>152.5</v>
      </c>
      <c r="R33">
        <v>153.69999999999999</v>
      </c>
      <c r="S33">
        <v>155.4</v>
      </c>
      <c r="T33">
        <v>156.69999999999999</v>
      </c>
      <c r="U33">
        <v>157.5</v>
      </c>
      <c r="V33">
        <v>159.30000000000001</v>
      </c>
      <c r="W33">
        <v>162.1</v>
      </c>
      <c r="X33">
        <v>164.9</v>
      </c>
      <c r="Y33">
        <v>166.4</v>
      </c>
      <c r="Z33">
        <v>168.4</v>
      </c>
      <c r="AA33">
        <v>170.2</v>
      </c>
      <c r="AB33">
        <v>173.3</v>
      </c>
      <c r="AC33">
        <v>174.7</v>
      </c>
      <c r="AD33">
        <v>174.7</v>
      </c>
    </row>
    <row r="34" spans="1:30" s="92" customFormat="1" x14ac:dyDescent="0.3">
      <c r="A34" s="2" t="s">
        <v>4</v>
      </c>
      <c r="B34" s="90">
        <f t="shared" si="1"/>
        <v>0.84328972875592068</v>
      </c>
      <c r="C34" s="92">
        <v>195.7</v>
      </c>
      <c r="D34" s="92">
        <v>194.8</v>
      </c>
      <c r="E34" s="92">
        <v>191.2</v>
      </c>
      <c r="F34" s="92">
        <v>197.5</v>
      </c>
      <c r="G34" s="92">
        <v>202.5</v>
      </c>
      <c r="H34" s="92">
        <v>204.3</v>
      </c>
      <c r="I34" s="92">
        <v>205.5</v>
      </c>
      <c r="J34" s="92">
        <v>210.9</v>
      </c>
      <c r="K34" s="92">
        <v>207.4</v>
      </c>
      <c r="L34" s="92">
        <v>207.4</v>
      </c>
      <c r="M34" s="92">
        <v>208.4</v>
      </c>
      <c r="N34" s="92">
        <v>204.9</v>
      </c>
      <c r="O34" s="92">
        <v>202.2</v>
      </c>
      <c r="P34" s="92">
        <v>202.1</v>
      </c>
      <c r="Q34" s="92">
        <v>205.2</v>
      </c>
      <c r="R34" s="92">
        <v>215.8</v>
      </c>
      <c r="S34" s="92">
        <v>215.8</v>
      </c>
      <c r="T34" s="92">
        <v>221.2</v>
      </c>
      <c r="U34" s="92">
        <v>223.4</v>
      </c>
      <c r="V34" s="92">
        <v>217.1</v>
      </c>
      <c r="W34" s="92">
        <v>210.9</v>
      </c>
      <c r="X34" s="92">
        <v>213.7</v>
      </c>
      <c r="Y34" s="92">
        <v>214.9</v>
      </c>
      <c r="Z34" s="92">
        <v>213.4</v>
      </c>
      <c r="AA34" s="92">
        <v>212.9</v>
      </c>
      <c r="AB34" s="92">
        <v>215.2</v>
      </c>
      <c r="AC34" s="92">
        <v>212.2</v>
      </c>
      <c r="AD34" s="92">
        <v>212.2</v>
      </c>
    </row>
    <row r="35" spans="1:30" x14ac:dyDescent="0.3">
      <c r="A35" s="84" t="s">
        <v>5</v>
      </c>
      <c r="B35" s="36">
        <f t="shared" si="1"/>
        <v>-0.23523909717245994</v>
      </c>
      <c r="C35" s="46">
        <v>178.3</v>
      </c>
      <c r="D35">
        <v>178.4</v>
      </c>
      <c r="E35">
        <v>169.9</v>
      </c>
      <c r="F35">
        <v>164.7</v>
      </c>
      <c r="G35">
        <v>166.4</v>
      </c>
      <c r="H35">
        <v>173</v>
      </c>
      <c r="I35">
        <v>182.8</v>
      </c>
      <c r="J35">
        <v>185</v>
      </c>
      <c r="K35">
        <v>174.1</v>
      </c>
      <c r="L35">
        <v>174.1</v>
      </c>
      <c r="M35">
        <v>173</v>
      </c>
      <c r="N35">
        <v>175.4</v>
      </c>
      <c r="O35">
        <v>180</v>
      </c>
      <c r="P35">
        <v>180.1</v>
      </c>
      <c r="Q35">
        <v>176.4</v>
      </c>
      <c r="R35">
        <v>167.7</v>
      </c>
      <c r="S35">
        <v>164.6</v>
      </c>
      <c r="T35">
        <v>164.1</v>
      </c>
      <c r="U35">
        <v>172.8</v>
      </c>
      <c r="V35">
        <v>176.6</v>
      </c>
      <c r="W35">
        <v>170.6</v>
      </c>
      <c r="X35">
        <v>170.9</v>
      </c>
      <c r="Y35">
        <v>171.9</v>
      </c>
      <c r="Z35">
        <v>183.2</v>
      </c>
      <c r="AA35">
        <v>191.9</v>
      </c>
      <c r="AB35">
        <v>197</v>
      </c>
      <c r="AC35">
        <v>177.2</v>
      </c>
      <c r="AD35">
        <v>177.2</v>
      </c>
    </row>
    <row r="36" spans="1:30" x14ac:dyDescent="0.3">
      <c r="A36" s="84" t="s">
        <v>6</v>
      </c>
      <c r="B36" s="36">
        <f t="shared" si="1"/>
        <v>0.48803731154921848</v>
      </c>
      <c r="C36" s="46">
        <v>154.19999999999999</v>
      </c>
      <c r="D36">
        <v>154.4</v>
      </c>
      <c r="E36">
        <v>155.1</v>
      </c>
      <c r="F36">
        <v>155.6</v>
      </c>
      <c r="G36">
        <v>156</v>
      </c>
      <c r="H36">
        <v>156.5</v>
      </c>
      <c r="I36">
        <v>156.5</v>
      </c>
      <c r="J36">
        <v>158.19999999999999</v>
      </c>
      <c r="K36">
        <v>159.19999999999999</v>
      </c>
      <c r="L36">
        <v>159.1</v>
      </c>
      <c r="M36">
        <v>159.19999999999999</v>
      </c>
      <c r="N36">
        <v>159.6</v>
      </c>
      <c r="O36">
        <v>160</v>
      </c>
      <c r="P36">
        <v>160.4</v>
      </c>
      <c r="Q36">
        <v>160.6</v>
      </c>
      <c r="R36">
        <v>162.6</v>
      </c>
      <c r="S36">
        <v>164.2</v>
      </c>
      <c r="T36">
        <v>165.4</v>
      </c>
      <c r="U36">
        <v>166.4</v>
      </c>
      <c r="V36">
        <v>167.1</v>
      </c>
      <c r="W36">
        <v>168.4</v>
      </c>
      <c r="X36">
        <v>170.1</v>
      </c>
      <c r="Y36">
        <v>171</v>
      </c>
      <c r="Z36">
        <v>172.3</v>
      </c>
      <c r="AA36">
        <v>173.9</v>
      </c>
      <c r="AB36">
        <v>175.2</v>
      </c>
      <c r="AC36">
        <v>177.9</v>
      </c>
      <c r="AD36">
        <v>177.9</v>
      </c>
    </row>
    <row r="37" spans="1:30" s="92" customFormat="1" x14ac:dyDescent="0.3">
      <c r="A37" s="2" t="s">
        <v>7</v>
      </c>
      <c r="B37" s="90">
        <f t="shared" si="1"/>
        <v>0.85325327525555505</v>
      </c>
      <c r="C37" s="92">
        <v>140.69999999999999</v>
      </c>
      <c r="D37" s="92">
        <v>144.1</v>
      </c>
      <c r="E37" s="92">
        <v>151.4</v>
      </c>
      <c r="F37" s="92">
        <v>156.4</v>
      </c>
      <c r="G37" s="92">
        <v>161.4</v>
      </c>
      <c r="H37" s="92">
        <v>168.8</v>
      </c>
      <c r="I37" s="92">
        <v>172.2</v>
      </c>
      <c r="J37" s="92">
        <v>170.6</v>
      </c>
      <c r="K37" s="92">
        <v>175</v>
      </c>
      <c r="L37" s="92">
        <v>175</v>
      </c>
      <c r="M37" s="92">
        <v>176.6</v>
      </c>
      <c r="N37" s="92">
        <v>175.8</v>
      </c>
      <c r="O37" s="92">
        <v>173.5</v>
      </c>
      <c r="P37" s="92">
        <v>171</v>
      </c>
      <c r="Q37" s="92">
        <v>171.5</v>
      </c>
      <c r="R37" s="92">
        <v>180</v>
      </c>
      <c r="S37" s="92">
        <v>186</v>
      </c>
      <c r="T37" s="92">
        <v>189.5</v>
      </c>
      <c r="U37" s="92">
        <v>188.6</v>
      </c>
      <c r="V37" s="92">
        <v>184.8</v>
      </c>
      <c r="W37" s="92">
        <v>182.5</v>
      </c>
      <c r="X37" s="92">
        <v>179.3</v>
      </c>
      <c r="Y37" s="92">
        <v>177.7</v>
      </c>
      <c r="Z37" s="92">
        <v>180</v>
      </c>
      <c r="AA37" s="92">
        <v>179.1</v>
      </c>
      <c r="AB37" s="92">
        <v>178</v>
      </c>
      <c r="AC37" s="92">
        <v>172.2</v>
      </c>
      <c r="AD37" s="92">
        <v>172.2</v>
      </c>
    </row>
    <row r="38" spans="1:30" x14ac:dyDescent="0.3">
      <c r="A38" s="84" t="s">
        <v>8</v>
      </c>
      <c r="B38" s="36">
        <f t="shared" si="1"/>
        <v>0.54490666820317279</v>
      </c>
      <c r="C38" s="46">
        <v>149.69999999999999</v>
      </c>
      <c r="D38">
        <v>152.6</v>
      </c>
      <c r="E38">
        <v>154</v>
      </c>
      <c r="F38">
        <v>157.30000000000001</v>
      </c>
      <c r="G38">
        <v>168.8</v>
      </c>
      <c r="H38">
        <v>172.5</v>
      </c>
      <c r="I38">
        <v>171.5</v>
      </c>
      <c r="J38">
        <v>170.9</v>
      </c>
      <c r="K38">
        <v>161.30000000000001</v>
      </c>
      <c r="L38">
        <v>161.19999999999999</v>
      </c>
      <c r="M38">
        <v>159.30000000000001</v>
      </c>
      <c r="N38">
        <v>160.30000000000001</v>
      </c>
      <c r="O38">
        <v>158.30000000000001</v>
      </c>
      <c r="P38">
        <v>156.5</v>
      </c>
      <c r="Q38">
        <v>156.4</v>
      </c>
      <c r="R38">
        <v>159.6</v>
      </c>
      <c r="S38">
        <v>175.9</v>
      </c>
      <c r="T38">
        <v>174.5</v>
      </c>
      <c r="U38">
        <v>174.1</v>
      </c>
      <c r="V38">
        <v>179.5</v>
      </c>
      <c r="W38">
        <v>177.1</v>
      </c>
      <c r="X38">
        <v>167.5</v>
      </c>
      <c r="Y38">
        <v>165.7</v>
      </c>
      <c r="Z38">
        <v>162.6</v>
      </c>
      <c r="AA38">
        <v>159.5</v>
      </c>
      <c r="AB38">
        <v>160.5</v>
      </c>
      <c r="AC38">
        <v>172.1</v>
      </c>
      <c r="AD38">
        <v>172.1</v>
      </c>
    </row>
    <row r="39" spans="1:30" x14ac:dyDescent="0.3">
      <c r="A39" s="84" t="s">
        <v>9</v>
      </c>
      <c r="B39" s="36">
        <f t="shared" si="1"/>
        <v>0.222017962916569</v>
      </c>
      <c r="C39" s="46">
        <v>240.9</v>
      </c>
      <c r="D39">
        <v>206.8</v>
      </c>
      <c r="E39">
        <v>180.2</v>
      </c>
      <c r="F39">
        <v>166.1</v>
      </c>
      <c r="G39">
        <v>161.6</v>
      </c>
      <c r="H39">
        <v>166.5</v>
      </c>
      <c r="I39">
        <v>176.2</v>
      </c>
      <c r="J39">
        <v>186.4</v>
      </c>
      <c r="K39">
        <v>183.3</v>
      </c>
      <c r="L39">
        <v>183.5</v>
      </c>
      <c r="M39">
        <v>214.4</v>
      </c>
      <c r="N39">
        <v>229.1</v>
      </c>
      <c r="O39">
        <v>219.5</v>
      </c>
      <c r="P39">
        <v>203.6</v>
      </c>
      <c r="Q39">
        <v>198</v>
      </c>
      <c r="R39">
        <v>188.4</v>
      </c>
      <c r="S39">
        <v>190.7</v>
      </c>
      <c r="T39">
        <v>203.2</v>
      </c>
      <c r="U39">
        <v>211.5</v>
      </c>
      <c r="V39">
        <v>208.5</v>
      </c>
      <c r="W39">
        <v>213.1</v>
      </c>
      <c r="X39">
        <v>220.8</v>
      </c>
      <c r="Y39">
        <v>228.6</v>
      </c>
      <c r="Z39">
        <v>205.5</v>
      </c>
      <c r="AA39">
        <v>178.7</v>
      </c>
      <c r="AB39">
        <v>175.3</v>
      </c>
      <c r="AC39">
        <v>175.8</v>
      </c>
      <c r="AD39">
        <v>175.9</v>
      </c>
    </row>
    <row r="40" spans="1:30" x14ac:dyDescent="0.3">
      <c r="A40" s="84" t="s">
        <v>10</v>
      </c>
      <c r="B40" s="36">
        <f t="shared" si="1"/>
        <v>0.18289289198562667</v>
      </c>
      <c r="C40" s="46">
        <v>161.5</v>
      </c>
      <c r="D40">
        <v>162.1</v>
      </c>
      <c r="E40">
        <v>159.80000000000001</v>
      </c>
      <c r="F40">
        <v>161.1</v>
      </c>
      <c r="G40">
        <v>162.80000000000001</v>
      </c>
      <c r="H40">
        <v>165.9</v>
      </c>
      <c r="I40">
        <v>166.9</v>
      </c>
      <c r="J40">
        <v>164.7</v>
      </c>
      <c r="K40">
        <v>164.5</v>
      </c>
      <c r="L40">
        <v>164.5</v>
      </c>
      <c r="M40">
        <v>165.3</v>
      </c>
      <c r="N40">
        <v>165.1</v>
      </c>
      <c r="O40">
        <v>164.2</v>
      </c>
      <c r="P40">
        <v>163.80000000000001</v>
      </c>
      <c r="Q40">
        <v>163.19999999999999</v>
      </c>
      <c r="R40">
        <v>163.4</v>
      </c>
      <c r="S40">
        <v>164</v>
      </c>
      <c r="T40">
        <v>164.1</v>
      </c>
      <c r="U40">
        <v>163.6</v>
      </c>
      <c r="V40">
        <v>164</v>
      </c>
      <c r="W40">
        <v>167.3</v>
      </c>
      <c r="X40">
        <v>169.2</v>
      </c>
      <c r="Y40">
        <v>169.9</v>
      </c>
      <c r="Z40">
        <v>171</v>
      </c>
      <c r="AA40">
        <v>171.3</v>
      </c>
      <c r="AB40">
        <v>171.2</v>
      </c>
      <c r="AC40">
        <v>172.2</v>
      </c>
      <c r="AD40">
        <v>172.2</v>
      </c>
    </row>
    <row r="41" spans="1:30" x14ac:dyDescent="0.3">
      <c r="A41" s="84" t="s">
        <v>11</v>
      </c>
      <c r="B41" s="36">
        <f t="shared" si="1"/>
        <v>0.59659929459412753</v>
      </c>
      <c r="C41" s="46">
        <v>117.1</v>
      </c>
      <c r="D41">
        <v>116.3</v>
      </c>
      <c r="E41">
        <v>114.9</v>
      </c>
      <c r="F41">
        <v>114.3</v>
      </c>
      <c r="G41">
        <v>114.8</v>
      </c>
      <c r="H41">
        <v>115.9</v>
      </c>
      <c r="I41">
        <v>116.1</v>
      </c>
      <c r="J41">
        <v>115.7</v>
      </c>
      <c r="K41">
        <v>120.4</v>
      </c>
      <c r="L41">
        <v>120.4</v>
      </c>
      <c r="M41">
        <v>122.5</v>
      </c>
      <c r="N41">
        <v>123.1</v>
      </c>
      <c r="O41">
        <v>121.9</v>
      </c>
      <c r="P41">
        <v>121.3</v>
      </c>
      <c r="Q41">
        <v>120.6</v>
      </c>
      <c r="R41">
        <v>120.3</v>
      </c>
      <c r="S41">
        <v>120.5</v>
      </c>
      <c r="T41">
        <v>121.2</v>
      </c>
      <c r="U41">
        <v>121.4</v>
      </c>
      <c r="V41">
        <v>121.5</v>
      </c>
      <c r="W41">
        <v>122.2</v>
      </c>
      <c r="X41">
        <v>123.1</v>
      </c>
      <c r="Y41">
        <v>123.4</v>
      </c>
      <c r="Z41">
        <v>123.4</v>
      </c>
      <c r="AA41">
        <v>123.1</v>
      </c>
      <c r="AB41">
        <v>122.7</v>
      </c>
      <c r="AC41">
        <v>121.9</v>
      </c>
      <c r="AD41">
        <v>121.9</v>
      </c>
    </row>
    <row r="42" spans="1:30" x14ac:dyDescent="0.3">
      <c r="A42" s="84" t="s">
        <v>12</v>
      </c>
      <c r="B42" s="36">
        <f t="shared" si="1"/>
        <v>0.4582777370695223</v>
      </c>
      <c r="C42" s="46">
        <v>161.9</v>
      </c>
      <c r="D42">
        <v>163</v>
      </c>
      <c r="E42">
        <v>162.5</v>
      </c>
      <c r="F42">
        <v>162.6</v>
      </c>
      <c r="G42">
        <v>162.80000000000001</v>
      </c>
      <c r="H42">
        <v>165.2</v>
      </c>
      <c r="I42">
        <v>165.5</v>
      </c>
      <c r="J42">
        <v>165.5</v>
      </c>
      <c r="K42">
        <v>166.2</v>
      </c>
      <c r="L42">
        <v>166.2</v>
      </c>
      <c r="M42">
        <v>166.8</v>
      </c>
      <c r="N42">
        <v>167.2</v>
      </c>
      <c r="O42">
        <v>168.2</v>
      </c>
      <c r="P42">
        <v>169.8</v>
      </c>
      <c r="Q42">
        <v>172.2</v>
      </c>
      <c r="R42">
        <v>174.7</v>
      </c>
      <c r="S42">
        <v>178</v>
      </c>
      <c r="T42">
        <v>181.4</v>
      </c>
      <c r="U42">
        <v>183.5</v>
      </c>
      <c r="V42">
        <v>186.3</v>
      </c>
      <c r="W42">
        <v>189.7</v>
      </c>
      <c r="X42">
        <v>193.6</v>
      </c>
      <c r="Y42">
        <v>196.4</v>
      </c>
      <c r="Z42">
        <v>198.8</v>
      </c>
      <c r="AA42">
        <v>200.5</v>
      </c>
      <c r="AB42">
        <v>204.3</v>
      </c>
      <c r="AC42">
        <v>204.8</v>
      </c>
      <c r="AD42">
        <v>204.8</v>
      </c>
    </row>
    <row r="43" spans="1:30" x14ac:dyDescent="0.3">
      <c r="A43" s="84" t="s">
        <v>13</v>
      </c>
      <c r="B43" s="36">
        <f t="shared" si="1"/>
        <v>0.63631092388519994</v>
      </c>
      <c r="C43" s="46">
        <v>143.30000000000001</v>
      </c>
      <c r="D43">
        <v>145.9</v>
      </c>
      <c r="E43">
        <v>149.19999999999999</v>
      </c>
      <c r="F43">
        <v>150.69999999999999</v>
      </c>
      <c r="G43">
        <v>151.5</v>
      </c>
      <c r="H43">
        <v>152</v>
      </c>
      <c r="I43">
        <v>152.30000000000001</v>
      </c>
      <c r="J43">
        <v>153.4</v>
      </c>
      <c r="K43">
        <v>154.80000000000001</v>
      </c>
      <c r="L43">
        <v>154.80000000000001</v>
      </c>
      <c r="M43">
        <v>155.4</v>
      </c>
      <c r="N43">
        <v>156.1</v>
      </c>
      <c r="O43">
        <v>156.5</v>
      </c>
      <c r="P43">
        <v>156.6</v>
      </c>
      <c r="Q43">
        <v>156.69999999999999</v>
      </c>
      <c r="R43">
        <v>157.1</v>
      </c>
      <c r="S43">
        <v>157.5</v>
      </c>
      <c r="T43">
        <v>158.5</v>
      </c>
      <c r="U43">
        <v>159.1</v>
      </c>
      <c r="V43">
        <v>159.80000000000001</v>
      </c>
      <c r="W43">
        <v>160.5</v>
      </c>
      <c r="X43">
        <v>161.1</v>
      </c>
      <c r="Y43">
        <v>161.6</v>
      </c>
      <c r="Z43">
        <v>162.1</v>
      </c>
      <c r="AA43">
        <v>162.80000000000001</v>
      </c>
      <c r="AB43">
        <v>163.69999999999999</v>
      </c>
      <c r="AC43">
        <v>164.9</v>
      </c>
      <c r="AD43">
        <v>164.9</v>
      </c>
    </row>
    <row r="44" spans="1:30" x14ac:dyDescent="0.3">
      <c r="A44" s="84" t="s">
        <v>14</v>
      </c>
      <c r="B44" s="36">
        <f t="shared" si="1"/>
        <v>0.6045659259420878</v>
      </c>
      <c r="C44" s="46">
        <v>166.1</v>
      </c>
      <c r="D44">
        <v>167.2</v>
      </c>
      <c r="E44">
        <v>169.4</v>
      </c>
      <c r="F44">
        <v>170.3</v>
      </c>
      <c r="G44">
        <v>171.4</v>
      </c>
      <c r="H44">
        <v>171.1</v>
      </c>
      <c r="I44">
        <v>173.3</v>
      </c>
      <c r="J44">
        <v>173.5</v>
      </c>
      <c r="K44">
        <v>175.1</v>
      </c>
      <c r="L44">
        <v>175.1</v>
      </c>
      <c r="M44">
        <v>175.9</v>
      </c>
      <c r="N44">
        <v>176.8</v>
      </c>
      <c r="O44">
        <v>178.2</v>
      </c>
      <c r="P44">
        <v>179</v>
      </c>
      <c r="Q44">
        <v>180</v>
      </c>
      <c r="R44">
        <v>181.5</v>
      </c>
      <c r="S44">
        <v>183.3</v>
      </c>
      <c r="T44">
        <v>184.9</v>
      </c>
      <c r="U44">
        <v>186.3</v>
      </c>
      <c r="V44">
        <v>187.7</v>
      </c>
      <c r="W44">
        <v>188.9</v>
      </c>
      <c r="X44">
        <v>190.4</v>
      </c>
      <c r="Y44">
        <v>191.5</v>
      </c>
      <c r="Z44">
        <v>192.4</v>
      </c>
      <c r="AA44">
        <v>193.3</v>
      </c>
      <c r="AB44">
        <v>194.3</v>
      </c>
      <c r="AC44">
        <v>196.6</v>
      </c>
      <c r="AD44">
        <v>196.6</v>
      </c>
    </row>
    <row r="45" spans="1:30" x14ac:dyDescent="0.3">
      <c r="A45" s="84" t="s">
        <v>15</v>
      </c>
      <c r="B45" s="36">
        <f t="shared" si="1"/>
        <v>0.66292128501185998</v>
      </c>
      <c r="C45" s="46">
        <v>167</v>
      </c>
      <c r="D45">
        <v>163.4</v>
      </c>
      <c r="E45">
        <v>160.80000000000001</v>
      </c>
      <c r="F45">
        <v>160.4</v>
      </c>
      <c r="G45">
        <v>162</v>
      </c>
      <c r="H45">
        <v>164.2</v>
      </c>
      <c r="I45">
        <v>166.2</v>
      </c>
      <c r="J45">
        <v>167.9</v>
      </c>
      <c r="K45">
        <v>167.3</v>
      </c>
      <c r="L45">
        <v>167.3</v>
      </c>
      <c r="M45">
        <v>171.5</v>
      </c>
      <c r="N45">
        <v>173.5</v>
      </c>
      <c r="O45">
        <v>172.2</v>
      </c>
      <c r="P45">
        <v>170.3</v>
      </c>
      <c r="Q45">
        <v>170.2</v>
      </c>
      <c r="R45">
        <v>171.5</v>
      </c>
      <c r="S45">
        <v>174.5</v>
      </c>
      <c r="T45">
        <v>177.5</v>
      </c>
      <c r="U45">
        <v>179.3</v>
      </c>
      <c r="V45">
        <v>179.4</v>
      </c>
      <c r="W45">
        <v>180.4</v>
      </c>
      <c r="X45">
        <v>181.8</v>
      </c>
      <c r="Y45">
        <v>183.3</v>
      </c>
      <c r="Z45">
        <v>181.3</v>
      </c>
      <c r="AA45">
        <v>178.6</v>
      </c>
      <c r="AB45">
        <v>179.5</v>
      </c>
      <c r="AC45">
        <v>180.7</v>
      </c>
      <c r="AD45">
        <v>180.8</v>
      </c>
    </row>
    <row r="46" spans="1:30" x14ac:dyDescent="0.3">
      <c r="A46" s="84" t="s">
        <v>16</v>
      </c>
      <c r="B46" s="36">
        <f t="shared" si="1"/>
        <v>0.51662928020361143</v>
      </c>
      <c r="C46" s="46">
        <v>190.2</v>
      </c>
      <c r="D46">
        <v>191.8</v>
      </c>
      <c r="E46">
        <v>193.3</v>
      </c>
      <c r="F46">
        <v>193.5</v>
      </c>
      <c r="G46">
        <v>194.4</v>
      </c>
      <c r="H46">
        <v>198.2</v>
      </c>
      <c r="I46">
        <v>195.6</v>
      </c>
      <c r="J46">
        <v>195.5</v>
      </c>
      <c r="K46">
        <v>196.5</v>
      </c>
      <c r="L46">
        <v>196.5</v>
      </c>
      <c r="M46">
        <v>197</v>
      </c>
      <c r="N46">
        <v>197</v>
      </c>
      <c r="O46">
        <v>196.8</v>
      </c>
      <c r="P46">
        <v>196.4</v>
      </c>
      <c r="Q46">
        <v>196.5</v>
      </c>
      <c r="R46">
        <v>197.5</v>
      </c>
      <c r="S46">
        <v>197.1</v>
      </c>
      <c r="T46">
        <v>197.5</v>
      </c>
      <c r="U46">
        <v>198.3</v>
      </c>
      <c r="V46">
        <v>198.6</v>
      </c>
      <c r="W46">
        <v>198.7</v>
      </c>
      <c r="X46">
        <v>199.7</v>
      </c>
      <c r="Y46">
        <v>200.1</v>
      </c>
      <c r="Z46">
        <v>200.6</v>
      </c>
      <c r="AA46">
        <v>201.1</v>
      </c>
      <c r="AB46">
        <v>201.6</v>
      </c>
      <c r="AC46">
        <v>202.7</v>
      </c>
      <c r="AD46">
        <v>202.7</v>
      </c>
    </row>
    <row r="47" spans="1:30" x14ac:dyDescent="0.3">
      <c r="A47" s="84" t="s">
        <v>17</v>
      </c>
      <c r="B47" s="36">
        <f t="shared" si="1"/>
        <v>0.63047318002154951</v>
      </c>
      <c r="C47" s="46">
        <v>151.9</v>
      </c>
      <c r="D47">
        <v>152.5</v>
      </c>
      <c r="E47">
        <v>154.19999999999999</v>
      </c>
      <c r="F47">
        <v>155.1</v>
      </c>
      <c r="G47">
        <v>155.9</v>
      </c>
      <c r="H47">
        <v>156.5</v>
      </c>
      <c r="I47">
        <v>157.30000000000001</v>
      </c>
      <c r="J47">
        <v>157.9</v>
      </c>
      <c r="K47">
        <v>159.80000000000001</v>
      </c>
      <c r="L47">
        <v>159.80000000000001</v>
      </c>
      <c r="M47">
        <v>160.80000000000001</v>
      </c>
      <c r="N47">
        <v>162.30000000000001</v>
      </c>
      <c r="O47">
        <v>163.30000000000001</v>
      </c>
      <c r="P47">
        <v>164.7</v>
      </c>
      <c r="Q47">
        <v>165.7</v>
      </c>
      <c r="R47">
        <v>167.1</v>
      </c>
      <c r="S47">
        <v>168.4</v>
      </c>
      <c r="T47">
        <v>170</v>
      </c>
      <c r="U47">
        <v>171.6</v>
      </c>
      <c r="V47">
        <v>172.7</v>
      </c>
      <c r="W47">
        <v>173.7</v>
      </c>
      <c r="X47">
        <v>175</v>
      </c>
      <c r="Y47">
        <v>175.5</v>
      </c>
      <c r="Z47">
        <v>176.7</v>
      </c>
      <c r="AA47">
        <v>177.7</v>
      </c>
      <c r="AB47">
        <v>178.7</v>
      </c>
      <c r="AC47">
        <v>180.3</v>
      </c>
      <c r="AD47">
        <v>180.2</v>
      </c>
    </row>
    <row r="48" spans="1:30" x14ac:dyDescent="0.3">
      <c r="A48" s="84" t="s">
        <v>18</v>
      </c>
      <c r="B48" s="36">
        <f t="shared" si="1"/>
        <v>0.62511944066637037</v>
      </c>
      <c r="C48" s="46">
        <v>136.69999999999999</v>
      </c>
      <c r="D48">
        <v>137.30000000000001</v>
      </c>
      <c r="E48">
        <v>138.19999999999999</v>
      </c>
      <c r="F48">
        <v>138.69999999999999</v>
      </c>
      <c r="G48">
        <v>139.30000000000001</v>
      </c>
      <c r="H48">
        <v>140.19999999999999</v>
      </c>
      <c r="I48">
        <v>140.5</v>
      </c>
      <c r="J48">
        <v>141.9</v>
      </c>
      <c r="K48">
        <v>143.6</v>
      </c>
      <c r="L48">
        <v>143.6</v>
      </c>
      <c r="M48">
        <v>144.4</v>
      </c>
      <c r="N48">
        <v>145.30000000000001</v>
      </c>
      <c r="O48">
        <v>146.69999999999999</v>
      </c>
      <c r="P48">
        <v>148.5</v>
      </c>
      <c r="Q48">
        <v>150.4</v>
      </c>
      <c r="R48">
        <v>152.6</v>
      </c>
      <c r="S48">
        <v>154.5</v>
      </c>
      <c r="T48">
        <v>155.9</v>
      </c>
      <c r="U48">
        <v>157.4</v>
      </c>
      <c r="V48">
        <v>158.69999999999999</v>
      </c>
      <c r="W48">
        <v>160</v>
      </c>
      <c r="X48">
        <v>161.69999999999999</v>
      </c>
      <c r="Y48">
        <v>162.6</v>
      </c>
      <c r="Z48">
        <v>163.5</v>
      </c>
      <c r="AA48">
        <v>164.5</v>
      </c>
      <c r="AB48">
        <v>165.3</v>
      </c>
      <c r="AC48">
        <v>167</v>
      </c>
      <c r="AD48">
        <v>167</v>
      </c>
    </row>
    <row r="49" spans="1:30" x14ac:dyDescent="0.3">
      <c r="A49" s="84" t="s">
        <v>19</v>
      </c>
      <c r="B49" s="36">
        <f t="shared" si="1"/>
        <v>0.6297392061429159</v>
      </c>
      <c r="C49" s="46">
        <v>149.6</v>
      </c>
      <c r="D49">
        <v>150.19999999999999</v>
      </c>
      <c r="E49">
        <v>151.80000000000001</v>
      </c>
      <c r="F49">
        <v>152.6</v>
      </c>
      <c r="G49">
        <v>153.4</v>
      </c>
      <c r="H49">
        <v>154.1</v>
      </c>
      <c r="I49">
        <v>154.80000000000001</v>
      </c>
      <c r="J49">
        <v>155.5</v>
      </c>
      <c r="K49">
        <v>157.30000000000001</v>
      </c>
      <c r="L49">
        <v>157.4</v>
      </c>
      <c r="M49">
        <v>158.30000000000001</v>
      </c>
      <c r="N49">
        <v>159.69999999999999</v>
      </c>
      <c r="O49">
        <v>160.69999999999999</v>
      </c>
      <c r="P49">
        <v>162.19999999999999</v>
      </c>
      <c r="Q49">
        <v>163.4</v>
      </c>
      <c r="R49">
        <v>164.9</v>
      </c>
      <c r="S49">
        <v>166.3</v>
      </c>
      <c r="T49">
        <v>167.8</v>
      </c>
      <c r="U49">
        <v>169.4</v>
      </c>
      <c r="V49">
        <v>170.6</v>
      </c>
      <c r="W49">
        <v>171.6</v>
      </c>
      <c r="X49">
        <v>173</v>
      </c>
      <c r="Y49">
        <v>173.6</v>
      </c>
      <c r="Z49">
        <v>174.7</v>
      </c>
      <c r="AA49">
        <v>175.7</v>
      </c>
      <c r="AB49">
        <v>176.6</v>
      </c>
      <c r="AC49">
        <v>178.2</v>
      </c>
      <c r="AD49">
        <v>178.2</v>
      </c>
    </row>
    <row r="50" spans="1:30" x14ac:dyDescent="0.3">
      <c r="A50" s="84" t="s">
        <v>20</v>
      </c>
      <c r="B50" s="36">
        <f t="shared" si="1"/>
        <v>0.58062889672893769</v>
      </c>
      <c r="C50" s="46">
        <v>158.4</v>
      </c>
      <c r="D50">
        <v>157.69999999999999</v>
      </c>
      <c r="E50">
        <v>159.80000000000001</v>
      </c>
      <c r="F50">
        <v>159.9</v>
      </c>
      <c r="G50">
        <v>161.4</v>
      </c>
      <c r="H50">
        <v>161.6</v>
      </c>
      <c r="I50">
        <v>160.5</v>
      </c>
      <c r="J50">
        <v>161.5</v>
      </c>
      <c r="K50">
        <v>162.1</v>
      </c>
      <c r="L50">
        <v>162.1</v>
      </c>
      <c r="M50">
        <v>163.6</v>
      </c>
      <c r="N50">
        <v>164.2</v>
      </c>
      <c r="O50">
        <v>163.4</v>
      </c>
      <c r="P50">
        <v>164.5</v>
      </c>
      <c r="Q50">
        <v>165.5</v>
      </c>
      <c r="R50">
        <v>165.3</v>
      </c>
      <c r="S50">
        <v>167</v>
      </c>
      <c r="T50">
        <v>167.5</v>
      </c>
      <c r="U50">
        <v>166.8</v>
      </c>
      <c r="V50">
        <v>167.8</v>
      </c>
      <c r="W50">
        <v>169</v>
      </c>
      <c r="X50">
        <v>169.5</v>
      </c>
      <c r="Y50">
        <v>171.2</v>
      </c>
      <c r="Z50">
        <v>171.8</v>
      </c>
      <c r="AA50">
        <v>170.7</v>
      </c>
      <c r="AB50">
        <v>172.1</v>
      </c>
      <c r="AC50">
        <v>173.5</v>
      </c>
      <c r="AD50">
        <v>173.5</v>
      </c>
    </row>
    <row r="51" spans="1:30" x14ac:dyDescent="0.3">
      <c r="A51" s="84" t="s">
        <v>21</v>
      </c>
      <c r="B51" s="36">
        <f t="shared" si="1"/>
        <v>0.67775791569405985</v>
      </c>
      <c r="C51" s="46">
        <v>137.9</v>
      </c>
      <c r="D51">
        <v>142.9</v>
      </c>
      <c r="E51">
        <v>149.1</v>
      </c>
      <c r="F51">
        <v>154.80000000000001</v>
      </c>
      <c r="G51">
        <v>154.9</v>
      </c>
      <c r="H51">
        <v>155.5</v>
      </c>
      <c r="I51">
        <v>156.1</v>
      </c>
      <c r="J51">
        <v>157.69999999999999</v>
      </c>
      <c r="K51">
        <v>160.69999999999999</v>
      </c>
      <c r="L51">
        <v>160.80000000000001</v>
      </c>
      <c r="M51">
        <v>162.19999999999999</v>
      </c>
      <c r="N51">
        <v>161.6</v>
      </c>
      <c r="O51">
        <v>161.69999999999999</v>
      </c>
      <c r="P51">
        <v>161.6</v>
      </c>
      <c r="Q51">
        <v>163</v>
      </c>
      <c r="R51">
        <v>164.5</v>
      </c>
      <c r="S51">
        <v>170.5</v>
      </c>
      <c r="T51">
        <v>173.5</v>
      </c>
      <c r="U51">
        <v>174.9</v>
      </c>
      <c r="V51">
        <v>179.5</v>
      </c>
      <c r="W51">
        <v>178.4</v>
      </c>
      <c r="X51">
        <v>179.2</v>
      </c>
      <c r="Y51">
        <v>180</v>
      </c>
      <c r="Z51">
        <v>180.3</v>
      </c>
      <c r="AA51">
        <v>180.6</v>
      </c>
      <c r="AB51">
        <v>180.1</v>
      </c>
      <c r="AC51">
        <v>182.8</v>
      </c>
      <c r="AD51">
        <v>182.6</v>
      </c>
    </row>
    <row r="52" spans="1:30" x14ac:dyDescent="0.3">
      <c r="A52" s="84" t="s">
        <v>22</v>
      </c>
      <c r="B52" s="36">
        <f t="shared" si="1"/>
        <v>0.64310445256939597</v>
      </c>
      <c r="C52" s="46">
        <v>145.5</v>
      </c>
      <c r="D52">
        <v>145.69999999999999</v>
      </c>
      <c r="E52">
        <v>146.5</v>
      </c>
      <c r="F52">
        <v>147.19999999999999</v>
      </c>
      <c r="G52">
        <v>147.6</v>
      </c>
      <c r="H52">
        <v>150.1</v>
      </c>
      <c r="I52">
        <v>149.80000000000001</v>
      </c>
      <c r="J52">
        <v>150.69999999999999</v>
      </c>
      <c r="K52">
        <v>153.19999999999999</v>
      </c>
      <c r="L52">
        <v>153.30000000000001</v>
      </c>
      <c r="M52">
        <v>154.30000000000001</v>
      </c>
      <c r="N52">
        <v>155.19999999999999</v>
      </c>
      <c r="O52">
        <v>156</v>
      </c>
      <c r="P52">
        <v>156.80000000000001</v>
      </c>
      <c r="Q52">
        <v>157.4</v>
      </c>
      <c r="R52">
        <v>158.6</v>
      </c>
      <c r="S52">
        <v>159.80000000000001</v>
      </c>
      <c r="T52">
        <v>161.1</v>
      </c>
      <c r="U52">
        <v>162.1</v>
      </c>
      <c r="V52">
        <v>163.1</v>
      </c>
      <c r="W52">
        <v>164.2</v>
      </c>
      <c r="X52">
        <v>165</v>
      </c>
      <c r="Y52">
        <v>166</v>
      </c>
      <c r="Z52">
        <v>166.9</v>
      </c>
      <c r="AA52">
        <v>167.3</v>
      </c>
      <c r="AB52">
        <v>168</v>
      </c>
      <c r="AC52">
        <v>169.2</v>
      </c>
      <c r="AD52">
        <v>169.2</v>
      </c>
    </row>
    <row r="53" spans="1:30" x14ac:dyDescent="0.3">
      <c r="A53" s="84" t="s">
        <v>23</v>
      </c>
      <c r="B53" s="36">
        <f t="shared" si="1"/>
        <v>0.61059624034684268</v>
      </c>
      <c r="C53" s="46">
        <v>152.9</v>
      </c>
      <c r="D53">
        <v>154.1</v>
      </c>
      <c r="E53">
        <v>156.30000000000001</v>
      </c>
      <c r="F53">
        <v>156.9</v>
      </c>
      <c r="G53">
        <v>157.5</v>
      </c>
      <c r="H53">
        <v>160.4</v>
      </c>
      <c r="I53">
        <v>160.80000000000001</v>
      </c>
      <c r="J53">
        <v>161.5</v>
      </c>
      <c r="K53">
        <v>162.80000000000001</v>
      </c>
      <c r="L53">
        <v>162.80000000000001</v>
      </c>
      <c r="M53">
        <v>163.5</v>
      </c>
      <c r="N53">
        <v>164.2</v>
      </c>
      <c r="O53">
        <v>165.1</v>
      </c>
      <c r="P53">
        <v>166.1</v>
      </c>
      <c r="Q53">
        <v>167.2</v>
      </c>
      <c r="R53">
        <v>168.2</v>
      </c>
      <c r="S53">
        <v>169</v>
      </c>
      <c r="T53">
        <v>170.1</v>
      </c>
      <c r="U53">
        <v>170.9</v>
      </c>
      <c r="V53">
        <v>171.7</v>
      </c>
      <c r="W53">
        <v>172.6</v>
      </c>
      <c r="X53">
        <v>173.8</v>
      </c>
      <c r="Y53">
        <v>174.7</v>
      </c>
      <c r="Z53">
        <v>175.8</v>
      </c>
      <c r="AA53">
        <v>177.2</v>
      </c>
      <c r="AB53">
        <v>178.5</v>
      </c>
      <c r="AC53">
        <v>180.8</v>
      </c>
      <c r="AD53">
        <v>180.8</v>
      </c>
    </row>
    <row r="54" spans="1:30" s="92" customFormat="1" x14ac:dyDescent="0.3">
      <c r="A54" s="2" t="s">
        <v>24</v>
      </c>
      <c r="B54" s="90">
        <f t="shared" si="1"/>
        <v>0.77513292490113261</v>
      </c>
      <c r="C54" s="92">
        <v>135.5</v>
      </c>
      <c r="D54" s="92">
        <v>136.9</v>
      </c>
      <c r="E54" s="92">
        <v>140.5</v>
      </c>
      <c r="F54" s="92">
        <v>141.69999999999999</v>
      </c>
      <c r="G54" s="92">
        <v>142.1</v>
      </c>
      <c r="H54" s="92">
        <v>145</v>
      </c>
      <c r="I54" s="92">
        <v>147.5</v>
      </c>
      <c r="J54" s="92">
        <v>149.5</v>
      </c>
      <c r="K54" s="92">
        <v>150.4</v>
      </c>
      <c r="L54" s="92">
        <v>150.5</v>
      </c>
      <c r="M54" s="92">
        <v>152.19999999999999</v>
      </c>
      <c r="N54" s="92">
        <v>151.19999999999999</v>
      </c>
      <c r="O54" s="92">
        <v>151.80000000000001</v>
      </c>
      <c r="P54" s="92">
        <v>152.69999999999999</v>
      </c>
      <c r="Q54" s="92">
        <v>153.1</v>
      </c>
      <c r="R54" s="92">
        <v>154.19999999999999</v>
      </c>
      <c r="S54" s="92">
        <v>159.30000000000001</v>
      </c>
      <c r="T54" s="92">
        <v>159.4</v>
      </c>
      <c r="U54" s="92">
        <v>157.19999999999999</v>
      </c>
      <c r="V54" s="92">
        <v>157.4</v>
      </c>
      <c r="W54" s="92">
        <v>157.69999999999999</v>
      </c>
      <c r="X54" s="92">
        <v>158.19999999999999</v>
      </c>
      <c r="Y54" s="92">
        <v>158.80000000000001</v>
      </c>
      <c r="Z54" s="92">
        <v>158.9</v>
      </c>
      <c r="AA54" s="92">
        <v>159.4</v>
      </c>
      <c r="AB54" s="92">
        <v>159.5</v>
      </c>
      <c r="AC54" s="92">
        <v>159.80000000000001</v>
      </c>
      <c r="AD54" s="92">
        <v>159.80000000000001</v>
      </c>
    </row>
    <row r="55" spans="1:30" x14ac:dyDescent="0.3">
      <c r="A55" s="84" t="s">
        <v>25</v>
      </c>
      <c r="B55" s="36">
        <f t="shared" si="1"/>
        <v>0.71873386772611114</v>
      </c>
      <c r="C55" s="46">
        <v>144.30000000000001</v>
      </c>
      <c r="D55">
        <v>145.4</v>
      </c>
      <c r="E55">
        <v>147.30000000000001</v>
      </c>
      <c r="F55">
        <v>148.6</v>
      </c>
      <c r="G55">
        <v>149.1</v>
      </c>
      <c r="H55">
        <v>152.6</v>
      </c>
      <c r="I55">
        <v>150.69999999999999</v>
      </c>
      <c r="J55">
        <v>151.19999999999999</v>
      </c>
      <c r="K55">
        <v>153.69999999999999</v>
      </c>
      <c r="L55">
        <v>153.9</v>
      </c>
      <c r="M55">
        <v>155.1</v>
      </c>
      <c r="N55">
        <v>156.69999999999999</v>
      </c>
      <c r="O55">
        <v>157.6</v>
      </c>
      <c r="P55">
        <v>158.4</v>
      </c>
      <c r="Q55">
        <v>159.5</v>
      </c>
      <c r="R55">
        <v>160.80000000000001</v>
      </c>
      <c r="S55">
        <v>162.19999999999999</v>
      </c>
      <c r="T55">
        <v>163.19999999999999</v>
      </c>
      <c r="U55">
        <v>164.1</v>
      </c>
      <c r="V55">
        <v>164.6</v>
      </c>
      <c r="W55">
        <v>165.1</v>
      </c>
      <c r="X55">
        <v>165.8</v>
      </c>
      <c r="Y55">
        <v>166.3</v>
      </c>
      <c r="Z55">
        <v>166.7</v>
      </c>
      <c r="AA55">
        <v>167.1</v>
      </c>
      <c r="AB55">
        <v>167.8</v>
      </c>
      <c r="AC55">
        <v>168.4</v>
      </c>
      <c r="AD55">
        <v>168.4</v>
      </c>
    </row>
    <row r="56" spans="1:30" x14ac:dyDescent="0.3">
      <c r="A56" s="84" t="s">
        <v>26</v>
      </c>
      <c r="B56" s="36">
        <f t="shared" si="1"/>
        <v>0.55289867008780058</v>
      </c>
      <c r="C56" s="46">
        <v>156.9</v>
      </c>
      <c r="D56">
        <v>156.1</v>
      </c>
      <c r="E56">
        <v>156.6</v>
      </c>
      <c r="F56">
        <v>157.6</v>
      </c>
      <c r="G56">
        <v>157.6</v>
      </c>
      <c r="H56">
        <v>156.6</v>
      </c>
      <c r="I56">
        <v>158.1</v>
      </c>
      <c r="J56">
        <v>160.30000000000001</v>
      </c>
      <c r="K56">
        <v>160.4</v>
      </c>
      <c r="L56">
        <v>160.30000000000001</v>
      </c>
      <c r="M56">
        <v>160.30000000000001</v>
      </c>
      <c r="N56">
        <v>160.80000000000001</v>
      </c>
      <c r="O56">
        <v>160.6</v>
      </c>
      <c r="P56">
        <v>161</v>
      </c>
      <c r="Q56">
        <v>162</v>
      </c>
      <c r="R56">
        <v>162.69999999999999</v>
      </c>
      <c r="S56">
        <v>164</v>
      </c>
      <c r="T56">
        <v>165.2</v>
      </c>
      <c r="U56">
        <v>166.5</v>
      </c>
      <c r="V56">
        <v>169.1</v>
      </c>
      <c r="W56">
        <v>169.9</v>
      </c>
      <c r="X56">
        <v>170.9</v>
      </c>
      <c r="Y56">
        <v>171.2</v>
      </c>
      <c r="Z56">
        <v>171.5</v>
      </c>
      <c r="AA56">
        <v>171.8</v>
      </c>
      <c r="AB56">
        <v>171.8</v>
      </c>
      <c r="AC56">
        <v>172.5</v>
      </c>
      <c r="AD56">
        <v>172.5</v>
      </c>
    </row>
    <row r="57" spans="1:30" x14ac:dyDescent="0.3">
      <c r="A57" s="84" t="s">
        <v>27</v>
      </c>
      <c r="B57" s="36">
        <f t="shared" si="1"/>
        <v>0.51822764594974002</v>
      </c>
      <c r="C57" s="46">
        <v>157.9</v>
      </c>
      <c r="D57">
        <v>157.69999999999999</v>
      </c>
      <c r="E57">
        <v>156.69999999999999</v>
      </c>
      <c r="F57">
        <v>154.9</v>
      </c>
      <c r="G57">
        <v>156.6</v>
      </c>
      <c r="H57">
        <v>157.5</v>
      </c>
      <c r="I57">
        <v>158</v>
      </c>
      <c r="J57">
        <v>159.6</v>
      </c>
      <c r="K57">
        <v>159.6</v>
      </c>
      <c r="L57">
        <v>159.6</v>
      </c>
      <c r="M57">
        <v>160.30000000000001</v>
      </c>
      <c r="N57">
        <v>161.80000000000001</v>
      </c>
      <c r="O57">
        <v>162.4</v>
      </c>
      <c r="P57">
        <v>162.80000000000001</v>
      </c>
      <c r="Q57">
        <v>164.2</v>
      </c>
      <c r="R57">
        <v>166.8</v>
      </c>
      <c r="S57">
        <v>168.4</v>
      </c>
      <c r="T57">
        <v>168.2</v>
      </c>
      <c r="U57">
        <v>169.2</v>
      </c>
      <c r="V57">
        <v>169.8</v>
      </c>
      <c r="W57">
        <v>171.4</v>
      </c>
      <c r="X57">
        <v>171.1</v>
      </c>
      <c r="Y57">
        <v>172.3</v>
      </c>
      <c r="Z57">
        <v>173.8</v>
      </c>
      <c r="AA57">
        <v>176</v>
      </c>
      <c r="AB57">
        <v>178.8</v>
      </c>
      <c r="AC57">
        <v>181.4</v>
      </c>
      <c r="AD57">
        <v>181.5</v>
      </c>
    </row>
    <row r="58" spans="1:30" x14ac:dyDescent="0.3">
      <c r="A58" s="84" t="s">
        <v>28</v>
      </c>
      <c r="B58" s="36">
        <f t="shared" si="1"/>
        <v>0.67538378623011908</v>
      </c>
      <c r="C58" s="46">
        <v>146.9</v>
      </c>
      <c r="D58">
        <v>147.6</v>
      </c>
      <c r="E58">
        <v>149.30000000000001</v>
      </c>
      <c r="F58">
        <v>150</v>
      </c>
      <c r="G58">
        <v>150.5</v>
      </c>
      <c r="H58">
        <v>152.30000000000001</v>
      </c>
      <c r="I58">
        <v>153.4</v>
      </c>
      <c r="J58">
        <v>155</v>
      </c>
      <c r="K58">
        <v>156</v>
      </c>
      <c r="L58">
        <v>156</v>
      </c>
      <c r="M58">
        <v>157</v>
      </c>
      <c r="N58">
        <v>157.30000000000001</v>
      </c>
      <c r="O58">
        <v>157.80000000000001</v>
      </c>
      <c r="P58">
        <v>158.6</v>
      </c>
      <c r="Q58">
        <v>159.4</v>
      </c>
      <c r="R58">
        <v>160.6</v>
      </c>
      <c r="S58">
        <v>163.1</v>
      </c>
      <c r="T58">
        <v>163.80000000000001</v>
      </c>
      <c r="U58">
        <v>163.80000000000001</v>
      </c>
      <c r="V58">
        <v>164.7</v>
      </c>
      <c r="W58">
        <v>165.4</v>
      </c>
      <c r="X58">
        <v>166.1</v>
      </c>
      <c r="Y58">
        <v>166.8</v>
      </c>
      <c r="Z58">
        <v>167.4</v>
      </c>
      <c r="AA58">
        <v>168.2</v>
      </c>
      <c r="AB58">
        <v>168.9</v>
      </c>
      <c r="AC58">
        <v>170</v>
      </c>
      <c r="AD58">
        <v>170</v>
      </c>
    </row>
    <row r="60" spans="1:30" ht="18" x14ac:dyDescent="0.35">
      <c r="A60" s="89" t="s">
        <v>82</v>
      </c>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row>
    <row r="61" spans="1:30" x14ac:dyDescent="0.3">
      <c r="A61" s="84" t="s">
        <v>3</v>
      </c>
      <c r="B61" s="36">
        <f t="shared" ref="B61:B86" si="2">CORREL(C61:AD61,$C$2:$AD$2)</f>
        <v>0.35389028599603395</v>
      </c>
      <c r="C61" s="46" cm="1">
        <f t="array" ref="C61:AD86">TRANSPOSE('Rural + Urban'!D96:AC123)</f>
        <v>146</v>
      </c>
      <c r="D61">
        <v>144.9</v>
      </c>
      <c r="E61">
        <v>144.30000000000001</v>
      </c>
      <c r="F61">
        <v>144.1</v>
      </c>
      <c r="G61">
        <v>144.30000000000001</v>
      </c>
      <c r="H61">
        <v>146.30000000000001</v>
      </c>
      <c r="I61">
        <v>146.69999999999999</v>
      </c>
      <c r="J61">
        <v>146.4</v>
      </c>
      <c r="K61">
        <v>146.6</v>
      </c>
      <c r="L61">
        <v>146.6</v>
      </c>
      <c r="M61">
        <v>147.4</v>
      </c>
      <c r="N61">
        <v>148.19999999999999</v>
      </c>
      <c r="O61">
        <v>148.69999999999999</v>
      </c>
      <c r="P61">
        <v>149.5</v>
      </c>
      <c r="Q61">
        <v>150</v>
      </c>
      <c r="R61">
        <v>151.30000000000001</v>
      </c>
      <c r="S61">
        <v>152.9</v>
      </c>
      <c r="T61">
        <v>154.1</v>
      </c>
      <c r="U61">
        <v>155</v>
      </c>
      <c r="V61">
        <v>156.5</v>
      </c>
      <c r="W61">
        <v>160.30000000000001</v>
      </c>
      <c r="X61">
        <v>163.5</v>
      </c>
      <c r="Y61">
        <v>165.2</v>
      </c>
      <c r="Z61">
        <v>167.4</v>
      </c>
      <c r="AA61">
        <v>169.2</v>
      </c>
      <c r="AB61">
        <v>173.8</v>
      </c>
      <c r="AC61">
        <v>174.4</v>
      </c>
      <c r="AD61">
        <v>174.4</v>
      </c>
    </row>
    <row r="62" spans="1:30" s="92" customFormat="1" x14ac:dyDescent="0.3">
      <c r="A62" s="2" t="s">
        <v>4</v>
      </c>
      <c r="B62" s="90">
        <f t="shared" si="2"/>
        <v>0.83597015023815224</v>
      </c>
      <c r="C62" s="92">
        <v>191</v>
      </c>
      <c r="D62" s="92">
        <v>190.1</v>
      </c>
      <c r="E62" s="92">
        <v>186.5</v>
      </c>
      <c r="F62" s="92">
        <v>192.2</v>
      </c>
      <c r="G62" s="92">
        <v>198</v>
      </c>
      <c r="H62" s="92">
        <v>200.5</v>
      </c>
      <c r="I62" s="92">
        <v>202</v>
      </c>
      <c r="J62" s="92">
        <v>206.8</v>
      </c>
      <c r="K62" s="92">
        <v>204</v>
      </c>
      <c r="L62" s="92">
        <v>204</v>
      </c>
      <c r="M62" s="92">
        <v>204.6</v>
      </c>
      <c r="N62" s="92">
        <v>201.6</v>
      </c>
      <c r="O62" s="92">
        <v>198.8</v>
      </c>
      <c r="P62" s="92">
        <v>198.7</v>
      </c>
      <c r="Q62" s="92">
        <v>200.6</v>
      </c>
      <c r="R62" s="92">
        <v>210.7</v>
      </c>
      <c r="S62" s="92">
        <v>211.8</v>
      </c>
      <c r="T62" s="92">
        <v>217</v>
      </c>
      <c r="U62" s="92">
        <v>219.4</v>
      </c>
      <c r="V62" s="92">
        <v>213</v>
      </c>
      <c r="W62" s="92">
        <v>206.5</v>
      </c>
      <c r="X62" s="92">
        <v>209.2</v>
      </c>
      <c r="Y62" s="92">
        <v>210.9</v>
      </c>
      <c r="Z62" s="92">
        <v>209.4</v>
      </c>
      <c r="AA62" s="92">
        <v>209</v>
      </c>
      <c r="AB62" s="92">
        <v>210.7</v>
      </c>
      <c r="AC62" s="92">
        <v>207.7</v>
      </c>
      <c r="AD62" s="92">
        <v>207.7</v>
      </c>
    </row>
    <row r="63" spans="1:30" x14ac:dyDescent="0.3">
      <c r="A63" s="84" t="s">
        <v>5</v>
      </c>
      <c r="B63" s="36">
        <f t="shared" si="2"/>
        <v>-0.1891297726867005</v>
      </c>
      <c r="C63" s="46">
        <v>175.3</v>
      </c>
      <c r="D63">
        <v>175.3</v>
      </c>
      <c r="E63">
        <v>168.7</v>
      </c>
      <c r="F63">
        <v>163.80000000000001</v>
      </c>
      <c r="G63">
        <v>164.6</v>
      </c>
      <c r="H63">
        <v>170.3</v>
      </c>
      <c r="I63">
        <v>180.7</v>
      </c>
      <c r="J63">
        <v>182.2</v>
      </c>
      <c r="K63">
        <v>172.8</v>
      </c>
      <c r="L63">
        <v>172.8</v>
      </c>
      <c r="M63">
        <v>171.2</v>
      </c>
      <c r="N63">
        <v>173</v>
      </c>
      <c r="O63">
        <v>177.9</v>
      </c>
      <c r="P63">
        <v>178.8</v>
      </c>
      <c r="Q63">
        <v>175.8</v>
      </c>
      <c r="R63">
        <v>167.8</v>
      </c>
      <c r="S63">
        <v>164.5</v>
      </c>
      <c r="T63">
        <v>162.4</v>
      </c>
      <c r="U63">
        <v>170.8</v>
      </c>
      <c r="V63">
        <v>175.2</v>
      </c>
      <c r="W63">
        <v>169.2</v>
      </c>
      <c r="X63">
        <v>169.7</v>
      </c>
      <c r="Y63">
        <v>170.9</v>
      </c>
      <c r="Z63">
        <v>181.4</v>
      </c>
      <c r="AA63">
        <v>190.2</v>
      </c>
      <c r="AB63">
        <v>194.5</v>
      </c>
      <c r="AC63">
        <v>175.2</v>
      </c>
      <c r="AD63">
        <v>175.2</v>
      </c>
    </row>
    <row r="64" spans="1:30" x14ac:dyDescent="0.3">
      <c r="A64" s="84" t="s">
        <v>6</v>
      </c>
      <c r="B64" s="36">
        <f t="shared" si="2"/>
        <v>0.49053631383499291</v>
      </c>
      <c r="C64" s="46">
        <v>154.1</v>
      </c>
      <c r="D64">
        <v>154.1</v>
      </c>
      <c r="E64">
        <v>154.69999999999999</v>
      </c>
      <c r="F64">
        <v>154.9</v>
      </c>
      <c r="G64">
        <v>155.4</v>
      </c>
      <c r="H64">
        <v>156.1</v>
      </c>
      <c r="I64">
        <v>156.19999999999999</v>
      </c>
      <c r="J64">
        <v>157.5</v>
      </c>
      <c r="K64">
        <v>158.4</v>
      </c>
      <c r="L64">
        <v>158.4</v>
      </c>
      <c r="M64">
        <v>158.69999999999999</v>
      </c>
      <c r="N64">
        <v>159.30000000000001</v>
      </c>
      <c r="O64">
        <v>159.9</v>
      </c>
      <c r="P64">
        <v>160.5</v>
      </c>
      <c r="Q64">
        <v>160.69999999999999</v>
      </c>
      <c r="R64">
        <v>162.19999999999999</v>
      </c>
      <c r="S64">
        <v>163.9</v>
      </c>
      <c r="T64">
        <v>164.9</v>
      </c>
      <c r="U64">
        <v>165.8</v>
      </c>
      <c r="V64">
        <v>166.6</v>
      </c>
      <c r="W64">
        <v>168.1</v>
      </c>
      <c r="X64">
        <v>169.7</v>
      </c>
      <c r="Y64">
        <v>170.9</v>
      </c>
      <c r="Z64">
        <v>172.3</v>
      </c>
      <c r="AA64">
        <v>173.6</v>
      </c>
      <c r="AB64">
        <v>174.6</v>
      </c>
      <c r="AC64">
        <v>177.3</v>
      </c>
      <c r="AD64">
        <v>177.3</v>
      </c>
    </row>
    <row r="65" spans="1:30" s="92" customFormat="1" x14ac:dyDescent="0.3">
      <c r="A65" s="2" t="s">
        <v>7</v>
      </c>
      <c r="B65" s="90">
        <f t="shared" si="2"/>
        <v>0.84422601343144921</v>
      </c>
      <c r="C65" s="92">
        <v>146.6</v>
      </c>
      <c r="D65" s="92">
        <v>150.9</v>
      </c>
      <c r="E65" s="92">
        <v>158.69999999999999</v>
      </c>
      <c r="F65" s="92">
        <v>163.9</v>
      </c>
      <c r="G65" s="92">
        <v>170.1</v>
      </c>
      <c r="H65" s="92">
        <v>178.7</v>
      </c>
      <c r="I65" s="92">
        <v>183.7</v>
      </c>
      <c r="J65" s="92">
        <v>182.1</v>
      </c>
      <c r="K65" s="92">
        <v>188</v>
      </c>
      <c r="L65" s="92">
        <v>188</v>
      </c>
      <c r="M65" s="92">
        <v>190.6</v>
      </c>
      <c r="N65" s="92">
        <v>190.1</v>
      </c>
      <c r="O65" s="92">
        <v>187.6</v>
      </c>
      <c r="P65" s="92">
        <v>184.7</v>
      </c>
      <c r="Q65" s="92">
        <v>184.9</v>
      </c>
      <c r="R65" s="92">
        <v>194.6</v>
      </c>
      <c r="S65" s="92">
        <v>199.5</v>
      </c>
      <c r="T65" s="92">
        <v>202.4</v>
      </c>
      <c r="U65" s="92">
        <v>200.9</v>
      </c>
      <c r="V65" s="92">
        <v>195.8</v>
      </c>
      <c r="W65" s="92">
        <v>192.4</v>
      </c>
      <c r="X65" s="92">
        <v>188.7</v>
      </c>
      <c r="Y65" s="92">
        <v>186.5</v>
      </c>
      <c r="Z65" s="92">
        <v>188.9</v>
      </c>
      <c r="AA65" s="92">
        <v>188.5</v>
      </c>
      <c r="AB65" s="92">
        <v>187.2</v>
      </c>
      <c r="AC65" s="92">
        <v>179.3</v>
      </c>
      <c r="AD65" s="92">
        <v>179.2</v>
      </c>
    </row>
    <row r="66" spans="1:30" x14ac:dyDescent="0.3">
      <c r="A66" s="84" t="s">
        <v>8</v>
      </c>
      <c r="B66" s="36">
        <f t="shared" si="2"/>
        <v>0.60376670706107449</v>
      </c>
      <c r="C66" s="46">
        <v>147.69999999999999</v>
      </c>
      <c r="D66">
        <v>149.6</v>
      </c>
      <c r="E66">
        <v>150.69999999999999</v>
      </c>
      <c r="F66">
        <v>153.69999999999999</v>
      </c>
      <c r="G66">
        <v>164.4</v>
      </c>
      <c r="H66">
        <v>167.1</v>
      </c>
      <c r="I66">
        <v>164.6</v>
      </c>
      <c r="J66">
        <v>163.9</v>
      </c>
      <c r="K66">
        <v>156.80000000000001</v>
      </c>
      <c r="L66">
        <v>156.69999999999999</v>
      </c>
      <c r="M66">
        <v>155.69999999999999</v>
      </c>
      <c r="N66">
        <v>156.5</v>
      </c>
      <c r="O66">
        <v>154.9</v>
      </c>
      <c r="P66">
        <v>153.69999999999999</v>
      </c>
      <c r="Q66">
        <v>153.69999999999999</v>
      </c>
      <c r="R66">
        <v>157.6</v>
      </c>
      <c r="S66">
        <v>172.6</v>
      </c>
      <c r="T66">
        <v>171</v>
      </c>
      <c r="U66">
        <v>169.7</v>
      </c>
      <c r="V66">
        <v>174.2</v>
      </c>
      <c r="W66">
        <v>172.9</v>
      </c>
      <c r="X66">
        <v>165.7</v>
      </c>
      <c r="Y66">
        <v>163.80000000000001</v>
      </c>
      <c r="Z66">
        <v>160.69999999999999</v>
      </c>
      <c r="AA66">
        <v>158</v>
      </c>
      <c r="AB66">
        <v>158.30000000000001</v>
      </c>
      <c r="AC66">
        <v>169.5</v>
      </c>
      <c r="AD66">
        <v>169.5</v>
      </c>
    </row>
    <row r="67" spans="1:30" x14ac:dyDescent="0.3">
      <c r="A67" s="84" t="s">
        <v>9</v>
      </c>
      <c r="B67" s="36">
        <f t="shared" si="2"/>
        <v>5.5930750630908979E-2</v>
      </c>
      <c r="C67" s="46">
        <v>230.5</v>
      </c>
      <c r="D67">
        <v>194.2</v>
      </c>
      <c r="E67">
        <v>160</v>
      </c>
      <c r="F67">
        <v>149.5</v>
      </c>
      <c r="G67">
        <v>144.1</v>
      </c>
      <c r="H67">
        <v>147.9</v>
      </c>
      <c r="I67">
        <v>155.4</v>
      </c>
      <c r="J67">
        <v>164.2</v>
      </c>
      <c r="K67">
        <v>162.19999999999999</v>
      </c>
      <c r="L67">
        <v>162.30000000000001</v>
      </c>
      <c r="M67">
        <v>185.3</v>
      </c>
      <c r="N67">
        <v>199.2</v>
      </c>
      <c r="O67">
        <v>188.3</v>
      </c>
      <c r="P67">
        <v>174.3</v>
      </c>
      <c r="Q67">
        <v>169.7</v>
      </c>
      <c r="R67">
        <v>166.9</v>
      </c>
      <c r="S67">
        <v>166.2</v>
      </c>
      <c r="T67">
        <v>174.9</v>
      </c>
      <c r="U67">
        <v>182.3</v>
      </c>
      <c r="V67">
        <v>182.1</v>
      </c>
      <c r="W67">
        <v>186.7</v>
      </c>
      <c r="X67">
        <v>191.8</v>
      </c>
      <c r="Y67">
        <v>199.7</v>
      </c>
      <c r="Z67">
        <v>183.1</v>
      </c>
      <c r="AA67">
        <v>159.9</v>
      </c>
      <c r="AB67">
        <v>153.9</v>
      </c>
      <c r="AC67">
        <v>152.69999999999999</v>
      </c>
      <c r="AD67">
        <v>152.80000000000001</v>
      </c>
    </row>
    <row r="68" spans="1:30" x14ac:dyDescent="0.3">
      <c r="A68" s="84" t="s">
        <v>10</v>
      </c>
      <c r="B68" s="36">
        <f t="shared" si="2"/>
        <v>0.34065953808278615</v>
      </c>
      <c r="C68" s="46">
        <v>160.19999999999999</v>
      </c>
      <c r="D68">
        <v>160.4</v>
      </c>
      <c r="E68">
        <v>158.80000000000001</v>
      </c>
      <c r="F68">
        <v>159.80000000000001</v>
      </c>
      <c r="G68">
        <v>161.69999999999999</v>
      </c>
      <c r="H68">
        <v>165.4</v>
      </c>
      <c r="I68">
        <v>166</v>
      </c>
      <c r="J68">
        <v>164</v>
      </c>
      <c r="K68">
        <v>164.1</v>
      </c>
      <c r="L68">
        <v>164.1</v>
      </c>
      <c r="M68">
        <v>165.2</v>
      </c>
      <c r="N68">
        <v>165.3</v>
      </c>
      <c r="O68">
        <v>164.4</v>
      </c>
      <c r="P68">
        <v>163.9</v>
      </c>
      <c r="Q68">
        <v>163.69999999999999</v>
      </c>
      <c r="R68">
        <v>163.9</v>
      </c>
      <c r="S68">
        <v>164.7</v>
      </c>
      <c r="T68">
        <v>164.7</v>
      </c>
      <c r="U68">
        <v>164.3</v>
      </c>
      <c r="V68">
        <v>164.3</v>
      </c>
      <c r="W68">
        <v>167.2</v>
      </c>
      <c r="X68">
        <v>169.1</v>
      </c>
      <c r="Y68">
        <v>169.8</v>
      </c>
      <c r="Z68">
        <v>170.5</v>
      </c>
      <c r="AA68">
        <v>170.8</v>
      </c>
      <c r="AB68">
        <v>170.9</v>
      </c>
      <c r="AC68">
        <v>171</v>
      </c>
      <c r="AD68">
        <v>171.1</v>
      </c>
    </row>
    <row r="69" spans="1:30" x14ac:dyDescent="0.3">
      <c r="A69" s="84" t="s">
        <v>11</v>
      </c>
      <c r="B69" s="36">
        <f t="shared" si="2"/>
        <v>0.57331350833558403</v>
      </c>
      <c r="C69" s="46">
        <v>115.3</v>
      </c>
      <c r="D69">
        <v>114.6</v>
      </c>
      <c r="E69">
        <v>112.8</v>
      </c>
      <c r="F69">
        <v>112.6</v>
      </c>
      <c r="G69">
        <v>113.1</v>
      </c>
      <c r="H69">
        <v>114.8</v>
      </c>
      <c r="I69">
        <v>115.1</v>
      </c>
      <c r="J69">
        <v>114.5</v>
      </c>
      <c r="K69">
        <v>119.7</v>
      </c>
      <c r="L69">
        <v>119.7</v>
      </c>
      <c r="M69">
        <v>121.9</v>
      </c>
      <c r="N69">
        <v>122.4</v>
      </c>
      <c r="O69">
        <v>121</v>
      </c>
      <c r="P69">
        <v>120</v>
      </c>
      <c r="Q69">
        <v>118.9</v>
      </c>
      <c r="R69">
        <v>118.8</v>
      </c>
      <c r="S69">
        <v>119</v>
      </c>
      <c r="T69">
        <v>119.7</v>
      </c>
      <c r="U69">
        <v>119.9</v>
      </c>
      <c r="V69">
        <v>120</v>
      </c>
      <c r="W69">
        <v>120.9</v>
      </c>
      <c r="X69">
        <v>121.6</v>
      </c>
      <c r="Y69">
        <v>121.9</v>
      </c>
      <c r="Z69">
        <v>122.1</v>
      </c>
      <c r="AA69">
        <v>121.8</v>
      </c>
      <c r="AB69">
        <v>121.1</v>
      </c>
      <c r="AC69">
        <v>120</v>
      </c>
      <c r="AD69">
        <v>120</v>
      </c>
    </row>
    <row r="70" spans="1:30" x14ac:dyDescent="0.3">
      <c r="A70" s="84" t="s">
        <v>12</v>
      </c>
      <c r="B70" s="36">
        <f t="shared" si="2"/>
        <v>0.46691658200554964</v>
      </c>
      <c r="C70" s="46">
        <v>163</v>
      </c>
      <c r="D70">
        <v>164</v>
      </c>
      <c r="E70">
        <v>164.2</v>
      </c>
      <c r="F70">
        <v>163.5</v>
      </c>
      <c r="G70">
        <v>163.9</v>
      </c>
      <c r="H70">
        <v>168.2</v>
      </c>
      <c r="I70">
        <v>168.5</v>
      </c>
      <c r="J70">
        <v>168.3</v>
      </c>
      <c r="K70">
        <v>168.8</v>
      </c>
      <c r="L70">
        <v>168.8</v>
      </c>
      <c r="M70">
        <v>169.3</v>
      </c>
      <c r="N70">
        <v>169.6</v>
      </c>
      <c r="O70">
        <v>170.5</v>
      </c>
      <c r="P70">
        <v>172.1</v>
      </c>
      <c r="Q70">
        <v>174.3</v>
      </c>
      <c r="R70">
        <v>177.4</v>
      </c>
      <c r="S70">
        <v>181.3</v>
      </c>
      <c r="T70">
        <v>184.9</v>
      </c>
      <c r="U70">
        <v>187.1</v>
      </c>
      <c r="V70">
        <v>190</v>
      </c>
      <c r="W70">
        <v>193.6</v>
      </c>
      <c r="X70">
        <v>197.3</v>
      </c>
      <c r="Y70">
        <v>199.9</v>
      </c>
      <c r="Z70">
        <v>202.8</v>
      </c>
      <c r="AA70">
        <v>205.2</v>
      </c>
      <c r="AB70">
        <v>208.4</v>
      </c>
      <c r="AC70">
        <v>209.7</v>
      </c>
      <c r="AD70">
        <v>209.7</v>
      </c>
    </row>
    <row r="71" spans="1:30" x14ac:dyDescent="0.3">
      <c r="A71" s="84" t="s">
        <v>13</v>
      </c>
      <c r="B71" s="36">
        <f t="shared" si="2"/>
        <v>0.69006571262712468</v>
      </c>
      <c r="C71" s="46">
        <v>149.19999999999999</v>
      </c>
      <c r="D71">
        <v>151.80000000000001</v>
      </c>
      <c r="E71">
        <v>155.5</v>
      </c>
      <c r="F71">
        <v>156.5</v>
      </c>
      <c r="G71">
        <v>157.6</v>
      </c>
      <c r="H71">
        <v>159.30000000000001</v>
      </c>
      <c r="I71">
        <v>160</v>
      </c>
      <c r="J71">
        <v>160.9</v>
      </c>
      <c r="K71">
        <v>162.69999999999999</v>
      </c>
      <c r="L71">
        <v>162.69999999999999</v>
      </c>
      <c r="M71">
        <v>163.19999999999999</v>
      </c>
      <c r="N71">
        <v>163.69999999999999</v>
      </c>
      <c r="O71">
        <v>164.2</v>
      </c>
      <c r="P71">
        <v>164.3</v>
      </c>
      <c r="Q71">
        <v>164.7</v>
      </c>
      <c r="R71">
        <v>165.3</v>
      </c>
      <c r="S71">
        <v>166.2</v>
      </c>
      <c r="T71">
        <v>167.1</v>
      </c>
      <c r="U71">
        <v>167.9</v>
      </c>
      <c r="V71">
        <v>168.4</v>
      </c>
      <c r="W71">
        <v>168.8</v>
      </c>
      <c r="X71">
        <v>169.4</v>
      </c>
      <c r="Y71">
        <v>169.9</v>
      </c>
      <c r="Z71">
        <v>170.4</v>
      </c>
      <c r="AA71">
        <v>171</v>
      </c>
      <c r="AB71">
        <v>171.4</v>
      </c>
      <c r="AC71">
        <v>172.3</v>
      </c>
      <c r="AD71">
        <v>172.3</v>
      </c>
    </row>
    <row r="72" spans="1:30" x14ac:dyDescent="0.3">
      <c r="A72" s="84" t="s">
        <v>14</v>
      </c>
      <c r="B72" s="36">
        <f t="shared" si="2"/>
        <v>0.61389644985900105</v>
      </c>
      <c r="C72" s="46">
        <v>164.8</v>
      </c>
      <c r="D72">
        <v>165.6</v>
      </c>
      <c r="E72">
        <v>167.5</v>
      </c>
      <c r="F72">
        <v>168.2</v>
      </c>
      <c r="G72">
        <v>168.9</v>
      </c>
      <c r="H72">
        <v>170.4</v>
      </c>
      <c r="I72">
        <v>172.4</v>
      </c>
      <c r="J72">
        <v>172.2</v>
      </c>
      <c r="K72">
        <v>173.9</v>
      </c>
      <c r="L72">
        <v>173.9</v>
      </c>
      <c r="M72">
        <v>174.7</v>
      </c>
      <c r="N72">
        <v>175.5</v>
      </c>
      <c r="O72">
        <v>176.5</v>
      </c>
      <c r="P72">
        <v>177.3</v>
      </c>
      <c r="Q72">
        <v>178</v>
      </c>
      <c r="R72">
        <v>179.3</v>
      </c>
      <c r="S72">
        <v>180.9</v>
      </c>
      <c r="T72">
        <v>182.5</v>
      </c>
      <c r="U72">
        <v>183.9</v>
      </c>
      <c r="V72">
        <v>185.2</v>
      </c>
      <c r="W72">
        <v>186.3</v>
      </c>
      <c r="X72">
        <v>187.4</v>
      </c>
      <c r="Y72">
        <v>188.3</v>
      </c>
      <c r="Z72">
        <v>189.5</v>
      </c>
      <c r="AA72">
        <v>190.3</v>
      </c>
      <c r="AB72">
        <v>191.2</v>
      </c>
      <c r="AC72">
        <v>193</v>
      </c>
      <c r="AD72">
        <v>193</v>
      </c>
    </row>
    <row r="73" spans="1:30" x14ac:dyDescent="0.3">
      <c r="A73" s="84" t="s">
        <v>15</v>
      </c>
      <c r="B73" s="36">
        <f t="shared" si="2"/>
        <v>0.62610843065781219</v>
      </c>
      <c r="C73" s="46">
        <v>165.4</v>
      </c>
      <c r="D73">
        <v>161</v>
      </c>
      <c r="E73">
        <v>156.9</v>
      </c>
      <c r="F73">
        <v>156.69999999999999</v>
      </c>
      <c r="G73">
        <v>158</v>
      </c>
      <c r="H73">
        <v>160.69999999999999</v>
      </c>
      <c r="I73">
        <v>162.6</v>
      </c>
      <c r="J73">
        <v>164</v>
      </c>
      <c r="K73">
        <v>164</v>
      </c>
      <c r="L73">
        <v>164</v>
      </c>
      <c r="M73">
        <v>167.7</v>
      </c>
      <c r="N73">
        <v>169.7</v>
      </c>
      <c r="O73">
        <v>168.2</v>
      </c>
      <c r="P73">
        <v>166.4</v>
      </c>
      <c r="Q73">
        <v>166.2</v>
      </c>
      <c r="R73">
        <v>168.4</v>
      </c>
      <c r="S73">
        <v>170.8</v>
      </c>
      <c r="T73">
        <v>173.3</v>
      </c>
      <c r="U73">
        <v>174.9</v>
      </c>
      <c r="V73">
        <v>175</v>
      </c>
      <c r="W73">
        <v>176.3</v>
      </c>
      <c r="X73">
        <v>177.8</v>
      </c>
      <c r="Y73">
        <v>179.6</v>
      </c>
      <c r="Z73">
        <v>178.3</v>
      </c>
      <c r="AA73">
        <v>175.9</v>
      </c>
      <c r="AB73">
        <v>176.7</v>
      </c>
      <c r="AC73">
        <v>177</v>
      </c>
      <c r="AD73">
        <v>177</v>
      </c>
    </row>
    <row r="74" spans="1:30" x14ac:dyDescent="0.3">
      <c r="A74" s="84" t="s">
        <v>16</v>
      </c>
      <c r="B74" s="36">
        <f t="shared" si="2"/>
        <v>0.58048496380527581</v>
      </c>
      <c r="C74" s="46">
        <v>185.4</v>
      </c>
      <c r="D74">
        <v>186.5</v>
      </c>
      <c r="E74">
        <v>188.3</v>
      </c>
      <c r="F74">
        <v>188.1</v>
      </c>
      <c r="G74">
        <v>188.8</v>
      </c>
      <c r="H74">
        <v>191.9</v>
      </c>
      <c r="I74">
        <v>190.8</v>
      </c>
      <c r="J74">
        <v>191.2</v>
      </c>
      <c r="K74">
        <v>192.1</v>
      </c>
      <c r="L74">
        <v>192.1</v>
      </c>
      <c r="M74">
        <v>192.7</v>
      </c>
      <c r="N74">
        <v>192.9</v>
      </c>
      <c r="O74">
        <v>192.4</v>
      </c>
      <c r="P74">
        <v>192.2</v>
      </c>
      <c r="Q74">
        <v>192.8</v>
      </c>
      <c r="R74">
        <v>193.7</v>
      </c>
      <c r="S74">
        <v>193.9</v>
      </c>
      <c r="T74">
        <v>194.1</v>
      </c>
      <c r="U74">
        <v>194.3</v>
      </c>
      <c r="V74">
        <v>194.6</v>
      </c>
      <c r="W74">
        <v>195</v>
      </c>
      <c r="X74">
        <v>195.9</v>
      </c>
      <c r="Y74">
        <v>196.3</v>
      </c>
      <c r="Z74">
        <v>196.9</v>
      </c>
      <c r="AA74">
        <v>197.3</v>
      </c>
      <c r="AB74">
        <v>198.2</v>
      </c>
      <c r="AC74">
        <v>199.5</v>
      </c>
      <c r="AD74">
        <v>199.5</v>
      </c>
    </row>
    <row r="75" spans="1:30" x14ac:dyDescent="0.3">
      <c r="A75" s="84" t="s">
        <v>17</v>
      </c>
      <c r="B75" s="36">
        <f t="shared" si="2"/>
        <v>0.63998829856584927</v>
      </c>
      <c r="C75" s="46">
        <v>155</v>
      </c>
      <c r="D75">
        <v>155.5</v>
      </c>
      <c r="E75">
        <v>157.19999999999999</v>
      </c>
      <c r="F75">
        <v>157.80000000000001</v>
      </c>
      <c r="G75">
        <v>158.80000000000001</v>
      </c>
      <c r="H75">
        <v>161.80000000000001</v>
      </c>
      <c r="I75">
        <v>162.19999999999999</v>
      </c>
      <c r="J75">
        <v>162.80000000000001</v>
      </c>
      <c r="K75">
        <v>164.5</v>
      </c>
      <c r="L75">
        <v>164.6</v>
      </c>
      <c r="M75">
        <v>165.7</v>
      </c>
      <c r="N75">
        <v>167.2</v>
      </c>
      <c r="O75">
        <v>168.5</v>
      </c>
      <c r="P75">
        <v>169.9</v>
      </c>
      <c r="Q75">
        <v>170.8</v>
      </c>
      <c r="R75">
        <v>172.1</v>
      </c>
      <c r="S75">
        <v>173.9</v>
      </c>
      <c r="T75">
        <v>175.6</v>
      </c>
      <c r="U75">
        <v>177.1</v>
      </c>
      <c r="V75">
        <v>178.3</v>
      </c>
      <c r="W75">
        <v>179.5</v>
      </c>
      <c r="X75">
        <v>180.9</v>
      </c>
      <c r="Y75">
        <v>181.9</v>
      </c>
      <c r="Z75">
        <v>183.1</v>
      </c>
      <c r="AA75">
        <v>184</v>
      </c>
      <c r="AB75">
        <v>184.9</v>
      </c>
      <c r="AC75">
        <v>186.2</v>
      </c>
      <c r="AD75">
        <v>186.1</v>
      </c>
    </row>
    <row r="76" spans="1:30" x14ac:dyDescent="0.3">
      <c r="A76" s="84" t="s">
        <v>18</v>
      </c>
      <c r="B76" s="36">
        <f t="shared" si="2"/>
        <v>0.65742103888267156</v>
      </c>
      <c r="C76" s="46">
        <v>145.4</v>
      </c>
      <c r="D76">
        <v>146.1</v>
      </c>
      <c r="E76">
        <v>147.4</v>
      </c>
      <c r="F76">
        <v>147.9</v>
      </c>
      <c r="G76">
        <v>148.5</v>
      </c>
      <c r="H76">
        <v>152.1</v>
      </c>
      <c r="I76">
        <v>151.80000000000001</v>
      </c>
      <c r="J76">
        <v>153.1</v>
      </c>
      <c r="K76">
        <v>155.30000000000001</v>
      </c>
      <c r="L76">
        <v>155.30000000000001</v>
      </c>
      <c r="M76">
        <v>156.30000000000001</v>
      </c>
      <c r="N76">
        <v>157.4</v>
      </c>
      <c r="O76">
        <v>158.69999999999999</v>
      </c>
      <c r="P76">
        <v>160.69999999999999</v>
      </c>
      <c r="Q76">
        <v>162.4</v>
      </c>
      <c r="R76">
        <v>164.6</v>
      </c>
      <c r="S76">
        <v>166.5</v>
      </c>
      <c r="T76">
        <v>168.4</v>
      </c>
      <c r="U76">
        <v>169.9</v>
      </c>
      <c r="V76">
        <v>171.3</v>
      </c>
      <c r="W76">
        <v>172.7</v>
      </c>
      <c r="X76">
        <v>174.3</v>
      </c>
      <c r="Y76">
        <v>175.3</v>
      </c>
      <c r="Z76">
        <v>176.2</v>
      </c>
      <c r="AA76">
        <v>177</v>
      </c>
      <c r="AB76">
        <v>177.6</v>
      </c>
      <c r="AC76">
        <v>178.7</v>
      </c>
      <c r="AD76">
        <v>178.7</v>
      </c>
    </row>
    <row r="77" spans="1:30" x14ac:dyDescent="0.3">
      <c r="A77" s="84" t="s">
        <v>19</v>
      </c>
      <c r="B77" s="36">
        <f t="shared" si="2"/>
        <v>0.64289688336398676</v>
      </c>
      <c r="C77" s="46">
        <v>153.6</v>
      </c>
      <c r="D77">
        <v>154.19999999999999</v>
      </c>
      <c r="E77">
        <v>155.80000000000001</v>
      </c>
      <c r="F77">
        <v>156.4</v>
      </c>
      <c r="G77">
        <v>157.30000000000001</v>
      </c>
      <c r="H77">
        <v>160.4</v>
      </c>
      <c r="I77">
        <v>160.69999999999999</v>
      </c>
      <c r="J77">
        <v>161.4</v>
      </c>
      <c r="K77">
        <v>163.19999999999999</v>
      </c>
      <c r="L77">
        <v>163.30000000000001</v>
      </c>
      <c r="M77">
        <v>164.3</v>
      </c>
      <c r="N77">
        <v>165.8</v>
      </c>
      <c r="O77">
        <v>167</v>
      </c>
      <c r="P77">
        <v>168.5</v>
      </c>
      <c r="Q77">
        <v>169.6</v>
      </c>
      <c r="R77">
        <v>171.1</v>
      </c>
      <c r="S77">
        <v>172.8</v>
      </c>
      <c r="T77">
        <v>174.6</v>
      </c>
      <c r="U77">
        <v>176</v>
      </c>
      <c r="V77">
        <v>177.3</v>
      </c>
      <c r="W77">
        <v>178.5</v>
      </c>
      <c r="X77">
        <v>179.9</v>
      </c>
      <c r="Y77">
        <v>181</v>
      </c>
      <c r="Z77">
        <v>182.1</v>
      </c>
      <c r="AA77">
        <v>183</v>
      </c>
      <c r="AB77">
        <v>183.8</v>
      </c>
      <c r="AC77">
        <v>185.1</v>
      </c>
      <c r="AD77">
        <v>185.1</v>
      </c>
    </row>
    <row r="78" spans="1:30" x14ac:dyDescent="0.3">
      <c r="A78" s="84" t="s">
        <v>20</v>
      </c>
      <c r="B78" s="36">
        <f t="shared" si="2"/>
        <v>0.58062889672893769</v>
      </c>
      <c r="C78" s="46">
        <v>158.4</v>
      </c>
      <c r="D78">
        <v>157.69999999999999</v>
      </c>
      <c r="E78">
        <v>159.80000000000001</v>
      </c>
      <c r="F78">
        <v>159.9</v>
      </c>
      <c r="G78">
        <v>161.4</v>
      </c>
      <c r="H78">
        <v>161.6</v>
      </c>
      <c r="I78">
        <v>160.5</v>
      </c>
      <c r="J78">
        <v>161.5</v>
      </c>
      <c r="K78">
        <v>162.1</v>
      </c>
      <c r="L78">
        <v>162.1</v>
      </c>
      <c r="M78">
        <v>163.6</v>
      </c>
      <c r="N78">
        <v>164.2</v>
      </c>
      <c r="O78">
        <v>163.4</v>
      </c>
      <c r="P78">
        <v>164.5</v>
      </c>
      <c r="Q78">
        <v>165.5</v>
      </c>
      <c r="R78">
        <v>165.3</v>
      </c>
      <c r="S78">
        <v>167</v>
      </c>
      <c r="T78">
        <v>167.5</v>
      </c>
      <c r="U78">
        <v>166.8</v>
      </c>
      <c r="V78">
        <v>167.8</v>
      </c>
      <c r="W78">
        <v>169</v>
      </c>
      <c r="X78">
        <v>169.5</v>
      </c>
      <c r="Y78">
        <v>171.2</v>
      </c>
      <c r="Z78">
        <v>171.8</v>
      </c>
      <c r="AA78">
        <v>170.7</v>
      </c>
      <c r="AB78">
        <v>172.1</v>
      </c>
      <c r="AC78">
        <v>173.5</v>
      </c>
      <c r="AD78">
        <v>173.5</v>
      </c>
    </row>
    <row r="79" spans="1:30" x14ac:dyDescent="0.3">
      <c r="A79" s="84" t="s">
        <v>21</v>
      </c>
      <c r="B79" s="36">
        <f t="shared" si="2"/>
        <v>0.68313380314486483</v>
      </c>
      <c r="C79" s="46">
        <v>144.6</v>
      </c>
      <c r="D79">
        <v>147.9</v>
      </c>
      <c r="E79">
        <v>152.4</v>
      </c>
      <c r="F79">
        <v>155.5</v>
      </c>
      <c r="G79">
        <v>155.6</v>
      </c>
      <c r="H79">
        <v>159.4</v>
      </c>
      <c r="I79">
        <v>159.80000000000001</v>
      </c>
      <c r="J79">
        <v>160.69999999999999</v>
      </c>
      <c r="K79">
        <v>162.6</v>
      </c>
      <c r="L79">
        <v>162.6</v>
      </c>
      <c r="M79">
        <v>164.2</v>
      </c>
      <c r="N79">
        <v>163.9</v>
      </c>
      <c r="O79">
        <v>164.1</v>
      </c>
      <c r="P79">
        <v>164.2</v>
      </c>
      <c r="Q79">
        <v>165.7</v>
      </c>
      <c r="R79">
        <v>167.2</v>
      </c>
      <c r="S79">
        <v>172.2</v>
      </c>
      <c r="T79">
        <v>174.6</v>
      </c>
      <c r="U79">
        <v>176</v>
      </c>
      <c r="V79">
        <v>179.6</v>
      </c>
      <c r="W79">
        <v>178.8</v>
      </c>
      <c r="X79">
        <v>179.5</v>
      </c>
      <c r="Y79">
        <v>180.5</v>
      </c>
      <c r="Z79">
        <v>181.3</v>
      </c>
      <c r="AA79">
        <v>182</v>
      </c>
      <c r="AB79">
        <v>182</v>
      </c>
      <c r="AC79">
        <v>182.1</v>
      </c>
      <c r="AD79">
        <v>181.9</v>
      </c>
    </row>
    <row r="80" spans="1:30" x14ac:dyDescent="0.3">
      <c r="A80" s="84" t="s">
        <v>22</v>
      </c>
      <c r="B80" s="36">
        <f t="shared" si="2"/>
        <v>0.62839677208418909</v>
      </c>
      <c r="C80" s="46">
        <v>149.69999999999999</v>
      </c>
      <c r="D80">
        <v>150</v>
      </c>
      <c r="E80">
        <v>150.9</v>
      </c>
      <c r="F80">
        <v>151.19999999999999</v>
      </c>
      <c r="G80">
        <v>151.80000000000001</v>
      </c>
      <c r="H80">
        <v>154.69999999999999</v>
      </c>
      <c r="I80">
        <v>154.80000000000001</v>
      </c>
      <c r="J80">
        <v>155.80000000000001</v>
      </c>
      <c r="K80">
        <v>157.5</v>
      </c>
      <c r="L80">
        <v>157.5</v>
      </c>
      <c r="M80">
        <v>158.4</v>
      </c>
      <c r="N80">
        <v>159.30000000000001</v>
      </c>
      <c r="O80">
        <v>160.19999999999999</v>
      </c>
      <c r="P80">
        <v>161.1</v>
      </c>
      <c r="Q80">
        <v>161.80000000000001</v>
      </c>
      <c r="R80">
        <v>162.80000000000001</v>
      </c>
      <c r="S80">
        <v>164</v>
      </c>
      <c r="T80">
        <v>165.2</v>
      </c>
      <c r="U80">
        <v>166.4</v>
      </c>
      <c r="V80">
        <v>167.4</v>
      </c>
      <c r="W80">
        <v>168.5</v>
      </c>
      <c r="X80">
        <v>169.5</v>
      </c>
      <c r="Y80">
        <v>170.4</v>
      </c>
      <c r="Z80">
        <v>171.4</v>
      </c>
      <c r="AA80">
        <v>172.1</v>
      </c>
      <c r="AB80">
        <v>172.9</v>
      </c>
      <c r="AC80">
        <v>174.2</v>
      </c>
      <c r="AD80">
        <v>174.2</v>
      </c>
    </row>
    <row r="81" spans="1:30" x14ac:dyDescent="0.3">
      <c r="A81" s="84" t="s">
        <v>23</v>
      </c>
      <c r="B81" s="36">
        <f t="shared" si="2"/>
        <v>0.62233455316285335</v>
      </c>
      <c r="C81" s="46">
        <v>158.30000000000001</v>
      </c>
      <c r="D81">
        <v>159.30000000000001</v>
      </c>
      <c r="E81">
        <v>161.30000000000001</v>
      </c>
      <c r="F81">
        <v>161.69999999999999</v>
      </c>
      <c r="G81">
        <v>162.30000000000001</v>
      </c>
      <c r="H81">
        <v>165.8</v>
      </c>
      <c r="I81">
        <v>166.3</v>
      </c>
      <c r="J81">
        <v>167</v>
      </c>
      <c r="K81">
        <v>168.4</v>
      </c>
      <c r="L81">
        <v>168.4</v>
      </c>
      <c r="M81">
        <v>169.1</v>
      </c>
      <c r="N81">
        <v>169.9</v>
      </c>
      <c r="O81">
        <v>170.6</v>
      </c>
      <c r="P81">
        <v>171.4</v>
      </c>
      <c r="Q81">
        <v>172.2</v>
      </c>
      <c r="R81">
        <v>173</v>
      </c>
      <c r="S81">
        <v>174</v>
      </c>
      <c r="T81">
        <v>174.8</v>
      </c>
      <c r="U81">
        <v>175.4</v>
      </c>
      <c r="V81">
        <v>176.1</v>
      </c>
      <c r="W81">
        <v>176.8</v>
      </c>
      <c r="X81">
        <v>177.8</v>
      </c>
      <c r="Y81">
        <v>178.7</v>
      </c>
      <c r="Z81">
        <v>179.8</v>
      </c>
      <c r="AA81">
        <v>181.1</v>
      </c>
      <c r="AB81">
        <v>182.3</v>
      </c>
      <c r="AC81">
        <v>184.4</v>
      </c>
      <c r="AD81">
        <v>184.4</v>
      </c>
    </row>
    <row r="82" spans="1:30" s="92" customFormat="1" x14ac:dyDescent="0.3">
      <c r="A82" s="2" t="s">
        <v>24</v>
      </c>
      <c r="B82" s="90">
        <f t="shared" si="2"/>
        <v>0.76576706043808773</v>
      </c>
      <c r="C82" s="92">
        <v>140.69999999999999</v>
      </c>
      <c r="D82" s="92">
        <v>141.9</v>
      </c>
      <c r="E82" s="92">
        <v>145.1</v>
      </c>
      <c r="F82" s="92">
        <v>146.19999999999999</v>
      </c>
      <c r="G82" s="92">
        <v>146.6</v>
      </c>
      <c r="H82" s="92">
        <v>148.9</v>
      </c>
      <c r="I82" s="92">
        <v>150.69999999999999</v>
      </c>
      <c r="J82" s="92">
        <v>153.1</v>
      </c>
      <c r="K82" s="92">
        <v>154</v>
      </c>
      <c r="L82" s="92">
        <v>154</v>
      </c>
      <c r="M82" s="92">
        <v>155.69999999999999</v>
      </c>
      <c r="N82" s="92">
        <v>154.80000000000001</v>
      </c>
      <c r="O82" s="92">
        <v>155.69999999999999</v>
      </c>
      <c r="P82" s="92">
        <v>156.5</v>
      </c>
      <c r="Q82" s="92">
        <v>156.9</v>
      </c>
      <c r="R82" s="92">
        <v>157.9</v>
      </c>
      <c r="S82" s="92">
        <v>162.6</v>
      </c>
      <c r="T82" s="92">
        <v>163</v>
      </c>
      <c r="U82" s="92">
        <v>161.1</v>
      </c>
      <c r="V82" s="92">
        <v>161.6</v>
      </c>
      <c r="W82" s="92">
        <v>161.9</v>
      </c>
      <c r="X82" s="92">
        <v>162.30000000000001</v>
      </c>
      <c r="Y82" s="92">
        <v>162.9</v>
      </c>
      <c r="Z82" s="92">
        <v>163</v>
      </c>
      <c r="AA82" s="92">
        <v>163.4</v>
      </c>
      <c r="AB82" s="92">
        <v>163.6</v>
      </c>
      <c r="AC82" s="92">
        <v>164.2</v>
      </c>
      <c r="AD82" s="92">
        <v>164.2</v>
      </c>
    </row>
    <row r="83" spans="1:30" x14ac:dyDescent="0.3">
      <c r="A83" s="84" t="s">
        <v>25</v>
      </c>
      <c r="B83" s="36">
        <f t="shared" si="2"/>
        <v>0.7077965178022777</v>
      </c>
      <c r="C83" s="46">
        <v>148.5</v>
      </c>
      <c r="D83">
        <v>149.6</v>
      </c>
      <c r="E83">
        <v>151.5</v>
      </c>
      <c r="F83">
        <v>152.6</v>
      </c>
      <c r="G83">
        <v>153.19999999999999</v>
      </c>
      <c r="H83">
        <v>155.80000000000001</v>
      </c>
      <c r="I83">
        <v>154.9</v>
      </c>
      <c r="J83">
        <v>155.30000000000001</v>
      </c>
      <c r="K83">
        <v>157.6</v>
      </c>
      <c r="L83">
        <v>157.69999999999999</v>
      </c>
      <c r="M83">
        <v>158.6</v>
      </c>
      <c r="N83">
        <v>159.80000000000001</v>
      </c>
      <c r="O83">
        <v>160.6</v>
      </c>
      <c r="P83">
        <v>161.19999999999999</v>
      </c>
      <c r="Q83">
        <v>162.1</v>
      </c>
      <c r="R83">
        <v>163.30000000000001</v>
      </c>
      <c r="S83">
        <v>164.4</v>
      </c>
      <c r="T83">
        <v>165.1</v>
      </c>
      <c r="U83">
        <v>165.8</v>
      </c>
      <c r="V83">
        <v>166.3</v>
      </c>
      <c r="W83">
        <v>166.9</v>
      </c>
      <c r="X83">
        <v>167.6</v>
      </c>
      <c r="Y83">
        <v>168.2</v>
      </c>
      <c r="Z83">
        <v>168.5</v>
      </c>
      <c r="AA83">
        <v>168.9</v>
      </c>
      <c r="AB83">
        <v>169.5</v>
      </c>
      <c r="AC83">
        <v>170.3</v>
      </c>
      <c r="AD83">
        <v>170.3</v>
      </c>
    </row>
    <row r="84" spans="1:30" x14ac:dyDescent="0.3">
      <c r="A84" s="84" t="s">
        <v>26</v>
      </c>
      <c r="B84" s="36">
        <f t="shared" si="2"/>
        <v>0.56528878251238546</v>
      </c>
      <c r="C84" s="46">
        <v>159.4</v>
      </c>
      <c r="D84">
        <v>159.19999999999999</v>
      </c>
      <c r="E84">
        <v>159.5</v>
      </c>
      <c r="F84">
        <v>160.19999999999999</v>
      </c>
      <c r="G84">
        <v>160.30000000000001</v>
      </c>
      <c r="H84">
        <v>161.19999999999999</v>
      </c>
      <c r="I84">
        <v>161.69999999999999</v>
      </c>
      <c r="J84">
        <v>163.19999999999999</v>
      </c>
      <c r="K84">
        <v>163.80000000000001</v>
      </c>
      <c r="L84">
        <v>163.69999999999999</v>
      </c>
      <c r="M84">
        <v>163.9</v>
      </c>
      <c r="N84">
        <v>164.3</v>
      </c>
      <c r="O84">
        <v>164.4</v>
      </c>
      <c r="P84">
        <v>164.7</v>
      </c>
      <c r="Q84">
        <v>165.4</v>
      </c>
      <c r="R84">
        <v>166</v>
      </c>
      <c r="S84">
        <v>166.9</v>
      </c>
      <c r="T84">
        <v>167.9</v>
      </c>
      <c r="U84">
        <v>169</v>
      </c>
      <c r="V84">
        <v>171.4</v>
      </c>
      <c r="W84">
        <v>172.3</v>
      </c>
      <c r="X84">
        <v>173.1</v>
      </c>
      <c r="Y84">
        <v>173.4</v>
      </c>
      <c r="Z84">
        <v>173.7</v>
      </c>
      <c r="AA84">
        <v>174.1</v>
      </c>
      <c r="AB84">
        <v>174.3</v>
      </c>
      <c r="AC84">
        <v>175</v>
      </c>
      <c r="AD84">
        <v>175</v>
      </c>
    </row>
    <row r="85" spans="1:30" x14ac:dyDescent="0.3">
      <c r="A85" s="84" t="s">
        <v>27</v>
      </c>
      <c r="B85" s="36">
        <f t="shared" si="2"/>
        <v>0.54571861573116498</v>
      </c>
      <c r="C85" s="46">
        <v>157.1</v>
      </c>
      <c r="D85">
        <v>156.80000000000001</v>
      </c>
      <c r="E85">
        <v>155.80000000000001</v>
      </c>
      <c r="F85">
        <v>153.80000000000001</v>
      </c>
      <c r="G85">
        <v>155.4</v>
      </c>
      <c r="H85">
        <v>158.6</v>
      </c>
      <c r="I85">
        <v>158.80000000000001</v>
      </c>
      <c r="J85">
        <v>160.1</v>
      </c>
      <c r="K85">
        <v>160</v>
      </c>
      <c r="L85">
        <v>160</v>
      </c>
      <c r="M85">
        <v>160.80000000000001</v>
      </c>
      <c r="N85">
        <v>162.19999999999999</v>
      </c>
      <c r="O85">
        <v>162.6</v>
      </c>
      <c r="P85">
        <v>163</v>
      </c>
      <c r="Q85">
        <v>164.4</v>
      </c>
      <c r="R85">
        <v>167.2</v>
      </c>
      <c r="S85">
        <v>168.8</v>
      </c>
      <c r="T85">
        <v>168.4</v>
      </c>
      <c r="U85">
        <v>169.4</v>
      </c>
      <c r="V85">
        <v>169.7</v>
      </c>
      <c r="W85">
        <v>171.2</v>
      </c>
      <c r="X85">
        <v>170.9</v>
      </c>
      <c r="Y85">
        <v>172.1</v>
      </c>
      <c r="Z85">
        <v>173.6</v>
      </c>
      <c r="AA85">
        <v>175.8</v>
      </c>
      <c r="AB85">
        <v>178.6</v>
      </c>
      <c r="AC85">
        <v>181</v>
      </c>
      <c r="AD85">
        <v>181</v>
      </c>
    </row>
    <row r="86" spans="1:30" x14ac:dyDescent="0.3">
      <c r="A86" s="84" t="s">
        <v>28</v>
      </c>
      <c r="B86" s="36">
        <f t="shared" si="2"/>
        <v>0.66710893116871672</v>
      </c>
      <c r="C86" s="46">
        <v>151.19999999999999</v>
      </c>
      <c r="D86">
        <v>151.9</v>
      </c>
      <c r="E86">
        <v>153.4</v>
      </c>
      <c r="F86">
        <v>153.80000000000001</v>
      </c>
      <c r="G86">
        <v>154.4</v>
      </c>
      <c r="H86">
        <v>156.80000000000001</v>
      </c>
      <c r="I86">
        <v>157.6</v>
      </c>
      <c r="J86">
        <v>159</v>
      </c>
      <c r="K86">
        <v>160</v>
      </c>
      <c r="L86">
        <v>160</v>
      </c>
      <c r="M86">
        <v>161</v>
      </c>
      <c r="N86">
        <v>161.4</v>
      </c>
      <c r="O86">
        <v>162</v>
      </c>
      <c r="P86">
        <v>162.69999999999999</v>
      </c>
      <c r="Q86">
        <v>163.5</v>
      </c>
      <c r="R86">
        <v>164.6</v>
      </c>
      <c r="S86">
        <v>166.8</v>
      </c>
      <c r="T86">
        <v>167.5</v>
      </c>
      <c r="U86">
        <v>167.5</v>
      </c>
      <c r="V86">
        <v>168.4</v>
      </c>
      <c r="W86">
        <v>169.1</v>
      </c>
      <c r="X86">
        <v>169.7</v>
      </c>
      <c r="Y86">
        <v>170.5</v>
      </c>
      <c r="Z86">
        <v>171.1</v>
      </c>
      <c r="AA86">
        <v>172</v>
      </c>
      <c r="AB86">
        <v>172.8</v>
      </c>
      <c r="AC86">
        <v>174.1</v>
      </c>
      <c r="AD86">
        <v>174.1</v>
      </c>
    </row>
    <row r="88" spans="1:30" ht="18" x14ac:dyDescent="0.35">
      <c r="A88" s="93" t="s">
        <v>220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B01D9-1736-4A2D-B1CE-4F4A618094BA}">
  <dimension ref="A3:L101"/>
  <sheetViews>
    <sheetView tabSelected="1" workbookViewId="0">
      <selection activeCell="B101" sqref="B101"/>
    </sheetView>
  </sheetViews>
  <sheetFormatPr defaultRowHeight="18" x14ac:dyDescent="0.35"/>
  <cols>
    <col min="1" max="1" width="5.21875" style="94" customWidth="1"/>
    <col min="2" max="2" width="19.44140625" customWidth="1"/>
    <col min="3" max="3" width="8.6640625" customWidth="1"/>
    <col min="5" max="5" width="13.6640625" customWidth="1"/>
    <col min="6" max="6" width="8.88671875" customWidth="1"/>
    <col min="11" max="11" width="12" bestFit="1" customWidth="1"/>
  </cols>
  <sheetData>
    <row r="3" spans="1:1" x14ac:dyDescent="0.35">
      <c r="A3" s="94">
        <v>1</v>
      </c>
    </row>
    <row r="19" spans="1:11" x14ac:dyDescent="0.35">
      <c r="B19" s="93" t="s">
        <v>221</v>
      </c>
    </row>
    <row r="21" spans="1:11" x14ac:dyDescent="0.35">
      <c r="A21" s="94">
        <v>2</v>
      </c>
      <c r="J21" s="40" t="s">
        <v>1</v>
      </c>
      <c r="K21" s="40" t="s">
        <v>69</v>
      </c>
    </row>
    <row r="22" spans="1:11" x14ac:dyDescent="0.35">
      <c r="J22">
        <v>2017</v>
      </c>
      <c r="K22" s="36">
        <v>5.295471987720627E-2</v>
      </c>
    </row>
    <row r="23" spans="1:11" x14ac:dyDescent="0.35">
      <c r="J23">
        <v>2018</v>
      </c>
      <c r="K23" s="36">
        <v>2.3374726077428697E-2</v>
      </c>
    </row>
    <row r="24" spans="1:11" x14ac:dyDescent="0.35">
      <c r="J24">
        <v>2019</v>
      </c>
      <c r="K24" s="36">
        <v>7.7363896848137617E-2</v>
      </c>
    </row>
    <row r="25" spans="1:11" x14ac:dyDescent="0.35">
      <c r="J25">
        <v>2020</v>
      </c>
      <c r="K25" s="36">
        <v>5.7922769640479481E-2</v>
      </c>
    </row>
    <row r="26" spans="1:11" x14ac:dyDescent="0.35">
      <c r="J26">
        <v>2021</v>
      </c>
      <c r="K26" s="36">
        <v>5.657978385251098E-2</v>
      </c>
    </row>
    <row r="27" spans="1:11" x14ac:dyDescent="0.35">
      <c r="J27">
        <v>2022</v>
      </c>
      <c r="K27" s="36">
        <v>6.0350030175015092E-2</v>
      </c>
    </row>
    <row r="37" spans="1:12" x14ac:dyDescent="0.35">
      <c r="B37" s="93" t="s">
        <v>223</v>
      </c>
    </row>
    <row r="38" spans="1:12" x14ac:dyDescent="0.35">
      <c r="B38" s="93" t="s">
        <v>224</v>
      </c>
    </row>
    <row r="39" spans="1:12" x14ac:dyDescent="0.35">
      <c r="B39" s="93"/>
    </row>
    <row r="40" spans="1:12" x14ac:dyDescent="0.35">
      <c r="B40" s="93"/>
    </row>
    <row r="41" spans="1:12" x14ac:dyDescent="0.35">
      <c r="A41" s="94">
        <v>3</v>
      </c>
      <c r="K41" s="45"/>
      <c r="L41" s="46"/>
    </row>
    <row r="42" spans="1:12" x14ac:dyDescent="0.35">
      <c r="A42" s="94" t="s">
        <v>83</v>
      </c>
      <c r="K42" s="47"/>
      <c r="L42" s="47"/>
    </row>
    <row r="43" spans="1:12" x14ac:dyDescent="0.35">
      <c r="K43" s="48"/>
      <c r="L43" s="18"/>
    </row>
    <row r="44" spans="1:12" x14ac:dyDescent="0.35">
      <c r="K44" s="48"/>
      <c r="L44" s="18"/>
    </row>
    <row r="45" spans="1:12" x14ac:dyDescent="0.35">
      <c r="K45" s="48"/>
      <c r="L45" s="18"/>
    </row>
    <row r="46" spans="1:12" x14ac:dyDescent="0.35">
      <c r="K46" s="48"/>
      <c r="L46" s="18"/>
    </row>
    <row r="47" spans="1:12" x14ac:dyDescent="0.35">
      <c r="K47" s="48"/>
      <c r="L47" s="18"/>
    </row>
    <row r="48" spans="1:12" x14ac:dyDescent="0.35">
      <c r="K48" s="48"/>
      <c r="L48" s="18"/>
    </row>
    <row r="49" spans="2:12" x14ac:dyDescent="0.35">
      <c r="K49" s="48"/>
      <c r="L49" s="18"/>
    </row>
    <row r="50" spans="2:12" x14ac:dyDescent="0.35">
      <c r="K50" s="48"/>
      <c r="L50" s="18"/>
    </row>
    <row r="51" spans="2:12" x14ac:dyDescent="0.35">
      <c r="K51" s="48"/>
      <c r="L51" s="18"/>
    </row>
    <row r="52" spans="2:12" x14ac:dyDescent="0.35">
      <c r="K52" s="48"/>
      <c r="L52" s="18"/>
    </row>
    <row r="53" spans="2:12" x14ac:dyDescent="0.35">
      <c r="K53" s="48"/>
      <c r="L53" s="18"/>
    </row>
    <row r="54" spans="2:12" x14ac:dyDescent="0.35">
      <c r="K54" s="48"/>
      <c r="L54" s="18"/>
    </row>
    <row r="59" spans="2:12" x14ac:dyDescent="0.35">
      <c r="B59" s="93" t="s">
        <v>87</v>
      </c>
    </row>
    <row r="60" spans="2:12" ht="18.600000000000001" thickBot="1" x14ac:dyDescent="0.4"/>
    <row r="61" spans="2:12" x14ac:dyDescent="0.35">
      <c r="B61" s="57"/>
      <c r="C61" s="55" t="s">
        <v>30</v>
      </c>
      <c r="D61" s="55" t="s">
        <v>32</v>
      </c>
      <c r="E61" s="56" t="s">
        <v>82</v>
      </c>
    </row>
    <row r="62" spans="2:12" x14ac:dyDescent="0.35">
      <c r="B62" s="58" t="s">
        <v>85</v>
      </c>
      <c r="C62" s="60">
        <v>44713</v>
      </c>
      <c r="D62" s="60">
        <v>44713</v>
      </c>
      <c r="E62" s="62">
        <v>44713</v>
      </c>
    </row>
    <row r="63" spans="2:12" ht="18.600000000000001" thickBot="1" x14ac:dyDescent="0.4">
      <c r="B63" s="59" t="s">
        <v>86</v>
      </c>
      <c r="C63" s="61">
        <v>44958</v>
      </c>
      <c r="D63" s="61">
        <v>44896</v>
      </c>
      <c r="E63" s="63">
        <v>44958</v>
      </c>
    </row>
    <row r="66" spans="1:1" x14ac:dyDescent="0.35">
      <c r="A66" s="94" t="s">
        <v>88</v>
      </c>
    </row>
    <row r="82" spans="1:2" x14ac:dyDescent="0.35">
      <c r="B82" s="93" t="s">
        <v>222</v>
      </c>
    </row>
    <row r="84" spans="1:2" x14ac:dyDescent="0.35">
      <c r="A84" s="94">
        <v>4</v>
      </c>
    </row>
    <row r="100" spans="1:2" x14ac:dyDescent="0.35">
      <c r="A100" s="94">
        <v>5</v>
      </c>
      <c r="B100" s="93" t="s">
        <v>225</v>
      </c>
    </row>
    <row r="101" spans="1:2" x14ac:dyDescent="0.35">
      <c r="B101" s="93" t="s">
        <v>226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51C777-45AB-4753-B376-05378550E4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All_India_Index_Upto_April23 (1</vt:lpstr>
      <vt:lpstr>Sheet1</vt:lpstr>
      <vt:lpstr>Rural + Urban</vt:lpstr>
      <vt:lpstr>Rural</vt:lpstr>
      <vt:lpstr>Urban</vt:lpstr>
      <vt:lpstr>Pivots</vt:lpstr>
      <vt:lpstr>3a</vt:lpstr>
      <vt:lpstr>4 covid effect</vt:lpstr>
      <vt:lpstr>5. Oil Price fluct mom</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 R</dc:creator>
  <cp:lastModifiedBy>Jyothi R</cp:lastModifiedBy>
  <dcterms:created xsi:type="dcterms:W3CDTF">2025-08-23T01:52:09Z</dcterms:created>
  <dcterms:modified xsi:type="dcterms:W3CDTF">2025-08-23T12:53:46Z</dcterms:modified>
</cp:coreProperties>
</file>